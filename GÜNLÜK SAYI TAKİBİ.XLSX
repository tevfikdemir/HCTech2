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3040" windowHeight="9120" tabRatio="827" activeTab="3"/>
  </bookViews>
  <sheets>
    <sheet name="Personel ve Operasyon Listesi" sheetId="3" r:id="rId1"/>
    <sheet name="GÜNLÜK SAYI FORMU" sheetId="134" state="hidden" r:id="rId2"/>
    <sheet name="950473 H&amp;M MAN" sheetId="163" r:id="rId3"/>
    <sheet name="Sayfa2" sheetId="165" r:id="rId4"/>
    <sheet name="Sayfa1" sheetId="164" r:id="rId5"/>
  </sheets>
  <definedNames>
    <definedName name="_xlnm._FilterDatabase" localSheetId="2" hidden="1">'950473 H&amp;M MAN'!$A$1:$BH$1937</definedName>
  </definedNames>
  <calcPr calcId="152511"/>
</workbook>
</file>

<file path=xl/calcChain.xml><?xml version="1.0" encoding="utf-8"?>
<calcChain xmlns="http://schemas.openxmlformats.org/spreadsheetml/2006/main">
  <c r="AT1937" i="163" l="1"/>
  <c r="AP1937" i="163"/>
  <c r="AL1937" i="163"/>
  <c r="AH1937" i="163"/>
  <c r="AD1937" i="163"/>
  <c r="Z1937" i="163"/>
  <c r="V1937" i="163"/>
  <c r="Q1937" i="163"/>
  <c r="M1937" i="163"/>
  <c r="I1937" i="163"/>
  <c r="E1937" i="163"/>
  <c r="AY1937" i="163" s="1"/>
  <c r="AY1936" i="163"/>
  <c r="AX1936" i="163"/>
  <c r="AY1935" i="163"/>
  <c r="AX1935" i="163"/>
  <c r="AY1934" i="163"/>
  <c r="AX1934" i="163"/>
  <c r="AY1933" i="163"/>
  <c r="AX1933" i="163"/>
  <c r="AY1932" i="163"/>
  <c r="AX1932" i="163"/>
  <c r="AY1931" i="163"/>
  <c r="AX1931" i="163"/>
  <c r="AY1930" i="163"/>
  <c r="AX1930" i="163"/>
  <c r="AT1928" i="163"/>
  <c r="AP1928" i="163"/>
  <c r="AL1928" i="163"/>
  <c r="AH1928" i="163"/>
  <c r="AD1928" i="163"/>
  <c r="Z1928" i="163"/>
  <c r="V1928" i="163"/>
  <c r="Q1928" i="163"/>
  <c r="M1928" i="163"/>
  <c r="I1928" i="163"/>
  <c r="E1928" i="163"/>
  <c r="AY1927" i="163"/>
  <c r="AX1927" i="163"/>
  <c r="AY1926" i="163"/>
  <c r="AX1926" i="163"/>
  <c r="AY1925" i="163"/>
  <c r="AX1925" i="163"/>
  <c r="AY1924" i="163"/>
  <c r="AX1924" i="163"/>
  <c r="AY1923" i="163"/>
  <c r="AX1923" i="163"/>
  <c r="AY1922" i="163"/>
  <c r="AX1922" i="163"/>
  <c r="AY1921" i="163"/>
  <c r="AX1921" i="163"/>
  <c r="AT1919" i="163"/>
  <c r="AP1919" i="163"/>
  <c r="AL1919" i="163"/>
  <c r="AH1919" i="163"/>
  <c r="AD1919" i="163"/>
  <c r="Z1919" i="163"/>
  <c r="V1919" i="163"/>
  <c r="Q1919" i="163"/>
  <c r="M1919" i="163"/>
  <c r="I1919" i="163"/>
  <c r="E1919" i="163"/>
  <c r="AY1918" i="163"/>
  <c r="AX1918" i="163"/>
  <c r="AY1917" i="163"/>
  <c r="AX1917" i="163"/>
  <c r="AY1916" i="163"/>
  <c r="AX1916" i="163"/>
  <c r="AY1915" i="163"/>
  <c r="AX1915" i="163"/>
  <c r="AY1914" i="163"/>
  <c r="AX1914" i="163"/>
  <c r="BG1913" i="163"/>
  <c r="AY1913" i="163"/>
  <c r="AX1913" i="163"/>
  <c r="AY1912" i="163"/>
  <c r="AX1912" i="163"/>
  <c r="AT1910" i="163"/>
  <c r="AP1910" i="163"/>
  <c r="AL1910" i="163"/>
  <c r="AH1910" i="163"/>
  <c r="AD1910" i="163"/>
  <c r="Z1910" i="163"/>
  <c r="V1910" i="163"/>
  <c r="Q1910" i="163"/>
  <c r="M1910" i="163"/>
  <c r="I1910" i="163"/>
  <c r="E1910" i="163"/>
  <c r="AY1909" i="163"/>
  <c r="AX1909" i="163"/>
  <c r="AY1908" i="163"/>
  <c r="AX1908" i="163"/>
  <c r="AY1907" i="163"/>
  <c r="AX1907" i="163"/>
  <c r="AY1906" i="163"/>
  <c r="AX1906" i="163"/>
  <c r="AY1905" i="163"/>
  <c r="AX1905" i="163"/>
  <c r="AY1904" i="163"/>
  <c r="AX1904" i="163"/>
  <c r="AY1903" i="163"/>
  <c r="AX1903" i="163"/>
  <c r="AT1901" i="163"/>
  <c r="AP1901" i="163"/>
  <c r="AL1901" i="163"/>
  <c r="AH1901" i="163"/>
  <c r="AD1901" i="163"/>
  <c r="Z1901" i="163"/>
  <c r="V1901" i="163"/>
  <c r="Q1901" i="163"/>
  <c r="M1901" i="163"/>
  <c r="I1901" i="163"/>
  <c r="E1901" i="163"/>
  <c r="AY1900" i="163"/>
  <c r="AX1900" i="163"/>
  <c r="AY1899" i="163"/>
  <c r="AX1899" i="163"/>
  <c r="AY1898" i="163"/>
  <c r="AX1898" i="163"/>
  <c r="AY1897" i="163"/>
  <c r="AX1897" i="163"/>
  <c r="AY1896" i="163"/>
  <c r="AX1896" i="163"/>
  <c r="AY1895" i="163"/>
  <c r="AX1895" i="163"/>
  <c r="AY1894" i="163"/>
  <c r="AX1894" i="163"/>
  <c r="AT1892" i="163"/>
  <c r="AP1892" i="163"/>
  <c r="AL1892" i="163"/>
  <c r="AH1892" i="163"/>
  <c r="AD1892" i="163"/>
  <c r="Z1892" i="163"/>
  <c r="V1892" i="163"/>
  <c r="Q1892" i="163"/>
  <c r="M1892" i="163"/>
  <c r="I1892" i="163"/>
  <c r="E1892" i="163"/>
  <c r="AY1891" i="163"/>
  <c r="AX1891" i="163"/>
  <c r="AY1890" i="163"/>
  <c r="AX1890" i="163"/>
  <c r="AY1889" i="163"/>
  <c r="AX1889" i="163"/>
  <c r="AY1888" i="163"/>
  <c r="AX1888" i="163"/>
  <c r="AY1887" i="163"/>
  <c r="AX1887" i="163"/>
  <c r="AY1886" i="163"/>
  <c r="AX1886" i="163"/>
  <c r="AY1885" i="163"/>
  <c r="AX1885" i="163"/>
  <c r="AT1883" i="163"/>
  <c r="AP1883" i="163"/>
  <c r="AL1883" i="163"/>
  <c r="AH1883" i="163"/>
  <c r="AD1883" i="163"/>
  <c r="Z1883" i="163"/>
  <c r="V1883" i="163"/>
  <c r="Q1883" i="163"/>
  <c r="M1883" i="163"/>
  <c r="I1883" i="163"/>
  <c r="E1883" i="163"/>
  <c r="AY1882" i="163"/>
  <c r="AX1882" i="163"/>
  <c r="AY1881" i="163"/>
  <c r="AX1881" i="163"/>
  <c r="AY1880" i="163"/>
  <c r="AX1880" i="163"/>
  <c r="AY1879" i="163"/>
  <c r="AX1879" i="163"/>
  <c r="AY1878" i="163"/>
  <c r="AX1878" i="163"/>
  <c r="AY1877" i="163"/>
  <c r="AX1877" i="163"/>
  <c r="AY1876" i="163"/>
  <c r="AX1876" i="163"/>
  <c r="AT1874" i="163"/>
  <c r="AP1874" i="163"/>
  <c r="AL1874" i="163"/>
  <c r="AH1874" i="163"/>
  <c r="AD1874" i="163"/>
  <c r="Z1874" i="163"/>
  <c r="V1874" i="163"/>
  <c r="Q1874" i="163"/>
  <c r="M1874" i="163"/>
  <c r="I1874" i="163"/>
  <c r="E1874" i="163"/>
  <c r="AY1873" i="163"/>
  <c r="AX1873" i="163"/>
  <c r="AY1872" i="163"/>
  <c r="AX1872" i="163"/>
  <c r="AY1871" i="163"/>
  <c r="AX1871" i="163"/>
  <c r="AY1870" i="163"/>
  <c r="AX1870" i="163"/>
  <c r="AY1869" i="163"/>
  <c r="AX1869" i="163"/>
  <c r="AY1868" i="163"/>
  <c r="AX1868" i="163"/>
  <c r="AY1867" i="163"/>
  <c r="AX1867" i="163"/>
  <c r="AT1865" i="163"/>
  <c r="AP1865" i="163"/>
  <c r="AL1865" i="163"/>
  <c r="AH1865" i="163"/>
  <c r="AD1865" i="163"/>
  <c r="Z1865" i="163"/>
  <c r="V1865" i="163"/>
  <c r="Q1865" i="163"/>
  <c r="M1865" i="163"/>
  <c r="I1865" i="163"/>
  <c r="E1865" i="163"/>
  <c r="AY1864" i="163"/>
  <c r="AX1864" i="163"/>
  <c r="AY1863" i="163"/>
  <c r="AX1863" i="163"/>
  <c r="AY1862" i="163"/>
  <c r="AX1862" i="163"/>
  <c r="AY1861" i="163"/>
  <c r="AX1861" i="163"/>
  <c r="AY1860" i="163"/>
  <c r="AX1860" i="163"/>
  <c r="AY1859" i="163"/>
  <c r="AX1859" i="163"/>
  <c r="AY1858" i="163"/>
  <c r="AX1858" i="163"/>
  <c r="AT1856" i="163"/>
  <c r="AP1856" i="163"/>
  <c r="AL1856" i="163"/>
  <c r="AH1856" i="163"/>
  <c r="AD1856" i="163"/>
  <c r="Z1856" i="163"/>
  <c r="V1856" i="163"/>
  <c r="Q1856" i="163"/>
  <c r="M1856" i="163"/>
  <c r="I1856" i="163"/>
  <c r="E1856" i="163"/>
  <c r="AY1855" i="163"/>
  <c r="AX1855" i="163"/>
  <c r="AY1854" i="163"/>
  <c r="AX1854" i="163"/>
  <c r="AY1853" i="163"/>
  <c r="AX1853" i="163"/>
  <c r="AY1852" i="163"/>
  <c r="AX1852" i="163"/>
  <c r="AY1851" i="163"/>
  <c r="AX1851" i="163"/>
  <c r="AY1850" i="163"/>
  <c r="AX1850" i="163"/>
  <c r="AY1849" i="163"/>
  <c r="AX1849" i="163"/>
  <c r="AT1847" i="163"/>
  <c r="AP1847" i="163"/>
  <c r="AL1847" i="163"/>
  <c r="AH1847" i="163"/>
  <c r="AD1847" i="163"/>
  <c r="Z1847" i="163"/>
  <c r="V1847" i="163"/>
  <c r="Q1847" i="163"/>
  <c r="M1847" i="163"/>
  <c r="I1847" i="163"/>
  <c r="E1847" i="163"/>
  <c r="AY1846" i="163"/>
  <c r="AX1846" i="163"/>
  <c r="AY1845" i="163"/>
  <c r="AX1845" i="163"/>
  <c r="AY1844" i="163"/>
  <c r="AX1844" i="163"/>
  <c r="AY1843" i="163"/>
  <c r="AX1843" i="163"/>
  <c r="AY1842" i="163"/>
  <c r="AX1842" i="163"/>
  <c r="AY1841" i="163"/>
  <c r="AX1841" i="163"/>
  <c r="AY1840" i="163"/>
  <c r="AX1840" i="163"/>
  <c r="AT1838" i="163"/>
  <c r="AP1838" i="163"/>
  <c r="AL1838" i="163"/>
  <c r="AH1838" i="163"/>
  <c r="AD1838" i="163"/>
  <c r="Z1838" i="163"/>
  <c r="V1838" i="163"/>
  <c r="Q1838" i="163"/>
  <c r="M1838" i="163"/>
  <c r="I1838" i="163"/>
  <c r="E1838" i="163"/>
  <c r="AY1837" i="163"/>
  <c r="AX1837" i="163"/>
  <c r="AY1836" i="163"/>
  <c r="AX1836" i="163"/>
  <c r="AY1835" i="163"/>
  <c r="AX1835" i="163"/>
  <c r="AY1834" i="163"/>
  <c r="AX1834" i="163"/>
  <c r="AY1833" i="163"/>
  <c r="AX1833" i="163"/>
  <c r="AY1832" i="163"/>
  <c r="AX1832" i="163"/>
  <c r="AY1831" i="163"/>
  <c r="AX1831" i="163"/>
  <c r="AT1829" i="163"/>
  <c r="AP1829" i="163"/>
  <c r="AL1829" i="163"/>
  <c r="AH1829" i="163"/>
  <c r="AD1829" i="163"/>
  <c r="Z1829" i="163"/>
  <c r="V1829" i="163"/>
  <c r="Q1829" i="163"/>
  <c r="M1829" i="163"/>
  <c r="I1829" i="163"/>
  <c r="E1829" i="163"/>
  <c r="AY1828" i="163"/>
  <c r="AX1828" i="163"/>
  <c r="AY1827" i="163"/>
  <c r="AX1827" i="163"/>
  <c r="AY1826" i="163"/>
  <c r="AX1826" i="163"/>
  <c r="AY1825" i="163"/>
  <c r="AX1825" i="163"/>
  <c r="AY1824" i="163"/>
  <c r="AX1824" i="163"/>
  <c r="AY1823" i="163"/>
  <c r="AX1823" i="163"/>
  <c r="AY1822" i="163"/>
  <c r="AX1822" i="163"/>
  <c r="AT1820" i="163"/>
  <c r="AP1820" i="163"/>
  <c r="AL1820" i="163"/>
  <c r="AH1820" i="163"/>
  <c r="AD1820" i="163"/>
  <c r="Z1820" i="163"/>
  <c r="V1820" i="163"/>
  <c r="Q1820" i="163"/>
  <c r="M1820" i="163"/>
  <c r="I1820" i="163"/>
  <c r="E1820" i="163"/>
  <c r="AY1819" i="163"/>
  <c r="AX1819" i="163"/>
  <c r="AY1818" i="163"/>
  <c r="AX1818" i="163"/>
  <c r="AY1817" i="163"/>
  <c r="AX1817" i="163"/>
  <c r="AY1816" i="163"/>
  <c r="AX1816" i="163"/>
  <c r="AY1815" i="163"/>
  <c r="AX1815" i="163"/>
  <c r="AY1814" i="163"/>
  <c r="AX1814" i="163"/>
  <c r="AY1813" i="163"/>
  <c r="AX1813" i="163"/>
  <c r="AT1811" i="163"/>
  <c r="AP1811" i="163"/>
  <c r="AL1811" i="163"/>
  <c r="AH1811" i="163"/>
  <c r="AD1811" i="163"/>
  <c r="Z1811" i="163"/>
  <c r="V1811" i="163"/>
  <c r="Q1811" i="163"/>
  <c r="M1811" i="163"/>
  <c r="I1811" i="163"/>
  <c r="E1811" i="163"/>
  <c r="AY1810" i="163"/>
  <c r="AX1810" i="163"/>
  <c r="AY1809" i="163"/>
  <c r="AX1809" i="163"/>
  <c r="AY1808" i="163"/>
  <c r="AX1808" i="163"/>
  <c r="AY1807" i="163"/>
  <c r="AX1807" i="163"/>
  <c r="AY1806" i="163"/>
  <c r="AX1806" i="163"/>
  <c r="AY1805" i="163"/>
  <c r="AX1805" i="163"/>
  <c r="AY1804" i="163"/>
  <c r="AX1804" i="163"/>
  <c r="AT1802" i="163"/>
  <c r="AP1802" i="163"/>
  <c r="AL1802" i="163"/>
  <c r="AH1802" i="163"/>
  <c r="AD1802" i="163"/>
  <c r="Z1802" i="163"/>
  <c r="V1802" i="163"/>
  <c r="Q1802" i="163"/>
  <c r="M1802" i="163"/>
  <c r="I1802" i="163"/>
  <c r="E1802" i="163"/>
  <c r="AY1801" i="163"/>
  <c r="AX1801" i="163"/>
  <c r="AY1800" i="163"/>
  <c r="AX1800" i="163"/>
  <c r="AY1799" i="163"/>
  <c r="AX1799" i="163"/>
  <c r="AY1798" i="163"/>
  <c r="AX1798" i="163"/>
  <c r="AY1797" i="163"/>
  <c r="AX1797" i="163"/>
  <c r="AT1795" i="163"/>
  <c r="AP1795" i="163"/>
  <c r="AL1795" i="163"/>
  <c r="AH1795" i="163"/>
  <c r="AD1795" i="163"/>
  <c r="Z1795" i="163"/>
  <c r="V1795" i="163"/>
  <c r="Q1795" i="163"/>
  <c r="M1795" i="163"/>
  <c r="I1795" i="163"/>
  <c r="E1795" i="163"/>
  <c r="AY1794" i="163"/>
  <c r="AX1794" i="163"/>
  <c r="AY1793" i="163"/>
  <c r="AX1793" i="163"/>
  <c r="AY1792" i="163"/>
  <c r="AX1792" i="163"/>
  <c r="AY1791" i="163"/>
  <c r="AX1791" i="163"/>
  <c r="AY1790" i="163"/>
  <c r="AX1790" i="163"/>
  <c r="AT1788" i="163"/>
  <c r="AP1788" i="163"/>
  <c r="AL1788" i="163"/>
  <c r="AH1788" i="163"/>
  <c r="AD1788" i="163"/>
  <c r="Z1788" i="163"/>
  <c r="V1788" i="163"/>
  <c r="Q1788" i="163"/>
  <c r="M1788" i="163"/>
  <c r="I1788" i="163"/>
  <c r="E1788" i="163"/>
  <c r="AY1787" i="163"/>
  <c r="AX1787" i="163"/>
  <c r="AY1786" i="163"/>
  <c r="AX1786" i="163"/>
  <c r="AY1785" i="163"/>
  <c r="AX1785" i="163"/>
  <c r="AY1784" i="163"/>
  <c r="AX1784" i="163"/>
  <c r="AY1783" i="163"/>
  <c r="AX1783" i="163"/>
  <c r="AT1781" i="163"/>
  <c r="AP1781" i="163"/>
  <c r="AL1781" i="163"/>
  <c r="AH1781" i="163"/>
  <c r="AD1781" i="163"/>
  <c r="Z1781" i="163"/>
  <c r="V1781" i="163"/>
  <c r="Q1781" i="163"/>
  <c r="M1781" i="163"/>
  <c r="I1781" i="163"/>
  <c r="E1781" i="163"/>
  <c r="AY1780" i="163"/>
  <c r="AX1780" i="163"/>
  <c r="AY1779" i="163"/>
  <c r="AX1779" i="163"/>
  <c r="AY1778" i="163"/>
  <c r="AX1778" i="163"/>
  <c r="AY1777" i="163"/>
  <c r="AX1777" i="163"/>
  <c r="AY1776" i="163"/>
  <c r="AX1776" i="163"/>
  <c r="AT1774" i="163"/>
  <c r="AP1774" i="163"/>
  <c r="AL1774" i="163"/>
  <c r="AH1774" i="163"/>
  <c r="AD1774" i="163"/>
  <c r="Z1774" i="163"/>
  <c r="V1774" i="163"/>
  <c r="Q1774" i="163"/>
  <c r="M1774" i="163"/>
  <c r="I1774" i="163"/>
  <c r="E1774" i="163"/>
  <c r="AY1773" i="163"/>
  <c r="AX1773" i="163"/>
  <c r="AY1772" i="163"/>
  <c r="AX1772" i="163"/>
  <c r="AY1771" i="163"/>
  <c r="AX1771" i="163"/>
  <c r="AY1770" i="163"/>
  <c r="AX1770" i="163"/>
  <c r="AY1769" i="163"/>
  <c r="AX1769" i="163"/>
  <c r="A1768" i="163"/>
  <c r="A1789" i="163" s="1"/>
  <c r="A1797" i="163" s="1"/>
  <c r="A1798" i="163" s="1"/>
  <c r="A1799" i="163" s="1"/>
  <c r="A1800" i="163" s="1"/>
  <c r="A1801" i="163" s="1"/>
  <c r="A1802" i="163" s="1"/>
  <c r="AT1761" i="163"/>
  <c r="AP1761" i="163"/>
  <c r="AL1761" i="163"/>
  <c r="AH1761" i="163"/>
  <c r="AD1761" i="163"/>
  <c r="Z1761" i="163"/>
  <c r="V1761" i="163"/>
  <c r="Q1761" i="163"/>
  <c r="M1761" i="163"/>
  <c r="I1761" i="163"/>
  <c r="E1761" i="163"/>
  <c r="AY1760" i="163"/>
  <c r="AX1760" i="163"/>
  <c r="AY1759" i="163"/>
  <c r="AX1759" i="163"/>
  <c r="AY1758" i="163"/>
  <c r="AX1758" i="163"/>
  <c r="AY1757" i="163"/>
  <c r="AX1757" i="163"/>
  <c r="AY1756" i="163"/>
  <c r="AX1756" i="163"/>
  <c r="AY1755" i="163"/>
  <c r="AX1755" i="163"/>
  <c r="AY1754" i="163"/>
  <c r="AX1754" i="163"/>
  <c r="AT1752" i="163"/>
  <c r="AP1752" i="163"/>
  <c r="AL1752" i="163"/>
  <c r="AH1752" i="163"/>
  <c r="AD1752" i="163"/>
  <c r="Z1752" i="163"/>
  <c r="V1752" i="163"/>
  <c r="Q1752" i="163"/>
  <c r="M1752" i="163"/>
  <c r="I1752" i="163"/>
  <c r="E1752" i="163"/>
  <c r="AY1751" i="163"/>
  <c r="AX1751" i="163"/>
  <c r="AY1750" i="163"/>
  <c r="AX1750" i="163"/>
  <c r="AY1749" i="163"/>
  <c r="AX1749" i="163"/>
  <c r="AY1748" i="163"/>
  <c r="AX1748" i="163"/>
  <c r="AY1747" i="163"/>
  <c r="AX1747" i="163"/>
  <c r="AY1746" i="163"/>
  <c r="AX1746" i="163"/>
  <c r="AY1745" i="163"/>
  <c r="AX1745" i="163"/>
  <c r="AT1743" i="163"/>
  <c r="AP1743" i="163"/>
  <c r="AL1743" i="163"/>
  <c r="AH1743" i="163"/>
  <c r="AD1743" i="163"/>
  <c r="Z1743" i="163"/>
  <c r="V1743" i="163"/>
  <c r="Q1743" i="163"/>
  <c r="M1743" i="163"/>
  <c r="I1743" i="163"/>
  <c r="E1743" i="163"/>
  <c r="AY1742" i="163"/>
  <c r="AX1742" i="163"/>
  <c r="AY1741" i="163"/>
  <c r="AX1741" i="163"/>
  <c r="AY1740" i="163"/>
  <c r="AX1740" i="163"/>
  <c r="AY1739" i="163"/>
  <c r="AX1739" i="163"/>
  <c r="AY1738" i="163"/>
  <c r="AX1738" i="163"/>
  <c r="BG1737" i="163"/>
  <c r="AY1737" i="163"/>
  <c r="AX1737" i="163"/>
  <c r="AY1736" i="163"/>
  <c r="AX1736" i="163"/>
  <c r="AT1734" i="163"/>
  <c r="AP1734" i="163"/>
  <c r="AL1734" i="163"/>
  <c r="AH1734" i="163"/>
  <c r="AD1734" i="163"/>
  <c r="Z1734" i="163"/>
  <c r="V1734" i="163"/>
  <c r="Q1734" i="163"/>
  <c r="M1734" i="163"/>
  <c r="I1734" i="163"/>
  <c r="E1734" i="163"/>
  <c r="AY1733" i="163"/>
  <c r="AX1733" i="163"/>
  <c r="AY1732" i="163"/>
  <c r="AX1732" i="163"/>
  <c r="AY1731" i="163"/>
  <c r="AX1731" i="163"/>
  <c r="AY1730" i="163"/>
  <c r="AX1730" i="163"/>
  <c r="AY1729" i="163"/>
  <c r="AX1729" i="163"/>
  <c r="AY1728" i="163"/>
  <c r="AX1728" i="163"/>
  <c r="AY1727" i="163"/>
  <c r="AX1727" i="163"/>
  <c r="AT1725" i="163"/>
  <c r="AP1725" i="163"/>
  <c r="AL1725" i="163"/>
  <c r="AH1725" i="163"/>
  <c r="AD1725" i="163"/>
  <c r="Z1725" i="163"/>
  <c r="V1725" i="163"/>
  <c r="Q1725" i="163"/>
  <c r="M1725" i="163"/>
  <c r="I1725" i="163"/>
  <c r="E1725" i="163"/>
  <c r="AY1724" i="163"/>
  <c r="AX1724" i="163"/>
  <c r="AY1723" i="163"/>
  <c r="AX1723" i="163"/>
  <c r="AY1722" i="163"/>
  <c r="AX1722" i="163"/>
  <c r="AY1721" i="163"/>
  <c r="AX1721" i="163"/>
  <c r="AY1720" i="163"/>
  <c r="AX1720" i="163"/>
  <c r="AY1719" i="163"/>
  <c r="AX1719" i="163"/>
  <c r="AY1718" i="163"/>
  <c r="AX1718" i="163"/>
  <c r="AT1716" i="163"/>
  <c r="AP1716" i="163"/>
  <c r="AL1716" i="163"/>
  <c r="AH1716" i="163"/>
  <c r="AD1716" i="163"/>
  <c r="Z1716" i="163"/>
  <c r="V1716" i="163"/>
  <c r="Q1716" i="163"/>
  <c r="M1716" i="163"/>
  <c r="I1716" i="163"/>
  <c r="E1716" i="163"/>
  <c r="AY1715" i="163"/>
  <c r="AX1715" i="163"/>
  <c r="AY1714" i="163"/>
  <c r="AX1714" i="163"/>
  <c r="AY1713" i="163"/>
  <c r="AX1713" i="163"/>
  <c r="AY1712" i="163"/>
  <c r="AX1712" i="163"/>
  <c r="AY1711" i="163"/>
  <c r="AX1711" i="163"/>
  <c r="AY1710" i="163"/>
  <c r="AX1710" i="163"/>
  <c r="AY1709" i="163"/>
  <c r="AX1709" i="163"/>
  <c r="AT1707" i="163"/>
  <c r="AP1707" i="163"/>
  <c r="AL1707" i="163"/>
  <c r="AH1707" i="163"/>
  <c r="AD1707" i="163"/>
  <c r="Z1707" i="163"/>
  <c r="V1707" i="163"/>
  <c r="Q1707" i="163"/>
  <c r="M1707" i="163"/>
  <c r="I1707" i="163"/>
  <c r="E1707" i="163"/>
  <c r="AY1706" i="163"/>
  <c r="AX1706" i="163"/>
  <c r="AY1705" i="163"/>
  <c r="AX1705" i="163"/>
  <c r="AY1704" i="163"/>
  <c r="AX1704" i="163"/>
  <c r="AY1703" i="163"/>
  <c r="AX1703" i="163"/>
  <c r="AY1702" i="163"/>
  <c r="AX1702" i="163"/>
  <c r="AY1701" i="163"/>
  <c r="AX1701" i="163"/>
  <c r="AY1700" i="163"/>
  <c r="AX1700" i="163"/>
  <c r="AT1698" i="163"/>
  <c r="AP1698" i="163"/>
  <c r="AL1698" i="163"/>
  <c r="AH1698" i="163"/>
  <c r="AD1698" i="163"/>
  <c r="Z1698" i="163"/>
  <c r="V1698" i="163"/>
  <c r="Q1698" i="163"/>
  <c r="M1698" i="163"/>
  <c r="I1698" i="163"/>
  <c r="E1698" i="163"/>
  <c r="AY1697" i="163"/>
  <c r="AX1697" i="163"/>
  <c r="AY1696" i="163"/>
  <c r="AX1696" i="163"/>
  <c r="AY1695" i="163"/>
  <c r="AX1695" i="163"/>
  <c r="AY1694" i="163"/>
  <c r="AX1694" i="163"/>
  <c r="AY1693" i="163"/>
  <c r="AX1693" i="163"/>
  <c r="AY1692" i="163"/>
  <c r="AX1692" i="163"/>
  <c r="AY1691" i="163"/>
  <c r="AX1691" i="163"/>
  <c r="AT1689" i="163"/>
  <c r="AP1689" i="163"/>
  <c r="AL1689" i="163"/>
  <c r="AH1689" i="163"/>
  <c r="AD1689" i="163"/>
  <c r="Z1689" i="163"/>
  <c r="V1689" i="163"/>
  <c r="Q1689" i="163"/>
  <c r="M1689" i="163"/>
  <c r="I1689" i="163"/>
  <c r="E1689" i="163"/>
  <c r="AY1688" i="163"/>
  <c r="AX1688" i="163"/>
  <c r="AY1687" i="163"/>
  <c r="AX1687" i="163"/>
  <c r="AY1686" i="163"/>
  <c r="AX1686" i="163"/>
  <c r="AY1685" i="163"/>
  <c r="AX1685" i="163"/>
  <c r="AY1684" i="163"/>
  <c r="AX1684" i="163"/>
  <c r="AY1683" i="163"/>
  <c r="AX1683" i="163"/>
  <c r="AY1682" i="163"/>
  <c r="AX1682" i="163"/>
  <c r="AT1680" i="163"/>
  <c r="AP1680" i="163"/>
  <c r="AL1680" i="163"/>
  <c r="AH1680" i="163"/>
  <c r="AD1680" i="163"/>
  <c r="Z1680" i="163"/>
  <c r="V1680" i="163"/>
  <c r="Q1680" i="163"/>
  <c r="M1680" i="163"/>
  <c r="I1680" i="163"/>
  <c r="E1680" i="163"/>
  <c r="AY1679" i="163"/>
  <c r="AX1679" i="163"/>
  <c r="AY1678" i="163"/>
  <c r="AX1678" i="163"/>
  <c r="AY1677" i="163"/>
  <c r="AX1677" i="163"/>
  <c r="AY1676" i="163"/>
  <c r="AX1676" i="163"/>
  <c r="AY1675" i="163"/>
  <c r="AX1675" i="163"/>
  <c r="AY1674" i="163"/>
  <c r="AX1674" i="163"/>
  <c r="AY1673" i="163"/>
  <c r="AX1673" i="163"/>
  <c r="AT1671" i="163"/>
  <c r="AP1671" i="163"/>
  <c r="AL1671" i="163"/>
  <c r="AH1671" i="163"/>
  <c r="AD1671" i="163"/>
  <c r="Z1671" i="163"/>
  <c r="V1671" i="163"/>
  <c r="Q1671" i="163"/>
  <c r="M1671" i="163"/>
  <c r="I1671" i="163"/>
  <c r="E1671" i="163"/>
  <c r="AY1670" i="163"/>
  <c r="AX1670" i="163"/>
  <c r="AY1669" i="163"/>
  <c r="AX1669" i="163"/>
  <c r="AY1668" i="163"/>
  <c r="AX1668" i="163"/>
  <c r="AY1667" i="163"/>
  <c r="AX1667" i="163"/>
  <c r="AY1666" i="163"/>
  <c r="AX1666" i="163"/>
  <c r="AY1665" i="163"/>
  <c r="AX1665" i="163"/>
  <c r="AY1664" i="163"/>
  <c r="AX1664" i="163"/>
  <c r="AX1671" i="163" s="1"/>
  <c r="AT1662" i="163"/>
  <c r="AP1662" i="163"/>
  <c r="AL1662" i="163"/>
  <c r="AH1662" i="163"/>
  <c r="AD1662" i="163"/>
  <c r="Z1662" i="163"/>
  <c r="V1662" i="163"/>
  <c r="Q1662" i="163"/>
  <c r="M1662" i="163"/>
  <c r="I1662" i="163"/>
  <c r="E1662" i="163"/>
  <c r="AY1661" i="163"/>
  <c r="AX1661" i="163"/>
  <c r="AY1660" i="163"/>
  <c r="AX1660" i="163"/>
  <c r="AY1659" i="163"/>
  <c r="AX1659" i="163"/>
  <c r="AY1658" i="163"/>
  <c r="AX1658" i="163"/>
  <c r="AY1657" i="163"/>
  <c r="AX1657" i="163"/>
  <c r="AY1656" i="163"/>
  <c r="AX1656" i="163"/>
  <c r="AY1655" i="163"/>
  <c r="AX1655" i="163"/>
  <c r="AT1653" i="163"/>
  <c r="AP1653" i="163"/>
  <c r="AL1653" i="163"/>
  <c r="AH1653" i="163"/>
  <c r="AD1653" i="163"/>
  <c r="Z1653" i="163"/>
  <c r="V1653" i="163"/>
  <c r="Q1653" i="163"/>
  <c r="M1653" i="163"/>
  <c r="I1653" i="163"/>
  <c r="E1653" i="163"/>
  <c r="AY1652" i="163"/>
  <c r="AX1652" i="163"/>
  <c r="AY1651" i="163"/>
  <c r="AX1651" i="163"/>
  <c r="AY1650" i="163"/>
  <c r="AX1650" i="163"/>
  <c r="AY1649" i="163"/>
  <c r="AX1649" i="163"/>
  <c r="AY1648" i="163"/>
  <c r="AX1648" i="163"/>
  <c r="AY1647" i="163"/>
  <c r="AX1647" i="163"/>
  <c r="AY1646" i="163"/>
  <c r="AX1646" i="163"/>
  <c r="AT1644" i="163"/>
  <c r="AP1644" i="163"/>
  <c r="AL1644" i="163"/>
  <c r="AH1644" i="163"/>
  <c r="AD1644" i="163"/>
  <c r="Z1644" i="163"/>
  <c r="V1644" i="163"/>
  <c r="Q1644" i="163"/>
  <c r="M1644" i="163"/>
  <c r="I1644" i="163"/>
  <c r="E1644" i="163"/>
  <c r="AY1643" i="163"/>
  <c r="AX1643" i="163"/>
  <c r="AY1642" i="163"/>
  <c r="AX1642" i="163"/>
  <c r="AY1641" i="163"/>
  <c r="AX1641" i="163"/>
  <c r="AY1640" i="163"/>
  <c r="AX1640" i="163"/>
  <c r="AY1639" i="163"/>
  <c r="AX1639" i="163"/>
  <c r="AY1638" i="163"/>
  <c r="AX1638" i="163"/>
  <c r="AY1637" i="163"/>
  <c r="AX1637" i="163"/>
  <c r="AT1635" i="163"/>
  <c r="AP1635" i="163"/>
  <c r="AL1635" i="163"/>
  <c r="AH1635" i="163"/>
  <c r="AD1635" i="163"/>
  <c r="Z1635" i="163"/>
  <c r="V1635" i="163"/>
  <c r="Q1635" i="163"/>
  <c r="M1635" i="163"/>
  <c r="I1635" i="163"/>
  <c r="E1635" i="163"/>
  <c r="AY1634" i="163"/>
  <c r="AX1634" i="163"/>
  <c r="AY1633" i="163"/>
  <c r="AX1633" i="163"/>
  <c r="AY1632" i="163"/>
  <c r="AX1632" i="163"/>
  <c r="AY1631" i="163"/>
  <c r="AX1631" i="163"/>
  <c r="AY1630" i="163"/>
  <c r="AX1630" i="163"/>
  <c r="AY1629" i="163"/>
  <c r="AX1629" i="163"/>
  <c r="AY1628" i="163"/>
  <c r="AX1628" i="163"/>
  <c r="AT1626" i="163"/>
  <c r="AP1626" i="163"/>
  <c r="AL1626" i="163"/>
  <c r="AH1626" i="163"/>
  <c r="AD1626" i="163"/>
  <c r="Z1626" i="163"/>
  <c r="V1626" i="163"/>
  <c r="Q1626" i="163"/>
  <c r="M1626" i="163"/>
  <c r="I1626" i="163"/>
  <c r="E1626" i="163"/>
  <c r="AY1625" i="163"/>
  <c r="AX1625" i="163"/>
  <c r="AY1624" i="163"/>
  <c r="AX1624" i="163"/>
  <c r="AY1623" i="163"/>
  <c r="AX1623" i="163"/>
  <c r="AY1622" i="163"/>
  <c r="AX1622" i="163"/>
  <c r="AY1621" i="163"/>
  <c r="AX1621" i="163"/>
  <c r="AT1619" i="163"/>
  <c r="AP1619" i="163"/>
  <c r="AL1619" i="163"/>
  <c r="AH1619" i="163"/>
  <c r="AD1619" i="163"/>
  <c r="Z1619" i="163"/>
  <c r="V1619" i="163"/>
  <c r="Q1619" i="163"/>
  <c r="M1619" i="163"/>
  <c r="I1619" i="163"/>
  <c r="E1619" i="163"/>
  <c r="AY1618" i="163"/>
  <c r="AX1618" i="163"/>
  <c r="AY1617" i="163"/>
  <c r="AX1617" i="163"/>
  <c r="AY1616" i="163"/>
  <c r="AX1616" i="163"/>
  <c r="AY1615" i="163"/>
  <c r="AX1615" i="163"/>
  <c r="AY1614" i="163"/>
  <c r="AX1614" i="163"/>
  <c r="AT1612" i="163"/>
  <c r="AP1612" i="163"/>
  <c r="AL1612" i="163"/>
  <c r="AH1612" i="163"/>
  <c r="AD1612" i="163"/>
  <c r="Z1612" i="163"/>
  <c r="V1612" i="163"/>
  <c r="Q1612" i="163"/>
  <c r="M1612" i="163"/>
  <c r="I1612" i="163"/>
  <c r="E1612" i="163"/>
  <c r="AY1611" i="163"/>
  <c r="AX1611" i="163"/>
  <c r="AY1610" i="163"/>
  <c r="AX1610" i="163"/>
  <c r="AY1609" i="163"/>
  <c r="AX1609" i="163"/>
  <c r="AY1608" i="163"/>
  <c r="AX1608" i="163"/>
  <c r="AY1607" i="163"/>
  <c r="AX1607" i="163"/>
  <c r="AT1605" i="163"/>
  <c r="AP1605" i="163"/>
  <c r="AL1605" i="163"/>
  <c r="AH1605" i="163"/>
  <c r="AD1605" i="163"/>
  <c r="Z1605" i="163"/>
  <c r="V1605" i="163"/>
  <c r="Q1605" i="163"/>
  <c r="M1605" i="163"/>
  <c r="I1605" i="163"/>
  <c r="E1605" i="163"/>
  <c r="AY1604" i="163"/>
  <c r="AX1604" i="163"/>
  <c r="AY1603" i="163"/>
  <c r="AX1603" i="163"/>
  <c r="AY1602" i="163"/>
  <c r="AX1602" i="163"/>
  <c r="AY1601" i="163"/>
  <c r="AX1601" i="163"/>
  <c r="AY1600" i="163"/>
  <c r="AX1600" i="163"/>
  <c r="AT1598" i="163"/>
  <c r="AP1598" i="163"/>
  <c r="AL1598" i="163"/>
  <c r="AH1598" i="163"/>
  <c r="AD1598" i="163"/>
  <c r="Z1598" i="163"/>
  <c r="V1598" i="163"/>
  <c r="Q1598" i="163"/>
  <c r="M1598" i="163"/>
  <c r="I1598" i="163"/>
  <c r="E1598" i="163"/>
  <c r="AY1597" i="163"/>
  <c r="AX1597" i="163"/>
  <c r="AY1596" i="163"/>
  <c r="AX1596" i="163"/>
  <c r="AY1595" i="163"/>
  <c r="AX1595" i="163"/>
  <c r="AY1594" i="163"/>
  <c r="AX1594" i="163"/>
  <c r="AY1593" i="163"/>
  <c r="AX1593" i="163"/>
  <c r="A1592" i="163"/>
  <c r="A1599" i="163" s="1"/>
  <c r="AX1788" i="163" l="1"/>
  <c r="AY1802" i="163"/>
  <c r="AY1619" i="163"/>
  <c r="AY1653" i="163"/>
  <c r="AY1689" i="163"/>
  <c r="AY1761" i="163"/>
  <c r="AX1919" i="163"/>
  <c r="AY1892" i="163"/>
  <c r="AY1795" i="163"/>
  <c r="AX1811" i="163"/>
  <c r="AY1820" i="163"/>
  <c r="AY1901" i="163"/>
  <c r="AX1928" i="163"/>
  <c r="AX1856" i="163"/>
  <c r="AY1626" i="163"/>
  <c r="AY1662" i="163"/>
  <c r="AX1838" i="163"/>
  <c r="AX1598" i="163"/>
  <c r="AX1619" i="163"/>
  <c r="AY1874" i="163"/>
  <c r="AX1605" i="163"/>
  <c r="AY1605" i="163"/>
  <c r="AX1612" i="163"/>
  <c r="AY1612" i="163"/>
  <c r="AX1644" i="163"/>
  <c r="AY1644" i="163"/>
  <c r="AX1680" i="163"/>
  <c r="AY1698" i="163"/>
  <c r="AY1707" i="163"/>
  <c r="AY1743" i="163"/>
  <c r="AX1761" i="163"/>
  <c r="AX1910" i="163"/>
  <c r="AY1598" i="163"/>
  <c r="AX1626" i="163"/>
  <c r="AY1716" i="163"/>
  <c r="AX1781" i="163"/>
  <c r="AY1856" i="163"/>
  <c r="AX1874" i="163"/>
  <c r="AX1901" i="163"/>
  <c r="AY1635" i="163"/>
  <c r="AX1653" i="163"/>
  <c r="AX1662" i="163"/>
  <c r="AX1698" i="163"/>
  <c r="AX1716" i="163"/>
  <c r="AX1743" i="163"/>
  <c r="AX1752" i="163"/>
  <c r="AY1752" i="163"/>
  <c r="AY1838" i="163"/>
  <c r="AY1865" i="163"/>
  <c r="AX1883" i="163"/>
  <c r="A1782" i="163"/>
  <c r="A1796" i="163" s="1"/>
  <c r="A1803" i="163" s="1"/>
  <c r="A1776" i="163"/>
  <c r="A1777" i="163" s="1"/>
  <c r="A1778" i="163" s="1"/>
  <c r="A1779" i="163" s="1"/>
  <c r="A1780" i="163" s="1"/>
  <c r="A1781" i="163" s="1"/>
  <c r="A1613" i="163"/>
  <c r="A1621" i="163" s="1"/>
  <c r="A1622" i="163" s="1"/>
  <c r="A1623" i="163" s="1"/>
  <c r="A1624" i="163" s="1"/>
  <c r="A1625" i="163" s="1"/>
  <c r="A1626" i="163" s="1"/>
  <c r="AY1671" i="163"/>
  <c r="AX1707" i="163"/>
  <c r="A1600" i="163"/>
  <c r="A1601" i="163" s="1"/>
  <c r="A1602" i="163" s="1"/>
  <c r="A1603" i="163" s="1"/>
  <c r="A1604" i="163" s="1"/>
  <c r="A1605" i="163" s="1"/>
  <c r="A1606" i="163"/>
  <c r="AX1635" i="163"/>
  <c r="AY1680" i="163"/>
  <c r="AX1689" i="163"/>
  <c r="AX1725" i="163"/>
  <c r="A1593" i="163"/>
  <c r="A1594" i="163" s="1"/>
  <c r="A1595" i="163" s="1"/>
  <c r="A1596" i="163" s="1"/>
  <c r="A1597" i="163" s="1"/>
  <c r="A1598" i="163" s="1"/>
  <c r="AX1774" i="163"/>
  <c r="AY1788" i="163"/>
  <c r="AX1734" i="163"/>
  <c r="AY1781" i="163"/>
  <c r="AY1811" i="163"/>
  <c r="AY1725" i="163"/>
  <c r="AY1734" i="163"/>
  <c r="AY1774" i="163"/>
  <c r="AX1795" i="163"/>
  <c r="AX1802" i="163"/>
  <c r="AX1847" i="163"/>
  <c r="A1769" i="163"/>
  <c r="A1770" i="163" s="1"/>
  <c r="A1771" i="163" s="1"/>
  <c r="A1772" i="163" s="1"/>
  <c r="A1773" i="163" s="1"/>
  <c r="A1774" i="163" s="1"/>
  <c r="A1775" i="163"/>
  <c r="AX1829" i="163"/>
  <c r="AY1847" i="163"/>
  <c r="AX1865" i="163"/>
  <c r="AX1820" i="163"/>
  <c r="AY1829" i="163"/>
  <c r="AX1892" i="163"/>
  <c r="AY1928" i="163"/>
  <c r="AX1937" i="163"/>
  <c r="AY1883" i="163"/>
  <c r="AY1910" i="163"/>
  <c r="AY1919" i="163"/>
  <c r="AT1585" i="163"/>
  <c r="AP1585" i="163"/>
  <c r="AL1585" i="163"/>
  <c r="AH1585" i="163"/>
  <c r="AD1585" i="163"/>
  <c r="Z1585" i="163"/>
  <c r="V1585" i="163"/>
  <c r="Q1585" i="163"/>
  <c r="M1585" i="163"/>
  <c r="I1585" i="163"/>
  <c r="E1585" i="163"/>
  <c r="AY1584" i="163"/>
  <c r="AX1584" i="163"/>
  <c r="AY1583" i="163"/>
  <c r="AX1583" i="163"/>
  <c r="AY1582" i="163"/>
  <c r="AX1582" i="163"/>
  <c r="AY1581" i="163"/>
  <c r="AX1581" i="163"/>
  <c r="AY1580" i="163"/>
  <c r="AX1580" i="163"/>
  <c r="AY1579" i="163"/>
  <c r="AX1579" i="163"/>
  <c r="AY1578" i="163"/>
  <c r="AX1578" i="163"/>
  <c r="AT1576" i="163"/>
  <c r="AP1576" i="163"/>
  <c r="AL1576" i="163"/>
  <c r="AH1576" i="163"/>
  <c r="AD1576" i="163"/>
  <c r="Z1576" i="163"/>
  <c r="V1576" i="163"/>
  <c r="Q1576" i="163"/>
  <c r="M1576" i="163"/>
  <c r="I1576" i="163"/>
  <c r="E1576" i="163"/>
  <c r="AY1575" i="163"/>
  <c r="AX1575" i="163"/>
  <c r="AY1574" i="163"/>
  <c r="AX1574" i="163"/>
  <c r="AY1573" i="163"/>
  <c r="AX1573" i="163"/>
  <c r="AY1572" i="163"/>
  <c r="AX1572" i="163"/>
  <c r="AY1571" i="163"/>
  <c r="AX1571" i="163"/>
  <c r="AY1570" i="163"/>
  <c r="AX1570" i="163"/>
  <c r="AY1569" i="163"/>
  <c r="AX1569" i="163"/>
  <c r="AT1567" i="163"/>
  <c r="AP1567" i="163"/>
  <c r="AL1567" i="163"/>
  <c r="AH1567" i="163"/>
  <c r="AD1567" i="163"/>
  <c r="Z1567" i="163"/>
  <c r="V1567" i="163"/>
  <c r="Q1567" i="163"/>
  <c r="M1567" i="163"/>
  <c r="I1567" i="163"/>
  <c r="E1567" i="163"/>
  <c r="AY1566" i="163"/>
  <c r="AX1566" i="163"/>
  <c r="AY1565" i="163"/>
  <c r="AX1565" i="163"/>
  <c r="AY1564" i="163"/>
  <c r="AX1564" i="163"/>
  <c r="AY1563" i="163"/>
  <c r="AX1563" i="163"/>
  <c r="AY1562" i="163"/>
  <c r="AX1562" i="163"/>
  <c r="BG1561" i="163"/>
  <c r="AY1561" i="163"/>
  <c r="AX1561" i="163"/>
  <c r="AY1560" i="163"/>
  <c r="AX1560" i="163"/>
  <c r="AT1558" i="163"/>
  <c r="AP1558" i="163"/>
  <c r="AL1558" i="163"/>
  <c r="AH1558" i="163"/>
  <c r="AD1558" i="163"/>
  <c r="Z1558" i="163"/>
  <c r="V1558" i="163"/>
  <c r="Q1558" i="163"/>
  <c r="M1558" i="163"/>
  <c r="I1558" i="163"/>
  <c r="E1558" i="163"/>
  <c r="AY1557" i="163"/>
  <c r="AX1557" i="163"/>
  <c r="AY1556" i="163"/>
  <c r="AX1556" i="163"/>
  <c r="AY1555" i="163"/>
  <c r="AX1555" i="163"/>
  <c r="AY1554" i="163"/>
  <c r="AX1554" i="163"/>
  <c r="AY1553" i="163"/>
  <c r="AX1553" i="163"/>
  <c r="AY1552" i="163"/>
  <c r="AX1552" i="163"/>
  <c r="AY1551" i="163"/>
  <c r="AX1551" i="163"/>
  <c r="AT1549" i="163"/>
  <c r="AP1549" i="163"/>
  <c r="AL1549" i="163"/>
  <c r="AH1549" i="163"/>
  <c r="AD1549" i="163"/>
  <c r="Z1549" i="163"/>
  <c r="V1549" i="163"/>
  <c r="Q1549" i="163"/>
  <c r="M1549" i="163"/>
  <c r="I1549" i="163"/>
  <c r="E1549" i="163"/>
  <c r="AY1548" i="163"/>
  <c r="AX1548" i="163"/>
  <c r="AY1547" i="163"/>
  <c r="AX1547" i="163"/>
  <c r="AY1546" i="163"/>
  <c r="AX1546" i="163"/>
  <c r="AY1545" i="163"/>
  <c r="AX1545" i="163"/>
  <c r="AY1544" i="163"/>
  <c r="AX1544" i="163"/>
  <c r="AY1543" i="163"/>
  <c r="AX1543" i="163"/>
  <c r="AY1542" i="163"/>
  <c r="AX1542" i="163"/>
  <c r="AT1540" i="163"/>
  <c r="AP1540" i="163"/>
  <c r="AL1540" i="163"/>
  <c r="AH1540" i="163"/>
  <c r="AD1540" i="163"/>
  <c r="Z1540" i="163"/>
  <c r="V1540" i="163"/>
  <c r="Q1540" i="163"/>
  <c r="M1540" i="163"/>
  <c r="I1540" i="163"/>
  <c r="E1540" i="163"/>
  <c r="AY1539" i="163"/>
  <c r="AX1539" i="163"/>
  <c r="AY1538" i="163"/>
  <c r="AX1538" i="163"/>
  <c r="AY1537" i="163"/>
  <c r="AX1537" i="163"/>
  <c r="AY1536" i="163"/>
  <c r="AX1536" i="163"/>
  <c r="AY1535" i="163"/>
  <c r="AX1535" i="163"/>
  <c r="AY1534" i="163"/>
  <c r="AX1534" i="163"/>
  <c r="AY1533" i="163"/>
  <c r="AX1533" i="163"/>
  <c r="AT1531" i="163"/>
  <c r="AP1531" i="163"/>
  <c r="AL1531" i="163"/>
  <c r="AH1531" i="163"/>
  <c r="AD1531" i="163"/>
  <c r="Z1531" i="163"/>
  <c r="V1531" i="163"/>
  <c r="Q1531" i="163"/>
  <c r="M1531" i="163"/>
  <c r="I1531" i="163"/>
  <c r="E1531" i="163"/>
  <c r="AY1530" i="163"/>
  <c r="AX1530" i="163"/>
  <c r="AY1529" i="163"/>
  <c r="AX1529" i="163"/>
  <c r="AY1528" i="163"/>
  <c r="AX1528" i="163"/>
  <c r="AY1527" i="163"/>
  <c r="AX1527" i="163"/>
  <c r="AY1526" i="163"/>
  <c r="AX1526" i="163"/>
  <c r="AY1525" i="163"/>
  <c r="AX1525" i="163"/>
  <c r="AY1524" i="163"/>
  <c r="AX1524" i="163"/>
  <c r="AT1522" i="163"/>
  <c r="AP1522" i="163"/>
  <c r="AL1522" i="163"/>
  <c r="AH1522" i="163"/>
  <c r="AD1522" i="163"/>
  <c r="Z1522" i="163"/>
  <c r="V1522" i="163"/>
  <c r="Q1522" i="163"/>
  <c r="M1522" i="163"/>
  <c r="I1522" i="163"/>
  <c r="E1522" i="163"/>
  <c r="AY1521" i="163"/>
  <c r="AX1521" i="163"/>
  <c r="AY1520" i="163"/>
  <c r="AX1520" i="163"/>
  <c r="AY1519" i="163"/>
  <c r="AX1519" i="163"/>
  <c r="AY1518" i="163"/>
  <c r="AX1518" i="163"/>
  <c r="AY1517" i="163"/>
  <c r="AX1517" i="163"/>
  <c r="AY1516" i="163"/>
  <c r="AX1516" i="163"/>
  <c r="AY1515" i="163"/>
  <c r="AX1515" i="163"/>
  <c r="AT1513" i="163"/>
  <c r="AP1513" i="163"/>
  <c r="AL1513" i="163"/>
  <c r="AH1513" i="163"/>
  <c r="AD1513" i="163"/>
  <c r="Z1513" i="163"/>
  <c r="V1513" i="163"/>
  <c r="Q1513" i="163"/>
  <c r="M1513" i="163"/>
  <c r="I1513" i="163"/>
  <c r="E1513" i="163"/>
  <c r="AY1512" i="163"/>
  <c r="AX1512" i="163"/>
  <c r="AY1511" i="163"/>
  <c r="AX1511" i="163"/>
  <c r="AY1510" i="163"/>
  <c r="AX1510" i="163"/>
  <c r="AY1509" i="163"/>
  <c r="AX1509" i="163"/>
  <c r="AY1508" i="163"/>
  <c r="AX1508" i="163"/>
  <c r="AY1507" i="163"/>
  <c r="AX1507" i="163"/>
  <c r="AY1506" i="163"/>
  <c r="AX1506" i="163"/>
  <c r="AT1504" i="163"/>
  <c r="AP1504" i="163"/>
  <c r="AL1504" i="163"/>
  <c r="AH1504" i="163"/>
  <c r="AD1504" i="163"/>
  <c r="Z1504" i="163"/>
  <c r="V1504" i="163"/>
  <c r="Q1504" i="163"/>
  <c r="M1504" i="163"/>
  <c r="I1504" i="163"/>
  <c r="E1504" i="163"/>
  <c r="AY1503" i="163"/>
  <c r="AX1503" i="163"/>
  <c r="AY1502" i="163"/>
  <c r="AX1502" i="163"/>
  <c r="AY1501" i="163"/>
  <c r="AX1501" i="163"/>
  <c r="AY1500" i="163"/>
  <c r="AX1500" i="163"/>
  <c r="AY1499" i="163"/>
  <c r="AX1499" i="163"/>
  <c r="AY1498" i="163"/>
  <c r="AX1498" i="163"/>
  <c r="AY1497" i="163"/>
  <c r="AX1497" i="163"/>
  <c r="AT1495" i="163"/>
  <c r="AP1495" i="163"/>
  <c r="AL1495" i="163"/>
  <c r="AH1495" i="163"/>
  <c r="AD1495" i="163"/>
  <c r="Z1495" i="163"/>
  <c r="V1495" i="163"/>
  <c r="Q1495" i="163"/>
  <c r="M1495" i="163"/>
  <c r="I1495" i="163"/>
  <c r="E1495" i="163"/>
  <c r="AY1494" i="163"/>
  <c r="AX1494" i="163"/>
  <c r="AY1493" i="163"/>
  <c r="AX1493" i="163"/>
  <c r="AY1492" i="163"/>
  <c r="AX1492" i="163"/>
  <c r="AY1491" i="163"/>
  <c r="AX1491" i="163"/>
  <c r="AY1490" i="163"/>
  <c r="AX1490" i="163"/>
  <c r="AY1489" i="163"/>
  <c r="AX1489" i="163"/>
  <c r="AY1488" i="163"/>
  <c r="AX1488" i="163"/>
  <c r="AT1486" i="163"/>
  <c r="AP1486" i="163"/>
  <c r="AL1486" i="163"/>
  <c r="AH1486" i="163"/>
  <c r="AD1486" i="163"/>
  <c r="Z1486" i="163"/>
  <c r="V1486" i="163"/>
  <c r="Q1486" i="163"/>
  <c r="M1486" i="163"/>
  <c r="I1486" i="163"/>
  <c r="E1486" i="163"/>
  <c r="AY1485" i="163"/>
  <c r="AX1485" i="163"/>
  <c r="AY1484" i="163"/>
  <c r="AX1484" i="163"/>
  <c r="AY1483" i="163"/>
  <c r="AX1483" i="163"/>
  <c r="AY1482" i="163"/>
  <c r="AX1482" i="163"/>
  <c r="AY1481" i="163"/>
  <c r="AX1481" i="163"/>
  <c r="AY1480" i="163"/>
  <c r="AX1480" i="163"/>
  <c r="AY1479" i="163"/>
  <c r="AX1479" i="163"/>
  <c r="AT1477" i="163"/>
  <c r="AP1477" i="163"/>
  <c r="AL1477" i="163"/>
  <c r="AH1477" i="163"/>
  <c r="AD1477" i="163"/>
  <c r="Z1477" i="163"/>
  <c r="V1477" i="163"/>
  <c r="Q1477" i="163"/>
  <c r="M1477" i="163"/>
  <c r="I1477" i="163"/>
  <c r="E1477" i="163"/>
  <c r="AY1476" i="163"/>
  <c r="AX1476" i="163"/>
  <c r="AY1475" i="163"/>
  <c r="AX1475" i="163"/>
  <c r="AY1474" i="163"/>
  <c r="AX1474" i="163"/>
  <c r="AY1473" i="163"/>
  <c r="AX1473" i="163"/>
  <c r="AY1472" i="163"/>
  <c r="AX1472" i="163"/>
  <c r="AY1471" i="163"/>
  <c r="AX1471" i="163"/>
  <c r="AY1470" i="163"/>
  <c r="AX1470" i="163"/>
  <c r="AT1468" i="163"/>
  <c r="AP1468" i="163"/>
  <c r="AL1468" i="163"/>
  <c r="AH1468" i="163"/>
  <c r="AD1468" i="163"/>
  <c r="Z1468" i="163"/>
  <c r="V1468" i="163"/>
  <c r="Q1468" i="163"/>
  <c r="M1468" i="163"/>
  <c r="I1468" i="163"/>
  <c r="E1468" i="163"/>
  <c r="AY1467" i="163"/>
  <c r="AX1467" i="163"/>
  <c r="AY1466" i="163"/>
  <c r="AX1466" i="163"/>
  <c r="AY1465" i="163"/>
  <c r="AX1465" i="163"/>
  <c r="AY1464" i="163"/>
  <c r="AX1464" i="163"/>
  <c r="AY1463" i="163"/>
  <c r="AX1463" i="163"/>
  <c r="AY1462" i="163"/>
  <c r="AX1462" i="163"/>
  <c r="AY1461" i="163"/>
  <c r="AX1461" i="163"/>
  <c r="AT1459" i="163"/>
  <c r="AP1459" i="163"/>
  <c r="AL1459" i="163"/>
  <c r="AH1459" i="163"/>
  <c r="AD1459" i="163"/>
  <c r="Z1459" i="163"/>
  <c r="V1459" i="163"/>
  <c r="Q1459" i="163"/>
  <c r="M1459" i="163"/>
  <c r="I1459" i="163"/>
  <c r="E1459" i="163"/>
  <c r="AY1458" i="163"/>
  <c r="AX1458" i="163"/>
  <c r="AY1457" i="163"/>
  <c r="AX1457" i="163"/>
  <c r="AY1456" i="163"/>
  <c r="AX1456" i="163"/>
  <c r="AY1455" i="163"/>
  <c r="AX1455" i="163"/>
  <c r="AY1454" i="163"/>
  <c r="AX1454" i="163"/>
  <c r="AY1453" i="163"/>
  <c r="AX1453" i="163"/>
  <c r="AY1452" i="163"/>
  <c r="AX1452" i="163"/>
  <c r="AT1450" i="163"/>
  <c r="AP1450" i="163"/>
  <c r="AL1450" i="163"/>
  <c r="AH1450" i="163"/>
  <c r="AD1450" i="163"/>
  <c r="Z1450" i="163"/>
  <c r="V1450" i="163"/>
  <c r="Q1450" i="163"/>
  <c r="M1450" i="163"/>
  <c r="I1450" i="163"/>
  <c r="E1450" i="163"/>
  <c r="AY1449" i="163"/>
  <c r="AX1449" i="163"/>
  <c r="AY1448" i="163"/>
  <c r="AX1448" i="163"/>
  <c r="AY1447" i="163"/>
  <c r="AX1447" i="163"/>
  <c r="AY1446" i="163"/>
  <c r="AX1446" i="163"/>
  <c r="AY1445" i="163"/>
  <c r="AX1445" i="163"/>
  <c r="AT1443" i="163"/>
  <c r="AP1443" i="163"/>
  <c r="AL1443" i="163"/>
  <c r="AH1443" i="163"/>
  <c r="AD1443" i="163"/>
  <c r="Z1443" i="163"/>
  <c r="V1443" i="163"/>
  <c r="Q1443" i="163"/>
  <c r="M1443" i="163"/>
  <c r="I1443" i="163"/>
  <c r="E1443" i="163"/>
  <c r="AY1442" i="163"/>
  <c r="AX1442" i="163"/>
  <c r="AY1441" i="163"/>
  <c r="AX1441" i="163"/>
  <c r="AY1440" i="163"/>
  <c r="AX1440" i="163"/>
  <c r="AY1439" i="163"/>
  <c r="AX1439" i="163"/>
  <c r="AY1438" i="163"/>
  <c r="AX1438" i="163"/>
  <c r="AT1436" i="163"/>
  <c r="AP1436" i="163"/>
  <c r="AL1436" i="163"/>
  <c r="AH1436" i="163"/>
  <c r="AD1436" i="163"/>
  <c r="Z1436" i="163"/>
  <c r="V1436" i="163"/>
  <c r="Q1436" i="163"/>
  <c r="M1436" i="163"/>
  <c r="I1436" i="163"/>
  <c r="E1436" i="163"/>
  <c r="AY1435" i="163"/>
  <c r="AX1435" i="163"/>
  <c r="AY1434" i="163"/>
  <c r="AX1434" i="163"/>
  <c r="AY1433" i="163"/>
  <c r="AX1433" i="163"/>
  <c r="AY1432" i="163"/>
  <c r="AX1432" i="163"/>
  <c r="AY1431" i="163"/>
  <c r="AX1431" i="163"/>
  <c r="AT1429" i="163"/>
  <c r="AP1429" i="163"/>
  <c r="AL1429" i="163"/>
  <c r="AH1429" i="163"/>
  <c r="AD1429" i="163"/>
  <c r="Z1429" i="163"/>
  <c r="V1429" i="163"/>
  <c r="Q1429" i="163"/>
  <c r="M1429" i="163"/>
  <c r="I1429" i="163"/>
  <c r="E1429" i="163"/>
  <c r="AY1428" i="163"/>
  <c r="AX1428" i="163"/>
  <c r="AY1427" i="163"/>
  <c r="AX1427" i="163"/>
  <c r="AY1426" i="163"/>
  <c r="AX1426" i="163"/>
  <c r="AY1425" i="163"/>
  <c r="AX1425" i="163"/>
  <c r="AY1424" i="163"/>
  <c r="AX1424" i="163"/>
  <c r="AT1422" i="163"/>
  <c r="AP1422" i="163"/>
  <c r="AL1422" i="163"/>
  <c r="AH1422" i="163"/>
  <c r="AD1422" i="163"/>
  <c r="Z1422" i="163"/>
  <c r="V1422" i="163"/>
  <c r="Q1422" i="163"/>
  <c r="M1422" i="163"/>
  <c r="I1422" i="163"/>
  <c r="E1422" i="163"/>
  <c r="AY1421" i="163"/>
  <c r="AX1421" i="163"/>
  <c r="AY1420" i="163"/>
  <c r="AX1420" i="163"/>
  <c r="AY1419" i="163"/>
  <c r="AX1419" i="163"/>
  <c r="AY1418" i="163"/>
  <c r="AX1418" i="163"/>
  <c r="AY1417" i="163"/>
  <c r="AX1417" i="163"/>
  <c r="A1416" i="163"/>
  <c r="A1430" i="163" s="1"/>
  <c r="AX1486" i="163" l="1"/>
  <c r="A1783" i="163"/>
  <c r="A1784" i="163" s="1"/>
  <c r="A1785" i="163" s="1"/>
  <c r="A1786" i="163" s="1"/>
  <c r="A1787" i="163" s="1"/>
  <c r="A1788" i="163" s="1"/>
  <c r="A1790" i="163"/>
  <c r="A1791" i="163" s="1"/>
  <c r="A1792" i="163" s="1"/>
  <c r="A1793" i="163" s="1"/>
  <c r="A1794" i="163" s="1"/>
  <c r="A1795" i="163" s="1"/>
  <c r="AY1429" i="163"/>
  <c r="AY1576" i="163"/>
  <c r="AX1576" i="163"/>
  <c r="A1812" i="163"/>
  <c r="A1804" i="163"/>
  <c r="A1805" i="163" s="1"/>
  <c r="A1620" i="163"/>
  <c r="A1627" i="163" s="1"/>
  <c r="A1607" i="163"/>
  <c r="A1608" i="163" s="1"/>
  <c r="A1609" i="163" s="1"/>
  <c r="A1610" i="163" s="1"/>
  <c r="A1611" i="163" s="1"/>
  <c r="A1612" i="163" s="1"/>
  <c r="A1614" i="163"/>
  <c r="A1615" i="163" s="1"/>
  <c r="A1616" i="163" s="1"/>
  <c r="A1617" i="163" s="1"/>
  <c r="A1618" i="163" s="1"/>
  <c r="A1619" i="163" s="1"/>
  <c r="AY1422" i="163"/>
  <c r="AY1436" i="163"/>
  <c r="AY1443" i="163"/>
  <c r="AX1459" i="163"/>
  <c r="AX1513" i="163"/>
  <c r="AX1531" i="163"/>
  <c r="AY1531" i="163"/>
  <c r="AY1540" i="163"/>
  <c r="AX1450" i="163"/>
  <c r="AY1495" i="163"/>
  <c r="AX1567" i="163"/>
  <c r="AX1422" i="163"/>
  <c r="AX1436" i="163"/>
  <c r="AY1450" i="163"/>
  <c r="AX1495" i="163"/>
  <c r="AY1549" i="163"/>
  <c r="AY1486" i="163"/>
  <c r="AX1504" i="163"/>
  <c r="AY1567" i="163"/>
  <c r="AX1585" i="163"/>
  <c r="AY1585" i="163"/>
  <c r="AY1468" i="163"/>
  <c r="AY1477" i="163"/>
  <c r="AY1504" i="163"/>
  <c r="AY1513" i="163"/>
  <c r="AX1429" i="163"/>
  <c r="AX1443" i="163"/>
  <c r="AY1459" i="163"/>
  <c r="AX1540" i="163"/>
  <c r="AX1549" i="163"/>
  <c r="AX1558" i="163"/>
  <c r="AY1558" i="163"/>
  <c r="A1417" i="163"/>
  <c r="A1418" i="163" s="1"/>
  <c r="A1419" i="163" s="1"/>
  <c r="A1420" i="163" s="1"/>
  <c r="A1421" i="163" s="1"/>
  <c r="A1422" i="163" s="1"/>
  <c r="A1431" i="163"/>
  <c r="A1432" i="163" s="1"/>
  <c r="A1433" i="163" s="1"/>
  <c r="A1434" i="163" s="1"/>
  <c r="A1435" i="163" s="1"/>
  <c r="A1436" i="163" s="1"/>
  <c r="A1444" i="163"/>
  <c r="A1451" i="163" s="1"/>
  <c r="A1438" i="163"/>
  <c r="A1439" i="163" s="1"/>
  <c r="A1440" i="163" s="1"/>
  <c r="A1441" i="163" s="1"/>
  <c r="A1442" i="163" s="1"/>
  <c r="A1443" i="163" s="1"/>
  <c r="A1423" i="163"/>
  <c r="A1437" i="163"/>
  <c r="A1445" i="163" s="1"/>
  <c r="A1446" i="163" s="1"/>
  <c r="A1447" i="163" s="1"/>
  <c r="A1448" i="163" s="1"/>
  <c r="A1449" i="163" s="1"/>
  <c r="A1450" i="163" s="1"/>
  <c r="AX1468" i="163"/>
  <c r="A1424" i="163"/>
  <c r="A1425" i="163" s="1"/>
  <c r="A1426" i="163" s="1"/>
  <c r="A1427" i="163" s="1"/>
  <c r="A1428" i="163" s="1"/>
  <c r="A1429" i="163" s="1"/>
  <c r="AX1477" i="163"/>
  <c r="AX1522" i="163"/>
  <c r="AY1522" i="163"/>
  <c r="AT1409" i="163"/>
  <c r="AP1409" i="163"/>
  <c r="AL1409" i="163"/>
  <c r="AH1409" i="163"/>
  <c r="AD1409" i="163"/>
  <c r="Z1409" i="163"/>
  <c r="V1409" i="163"/>
  <c r="Q1409" i="163"/>
  <c r="M1409" i="163"/>
  <c r="I1409" i="163"/>
  <c r="E1409" i="163"/>
  <c r="AY1408" i="163"/>
  <c r="AX1408" i="163"/>
  <c r="AY1407" i="163"/>
  <c r="AX1407" i="163"/>
  <c r="AY1406" i="163"/>
  <c r="AX1406" i="163"/>
  <c r="AY1405" i="163"/>
  <c r="AX1405" i="163"/>
  <c r="AY1404" i="163"/>
  <c r="AX1404" i="163"/>
  <c r="AY1403" i="163"/>
  <c r="AX1403" i="163"/>
  <c r="AY1402" i="163"/>
  <c r="AX1402" i="163"/>
  <c r="AT1400" i="163"/>
  <c r="AP1400" i="163"/>
  <c r="AL1400" i="163"/>
  <c r="AH1400" i="163"/>
  <c r="AD1400" i="163"/>
  <c r="Z1400" i="163"/>
  <c r="V1400" i="163"/>
  <c r="Q1400" i="163"/>
  <c r="M1400" i="163"/>
  <c r="I1400" i="163"/>
  <c r="E1400" i="163"/>
  <c r="AY1399" i="163"/>
  <c r="AX1399" i="163"/>
  <c r="AY1398" i="163"/>
  <c r="AX1398" i="163"/>
  <c r="AY1397" i="163"/>
  <c r="AX1397" i="163"/>
  <c r="AY1396" i="163"/>
  <c r="AX1396" i="163"/>
  <c r="AY1395" i="163"/>
  <c r="AX1395" i="163"/>
  <c r="AY1394" i="163"/>
  <c r="AX1394" i="163"/>
  <c r="AY1393" i="163"/>
  <c r="AX1393" i="163"/>
  <c r="AT1391" i="163"/>
  <c r="AP1391" i="163"/>
  <c r="AL1391" i="163"/>
  <c r="AH1391" i="163"/>
  <c r="AD1391" i="163"/>
  <c r="Z1391" i="163"/>
  <c r="V1391" i="163"/>
  <c r="Q1391" i="163"/>
  <c r="M1391" i="163"/>
  <c r="I1391" i="163"/>
  <c r="E1391" i="163"/>
  <c r="AY1390" i="163"/>
  <c r="AX1390" i="163"/>
  <c r="AY1389" i="163"/>
  <c r="AX1389" i="163"/>
  <c r="AY1388" i="163"/>
  <c r="AX1388" i="163"/>
  <c r="AY1387" i="163"/>
  <c r="AX1387" i="163"/>
  <c r="AY1386" i="163"/>
  <c r="AX1386" i="163"/>
  <c r="BG1385" i="163"/>
  <c r="AY1385" i="163"/>
  <c r="AX1385" i="163"/>
  <c r="AY1384" i="163"/>
  <c r="AX1384" i="163"/>
  <c r="AT1382" i="163"/>
  <c r="AP1382" i="163"/>
  <c r="AL1382" i="163"/>
  <c r="AH1382" i="163"/>
  <c r="AD1382" i="163"/>
  <c r="Z1382" i="163"/>
  <c r="V1382" i="163"/>
  <c r="Q1382" i="163"/>
  <c r="M1382" i="163"/>
  <c r="I1382" i="163"/>
  <c r="E1382" i="163"/>
  <c r="AY1381" i="163"/>
  <c r="AX1381" i="163"/>
  <c r="AY1380" i="163"/>
  <c r="AX1380" i="163"/>
  <c r="AY1379" i="163"/>
  <c r="AX1379" i="163"/>
  <c r="AY1378" i="163"/>
  <c r="AX1378" i="163"/>
  <c r="AY1377" i="163"/>
  <c r="AX1377" i="163"/>
  <c r="AY1376" i="163"/>
  <c r="AX1376" i="163"/>
  <c r="AY1375" i="163"/>
  <c r="AX1375" i="163"/>
  <c r="AT1373" i="163"/>
  <c r="AP1373" i="163"/>
  <c r="AL1373" i="163"/>
  <c r="AH1373" i="163"/>
  <c r="AD1373" i="163"/>
  <c r="Z1373" i="163"/>
  <c r="V1373" i="163"/>
  <c r="Q1373" i="163"/>
  <c r="M1373" i="163"/>
  <c r="I1373" i="163"/>
  <c r="E1373" i="163"/>
  <c r="AY1372" i="163"/>
  <c r="AX1372" i="163"/>
  <c r="AY1371" i="163"/>
  <c r="AX1371" i="163"/>
  <c r="AY1370" i="163"/>
  <c r="AX1370" i="163"/>
  <c r="AY1369" i="163"/>
  <c r="AX1369" i="163"/>
  <c r="AY1368" i="163"/>
  <c r="AX1368" i="163"/>
  <c r="AY1367" i="163"/>
  <c r="AX1367" i="163"/>
  <c r="AY1366" i="163"/>
  <c r="AX1366" i="163"/>
  <c r="AT1364" i="163"/>
  <c r="AP1364" i="163"/>
  <c r="AL1364" i="163"/>
  <c r="AH1364" i="163"/>
  <c r="AD1364" i="163"/>
  <c r="Z1364" i="163"/>
  <c r="V1364" i="163"/>
  <c r="Q1364" i="163"/>
  <c r="M1364" i="163"/>
  <c r="I1364" i="163"/>
  <c r="E1364" i="163"/>
  <c r="AY1363" i="163"/>
  <c r="AX1363" i="163"/>
  <c r="AY1362" i="163"/>
  <c r="AX1362" i="163"/>
  <c r="AY1361" i="163"/>
  <c r="AX1361" i="163"/>
  <c r="AY1360" i="163"/>
  <c r="AX1360" i="163"/>
  <c r="C1360" i="163"/>
  <c r="C1536" i="163" s="1"/>
  <c r="C1712" i="163" s="1"/>
  <c r="C1888" i="163" s="1"/>
  <c r="AY1359" i="163"/>
  <c r="AX1359" i="163"/>
  <c r="C1359" i="163"/>
  <c r="C1535" i="163" s="1"/>
  <c r="C1711" i="163" s="1"/>
  <c r="C1887" i="163" s="1"/>
  <c r="AY1358" i="163"/>
  <c r="AX1358" i="163"/>
  <c r="C1358" i="163"/>
  <c r="C1534" i="163" s="1"/>
  <c r="C1710" i="163" s="1"/>
  <c r="C1886" i="163" s="1"/>
  <c r="AY1357" i="163"/>
  <c r="AX1357" i="163"/>
  <c r="C1357" i="163"/>
  <c r="C1533" i="163" s="1"/>
  <c r="C1709" i="163" s="1"/>
  <c r="C1885" i="163" s="1"/>
  <c r="AT1355" i="163"/>
  <c r="AP1355" i="163"/>
  <c r="AL1355" i="163"/>
  <c r="AH1355" i="163"/>
  <c r="AD1355" i="163"/>
  <c r="Z1355" i="163"/>
  <c r="V1355" i="163"/>
  <c r="Q1355" i="163"/>
  <c r="M1355" i="163"/>
  <c r="I1355" i="163"/>
  <c r="E1355" i="163"/>
  <c r="AY1354" i="163"/>
  <c r="AX1354" i="163"/>
  <c r="AY1353" i="163"/>
  <c r="AX1353" i="163"/>
  <c r="AY1352" i="163"/>
  <c r="AX1352" i="163"/>
  <c r="AY1351" i="163"/>
  <c r="AX1351" i="163"/>
  <c r="AY1350" i="163"/>
  <c r="AX1350" i="163"/>
  <c r="AY1349" i="163"/>
  <c r="AX1349" i="163"/>
  <c r="AY1348" i="163"/>
  <c r="AX1348" i="163"/>
  <c r="AT1346" i="163"/>
  <c r="AP1346" i="163"/>
  <c r="AL1346" i="163"/>
  <c r="AH1346" i="163"/>
  <c r="AD1346" i="163"/>
  <c r="Z1346" i="163"/>
  <c r="V1346" i="163"/>
  <c r="Q1346" i="163"/>
  <c r="M1346" i="163"/>
  <c r="I1346" i="163"/>
  <c r="E1346" i="163"/>
  <c r="AY1345" i="163"/>
  <c r="AX1345" i="163"/>
  <c r="AY1344" i="163"/>
  <c r="AX1344" i="163"/>
  <c r="AY1343" i="163"/>
  <c r="AX1343" i="163"/>
  <c r="AY1342" i="163"/>
  <c r="AX1342" i="163"/>
  <c r="AY1341" i="163"/>
  <c r="AX1341" i="163"/>
  <c r="AY1340" i="163"/>
  <c r="AX1340" i="163"/>
  <c r="AY1339" i="163"/>
  <c r="AX1339" i="163"/>
  <c r="AT1337" i="163"/>
  <c r="AP1337" i="163"/>
  <c r="AL1337" i="163"/>
  <c r="AH1337" i="163"/>
  <c r="AD1337" i="163"/>
  <c r="Z1337" i="163"/>
  <c r="V1337" i="163"/>
  <c r="Q1337" i="163"/>
  <c r="M1337" i="163"/>
  <c r="I1337" i="163"/>
  <c r="E1337" i="163"/>
  <c r="AY1336" i="163"/>
  <c r="AX1336" i="163"/>
  <c r="AY1335" i="163"/>
  <c r="AX1335" i="163"/>
  <c r="AY1334" i="163"/>
  <c r="AX1334" i="163"/>
  <c r="AY1333" i="163"/>
  <c r="AX1333" i="163"/>
  <c r="AY1332" i="163"/>
  <c r="AX1332" i="163"/>
  <c r="AY1331" i="163"/>
  <c r="AX1331" i="163"/>
  <c r="AY1330" i="163"/>
  <c r="AX1330" i="163"/>
  <c r="AT1328" i="163"/>
  <c r="AP1328" i="163"/>
  <c r="AL1328" i="163"/>
  <c r="AH1328" i="163"/>
  <c r="AD1328" i="163"/>
  <c r="Z1328" i="163"/>
  <c r="V1328" i="163"/>
  <c r="Q1328" i="163"/>
  <c r="M1328" i="163"/>
  <c r="I1328" i="163"/>
  <c r="E1328" i="163"/>
  <c r="AY1328" i="163" s="1"/>
  <c r="AY1327" i="163"/>
  <c r="AX1327" i="163"/>
  <c r="AY1326" i="163"/>
  <c r="AX1326" i="163"/>
  <c r="AY1325" i="163"/>
  <c r="AX1325" i="163"/>
  <c r="AY1324" i="163"/>
  <c r="AX1324" i="163"/>
  <c r="AY1323" i="163"/>
  <c r="AX1323" i="163"/>
  <c r="AY1322" i="163"/>
  <c r="AX1322" i="163"/>
  <c r="AY1321" i="163"/>
  <c r="AX1321" i="163"/>
  <c r="AT1319" i="163"/>
  <c r="AP1319" i="163"/>
  <c r="AL1319" i="163"/>
  <c r="AH1319" i="163"/>
  <c r="AD1319" i="163"/>
  <c r="Z1319" i="163"/>
  <c r="V1319" i="163"/>
  <c r="Q1319" i="163"/>
  <c r="M1319" i="163"/>
  <c r="I1319" i="163"/>
  <c r="E1319" i="163"/>
  <c r="AY1318" i="163"/>
  <c r="AX1318" i="163"/>
  <c r="AY1317" i="163"/>
  <c r="AX1317" i="163"/>
  <c r="AY1316" i="163"/>
  <c r="AX1316" i="163"/>
  <c r="AY1315" i="163"/>
  <c r="AX1315" i="163"/>
  <c r="AY1314" i="163"/>
  <c r="AX1314" i="163"/>
  <c r="AY1313" i="163"/>
  <c r="AX1313" i="163"/>
  <c r="AY1312" i="163"/>
  <c r="AX1312" i="163"/>
  <c r="AT1310" i="163"/>
  <c r="AP1310" i="163"/>
  <c r="AL1310" i="163"/>
  <c r="AH1310" i="163"/>
  <c r="AD1310" i="163"/>
  <c r="Z1310" i="163"/>
  <c r="V1310" i="163"/>
  <c r="Q1310" i="163"/>
  <c r="M1310" i="163"/>
  <c r="I1310" i="163"/>
  <c r="E1310" i="163"/>
  <c r="AY1309" i="163"/>
  <c r="AX1309" i="163"/>
  <c r="AY1308" i="163"/>
  <c r="AX1308" i="163"/>
  <c r="AY1307" i="163"/>
  <c r="AX1307" i="163"/>
  <c r="AY1306" i="163"/>
  <c r="AX1306" i="163"/>
  <c r="AY1305" i="163"/>
  <c r="AX1305" i="163"/>
  <c r="AY1304" i="163"/>
  <c r="AX1304" i="163"/>
  <c r="AY1303" i="163"/>
  <c r="AX1303" i="163"/>
  <c r="AT1301" i="163"/>
  <c r="AP1301" i="163"/>
  <c r="AL1301" i="163"/>
  <c r="AH1301" i="163"/>
  <c r="AD1301" i="163"/>
  <c r="Z1301" i="163"/>
  <c r="V1301" i="163"/>
  <c r="Q1301" i="163"/>
  <c r="M1301" i="163"/>
  <c r="I1301" i="163"/>
  <c r="E1301" i="163"/>
  <c r="AY1300" i="163"/>
  <c r="AX1300" i="163"/>
  <c r="AY1299" i="163"/>
  <c r="AX1299" i="163"/>
  <c r="AY1298" i="163"/>
  <c r="AX1298" i="163"/>
  <c r="AY1297" i="163"/>
  <c r="AX1297" i="163"/>
  <c r="AY1296" i="163"/>
  <c r="AX1296" i="163"/>
  <c r="AY1295" i="163"/>
  <c r="AX1295" i="163"/>
  <c r="AY1294" i="163"/>
  <c r="AX1294" i="163"/>
  <c r="AT1292" i="163"/>
  <c r="AP1292" i="163"/>
  <c r="AL1292" i="163"/>
  <c r="AH1292" i="163"/>
  <c r="AD1292" i="163"/>
  <c r="Z1292" i="163"/>
  <c r="V1292" i="163"/>
  <c r="Q1292" i="163"/>
  <c r="M1292" i="163"/>
  <c r="I1292" i="163"/>
  <c r="E1292" i="163"/>
  <c r="AY1292" i="163" s="1"/>
  <c r="AY1291" i="163"/>
  <c r="AX1291" i="163"/>
  <c r="AY1290" i="163"/>
  <c r="AX1290" i="163"/>
  <c r="AY1289" i="163"/>
  <c r="AX1289" i="163"/>
  <c r="AY1288" i="163"/>
  <c r="AX1288" i="163"/>
  <c r="C1464" i="163"/>
  <c r="C1640" i="163" s="1"/>
  <c r="C1816" i="163" s="1"/>
  <c r="AY1287" i="163"/>
  <c r="AX1287" i="163"/>
  <c r="C1463" i="163"/>
  <c r="C1639" i="163" s="1"/>
  <c r="C1815" i="163" s="1"/>
  <c r="AY1286" i="163"/>
  <c r="AX1286" i="163"/>
  <c r="C1462" i="163"/>
  <c r="C1638" i="163" s="1"/>
  <c r="C1814" i="163" s="1"/>
  <c r="AY1285" i="163"/>
  <c r="AX1285" i="163"/>
  <c r="C1461" i="163"/>
  <c r="C1637" i="163" s="1"/>
  <c r="C1813" i="163" s="1"/>
  <c r="AT1283" i="163"/>
  <c r="AP1283" i="163"/>
  <c r="AL1283" i="163"/>
  <c r="AH1283" i="163"/>
  <c r="AD1283" i="163"/>
  <c r="Z1283" i="163"/>
  <c r="V1283" i="163"/>
  <c r="Q1283" i="163"/>
  <c r="M1283" i="163"/>
  <c r="I1283" i="163"/>
  <c r="E1283" i="163"/>
  <c r="AY1282" i="163"/>
  <c r="AX1282" i="163"/>
  <c r="AY1281" i="163"/>
  <c r="AX1281" i="163"/>
  <c r="AY1280" i="163"/>
  <c r="AX1280" i="163"/>
  <c r="AY1279" i="163"/>
  <c r="AX1279" i="163"/>
  <c r="AY1278" i="163"/>
  <c r="AX1278" i="163"/>
  <c r="AY1277" i="163"/>
  <c r="AX1277" i="163"/>
  <c r="AY1276" i="163"/>
  <c r="AX1276" i="163"/>
  <c r="AT1274" i="163"/>
  <c r="AP1274" i="163"/>
  <c r="AL1274" i="163"/>
  <c r="AH1274" i="163"/>
  <c r="AD1274" i="163"/>
  <c r="Z1274" i="163"/>
  <c r="V1274" i="163"/>
  <c r="Q1274" i="163"/>
  <c r="M1274" i="163"/>
  <c r="I1274" i="163"/>
  <c r="E1274" i="163"/>
  <c r="AY1273" i="163"/>
  <c r="AX1273" i="163"/>
  <c r="AY1272" i="163"/>
  <c r="AX1272" i="163"/>
  <c r="AY1271" i="163"/>
  <c r="AX1271" i="163"/>
  <c r="AY1270" i="163"/>
  <c r="AX1270" i="163"/>
  <c r="AY1269" i="163"/>
  <c r="AX1269" i="163"/>
  <c r="AX1274" i="163" s="1"/>
  <c r="AT1267" i="163"/>
  <c r="AP1267" i="163"/>
  <c r="AL1267" i="163"/>
  <c r="AH1267" i="163"/>
  <c r="AD1267" i="163"/>
  <c r="Z1267" i="163"/>
  <c r="V1267" i="163"/>
  <c r="Q1267" i="163"/>
  <c r="M1267" i="163"/>
  <c r="I1267" i="163"/>
  <c r="E1267" i="163"/>
  <c r="AY1266" i="163"/>
  <c r="AX1266" i="163"/>
  <c r="AY1265" i="163"/>
  <c r="AX1265" i="163"/>
  <c r="AY1264" i="163"/>
  <c r="AX1264" i="163"/>
  <c r="AY1263" i="163"/>
  <c r="AX1263" i="163"/>
  <c r="AY1262" i="163"/>
  <c r="AX1262" i="163"/>
  <c r="AT1260" i="163"/>
  <c r="AP1260" i="163"/>
  <c r="AL1260" i="163"/>
  <c r="AH1260" i="163"/>
  <c r="AD1260" i="163"/>
  <c r="Z1260" i="163"/>
  <c r="V1260" i="163"/>
  <c r="Q1260" i="163"/>
  <c r="M1260" i="163"/>
  <c r="I1260" i="163"/>
  <c r="E1260" i="163"/>
  <c r="AY1259" i="163"/>
  <c r="AX1259" i="163"/>
  <c r="AY1258" i="163"/>
  <c r="AX1258" i="163"/>
  <c r="AY1257" i="163"/>
  <c r="AX1257" i="163"/>
  <c r="AY1256" i="163"/>
  <c r="AX1256" i="163"/>
  <c r="AY1255" i="163"/>
  <c r="AX1255" i="163"/>
  <c r="AT1253" i="163"/>
  <c r="AP1253" i="163"/>
  <c r="AL1253" i="163"/>
  <c r="AH1253" i="163"/>
  <c r="AD1253" i="163"/>
  <c r="Z1253" i="163"/>
  <c r="V1253" i="163"/>
  <c r="Q1253" i="163"/>
  <c r="M1253" i="163"/>
  <c r="I1253" i="163"/>
  <c r="E1253" i="163"/>
  <c r="AY1252" i="163"/>
  <c r="AX1252" i="163"/>
  <c r="AY1251" i="163"/>
  <c r="AX1251" i="163"/>
  <c r="AY1250" i="163"/>
  <c r="AX1250" i="163"/>
  <c r="AY1249" i="163"/>
  <c r="AX1249" i="163"/>
  <c r="AY1248" i="163"/>
  <c r="AX1248" i="163"/>
  <c r="AT1246" i="163"/>
  <c r="AP1246" i="163"/>
  <c r="AL1246" i="163"/>
  <c r="AH1246" i="163"/>
  <c r="AD1246" i="163"/>
  <c r="Z1246" i="163"/>
  <c r="V1246" i="163"/>
  <c r="Q1246" i="163"/>
  <c r="M1246" i="163"/>
  <c r="I1246" i="163"/>
  <c r="E1246" i="163"/>
  <c r="AY1245" i="163"/>
  <c r="AX1245" i="163"/>
  <c r="AY1244" i="163"/>
  <c r="AX1244" i="163"/>
  <c r="AY1243" i="163"/>
  <c r="AX1243" i="163"/>
  <c r="AY1242" i="163"/>
  <c r="AX1242" i="163"/>
  <c r="AY1241" i="163"/>
  <c r="AX1241" i="163"/>
  <c r="A1241" i="163"/>
  <c r="A1242" i="163" s="1"/>
  <c r="A1243" i="163" s="1"/>
  <c r="A1244" i="163" s="1"/>
  <c r="A1245" i="163" s="1"/>
  <c r="A1246" i="163" s="1"/>
  <c r="A1240" i="163"/>
  <c r="A1261" i="163" s="1"/>
  <c r="A1269" i="163" s="1"/>
  <c r="A1270" i="163" s="1"/>
  <c r="A1271" i="163" s="1"/>
  <c r="A1272" i="163" s="1"/>
  <c r="A1273" i="163" s="1"/>
  <c r="A1274" i="163" s="1"/>
  <c r="AX1267" i="163" l="1"/>
  <c r="AY1355" i="163"/>
  <c r="AX1337" i="163"/>
  <c r="AY1373" i="163"/>
  <c r="AY1346" i="163"/>
  <c r="AX1301" i="163"/>
  <c r="AX1283" i="163"/>
  <c r="AY1283" i="163"/>
  <c r="AY1319" i="163"/>
  <c r="A1628" i="163"/>
  <c r="A1629" i="163" s="1"/>
  <c r="A1636" i="163"/>
  <c r="A1813" i="163"/>
  <c r="A1814" i="163" s="1"/>
  <c r="A1821" i="163"/>
  <c r="A1822" i="163" s="1"/>
  <c r="A1823" i="163" s="1"/>
  <c r="A1808" i="163"/>
  <c r="A1809" i="163" s="1"/>
  <c r="A1810" i="163" s="1"/>
  <c r="A1811" i="163" s="1"/>
  <c r="A1806" i="163"/>
  <c r="A1807" i="163" s="1"/>
  <c r="AY1267" i="163"/>
  <c r="AX1409" i="163"/>
  <c r="AY1260" i="163"/>
  <c r="AY1246" i="163"/>
  <c r="AX1292" i="163"/>
  <c r="AX1260" i="163"/>
  <c r="AX1391" i="163"/>
  <c r="AX1373" i="163"/>
  <c r="AX1382" i="163"/>
  <c r="AY1409" i="163"/>
  <c r="AX1328" i="163"/>
  <c r="AX1364" i="163"/>
  <c r="AY1364" i="163"/>
  <c r="AY1382" i="163"/>
  <c r="AX1400" i="163"/>
  <c r="AX1346" i="163"/>
  <c r="AX1355" i="163"/>
  <c r="AY1391" i="163"/>
  <c r="A1460" i="163"/>
  <c r="A1452" i="163"/>
  <c r="A1453" i="163" s="1"/>
  <c r="A1247" i="163"/>
  <c r="A1248" i="163"/>
  <c r="A1249" i="163" s="1"/>
  <c r="A1250" i="163" s="1"/>
  <c r="A1251" i="163" s="1"/>
  <c r="A1252" i="163" s="1"/>
  <c r="A1253" i="163" s="1"/>
  <c r="A1254" i="163"/>
  <c r="A1262" i="163" s="1"/>
  <c r="A1263" i="163" s="1"/>
  <c r="A1264" i="163" s="1"/>
  <c r="A1265" i="163" s="1"/>
  <c r="A1266" i="163" s="1"/>
  <c r="A1267" i="163" s="1"/>
  <c r="AX1246" i="163"/>
  <c r="AX1253" i="163"/>
  <c r="AY1253" i="163"/>
  <c r="AY1274" i="163"/>
  <c r="AY1337" i="163"/>
  <c r="AY1301" i="163"/>
  <c r="AY1310" i="163"/>
  <c r="AX1310" i="163"/>
  <c r="AX1319" i="163"/>
  <c r="AY1400" i="163"/>
  <c r="A1826" i="163" l="1"/>
  <c r="A1827" i="163" s="1"/>
  <c r="A1828" i="163" s="1"/>
  <c r="A1829" i="163" s="1"/>
  <c r="A1824" i="163"/>
  <c r="A1825" i="163" s="1"/>
  <c r="A1637" i="163"/>
  <c r="A1638" i="163" s="1"/>
  <c r="A1645" i="163"/>
  <c r="A1646" i="163" s="1"/>
  <c r="A1647" i="163" s="1"/>
  <c r="A1817" i="163"/>
  <c r="A1818" i="163" s="1"/>
  <c r="A1819" i="163" s="1"/>
  <c r="A1820" i="163" s="1"/>
  <c r="A1815" i="163"/>
  <c r="A1816" i="163" s="1"/>
  <c r="A1632" i="163"/>
  <c r="A1633" i="163" s="1"/>
  <c r="A1634" i="163" s="1"/>
  <c r="A1635" i="163" s="1"/>
  <c r="A1630" i="163"/>
  <c r="A1631" i="163" s="1"/>
  <c r="A1268" i="163"/>
  <c r="A1275" i="163" s="1"/>
  <c r="A1276" i="163" s="1"/>
  <c r="A1277" i="163" s="1"/>
  <c r="A1255" i="163"/>
  <c r="A1256" i="163" s="1"/>
  <c r="A1257" i="163" s="1"/>
  <c r="A1258" i="163" s="1"/>
  <c r="A1259" i="163" s="1"/>
  <c r="A1260" i="163" s="1"/>
  <c r="A1456" i="163"/>
  <c r="A1457" i="163" s="1"/>
  <c r="A1458" i="163" s="1"/>
  <c r="A1459" i="163" s="1"/>
  <c r="A1454" i="163"/>
  <c r="A1455" i="163" s="1"/>
  <c r="A1469" i="163"/>
  <c r="A1470" i="163" s="1"/>
  <c r="A1471" i="163" s="1"/>
  <c r="A1461" i="163"/>
  <c r="A1462" i="163" s="1"/>
  <c r="A1284" i="163"/>
  <c r="AT1233" i="163"/>
  <c r="AP1233" i="163"/>
  <c r="AL1233" i="163"/>
  <c r="AH1233" i="163"/>
  <c r="AD1233" i="163"/>
  <c r="Z1233" i="163"/>
  <c r="V1233" i="163"/>
  <c r="Q1233" i="163"/>
  <c r="M1233" i="163"/>
  <c r="I1233" i="163"/>
  <c r="E1233" i="163"/>
  <c r="AY1232" i="163"/>
  <c r="AX1232" i="163"/>
  <c r="AY1231" i="163"/>
  <c r="AX1231" i="163"/>
  <c r="AY1230" i="163"/>
  <c r="AX1230" i="163"/>
  <c r="AY1229" i="163"/>
  <c r="AX1229" i="163"/>
  <c r="AY1228" i="163"/>
  <c r="AX1228" i="163"/>
  <c r="AY1227" i="163"/>
  <c r="AX1227" i="163"/>
  <c r="AY1226" i="163"/>
  <c r="AX1226" i="163"/>
  <c r="AT1224" i="163"/>
  <c r="AP1224" i="163"/>
  <c r="AL1224" i="163"/>
  <c r="AH1224" i="163"/>
  <c r="AD1224" i="163"/>
  <c r="Z1224" i="163"/>
  <c r="V1224" i="163"/>
  <c r="Q1224" i="163"/>
  <c r="M1224" i="163"/>
  <c r="I1224" i="163"/>
  <c r="E1224" i="163"/>
  <c r="AY1223" i="163"/>
  <c r="AX1223" i="163"/>
  <c r="AY1222" i="163"/>
  <c r="AX1222" i="163"/>
  <c r="AY1221" i="163"/>
  <c r="AX1221" i="163"/>
  <c r="AY1220" i="163"/>
  <c r="AX1220" i="163"/>
  <c r="AY1219" i="163"/>
  <c r="AX1219" i="163"/>
  <c r="AY1218" i="163"/>
  <c r="AX1218" i="163"/>
  <c r="AY1217" i="163"/>
  <c r="AX1217" i="163"/>
  <c r="AT1215" i="163"/>
  <c r="AP1215" i="163"/>
  <c r="AL1215" i="163"/>
  <c r="AH1215" i="163"/>
  <c r="AD1215" i="163"/>
  <c r="Z1215" i="163"/>
  <c r="V1215" i="163"/>
  <c r="Q1215" i="163"/>
  <c r="M1215" i="163"/>
  <c r="I1215" i="163"/>
  <c r="E1215" i="163"/>
  <c r="AY1214" i="163"/>
  <c r="AX1214" i="163"/>
  <c r="AY1213" i="163"/>
  <c r="AX1213" i="163"/>
  <c r="AY1212" i="163"/>
  <c r="AX1212" i="163"/>
  <c r="AY1211" i="163"/>
  <c r="AX1211" i="163"/>
  <c r="AY1210" i="163"/>
  <c r="AX1210" i="163"/>
  <c r="BG1209" i="163"/>
  <c r="AY1209" i="163"/>
  <c r="AX1209" i="163"/>
  <c r="AY1208" i="163"/>
  <c r="AX1208" i="163"/>
  <c r="AT1206" i="163"/>
  <c r="AP1206" i="163"/>
  <c r="AL1206" i="163"/>
  <c r="AH1206" i="163"/>
  <c r="AD1206" i="163"/>
  <c r="Z1206" i="163"/>
  <c r="V1206" i="163"/>
  <c r="Q1206" i="163"/>
  <c r="M1206" i="163"/>
  <c r="I1206" i="163"/>
  <c r="E1206" i="163"/>
  <c r="AY1205" i="163"/>
  <c r="AX1205" i="163"/>
  <c r="AY1204" i="163"/>
  <c r="AX1204" i="163"/>
  <c r="AY1203" i="163"/>
  <c r="AX1203" i="163"/>
  <c r="AY1202" i="163"/>
  <c r="AX1202" i="163"/>
  <c r="AY1201" i="163"/>
  <c r="AX1201" i="163"/>
  <c r="AY1200" i="163"/>
  <c r="AX1200" i="163"/>
  <c r="AY1199" i="163"/>
  <c r="AX1199" i="163"/>
  <c r="AT1197" i="163"/>
  <c r="AP1197" i="163"/>
  <c r="AL1197" i="163"/>
  <c r="AH1197" i="163"/>
  <c r="AD1197" i="163"/>
  <c r="Z1197" i="163"/>
  <c r="V1197" i="163"/>
  <c r="Q1197" i="163"/>
  <c r="M1197" i="163"/>
  <c r="I1197" i="163"/>
  <c r="E1197" i="163"/>
  <c r="AY1196" i="163"/>
  <c r="AX1196" i="163"/>
  <c r="AY1195" i="163"/>
  <c r="AX1195" i="163"/>
  <c r="AY1194" i="163"/>
  <c r="AX1194" i="163"/>
  <c r="AY1193" i="163"/>
  <c r="AX1193" i="163"/>
  <c r="AY1192" i="163"/>
  <c r="AX1192" i="163"/>
  <c r="AY1191" i="163"/>
  <c r="AX1191" i="163"/>
  <c r="AY1190" i="163"/>
  <c r="AX1190" i="163"/>
  <c r="AT1188" i="163"/>
  <c r="AP1188" i="163"/>
  <c r="AL1188" i="163"/>
  <c r="AH1188" i="163"/>
  <c r="AD1188" i="163"/>
  <c r="Z1188" i="163"/>
  <c r="V1188" i="163"/>
  <c r="Q1188" i="163"/>
  <c r="M1188" i="163"/>
  <c r="I1188" i="163"/>
  <c r="E1188" i="163"/>
  <c r="AY1187" i="163"/>
  <c r="AX1187" i="163"/>
  <c r="AY1186" i="163"/>
  <c r="AX1186" i="163"/>
  <c r="AY1185" i="163"/>
  <c r="AX1185" i="163"/>
  <c r="AY1184" i="163"/>
  <c r="AX1184" i="163"/>
  <c r="AY1183" i="163"/>
  <c r="AX1183" i="163"/>
  <c r="AY1182" i="163"/>
  <c r="AX1182" i="163"/>
  <c r="AY1181" i="163"/>
  <c r="AX1181" i="163"/>
  <c r="AT1179" i="163"/>
  <c r="AP1179" i="163"/>
  <c r="AL1179" i="163"/>
  <c r="AH1179" i="163"/>
  <c r="AD1179" i="163"/>
  <c r="Z1179" i="163"/>
  <c r="V1179" i="163"/>
  <c r="Q1179" i="163"/>
  <c r="M1179" i="163"/>
  <c r="I1179" i="163"/>
  <c r="E1179" i="163"/>
  <c r="AY1178" i="163"/>
  <c r="AX1178" i="163"/>
  <c r="AY1177" i="163"/>
  <c r="AX1177" i="163"/>
  <c r="AY1176" i="163"/>
  <c r="AX1176" i="163"/>
  <c r="AY1175" i="163"/>
  <c r="AX1175" i="163"/>
  <c r="AY1174" i="163"/>
  <c r="AX1174" i="163"/>
  <c r="AY1173" i="163"/>
  <c r="AX1173" i="163"/>
  <c r="AY1172" i="163"/>
  <c r="AX1172" i="163"/>
  <c r="AT1170" i="163"/>
  <c r="AP1170" i="163"/>
  <c r="AL1170" i="163"/>
  <c r="AH1170" i="163"/>
  <c r="AD1170" i="163"/>
  <c r="Z1170" i="163"/>
  <c r="V1170" i="163"/>
  <c r="Q1170" i="163"/>
  <c r="M1170" i="163"/>
  <c r="I1170" i="163"/>
  <c r="E1170" i="163"/>
  <c r="AY1169" i="163"/>
  <c r="AX1169" i="163"/>
  <c r="AY1168" i="163"/>
  <c r="AX1168" i="163"/>
  <c r="AY1167" i="163"/>
  <c r="AX1167" i="163"/>
  <c r="AY1166" i="163"/>
  <c r="AX1166" i="163"/>
  <c r="AY1165" i="163"/>
  <c r="AX1165" i="163"/>
  <c r="AY1164" i="163"/>
  <c r="AX1164" i="163"/>
  <c r="AY1163" i="163"/>
  <c r="AX1163" i="163"/>
  <c r="AT1161" i="163"/>
  <c r="AP1161" i="163"/>
  <c r="AL1161" i="163"/>
  <c r="AH1161" i="163"/>
  <c r="AD1161" i="163"/>
  <c r="Z1161" i="163"/>
  <c r="V1161" i="163"/>
  <c r="Q1161" i="163"/>
  <c r="M1161" i="163"/>
  <c r="I1161" i="163"/>
  <c r="E1161" i="163"/>
  <c r="AY1160" i="163"/>
  <c r="AX1160" i="163"/>
  <c r="AY1159" i="163"/>
  <c r="AX1159" i="163"/>
  <c r="AY1158" i="163"/>
  <c r="AX1158" i="163"/>
  <c r="AY1157" i="163"/>
  <c r="AX1157" i="163"/>
  <c r="AY1156" i="163"/>
  <c r="AX1156" i="163"/>
  <c r="AY1155" i="163"/>
  <c r="AX1155" i="163"/>
  <c r="AY1154" i="163"/>
  <c r="AX1154" i="163"/>
  <c r="AT1152" i="163"/>
  <c r="AP1152" i="163"/>
  <c r="AL1152" i="163"/>
  <c r="AH1152" i="163"/>
  <c r="AD1152" i="163"/>
  <c r="Z1152" i="163"/>
  <c r="V1152" i="163"/>
  <c r="Q1152" i="163"/>
  <c r="M1152" i="163"/>
  <c r="I1152" i="163"/>
  <c r="E1152" i="163"/>
  <c r="AY1151" i="163"/>
  <c r="AX1151" i="163"/>
  <c r="AY1150" i="163"/>
  <c r="AX1150" i="163"/>
  <c r="AY1149" i="163"/>
  <c r="AX1149" i="163"/>
  <c r="AY1148" i="163"/>
  <c r="AX1148" i="163"/>
  <c r="AY1147" i="163"/>
  <c r="AX1147" i="163"/>
  <c r="AY1146" i="163"/>
  <c r="AX1146" i="163"/>
  <c r="AY1145" i="163"/>
  <c r="AX1145" i="163"/>
  <c r="AT1143" i="163"/>
  <c r="AP1143" i="163"/>
  <c r="AL1143" i="163"/>
  <c r="AH1143" i="163"/>
  <c r="AD1143" i="163"/>
  <c r="Z1143" i="163"/>
  <c r="V1143" i="163"/>
  <c r="Q1143" i="163"/>
  <c r="M1143" i="163"/>
  <c r="I1143" i="163"/>
  <c r="E1143" i="163"/>
  <c r="AY1142" i="163"/>
  <c r="AX1142" i="163"/>
  <c r="AY1141" i="163"/>
  <c r="AX1141" i="163"/>
  <c r="AY1140" i="163"/>
  <c r="AX1140" i="163"/>
  <c r="AY1139" i="163"/>
  <c r="AX1139" i="163"/>
  <c r="AY1138" i="163"/>
  <c r="AX1138" i="163"/>
  <c r="AY1137" i="163"/>
  <c r="AX1137" i="163"/>
  <c r="AY1136" i="163"/>
  <c r="AX1136" i="163"/>
  <c r="AT1134" i="163"/>
  <c r="AP1134" i="163"/>
  <c r="AL1134" i="163"/>
  <c r="AH1134" i="163"/>
  <c r="AD1134" i="163"/>
  <c r="Z1134" i="163"/>
  <c r="V1134" i="163"/>
  <c r="Q1134" i="163"/>
  <c r="M1134" i="163"/>
  <c r="I1134" i="163"/>
  <c r="E1134" i="163"/>
  <c r="AY1133" i="163"/>
  <c r="AX1133" i="163"/>
  <c r="AY1132" i="163"/>
  <c r="AX1132" i="163"/>
  <c r="AY1131" i="163"/>
  <c r="AX1131" i="163"/>
  <c r="AY1130" i="163"/>
  <c r="AX1130" i="163"/>
  <c r="AY1129" i="163"/>
  <c r="AX1129" i="163"/>
  <c r="AY1128" i="163"/>
  <c r="AX1128" i="163"/>
  <c r="AY1127" i="163"/>
  <c r="AX1127" i="163"/>
  <c r="AT1125" i="163"/>
  <c r="AP1125" i="163"/>
  <c r="AL1125" i="163"/>
  <c r="AH1125" i="163"/>
  <c r="AD1125" i="163"/>
  <c r="Z1125" i="163"/>
  <c r="V1125" i="163"/>
  <c r="Q1125" i="163"/>
  <c r="M1125" i="163"/>
  <c r="I1125" i="163"/>
  <c r="E1125" i="163"/>
  <c r="AY1124" i="163"/>
  <c r="AX1124" i="163"/>
  <c r="AY1123" i="163"/>
  <c r="AX1123" i="163"/>
  <c r="AY1122" i="163"/>
  <c r="AX1122" i="163"/>
  <c r="AY1121" i="163"/>
  <c r="AX1121" i="163"/>
  <c r="AY1120" i="163"/>
  <c r="AX1120" i="163"/>
  <c r="AY1119" i="163"/>
  <c r="AX1119" i="163"/>
  <c r="AY1118" i="163"/>
  <c r="AX1118" i="163"/>
  <c r="AT1116" i="163"/>
  <c r="AP1116" i="163"/>
  <c r="AL1116" i="163"/>
  <c r="AH1116" i="163"/>
  <c r="AD1116" i="163"/>
  <c r="Z1116" i="163"/>
  <c r="V1116" i="163"/>
  <c r="Q1116" i="163"/>
  <c r="M1116" i="163"/>
  <c r="I1116" i="163"/>
  <c r="E1116" i="163"/>
  <c r="AY1115" i="163"/>
  <c r="AX1115" i="163"/>
  <c r="AY1114" i="163"/>
  <c r="AX1114" i="163"/>
  <c r="AY1113" i="163"/>
  <c r="AX1113" i="163"/>
  <c r="AY1112" i="163"/>
  <c r="AX1112" i="163"/>
  <c r="AY1111" i="163"/>
  <c r="AX1111" i="163"/>
  <c r="AY1110" i="163"/>
  <c r="AX1110" i="163"/>
  <c r="AY1109" i="163"/>
  <c r="AX1109" i="163"/>
  <c r="AT1107" i="163"/>
  <c r="AP1107" i="163"/>
  <c r="AL1107" i="163"/>
  <c r="AH1107" i="163"/>
  <c r="AD1107" i="163"/>
  <c r="Z1107" i="163"/>
  <c r="V1107" i="163"/>
  <c r="Q1107" i="163"/>
  <c r="M1107" i="163"/>
  <c r="I1107" i="163"/>
  <c r="E1107" i="163"/>
  <c r="AY1106" i="163"/>
  <c r="AX1106" i="163"/>
  <c r="AY1105" i="163"/>
  <c r="AX1105" i="163"/>
  <c r="AY1104" i="163"/>
  <c r="AX1104" i="163"/>
  <c r="AY1103" i="163"/>
  <c r="AX1103" i="163"/>
  <c r="AY1102" i="163"/>
  <c r="AX1102" i="163"/>
  <c r="AY1101" i="163"/>
  <c r="AX1101" i="163"/>
  <c r="AY1100" i="163"/>
  <c r="AX1100" i="163"/>
  <c r="AT1098" i="163"/>
  <c r="AP1098" i="163"/>
  <c r="AL1098" i="163"/>
  <c r="AH1098" i="163"/>
  <c r="AD1098" i="163"/>
  <c r="Z1098" i="163"/>
  <c r="V1098" i="163"/>
  <c r="Q1098" i="163"/>
  <c r="M1098" i="163"/>
  <c r="I1098" i="163"/>
  <c r="E1098" i="163"/>
  <c r="AY1097" i="163"/>
  <c r="AX1097" i="163"/>
  <c r="AY1096" i="163"/>
  <c r="AX1096" i="163"/>
  <c r="AY1095" i="163"/>
  <c r="AX1095" i="163"/>
  <c r="AY1094" i="163"/>
  <c r="AX1094" i="163"/>
  <c r="AY1093" i="163"/>
  <c r="AX1093" i="163"/>
  <c r="AT1091" i="163"/>
  <c r="AP1091" i="163"/>
  <c r="AL1091" i="163"/>
  <c r="AH1091" i="163"/>
  <c r="AD1091" i="163"/>
  <c r="Z1091" i="163"/>
  <c r="V1091" i="163"/>
  <c r="Q1091" i="163"/>
  <c r="M1091" i="163"/>
  <c r="I1091" i="163"/>
  <c r="E1091" i="163"/>
  <c r="AY1090" i="163"/>
  <c r="AX1090" i="163"/>
  <c r="AY1089" i="163"/>
  <c r="AX1089" i="163"/>
  <c r="AY1088" i="163"/>
  <c r="AX1088" i="163"/>
  <c r="AY1087" i="163"/>
  <c r="AX1087" i="163"/>
  <c r="AY1086" i="163"/>
  <c r="AX1086" i="163"/>
  <c r="AT1084" i="163"/>
  <c r="AP1084" i="163"/>
  <c r="AL1084" i="163"/>
  <c r="AH1084" i="163"/>
  <c r="AD1084" i="163"/>
  <c r="Z1084" i="163"/>
  <c r="V1084" i="163"/>
  <c r="Q1084" i="163"/>
  <c r="M1084" i="163"/>
  <c r="I1084" i="163"/>
  <c r="E1084" i="163"/>
  <c r="AY1083" i="163"/>
  <c r="AX1083" i="163"/>
  <c r="AY1082" i="163"/>
  <c r="AX1082" i="163"/>
  <c r="AY1081" i="163"/>
  <c r="AX1081" i="163"/>
  <c r="AY1080" i="163"/>
  <c r="AX1080" i="163"/>
  <c r="AY1079" i="163"/>
  <c r="AX1079" i="163"/>
  <c r="AT1077" i="163"/>
  <c r="AP1077" i="163"/>
  <c r="AL1077" i="163"/>
  <c r="AH1077" i="163"/>
  <c r="AD1077" i="163"/>
  <c r="Z1077" i="163"/>
  <c r="V1077" i="163"/>
  <c r="Q1077" i="163"/>
  <c r="M1077" i="163"/>
  <c r="I1077" i="163"/>
  <c r="E1077" i="163"/>
  <c r="AY1076" i="163"/>
  <c r="AX1076" i="163"/>
  <c r="AY1075" i="163"/>
  <c r="AX1075" i="163"/>
  <c r="AY1074" i="163"/>
  <c r="AX1074" i="163"/>
  <c r="AY1073" i="163"/>
  <c r="AX1073" i="163"/>
  <c r="AY1072" i="163"/>
  <c r="AX1072" i="163"/>
  <c r="AT1070" i="163"/>
  <c r="AP1070" i="163"/>
  <c r="AL1070" i="163"/>
  <c r="AH1070" i="163"/>
  <c r="AD1070" i="163"/>
  <c r="Z1070" i="163"/>
  <c r="V1070" i="163"/>
  <c r="Q1070" i="163"/>
  <c r="M1070" i="163"/>
  <c r="I1070" i="163"/>
  <c r="E1070" i="163"/>
  <c r="AY1069" i="163"/>
  <c r="AX1069" i="163"/>
  <c r="AY1068" i="163"/>
  <c r="AX1068" i="163"/>
  <c r="AY1067" i="163"/>
  <c r="AX1067" i="163"/>
  <c r="AY1066" i="163"/>
  <c r="AX1066" i="163"/>
  <c r="AY1065" i="163"/>
  <c r="AX1065" i="163"/>
  <c r="A1064" i="163"/>
  <c r="A1641" i="163" l="1"/>
  <c r="A1642" i="163" s="1"/>
  <c r="A1643" i="163" s="1"/>
  <c r="A1644" i="163" s="1"/>
  <c r="A1639" i="163"/>
  <c r="A1640" i="163" s="1"/>
  <c r="A1839" i="163"/>
  <c r="A1830" i="163"/>
  <c r="A1831" i="163" s="1"/>
  <c r="A1832" i="163" s="1"/>
  <c r="A1648" i="163"/>
  <c r="A1649" i="163" s="1"/>
  <c r="A1650" i="163"/>
  <c r="A1651" i="163" s="1"/>
  <c r="A1652" i="163" s="1"/>
  <c r="A1653" i="163" s="1"/>
  <c r="A1472" i="163"/>
  <c r="A1473" i="163" s="1"/>
  <c r="A1474" i="163"/>
  <c r="A1475" i="163" s="1"/>
  <c r="A1476" i="163" s="1"/>
  <c r="A1477" i="163" s="1"/>
  <c r="A1463" i="163"/>
  <c r="A1464" i="163" s="1"/>
  <c r="A1465" i="163"/>
  <c r="A1466" i="163" s="1"/>
  <c r="A1467" i="163" s="1"/>
  <c r="A1468" i="163" s="1"/>
  <c r="A1280" i="163"/>
  <c r="A1281" i="163" s="1"/>
  <c r="A1282" i="163" s="1"/>
  <c r="A1283" i="163" s="1"/>
  <c r="A1278" i="163"/>
  <c r="A1279" i="163" s="1"/>
  <c r="A1293" i="163"/>
  <c r="A1294" i="163" s="1"/>
  <c r="A1295" i="163" s="1"/>
  <c r="A1285" i="163"/>
  <c r="A1286" i="163" s="1"/>
  <c r="AX1070" i="163"/>
  <c r="AY1070" i="163"/>
  <c r="AY1077" i="163"/>
  <c r="AY1107" i="163"/>
  <c r="AX1161" i="163"/>
  <c r="AY1116" i="163"/>
  <c r="AX1077" i="163"/>
  <c r="AX1084" i="163"/>
  <c r="AY1098" i="163"/>
  <c r="AX1107" i="163"/>
  <c r="AX1116" i="163"/>
  <c r="AY1084" i="163"/>
  <c r="AY1091" i="163"/>
  <c r="AY1143" i="163"/>
  <c r="AY1170" i="163"/>
  <c r="AX1179" i="163"/>
  <c r="AX1224" i="163"/>
  <c r="AX1233" i="163"/>
  <c r="AX1098" i="163"/>
  <c r="AX1134" i="163"/>
  <c r="AY1134" i="163"/>
  <c r="AY1197" i="163"/>
  <c r="AX1206" i="163"/>
  <c r="AX1215" i="163"/>
  <c r="AY1224" i="163"/>
  <c r="AX1091" i="163"/>
  <c r="A1071" i="163"/>
  <c r="A1078" i="163"/>
  <c r="A1072" i="163"/>
  <c r="A1073" i="163" s="1"/>
  <c r="A1074" i="163" s="1"/>
  <c r="A1075" i="163" s="1"/>
  <c r="A1076" i="163" s="1"/>
  <c r="A1077" i="163" s="1"/>
  <c r="A1085" i="163"/>
  <c r="A1093" i="163" s="1"/>
  <c r="A1094" i="163" s="1"/>
  <c r="A1095" i="163" s="1"/>
  <c r="A1096" i="163" s="1"/>
  <c r="A1097" i="163" s="1"/>
  <c r="A1098" i="163" s="1"/>
  <c r="A1065" i="163"/>
  <c r="A1066" i="163" s="1"/>
  <c r="A1067" i="163" s="1"/>
  <c r="A1068" i="163" s="1"/>
  <c r="A1069" i="163" s="1"/>
  <c r="A1070" i="163" s="1"/>
  <c r="AX1152" i="163"/>
  <c r="AX1170" i="163"/>
  <c r="AX1125" i="163"/>
  <c r="AY1125" i="163"/>
  <c r="AX1143" i="163"/>
  <c r="AY1161" i="163"/>
  <c r="AY1152" i="163"/>
  <c r="AX1188" i="163"/>
  <c r="AY1233" i="163"/>
  <c r="AY1179" i="163"/>
  <c r="AY1206" i="163"/>
  <c r="AY1215" i="163"/>
  <c r="AY1188" i="163"/>
  <c r="AX1197" i="163"/>
  <c r="AT1057" i="163"/>
  <c r="AP1057" i="163"/>
  <c r="AL1057" i="163"/>
  <c r="AH1057" i="163"/>
  <c r="AD1057" i="163"/>
  <c r="Z1057" i="163"/>
  <c r="V1057" i="163"/>
  <c r="Q1057" i="163"/>
  <c r="M1057" i="163"/>
  <c r="I1057" i="163"/>
  <c r="E1057" i="163"/>
  <c r="AY1056" i="163"/>
  <c r="AX1056" i="163"/>
  <c r="AY1055" i="163"/>
  <c r="AX1055" i="163"/>
  <c r="AY1054" i="163"/>
  <c r="AX1054" i="163"/>
  <c r="AY1053" i="163"/>
  <c r="AX1053" i="163"/>
  <c r="AY1052" i="163"/>
  <c r="AX1052" i="163"/>
  <c r="AY1051" i="163"/>
  <c r="AX1051" i="163"/>
  <c r="AY1050" i="163"/>
  <c r="AX1050" i="163"/>
  <c r="AT1048" i="163"/>
  <c r="AP1048" i="163"/>
  <c r="AL1048" i="163"/>
  <c r="AH1048" i="163"/>
  <c r="AD1048" i="163"/>
  <c r="Z1048" i="163"/>
  <c r="V1048" i="163"/>
  <c r="Q1048" i="163"/>
  <c r="M1048" i="163"/>
  <c r="I1048" i="163"/>
  <c r="E1048" i="163"/>
  <c r="AY1047" i="163"/>
  <c r="AX1047" i="163"/>
  <c r="AY1046" i="163"/>
  <c r="AX1046" i="163"/>
  <c r="AY1045" i="163"/>
  <c r="AX1045" i="163"/>
  <c r="AY1044" i="163"/>
  <c r="AX1044" i="163"/>
  <c r="AY1043" i="163"/>
  <c r="AX1043" i="163"/>
  <c r="AY1042" i="163"/>
  <c r="AX1042" i="163"/>
  <c r="AY1041" i="163"/>
  <c r="AX1041" i="163"/>
  <c r="AT1039" i="163"/>
  <c r="AP1039" i="163"/>
  <c r="AL1039" i="163"/>
  <c r="AH1039" i="163"/>
  <c r="AD1039" i="163"/>
  <c r="Z1039" i="163"/>
  <c r="V1039" i="163"/>
  <c r="Q1039" i="163"/>
  <c r="M1039" i="163"/>
  <c r="I1039" i="163"/>
  <c r="E1039" i="163"/>
  <c r="AY1038" i="163"/>
  <c r="AX1038" i="163"/>
  <c r="AY1037" i="163"/>
  <c r="AX1037" i="163"/>
  <c r="AY1036" i="163"/>
  <c r="AX1036" i="163"/>
  <c r="AY1035" i="163"/>
  <c r="AX1035" i="163"/>
  <c r="AY1034" i="163"/>
  <c r="AX1034" i="163"/>
  <c r="BG1033" i="163"/>
  <c r="AY1033" i="163"/>
  <c r="AX1033" i="163"/>
  <c r="AY1032" i="163"/>
  <c r="AX1032" i="163"/>
  <c r="AT1030" i="163"/>
  <c r="AP1030" i="163"/>
  <c r="AL1030" i="163"/>
  <c r="AH1030" i="163"/>
  <c r="AD1030" i="163"/>
  <c r="Z1030" i="163"/>
  <c r="V1030" i="163"/>
  <c r="Q1030" i="163"/>
  <c r="M1030" i="163"/>
  <c r="I1030" i="163"/>
  <c r="E1030" i="163"/>
  <c r="AY1029" i="163"/>
  <c r="AX1029" i="163"/>
  <c r="AY1028" i="163"/>
  <c r="AX1028" i="163"/>
  <c r="AY1027" i="163"/>
  <c r="AX1027" i="163"/>
  <c r="AY1026" i="163"/>
  <c r="AX1026" i="163"/>
  <c r="AY1025" i="163"/>
  <c r="AX1025" i="163"/>
  <c r="AY1024" i="163"/>
  <c r="AX1024" i="163"/>
  <c r="AY1023" i="163"/>
  <c r="AX1023" i="163"/>
  <c r="AT1021" i="163"/>
  <c r="AP1021" i="163"/>
  <c r="AL1021" i="163"/>
  <c r="AH1021" i="163"/>
  <c r="AD1021" i="163"/>
  <c r="Z1021" i="163"/>
  <c r="V1021" i="163"/>
  <c r="Q1021" i="163"/>
  <c r="M1021" i="163"/>
  <c r="I1021" i="163"/>
  <c r="E1021" i="163"/>
  <c r="AY1020" i="163"/>
  <c r="AX1020" i="163"/>
  <c r="AY1019" i="163"/>
  <c r="AX1019" i="163"/>
  <c r="AY1018" i="163"/>
  <c r="AX1018" i="163"/>
  <c r="AY1017" i="163"/>
  <c r="AX1017" i="163"/>
  <c r="AY1016" i="163"/>
  <c r="AX1016" i="163"/>
  <c r="AY1015" i="163"/>
  <c r="AX1015" i="163"/>
  <c r="AY1014" i="163"/>
  <c r="AX1014" i="163"/>
  <c r="AT1012" i="163"/>
  <c r="AP1012" i="163"/>
  <c r="AL1012" i="163"/>
  <c r="AH1012" i="163"/>
  <c r="AD1012" i="163"/>
  <c r="Z1012" i="163"/>
  <c r="V1012" i="163"/>
  <c r="Q1012" i="163"/>
  <c r="M1012" i="163"/>
  <c r="I1012" i="163"/>
  <c r="E1012" i="163"/>
  <c r="AY1011" i="163"/>
  <c r="AX1011" i="163"/>
  <c r="AY1010" i="163"/>
  <c r="AX1010" i="163"/>
  <c r="AY1009" i="163"/>
  <c r="AX1009" i="163"/>
  <c r="AY1008" i="163"/>
  <c r="AX1008" i="163"/>
  <c r="AY1007" i="163"/>
  <c r="AX1007" i="163"/>
  <c r="AY1006" i="163"/>
  <c r="AX1006" i="163"/>
  <c r="AY1005" i="163"/>
  <c r="AX1005" i="163"/>
  <c r="AT1003" i="163"/>
  <c r="AP1003" i="163"/>
  <c r="AL1003" i="163"/>
  <c r="AH1003" i="163"/>
  <c r="AD1003" i="163"/>
  <c r="Z1003" i="163"/>
  <c r="V1003" i="163"/>
  <c r="Q1003" i="163"/>
  <c r="M1003" i="163"/>
  <c r="I1003" i="163"/>
  <c r="E1003" i="163"/>
  <c r="AY1002" i="163"/>
  <c r="AX1002" i="163"/>
  <c r="AY1001" i="163"/>
  <c r="AX1001" i="163"/>
  <c r="AY1000" i="163"/>
  <c r="AX1000" i="163"/>
  <c r="AY999" i="163"/>
  <c r="AX999" i="163"/>
  <c r="AY998" i="163"/>
  <c r="AX998" i="163"/>
  <c r="AY997" i="163"/>
  <c r="AX997" i="163"/>
  <c r="AY996" i="163"/>
  <c r="AX996" i="163"/>
  <c r="AT994" i="163"/>
  <c r="AP994" i="163"/>
  <c r="AL994" i="163"/>
  <c r="AH994" i="163"/>
  <c r="AD994" i="163"/>
  <c r="Z994" i="163"/>
  <c r="V994" i="163"/>
  <c r="Q994" i="163"/>
  <c r="M994" i="163"/>
  <c r="I994" i="163"/>
  <c r="E994" i="163"/>
  <c r="AY993" i="163"/>
  <c r="AX993" i="163"/>
  <c r="AY992" i="163"/>
  <c r="AX992" i="163"/>
  <c r="AY991" i="163"/>
  <c r="AX991" i="163"/>
  <c r="AY990" i="163"/>
  <c r="AX990" i="163"/>
  <c r="AY989" i="163"/>
  <c r="AX989" i="163"/>
  <c r="AY988" i="163"/>
  <c r="AX988" i="163"/>
  <c r="AY987" i="163"/>
  <c r="AX987" i="163"/>
  <c r="AT985" i="163"/>
  <c r="AP985" i="163"/>
  <c r="AL985" i="163"/>
  <c r="AH985" i="163"/>
  <c r="AD985" i="163"/>
  <c r="Z985" i="163"/>
  <c r="V985" i="163"/>
  <c r="Q985" i="163"/>
  <c r="M985" i="163"/>
  <c r="I985" i="163"/>
  <c r="E985" i="163"/>
  <c r="AY984" i="163"/>
  <c r="AX984" i="163"/>
  <c r="AY983" i="163"/>
  <c r="AX983" i="163"/>
  <c r="AY982" i="163"/>
  <c r="AX982" i="163"/>
  <c r="AY981" i="163"/>
  <c r="AX981" i="163"/>
  <c r="AY980" i="163"/>
  <c r="AX980" i="163"/>
  <c r="AY979" i="163"/>
  <c r="AX979" i="163"/>
  <c r="AY978" i="163"/>
  <c r="AX978" i="163"/>
  <c r="AT976" i="163"/>
  <c r="AP976" i="163"/>
  <c r="AL976" i="163"/>
  <c r="AH976" i="163"/>
  <c r="AD976" i="163"/>
  <c r="Z976" i="163"/>
  <c r="V976" i="163"/>
  <c r="Q976" i="163"/>
  <c r="M976" i="163"/>
  <c r="I976" i="163"/>
  <c r="E976" i="163"/>
  <c r="AY975" i="163"/>
  <c r="AX975" i="163"/>
  <c r="AY974" i="163"/>
  <c r="AX974" i="163"/>
  <c r="AY973" i="163"/>
  <c r="AX973" i="163"/>
  <c r="AY972" i="163"/>
  <c r="AX972" i="163"/>
  <c r="AY971" i="163"/>
  <c r="AX971" i="163"/>
  <c r="AY970" i="163"/>
  <c r="AX970" i="163"/>
  <c r="AY969" i="163"/>
  <c r="AX969" i="163"/>
  <c r="AT967" i="163"/>
  <c r="AP967" i="163"/>
  <c r="AL967" i="163"/>
  <c r="AH967" i="163"/>
  <c r="AD967" i="163"/>
  <c r="Z967" i="163"/>
  <c r="V967" i="163"/>
  <c r="Q967" i="163"/>
  <c r="M967" i="163"/>
  <c r="I967" i="163"/>
  <c r="E967" i="163"/>
  <c r="AY966" i="163"/>
  <c r="AX966" i="163"/>
  <c r="AY965" i="163"/>
  <c r="AX965" i="163"/>
  <c r="AY964" i="163"/>
  <c r="AX964" i="163"/>
  <c r="AY963" i="163"/>
  <c r="AX963" i="163"/>
  <c r="AY962" i="163"/>
  <c r="AX962" i="163"/>
  <c r="AY961" i="163"/>
  <c r="AX961" i="163"/>
  <c r="AY960" i="163"/>
  <c r="AX960" i="163"/>
  <c r="AT958" i="163"/>
  <c r="AP958" i="163"/>
  <c r="AL958" i="163"/>
  <c r="AH958" i="163"/>
  <c r="AD958" i="163"/>
  <c r="Z958" i="163"/>
  <c r="V958" i="163"/>
  <c r="Q958" i="163"/>
  <c r="M958" i="163"/>
  <c r="I958" i="163"/>
  <c r="E958" i="163"/>
  <c r="AY957" i="163"/>
  <c r="AX957" i="163"/>
  <c r="AY956" i="163"/>
  <c r="AX956" i="163"/>
  <c r="AY955" i="163"/>
  <c r="AX955" i="163"/>
  <c r="AY954" i="163"/>
  <c r="AX954" i="163"/>
  <c r="AY953" i="163"/>
  <c r="AX953" i="163"/>
  <c r="AY952" i="163"/>
  <c r="AX952" i="163"/>
  <c r="AY951" i="163"/>
  <c r="AX951" i="163"/>
  <c r="AT949" i="163"/>
  <c r="AP949" i="163"/>
  <c r="AL949" i="163"/>
  <c r="AH949" i="163"/>
  <c r="AD949" i="163"/>
  <c r="Z949" i="163"/>
  <c r="V949" i="163"/>
  <c r="Q949" i="163"/>
  <c r="M949" i="163"/>
  <c r="I949" i="163"/>
  <c r="E949" i="163"/>
  <c r="AY948" i="163"/>
  <c r="AX948" i="163"/>
  <c r="AY947" i="163"/>
  <c r="AX947" i="163"/>
  <c r="AY946" i="163"/>
  <c r="AX946" i="163"/>
  <c r="AY945" i="163"/>
  <c r="AX945" i="163"/>
  <c r="AY944" i="163"/>
  <c r="AX944" i="163"/>
  <c r="AY943" i="163"/>
  <c r="AX943" i="163"/>
  <c r="AY942" i="163"/>
  <c r="AX942" i="163"/>
  <c r="AT940" i="163"/>
  <c r="AP940" i="163"/>
  <c r="AL940" i="163"/>
  <c r="AH940" i="163"/>
  <c r="AD940" i="163"/>
  <c r="Z940" i="163"/>
  <c r="V940" i="163"/>
  <c r="Q940" i="163"/>
  <c r="M940" i="163"/>
  <c r="I940" i="163"/>
  <c r="E940" i="163"/>
  <c r="AY939" i="163"/>
  <c r="AX939" i="163"/>
  <c r="AY938" i="163"/>
  <c r="AX938" i="163"/>
  <c r="AY937" i="163"/>
  <c r="AX937" i="163"/>
  <c r="AY936" i="163"/>
  <c r="AX936" i="163"/>
  <c r="AY935" i="163"/>
  <c r="AX935" i="163"/>
  <c r="AY934" i="163"/>
  <c r="AX934" i="163"/>
  <c r="AY933" i="163"/>
  <c r="AX933" i="163"/>
  <c r="AT931" i="163"/>
  <c r="AP931" i="163"/>
  <c r="AL931" i="163"/>
  <c r="AH931" i="163"/>
  <c r="AD931" i="163"/>
  <c r="Z931" i="163"/>
  <c r="V931" i="163"/>
  <c r="Q931" i="163"/>
  <c r="M931" i="163"/>
  <c r="I931" i="163"/>
  <c r="E931" i="163"/>
  <c r="AY930" i="163"/>
  <c r="AX930" i="163"/>
  <c r="AY929" i="163"/>
  <c r="AX929" i="163"/>
  <c r="AY928" i="163"/>
  <c r="AX928" i="163"/>
  <c r="AY927" i="163"/>
  <c r="AX927" i="163"/>
  <c r="AY926" i="163"/>
  <c r="AX926" i="163"/>
  <c r="AY925" i="163"/>
  <c r="AX925" i="163"/>
  <c r="AY924" i="163"/>
  <c r="AX924" i="163"/>
  <c r="AT922" i="163"/>
  <c r="AP922" i="163"/>
  <c r="AL922" i="163"/>
  <c r="AH922" i="163"/>
  <c r="AD922" i="163"/>
  <c r="Z922" i="163"/>
  <c r="V922" i="163"/>
  <c r="Q922" i="163"/>
  <c r="M922" i="163"/>
  <c r="I922" i="163"/>
  <c r="E922" i="163"/>
  <c r="AY921" i="163"/>
  <c r="AX921" i="163"/>
  <c r="AY920" i="163"/>
  <c r="AX920" i="163"/>
  <c r="AY919" i="163"/>
  <c r="AX919" i="163"/>
  <c r="AY918" i="163"/>
  <c r="AX918" i="163"/>
  <c r="AY917" i="163"/>
  <c r="AX917" i="163"/>
  <c r="AT915" i="163"/>
  <c r="AP915" i="163"/>
  <c r="AL915" i="163"/>
  <c r="AH915" i="163"/>
  <c r="AD915" i="163"/>
  <c r="Z915" i="163"/>
  <c r="V915" i="163"/>
  <c r="Q915" i="163"/>
  <c r="M915" i="163"/>
  <c r="I915" i="163"/>
  <c r="E915" i="163"/>
  <c r="AY914" i="163"/>
  <c r="AX914" i="163"/>
  <c r="AY913" i="163"/>
  <c r="AX913" i="163"/>
  <c r="AY912" i="163"/>
  <c r="AX912" i="163"/>
  <c r="AY911" i="163"/>
  <c r="AX911" i="163"/>
  <c r="AY910" i="163"/>
  <c r="AX910" i="163"/>
  <c r="AT908" i="163"/>
  <c r="AP908" i="163"/>
  <c r="AL908" i="163"/>
  <c r="AH908" i="163"/>
  <c r="AD908" i="163"/>
  <c r="Z908" i="163"/>
  <c r="V908" i="163"/>
  <c r="Q908" i="163"/>
  <c r="M908" i="163"/>
  <c r="I908" i="163"/>
  <c r="E908" i="163"/>
  <c r="AY907" i="163"/>
  <c r="AX907" i="163"/>
  <c r="AY906" i="163"/>
  <c r="AX906" i="163"/>
  <c r="AY905" i="163"/>
  <c r="AX905" i="163"/>
  <c r="AY904" i="163"/>
  <c r="AX904" i="163"/>
  <c r="AY903" i="163"/>
  <c r="AX903" i="163"/>
  <c r="AT901" i="163"/>
  <c r="AP901" i="163"/>
  <c r="AL901" i="163"/>
  <c r="AH901" i="163"/>
  <c r="AD901" i="163"/>
  <c r="Z901" i="163"/>
  <c r="V901" i="163"/>
  <c r="Q901" i="163"/>
  <c r="M901" i="163"/>
  <c r="I901" i="163"/>
  <c r="E901" i="163"/>
  <c r="AY900" i="163"/>
  <c r="AX900" i="163"/>
  <c r="AY899" i="163"/>
  <c r="AX899" i="163"/>
  <c r="AY898" i="163"/>
  <c r="AX898" i="163"/>
  <c r="AY897" i="163"/>
  <c r="AX897" i="163"/>
  <c r="AY896" i="163"/>
  <c r="AX896" i="163"/>
  <c r="AT894" i="163"/>
  <c r="AP894" i="163"/>
  <c r="AL894" i="163"/>
  <c r="AH894" i="163"/>
  <c r="AD894" i="163"/>
  <c r="Z894" i="163"/>
  <c r="V894" i="163"/>
  <c r="Q894" i="163"/>
  <c r="M894" i="163"/>
  <c r="I894" i="163"/>
  <c r="E894" i="163"/>
  <c r="AY893" i="163"/>
  <c r="AX893" i="163"/>
  <c r="AY892" i="163"/>
  <c r="AX892" i="163"/>
  <c r="AY891" i="163"/>
  <c r="AX891" i="163"/>
  <c r="AY890" i="163"/>
  <c r="AX890" i="163"/>
  <c r="AY889" i="163"/>
  <c r="AX889" i="163"/>
  <c r="A888" i="163"/>
  <c r="A909" i="163" s="1"/>
  <c r="A917" i="163" s="1"/>
  <c r="A918" i="163" s="1"/>
  <c r="A919" i="163" s="1"/>
  <c r="A920" i="163" s="1"/>
  <c r="A921" i="163" s="1"/>
  <c r="A922" i="163" s="1"/>
  <c r="A1663" i="163" l="1"/>
  <c r="A1654" i="163"/>
  <c r="A1655" i="163" s="1"/>
  <c r="A1656" i="163" s="1"/>
  <c r="A1833" i="163"/>
  <c r="A1834" i="163" s="1"/>
  <c r="A1835" i="163"/>
  <c r="A1836" i="163" s="1"/>
  <c r="A1837" i="163" s="1"/>
  <c r="A1838" i="163" s="1"/>
  <c r="A1848" i="163"/>
  <c r="A1849" i="163" s="1"/>
  <c r="A1850" i="163" s="1"/>
  <c r="A1840" i="163"/>
  <c r="A1841" i="163" s="1"/>
  <c r="A1857" i="163"/>
  <c r="A1478" i="163"/>
  <c r="A1479" i="163" s="1"/>
  <c r="A1480" i="163" s="1"/>
  <c r="A1487" i="163"/>
  <c r="A1298" i="163"/>
  <c r="A1299" i="163" s="1"/>
  <c r="A1300" i="163" s="1"/>
  <c r="A1301" i="163" s="1"/>
  <c r="A1296" i="163"/>
  <c r="A1297" i="163" s="1"/>
  <c r="A1287" i="163"/>
  <c r="A1288" i="163" s="1"/>
  <c r="A1289" i="163"/>
  <c r="A1290" i="163" s="1"/>
  <c r="A1291" i="163" s="1"/>
  <c r="A1292" i="163" s="1"/>
  <c r="AX1030" i="163"/>
  <c r="AY985" i="163"/>
  <c r="A1079" i="163"/>
  <c r="A1080" i="163" s="1"/>
  <c r="A1081" i="163" s="1"/>
  <c r="A1082" i="163" s="1"/>
  <c r="A1083" i="163" s="1"/>
  <c r="A1084" i="163" s="1"/>
  <c r="A1092" i="163"/>
  <c r="A1099" i="163" s="1"/>
  <c r="A1086" i="163"/>
  <c r="A1087" i="163" s="1"/>
  <c r="A1088" i="163" s="1"/>
  <c r="A1089" i="163" s="1"/>
  <c r="A1090" i="163" s="1"/>
  <c r="A1091" i="163" s="1"/>
  <c r="AY894" i="163"/>
  <c r="AY901" i="163"/>
  <c r="AX985" i="163"/>
  <c r="AY1003" i="163"/>
  <c r="AX894" i="163"/>
  <c r="AX908" i="163"/>
  <c r="AX931" i="163"/>
  <c r="AX940" i="163"/>
  <c r="AY958" i="163"/>
  <c r="AX976" i="163"/>
  <c r="AY994" i="163"/>
  <c r="AX1039" i="163"/>
  <c r="AX1048" i="163"/>
  <c r="AX1057" i="163"/>
  <c r="AY1057" i="163"/>
  <c r="AX901" i="163"/>
  <c r="AX915" i="163"/>
  <c r="AX922" i="163"/>
  <c r="AX1012" i="163"/>
  <c r="AY1021" i="163"/>
  <c r="AY908" i="163"/>
  <c r="AY922" i="163"/>
  <c r="AY931" i="163"/>
  <c r="AY967" i="163"/>
  <c r="AX1021" i="163"/>
  <c r="AY1030" i="163"/>
  <c r="AY1039" i="163"/>
  <c r="AY1048" i="163"/>
  <c r="A896" i="163"/>
  <c r="A897" i="163" s="1"/>
  <c r="A898" i="163" s="1"/>
  <c r="A899" i="163" s="1"/>
  <c r="A900" i="163" s="1"/>
  <c r="A901" i="163" s="1"/>
  <c r="A902" i="163"/>
  <c r="A889" i="163"/>
  <c r="A890" i="163" s="1"/>
  <c r="A891" i="163" s="1"/>
  <c r="A892" i="163" s="1"/>
  <c r="A893" i="163" s="1"/>
  <c r="A894" i="163" s="1"/>
  <c r="A895" i="163"/>
  <c r="AY940" i="163"/>
  <c r="AY915" i="163"/>
  <c r="AX967" i="163"/>
  <c r="AY976" i="163"/>
  <c r="AY949" i="163"/>
  <c r="AX958" i="163"/>
  <c r="AX994" i="163"/>
  <c r="AX949" i="163"/>
  <c r="AX1003" i="163"/>
  <c r="AY1012" i="163"/>
  <c r="AT881" i="163"/>
  <c r="AP881" i="163"/>
  <c r="AL881" i="163"/>
  <c r="AH881" i="163"/>
  <c r="AD881" i="163"/>
  <c r="Z881" i="163"/>
  <c r="V881" i="163"/>
  <c r="Q881" i="163"/>
  <c r="M881" i="163"/>
  <c r="I881" i="163"/>
  <c r="E881" i="163"/>
  <c r="AY880" i="163"/>
  <c r="AX880" i="163"/>
  <c r="AY879" i="163"/>
  <c r="AX879" i="163"/>
  <c r="AY878" i="163"/>
  <c r="AX878" i="163"/>
  <c r="AY877" i="163"/>
  <c r="AX877" i="163"/>
  <c r="AY876" i="163"/>
  <c r="AX876" i="163"/>
  <c r="AY875" i="163"/>
  <c r="AX875" i="163"/>
  <c r="AY874" i="163"/>
  <c r="AX874" i="163"/>
  <c r="AT872" i="163"/>
  <c r="AP872" i="163"/>
  <c r="AL872" i="163"/>
  <c r="AH872" i="163"/>
  <c r="AD872" i="163"/>
  <c r="Z872" i="163"/>
  <c r="V872" i="163"/>
  <c r="Q872" i="163"/>
  <c r="M872" i="163"/>
  <c r="I872" i="163"/>
  <c r="E872" i="163"/>
  <c r="AY871" i="163"/>
  <c r="AX871" i="163"/>
  <c r="AY870" i="163"/>
  <c r="AX870" i="163"/>
  <c r="AY869" i="163"/>
  <c r="AX869" i="163"/>
  <c r="AY868" i="163"/>
  <c r="AX868" i="163"/>
  <c r="AY867" i="163"/>
  <c r="AX867" i="163"/>
  <c r="AY866" i="163"/>
  <c r="AX866" i="163"/>
  <c r="AY865" i="163"/>
  <c r="AX865" i="163"/>
  <c r="AT863" i="163"/>
  <c r="AP863" i="163"/>
  <c r="AL863" i="163"/>
  <c r="AH863" i="163"/>
  <c r="AD863" i="163"/>
  <c r="Z863" i="163"/>
  <c r="V863" i="163"/>
  <c r="Q863" i="163"/>
  <c r="M863" i="163"/>
  <c r="I863" i="163"/>
  <c r="E863" i="163"/>
  <c r="AY862" i="163"/>
  <c r="AX862" i="163"/>
  <c r="AY861" i="163"/>
  <c r="AX861" i="163"/>
  <c r="AY860" i="163"/>
  <c r="AX860" i="163"/>
  <c r="AY859" i="163"/>
  <c r="AX859" i="163"/>
  <c r="AY858" i="163"/>
  <c r="AX858" i="163"/>
  <c r="BG857" i="163"/>
  <c r="AY857" i="163"/>
  <c r="AX857" i="163"/>
  <c r="AY856" i="163"/>
  <c r="AX856" i="163"/>
  <c r="AT854" i="163"/>
  <c r="AP854" i="163"/>
  <c r="AL854" i="163"/>
  <c r="AH854" i="163"/>
  <c r="AD854" i="163"/>
  <c r="Z854" i="163"/>
  <c r="V854" i="163"/>
  <c r="Q854" i="163"/>
  <c r="M854" i="163"/>
  <c r="I854" i="163"/>
  <c r="E854" i="163"/>
  <c r="AY853" i="163"/>
  <c r="AX853" i="163"/>
  <c r="AY852" i="163"/>
  <c r="AX852" i="163"/>
  <c r="AY851" i="163"/>
  <c r="AX851" i="163"/>
  <c r="AY850" i="163"/>
  <c r="AX850" i="163"/>
  <c r="AY849" i="163"/>
  <c r="AX849" i="163"/>
  <c r="AY848" i="163"/>
  <c r="AX848" i="163"/>
  <c r="AY847" i="163"/>
  <c r="AX847" i="163"/>
  <c r="AT845" i="163"/>
  <c r="AP845" i="163"/>
  <c r="AL845" i="163"/>
  <c r="AH845" i="163"/>
  <c r="AD845" i="163"/>
  <c r="Z845" i="163"/>
  <c r="V845" i="163"/>
  <c r="Q845" i="163"/>
  <c r="M845" i="163"/>
  <c r="I845" i="163"/>
  <c r="E845" i="163"/>
  <c r="AY844" i="163"/>
  <c r="AX844" i="163"/>
  <c r="AY843" i="163"/>
  <c r="AX843" i="163"/>
  <c r="AY842" i="163"/>
  <c r="AX842" i="163"/>
  <c r="AY841" i="163"/>
  <c r="AX841" i="163"/>
  <c r="AY840" i="163"/>
  <c r="AX840" i="163"/>
  <c r="AY839" i="163"/>
  <c r="AX839" i="163"/>
  <c r="AY838" i="163"/>
  <c r="AX838" i="163"/>
  <c r="C838" i="163"/>
  <c r="C1014" i="163" s="1"/>
  <c r="C1190" i="163" s="1"/>
  <c r="C1366" i="163" s="1"/>
  <c r="C1542" i="163" s="1"/>
  <c r="C1718" i="163" s="1"/>
  <c r="C1894" i="163" s="1"/>
  <c r="AT836" i="163"/>
  <c r="AP836" i="163"/>
  <c r="AL836" i="163"/>
  <c r="AH836" i="163"/>
  <c r="AD836" i="163"/>
  <c r="Z836" i="163"/>
  <c r="V836" i="163"/>
  <c r="Q836" i="163"/>
  <c r="M836" i="163"/>
  <c r="I836" i="163"/>
  <c r="E836" i="163"/>
  <c r="AY835" i="163"/>
  <c r="AX835" i="163"/>
  <c r="AY834" i="163"/>
  <c r="AX834" i="163"/>
  <c r="AY833" i="163"/>
  <c r="AX833" i="163"/>
  <c r="AY832" i="163"/>
  <c r="AX832" i="163"/>
  <c r="AY831" i="163"/>
  <c r="AX831" i="163"/>
  <c r="AY830" i="163"/>
  <c r="AX830" i="163"/>
  <c r="AY829" i="163"/>
  <c r="AX829" i="163"/>
  <c r="C829" i="163"/>
  <c r="AT827" i="163"/>
  <c r="AP827" i="163"/>
  <c r="AL827" i="163"/>
  <c r="AH827" i="163"/>
  <c r="AD827" i="163"/>
  <c r="Z827" i="163"/>
  <c r="V827" i="163"/>
  <c r="Q827" i="163"/>
  <c r="M827" i="163"/>
  <c r="I827" i="163"/>
  <c r="E827" i="163"/>
  <c r="AY826" i="163"/>
  <c r="AX826" i="163"/>
  <c r="AY825" i="163"/>
  <c r="AX825" i="163"/>
  <c r="AY824" i="163"/>
  <c r="AX824" i="163"/>
  <c r="AY823" i="163"/>
  <c r="AX823" i="163"/>
  <c r="AY822" i="163"/>
  <c r="AX822" i="163"/>
  <c r="AY821" i="163"/>
  <c r="AX821" i="163"/>
  <c r="AY820" i="163"/>
  <c r="AX820" i="163"/>
  <c r="C820" i="163"/>
  <c r="C996" i="163" s="1"/>
  <c r="C1172" i="163" s="1"/>
  <c r="C1348" i="163" s="1"/>
  <c r="C1524" i="163" s="1"/>
  <c r="C1700" i="163" s="1"/>
  <c r="C1876" i="163" s="1"/>
  <c r="AT818" i="163"/>
  <c r="AP818" i="163"/>
  <c r="AL818" i="163"/>
  <c r="AH818" i="163"/>
  <c r="AD818" i="163"/>
  <c r="Z818" i="163"/>
  <c r="V818" i="163"/>
  <c r="Q818" i="163"/>
  <c r="M818" i="163"/>
  <c r="I818" i="163"/>
  <c r="E818" i="163"/>
  <c r="AY817" i="163"/>
  <c r="AX817" i="163"/>
  <c r="AY816" i="163"/>
  <c r="AX816" i="163"/>
  <c r="AY815" i="163"/>
  <c r="AX815" i="163"/>
  <c r="C815" i="163"/>
  <c r="C1519" i="163" s="1"/>
  <c r="C1695" i="163" s="1"/>
  <c r="C1871" i="163" s="1"/>
  <c r="AY814" i="163"/>
  <c r="AX814" i="163"/>
  <c r="C814" i="163"/>
  <c r="C1518" i="163" s="1"/>
  <c r="C1694" i="163" s="1"/>
  <c r="C1870" i="163" s="1"/>
  <c r="AY813" i="163"/>
  <c r="AX813" i="163"/>
  <c r="C813" i="163"/>
  <c r="C1517" i="163" s="1"/>
  <c r="C1693" i="163" s="1"/>
  <c r="C1869" i="163" s="1"/>
  <c r="AY812" i="163"/>
  <c r="AX812" i="163"/>
  <c r="C812" i="163"/>
  <c r="C1340" i="163" s="1"/>
  <c r="C1516" i="163" s="1"/>
  <c r="C1692" i="163" s="1"/>
  <c r="C1868" i="163" s="1"/>
  <c r="AY811" i="163"/>
  <c r="AX811" i="163"/>
  <c r="C811" i="163"/>
  <c r="C1163" i="163" s="1"/>
  <c r="C1515" i="163" s="1"/>
  <c r="C1691" i="163" s="1"/>
  <c r="C1867" i="163" s="1"/>
  <c r="AT809" i="163"/>
  <c r="AP809" i="163"/>
  <c r="AL809" i="163"/>
  <c r="AH809" i="163"/>
  <c r="AD809" i="163"/>
  <c r="Z809" i="163"/>
  <c r="V809" i="163"/>
  <c r="Q809" i="163"/>
  <c r="M809" i="163"/>
  <c r="I809" i="163"/>
  <c r="E809" i="163"/>
  <c r="AY808" i="163"/>
  <c r="AX808" i="163"/>
  <c r="AY807" i="163"/>
  <c r="AX807" i="163"/>
  <c r="AY806" i="163"/>
  <c r="AX806" i="163"/>
  <c r="C806" i="163"/>
  <c r="C1158" i="163" s="1"/>
  <c r="C1510" i="163" s="1"/>
  <c r="C1686" i="163" s="1"/>
  <c r="C1862" i="163" s="1"/>
  <c r="AY805" i="163"/>
  <c r="AX805" i="163"/>
  <c r="C805" i="163"/>
  <c r="C981" i="163" s="1"/>
  <c r="C1157" i="163" s="1"/>
  <c r="C1333" i="163" s="1"/>
  <c r="C1509" i="163" s="1"/>
  <c r="C1685" i="163" s="1"/>
  <c r="C1861" i="163" s="1"/>
  <c r="AY804" i="163"/>
  <c r="AX804" i="163"/>
  <c r="C804" i="163"/>
  <c r="C980" i="163" s="1"/>
  <c r="C1156" i="163" s="1"/>
  <c r="C1332" i="163" s="1"/>
  <c r="C1508" i="163" s="1"/>
  <c r="C1684" i="163" s="1"/>
  <c r="C1860" i="163" s="1"/>
  <c r="AY803" i="163"/>
  <c r="AX803" i="163"/>
  <c r="C803" i="163"/>
  <c r="C979" i="163" s="1"/>
  <c r="C1155" i="163" s="1"/>
  <c r="C1331" i="163" s="1"/>
  <c r="C1507" i="163" s="1"/>
  <c r="C1683" i="163" s="1"/>
  <c r="C1859" i="163" s="1"/>
  <c r="AY802" i="163"/>
  <c r="AX802" i="163"/>
  <c r="C802" i="163"/>
  <c r="C978" i="163" s="1"/>
  <c r="C1154" i="163" s="1"/>
  <c r="C1330" i="163" s="1"/>
  <c r="C1506" i="163" s="1"/>
  <c r="C1682" i="163" s="1"/>
  <c r="C1858" i="163" s="1"/>
  <c r="AT800" i="163"/>
  <c r="AP800" i="163"/>
  <c r="AL800" i="163"/>
  <c r="AH800" i="163"/>
  <c r="AD800" i="163"/>
  <c r="Z800" i="163"/>
  <c r="V800" i="163"/>
  <c r="Q800" i="163"/>
  <c r="M800" i="163"/>
  <c r="I800" i="163"/>
  <c r="E800" i="163"/>
  <c r="AY799" i="163"/>
  <c r="AX799" i="163"/>
  <c r="AY798" i="163"/>
  <c r="AX798" i="163"/>
  <c r="AY797" i="163"/>
  <c r="AX797" i="163"/>
  <c r="AY796" i="163"/>
  <c r="AX796" i="163"/>
  <c r="AY795" i="163"/>
  <c r="AX795" i="163"/>
  <c r="AY794" i="163"/>
  <c r="AX794" i="163"/>
  <c r="C794" i="163"/>
  <c r="C970" i="163" s="1"/>
  <c r="C1146" i="163" s="1"/>
  <c r="C1498" i="163" s="1"/>
  <c r="C1674" i="163" s="1"/>
  <c r="C1850" i="163" s="1"/>
  <c r="AY793" i="163"/>
  <c r="AX793" i="163"/>
  <c r="C793" i="163"/>
  <c r="C969" i="163" s="1"/>
  <c r="C1145" i="163" s="1"/>
  <c r="C1321" i="163" s="1"/>
  <c r="C1497" i="163" s="1"/>
  <c r="C1673" i="163" s="1"/>
  <c r="C1849" i="163" s="1"/>
  <c r="AT791" i="163"/>
  <c r="AP791" i="163"/>
  <c r="AL791" i="163"/>
  <c r="AH791" i="163"/>
  <c r="AD791" i="163"/>
  <c r="Z791" i="163"/>
  <c r="V791" i="163"/>
  <c r="Q791" i="163"/>
  <c r="M791" i="163"/>
  <c r="I791" i="163"/>
  <c r="E791" i="163"/>
  <c r="AY790" i="163"/>
  <c r="AX790" i="163"/>
  <c r="AY789" i="163"/>
  <c r="AX789" i="163"/>
  <c r="AY788" i="163"/>
  <c r="AX788" i="163"/>
  <c r="AY787" i="163"/>
  <c r="AX787" i="163"/>
  <c r="AY786" i="163"/>
  <c r="AX786" i="163"/>
  <c r="C1138" i="163"/>
  <c r="C1490" i="163" s="1"/>
  <c r="C1666" i="163" s="1"/>
  <c r="C1842" i="163" s="1"/>
  <c r="AY785" i="163"/>
  <c r="AX785" i="163"/>
  <c r="C961" i="163"/>
  <c r="C1137" i="163" s="1"/>
  <c r="C1313" i="163" s="1"/>
  <c r="C1489" i="163" s="1"/>
  <c r="C1665" i="163" s="1"/>
  <c r="C1841" i="163" s="1"/>
  <c r="AY784" i="163"/>
  <c r="AX784" i="163"/>
  <c r="AT782" i="163"/>
  <c r="AP782" i="163"/>
  <c r="AL782" i="163"/>
  <c r="AH782" i="163"/>
  <c r="AD782" i="163"/>
  <c r="Z782" i="163"/>
  <c r="V782" i="163"/>
  <c r="Q782" i="163"/>
  <c r="M782" i="163"/>
  <c r="I782" i="163"/>
  <c r="E782" i="163"/>
  <c r="AY781" i="163"/>
  <c r="AX781" i="163"/>
  <c r="AY780" i="163"/>
  <c r="AX780" i="163"/>
  <c r="AY779" i="163"/>
  <c r="AX779" i="163"/>
  <c r="AY778" i="163"/>
  <c r="AX778" i="163"/>
  <c r="AY777" i="163"/>
  <c r="AX777" i="163"/>
  <c r="AY776" i="163"/>
  <c r="AX776" i="163"/>
  <c r="C776" i="163"/>
  <c r="C1128" i="163" s="1"/>
  <c r="C1480" i="163" s="1"/>
  <c r="C1656" i="163" s="1"/>
  <c r="C1832" i="163" s="1"/>
  <c r="AY775" i="163"/>
  <c r="AX775" i="163"/>
  <c r="AT773" i="163"/>
  <c r="AP773" i="163"/>
  <c r="AL773" i="163"/>
  <c r="AH773" i="163"/>
  <c r="AD773" i="163"/>
  <c r="Z773" i="163"/>
  <c r="V773" i="163"/>
  <c r="Q773" i="163"/>
  <c r="M773" i="163"/>
  <c r="I773" i="163"/>
  <c r="E773" i="163"/>
  <c r="AY772" i="163"/>
  <c r="AX772" i="163"/>
  <c r="AY771" i="163"/>
  <c r="AX771" i="163"/>
  <c r="AY770" i="163"/>
  <c r="AX770" i="163"/>
  <c r="AY769" i="163"/>
  <c r="AX769" i="163"/>
  <c r="AY768" i="163"/>
  <c r="AX768" i="163"/>
  <c r="AY767" i="163"/>
  <c r="AX767" i="163"/>
  <c r="AY766" i="163"/>
  <c r="AX766" i="163"/>
  <c r="AT764" i="163"/>
  <c r="AP764" i="163"/>
  <c r="AL764" i="163"/>
  <c r="AH764" i="163"/>
  <c r="AD764" i="163"/>
  <c r="Z764" i="163"/>
  <c r="V764" i="163"/>
  <c r="Q764" i="163"/>
  <c r="M764" i="163"/>
  <c r="I764" i="163"/>
  <c r="E764" i="163"/>
  <c r="AY763" i="163"/>
  <c r="AX763" i="163"/>
  <c r="AY762" i="163"/>
  <c r="AX762" i="163"/>
  <c r="AY761" i="163"/>
  <c r="AX761" i="163"/>
  <c r="AY760" i="163"/>
  <c r="AX760" i="163"/>
  <c r="C760" i="163"/>
  <c r="AY759" i="163"/>
  <c r="AX759" i="163"/>
  <c r="C759" i="163"/>
  <c r="C935" i="163" s="1"/>
  <c r="AY758" i="163"/>
  <c r="AX758" i="163"/>
  <c r="C758" i="163"/>
  <c r="C934" i="163" s="1"/>
  <c r="AY757" i="163"/>
  <c r="AX757" i="163"/>
  <c r="C757" i="163"/>
  <c r="C933" i="163" s="1"/>
  <c r="AT755" i="163"/>
  <c r="AP755" i="163"/>
  <c r="AL755" i="163"/>
  <c r="AH755" i="163"/>
  <c r="AD755" i="163"/>
  <c r="Z755" i="163"/>
  <c r="V755" i="163"/>
  <c r="Q755" i="163"/>
  <c r="M755" i="163"/>
  <c r="I755" i="163"/>
  <c r="E755" i="163"/>
  <c r="AY754" i="163"/>
  <c r="AX754" i="163"/>
  <c r="AY753" i="163"/>
  <c r="AX753" i="163"/>
  <c r="AY752" i="163"/>
  <c r="AX752" i="163"/>
  <c r="AY751" i="163"/>
  <c r="AX751" i="163"/>
  <c r="AY750" i="163"/>
  <c r="AX750" i="163"/>
  <c r="AY749" i="163"/>
  <c r="AX749" i="163"/>
  <c r="AY748" i="163"/>
  <c r="AX748" i="163"/>
  <c r="AT746" i="163"/>
  <c r="AP746" i="163"/>
  <c r="AL746" i="163"/>
  <c r="AH746" i="163"/>
  <c r="AD746" i="163"/>
  <c r="Z746" i="163"/>
  <c r="V746" i="163"/>
  <c r="Q746" i="163"/>
  <c r="M746" i="163"/>
  <c r="I746" i="163"/>
  <c r="E746" i="163"/>
  <c r="AY745" i="163"/>
  <c r="AX745" i="163"/>
  <c r="AY744" i="163"/>
  <c r="AX744" i="163"/>
  <c r="AY743" i="163"/>
  <c r="AX743" i="163"/>
  <c r="AY742" i="163"/>
  <c r="AX742" i="163"/>
  <c r="AY741" i="163"/>
  <c r="AX741" i="163"/>
  <c r="AT739" i="163"/>
  <c r="AP739" i="163"/>
  <c r="AL739" i="163"/>
  <c r="AH739" i="163"/>
  <c r="AD739" i="163"/>
  <c r="Z739" i="163"/>
  <c r="V739" i="163"/>
  <c r="Q739" i="163"/>
  <c r="M739" i="163"/>
  <c r="I739" i="163"/>
  <c r="E739" i="163"/>
  <c r="AY738" i="163"/>
  <c r="AX738" i="163"/>
  <c r="AY737" i="163"/>
  <c r="AX737" i="163"/>
  <c r="AY736" i="163"/>
  <c r="AX736" i="163"/>
  <c r="AY735" i="163"/>
  <c r="AX735" i="163"/>
  <c r="AY734" i="163"/>
  <c r="AX734" i="163"/>
  <c r="AT732" i="163"/>
  <c r="AP732" i="163"/>
  <c r="AL732" i="163"/>
  <c r="AH732" i="163"/>
  <c r="AD732" i="163"/>
  <c r="Z732" i="163"/>
  <c r="V732" i="163"/>
  <c r="Q732" i="163"/>
  <c r="M732" i="163"/>
  <c r="I732" i="163"/>
  <c r="E732" i="163"/>
  <c r="AY731" i="163"/>
  <c r="AX731" i="163"/>
  <c r="AY730" i="163"/>
  <c r="AX730" i="163"/>
  <c r="AY729" i="163"/>
  <c r="AX729" i="163"/>
  <c r="AY728" i="163"/>
  <c r="AX728" i="163"/>
  <c r="AY727" i="163"/>
  <c r="AX727" i="163"/>
  <c r="AT725" i="163"/>
  <c r="AP725" i="163"/>
  <c r="AL725" i="163"/>
  <c r="AH725" i="163"/>
  <c r="AD725" i="163"/>
  <c r="Z725" i="163"/>
  <c r="V725" i="163"/>
  <c r="Q725" i="163"/>
  <c r="M725" i="163"/>
  <c r="I725" i="163"/>
  <c r="E725" i="163"/>
  <c r="AY724" i="163"/>
  <c r="AX724" i="163"/>
  <c r="AY723" i="163"/>
  <c r="AX723" i="163"/>
  <c r="AY722" i="163"/>
  <c r="AX722" i="163"/>
  <c r="AY721" i="163"/>
  <c r="AX721" i="163"/>
  <c r="AY720" i="163"/>
  <c r="AX720" i="163"/>
  <c r="AT718" i="163"/>
  <c r="AP718" i="163"/>
  <c r="AL718" i="163"/>
  <c r="AH718" i="163"/>
  <c r="AD718" i="163"/>
  <c r="Z718" i="163"/>
  <c r="V718" i="163"/>
  <c r="Q718" i="163"/>
  <c r="M718" i="163"/>
  <c r="I718" i="163"/>
  <c r="E718" i="163"/>
  <c r="AY717" i="163"/>
  <c r="AX717" i="163"/>
  <c r="AY716" i="163"/>
  <c r="AX716" i="163"/>
  <c r="AY715" i="163"/>
  <c r="AX715" i="163"/>
  <c r="AY714" i="163"/>
  <c r="AX714" i="163"/>
  <c r="AY713" i="163"/>
  <c r="AX713" i="163"/>
  <c r="A712" i="163"/>
  <c r="A713" i="163" s="1"/>
  <c r="A714" i="163" s="1"/>
  <c r="A715" i="163" s="1"/>
  <c r="A716" i="163" s="1"/>
  <c r="A717" i="163" s="1"/>
  <c r="A718" i="163" s="1"/>
  <c r="A1853" i="163" l="1"/>
  <c r="A1854" i="163" s="1"/>
  <c r="A1855" i="163" s="1"/>
  <c r="A1856" i="163" s="1"/>
  <c r="A1851" i="163"/>
  <c r="A1852" i="163" s="1"/>
  <c r="A1842" i="163"/>
  <c r="A1843" i="163" s="1"/>
  <c r="A1844" i="163"/>
  <c r="A1845" i="163" s="1"/>
  <c r="A1846" i="163" s="1"/>
  <c r="A1847" i="163" s="1"/>
  <c r="A1657" i="163"/>
  <c r="A1658" i="163" s="1"/>
  <c r="A1659" i="163"/>
  <c r="A1660" i="163" s="1"/>
  <c r="A1661" i="163" s="1"/>
  <c r="A1662" i="163" s="1"/>
  <c r="A1858" i="163"/>
  <c r="A1859" i="163" s="1"/>
  <c r="A1866" i="163"/>
  <c r="A1664" i="163"/>
  <c r="A1665" i="163" s="1"/>
  <c r="A1681" i="163"/>
  <c r="A1672" i="163"/>
  <c r="A1673" i="163" s="1"/>
  <c r="A1674" i="163" s="1"/>
  <c r="A1488" i="163"/>
  <c r="A1489" i="163" s="1"/>
  <c r="A1505" i="163"/>
  <c r="A1496" i="163"/>
  <c r="A1497" i="163" s="1"/>
  <c r="A1498" i="163" s="1"/>
  <c r="A1483" i="163"/>
  <c r="A1484" i="163" s="1"/>
  <c r="A1485" i="163" s="1"/>
  <c r="A1486" i="163" s="1"/>
  <c r="A1481" i="163"/>
  <c r="A1482" i="163" s="1"/>
  <c r="A1311" i="163"/>
  <c r="A1302" i="163"/>
  <c r="A1303" i="163" s="1"/>
  <c r="A1304" i="163" s="1"/>
  <c r="AX755" i="163"/>
  <c r="A1108" i="163"/>
  <c r="A1100" i="163"/>
  <c r="A1101" i="163" s="1"/>
  <c r="AX725" i="163"/>
  <c r="AY718" i="163"/>
  <c r="AY746" i="163"/>
  <c r="AX818" i="163"/>
  <c r="AX863" i="163"/>
  <c r="AX872" i="163"/>
  <c r="AY782" i="163"/>
  <c r="AY809" i="163"/>
  <c r="AX854" i="163"/>
  <c r="AY732" i="163"/>
  <c r="AX718" i="163"/>
  <c r="AX739" i="163"/>
  <c r="AX746" i="163"/>
  <c r="AY764" i="163"/>
  <c r="AX845" i="163"/>
  <c r="AX881" i="163"/>
  <c r="AY739" i="163"/>
  <c r="AX773" i="163"/>
  <c r="AX836" i="163"/>
  <c r="AY872" i="163"/>
  <c r="AY773" i="163"/>
  <c r="AX782" i="163"/>
  <c r="AX791" i="163"/>
  <c r="AX809" i="163"/>
  <c r="AY845" i="163"/>
  <c r="AY827" i="163"/>
  <c r="AY836" i="163"/>
  <c r="AY881" i="163"/>
  <c r="A916" i="163"/>
  <c r="A923" i="163" s="1"/>
  <c r="A910" i="163"/>
  <c r="A911" i="163" s="1"/>
  <c r="A912" i="163" s="1"/>
  <c r="A913" i="163" s="1"/>
  <c r="A914" i="163" s="1"/>
  <c r="A915" i="163" s="1"/>
  <c r="A903" i="163"/>
  <c r="A904" i="163" s="1"/>
  <c r="A905" i="163" s="1"/>
  <c r="A906" i="163" s="1"/>
  <c r="A907" i="163" s="1"/>
  <c r="A908" i="163" s="1"/>
  <c r="AY725" i="163"/>
  <c r="A719" i="163"/>
  <c r="A726" i="163"/>
  <c r="A720" i="163"/>
  <c r="A721" i="163" s="1"/>
  <c r="A722" i="163" s="1"/>
  <c r="A723" i="163" s="1"/>
  <c r="A724" i="163" s="1"/>
  <c r="A725" i="163" s="1"/>
  <c r="AX732" i="163"/>
  <c r="A733" i="163"/>
  <c r="A741" i="163" s="1"/>
  <c r="A742" i="163" s="1"/>
  <c r="A743" i="163" s="1"/>
  <c r="A744" i="163" s="1"/>
  <c r="A745" i="163" s="1"/>
  <c r="A746" i="163" s="1"/>
  <c r="AX764" i="163"/>
  <c r="AX800" i="163"/>
  <c r="AY791" i="163"/>
  <c r="AY755" i="163"/>
  <c r="AY800" i="163"/>
  <c r="AY818" i="163"/>
  <c r="AY854" i="163"/>
  <c r="AX827" i="163"/>
  <c r="AY863" i="163"/>
  <c r="AT705" i="163"/>
  <c r="AP705" i="163"/>
  <c r="AL705" i="163"/>
  <c r="AH705" i="163"/>
  <c r="AD705" i="163"/>
  <c r="Z705" i="163"/>
  <c r="V705" i="163"/>
  <c r="Q705" i="163"/>
  <c r="M705" i="163"/>
  <c r="I705" i="163"/>
  <c r="E705" i="163"/>
  <c r="AY704" i="163"/>
  <c r="AX704" i="163"/>
  <c r="AY703" i="163"/>
  <c r="AX703" i="163"/>
  <c r="AY702" i="163"/>
  <c r="AX702" i="163"/>
  <c r="AY701" i="163"/>
  <c r="AX701" i="163"/>
  <c r="AY700" i="163"/>
  <c r="AX700" i="163"/>
  <c r="AY699" i="163"/>
  <c r="AX699" i="163"/>
  <c r="AY698" i="163"/>
  <c r="AX698" i="163"/>
  <c r="AT696" i="163"/>
  <c r="AP696" i="163"/>
  <c r="AL696" i="163"/>
  <c r="AH696" i="163"/>
  <c r="AD696" i="163"/>
  <c r="Z696" i="163"/>
  <c r="V696" i="163"/>
  <c r="Q696" i="163"/>
  <c r="M696" i="163"/>
  <c r="I696" i="163"/>
  <c r="E696" i="163"/>
  <c r="AY695" i="163"/>
  <c r="AX695" i="163"/>
  <c r="AY694" i="163"/>
  <c r="AX694" i="163"/>
  <c r="AY693" i="163"/>
  <c r="AX693" i="163"/>
  <c r="AY692" i="163"/>
  <c r="AX692" i="163"/>
  <c r="AY691" i="163"/>
  <c r="AX691" i="163"/>
  <c r="AY690" i="163"/>
  <c r="AX690" i="163"/>
  <c r="AY689" i="163"/>
  <c r="AX689" i="163"/>
  <c r="AT687" i="163"/>
  <c r="AP687" i="163"/>
  <c r="AL687" i="163"/>
  <c r="AH687" i="163"/>
  <c r="AD687" i="163"/>
  <c r="Z687" i="163"/>
  <c r="V687" i="163"/>
  <c r="Q687" i="163"/>
  <c r="M687" i="163"/>
  <c r="I687" i="163"/>
  <c r="E687" i="163"/>
  <c r="AY686" i="163"/>
  <c r="AX686" i="163"/>
  <c r="AY685" i="163"/>
  <c r="AX685" i="163"/>
  <c r="AY684" i="163"/>
  <c r="AX684" i="163"/>
  <c r="AY683" i="163"/>
  <c r="AX683" i="163"/>
  <c r="AY682" i="163"/>
  <c r="AX682" i="163"/>
  <c r="BG681" i="163"/>
  <c r="AY681" i="163"/>
  <c r="AX681" i="163"/>
  <c r="AY680" i="163"/>
  <c r="AX680" i="163"/>
  <c r="AT678" i="163"/>
  <c r="AP678" i="163"/>
  <c r="AL678" i="163"/>
  <c r="AH678" i="163"/>
  <c r="AD678" i="163"/>
  <c r="Z678" i="163"/>
  <c r="V678" i="163"/>
  <c r="Q678" i="163"/>
  <c r="M678" i="163"/>
  <c r="I678" i="163"/>
  <c r="E678" i="163"/>
  <c r="AY677" i="163"/>
  <c r="AX677" i="163"/>
  <c r="AY676" i="163"/>
  <c r="AX676" i="163"/>
  <c r="AY675" i="163"/>
  <c r="AX675" i="163"/>
  <c r="AY674" i="163"/>
  <c r="AX674" i="163"/>
  <c r="AY673" i="163"/>
  <c r="AX673" i="163"/>
  <c r="AY672" i="163"/>
  <c r="AX672" i="163"/>
  <c r="AY671" i="163"/>
  <c r="AX671" i="163"/>
  <c r="AT669" i="163"/>
  <c r="AP669" i="163"/>
  <c r="AL669" i="163"/>
  <c r="AH669" i="163"/>
  <c r="AD669" i="163"/>
  <c r="Z669" i="163"/>
  <c r="V669" i="163"/>
  <c r="Q669" i="163"/>
  <c r="M669" i="163"/>
  <c r="I669" i="163"/>
  <c r="E669" i="163"/>
  <c r="AY668" i="163"/>
  <c r="AX668" i="163"/>
  <c r="AY667" i="163"/>
  <c r="AX667" i="163"/>
  <c r="AY666" i="163"/>
  <c r="AX666" i="163"/>
  <c r="AY665" i="163"/>
  <c r="AX665" i="163"/>
  <c r="AY664" i="163"/>
  <c r="AX664" i="163"/>
  <c r="AY663" i="163"/>
  <c r="AX663" i="163"/>
  <c r="AY662" i="163"/>
  <c r="AX662" i="163"/>
  <c r="AT660" i="163"/>
  <c r="AP660" i="163"/>
  <c r="AL660" i="163"/>
  <c r="AH660" i="163"/>
  <c r="AD660" i="163"/>
  <c r="Z660" i="163"/>
  <c r="V660" i="163"/>
  <c r="Q660" i="163"/>
  <c r="M660" i="163"/>
  <c r="I660" i="163"/>
  <c r="E660" i="163"/>
  <c r="AY659" i="163"/>
  <c r="AX659" i="163"/>
  <c r="AY658" i="163"/>
  <c r="AX658" i="163"/>
  <c r="AY657" i="163"/>
  <c r="AX657" i="163"/>
  <c r="AY656" i="163"/>
  <c r="AX656" i="163"/>
  <c r="AY655" i="163"/>
  <c r="AX655" i="163"/>
  <c r="AY654" i="163"/>
  <c r="AX654" i="163"/>
  <c r="AY653" i="163"/>
  <c r="AX653" i="163"/>
  <c r="AT651" i="163"/>
  <c r="AP651" i="163"/>
  <c r="AL651" i="163"/>
  <c r="AH651" i="163"/>
  <c r="AD651" i="163"/>
  <c r="Z651" i="163"/>
  <c r="V651" i="163"/>
  <c r="Q651" i="163"/>
  <c r="M651" i="163"/>
  <c r="I651" i="163"/>
  <c r="E651" i="163"/>
  <c r="AY650" i="163"/>
  <c r="AX650" i="163"/>
  <c r="AY649" i="163"/>
  <c r="AX649" i="163"/>
  <c r="AY648" i="163"/>
  <c r="AX648" i="163"/>
  <c r="AY647" i="163"/>
  <c r="AX647" i="163"/>
  <c r="AY646" i="163"/>
  <c r="AX646" i="163"/>
  <c r="AY645" i="163"/>
  <c r="AX645" i="163"/>
  <c r="AY644" i="163"/>
  <c r="AX644" i="163"/>
  <c r="AT642" i="163"/>
  <c r="AP642" i="163"/>
  <c r="AL642" i="163"/>
  <c r="AH642" i="163"/>
  <c r="AD642" i="163"/>
  <c r="Z642" i="163"/>
  <c r="V642" i="163"/>
  <c r="Q642" i="163"/>
  <c r="M642" i="163"/>
  <c r="I642" i="163"/>
  <c r="E642" i="163"/>
  <c r="AY641" i="163"/>
  <c r="AX641" i="163"/>
  <c r="AY640" i="163"/>
  <c r="AX640" i="163"/>
  <c r="AY639" i="163"/>
  <c r="AX639" i="163"/>
  <c r="AY638" i="163"/>
  <c r="AX638" i="163"/>
  <c r="AY637" i="163"/>
  <c r="AX637" i="163"/>
  <c r="AY636" i="163"/>
  <c r="AX636" i="163"/>
  <c r="AY635" i="163"/>
  <c r="AX635" i="163"/>
  <c r="AT633" i="163"/>
  <c r="AP633" i="163"/>
  <c r="AL633" i="163"/>
  <c r="AH633" i="163"/>
  <c r="AD633" i="163"/>
  <c r="Z633" i="163"/>
  <c r="V633" i="163"/>
  <c r="Q633" i="163"/>
  <c r="M633" i="163"/>
  <c r="I633" i="163"/>
  <c r="E633" i="163"/>
  <c r="AY632" i="163"/>
  <c r="AX632" i="163"/>
  <c r="AY631" i="163"/>
  <c r="AX631" i="163"/>
  <c r="AY630" i="163"/>
  <c r="AX630" i="163"/>
  <c r="AY629" i="163"/>
  <c r="AX629" i="163"/>
  <c r="AY628" i="163"/>
  <c r="AX628" i="163"/>
  <c r="AY627" i="163"/>
  <c r="AX627" i="163"/>
  <c r="AY626" i="163"/>
  <c r="AX626" i="163"/>
  <c r="AT624" i="163"/>
  <c r="AP624" i="163"/>
  <c r="AL624" i="163"/>
  <c r="AH624" i="163"/>
  <c r="AD624" i="163"/>
  <c r="Z624" i="163"/>
  <c r="V624" i="163"/>
  <c r="Q624" i="163"/>
  <c r="M624" i="163"/>
  <c r="I624" i="163"/>
  <c r="E624" i="163"/>
  <c r="AY623" i="163"/>
  <c r="AX623" i="163"/>
  <c r="AY622" i="163"/>
  <c r="AX622" i="163"/>
  <c r="AY621" i="163"/>
  <c r="AX621" i="163"/>
  <c r="AY620" i="163"/>
  <c r="AX620" i="163"/>
  <c r="AY619" i="163"/>
  <c r="AX619" i="163"/>
  <c r="AY618" i="163"/>
  <c r="AX618" i="163"/>
  <c r="AY617" i="163"/>
  <c r="AX617" i="163"/>
  <c r="AT615" i="163"/>
  <c r="AP615" i="163"/>
  <c r="AL615" i="163"/>
  <c r="AH615" i="163"/>
  <c r="AD615" i="163"/>
  <c r="Z615" i="163"/>
  <c r="V615" i="163"/>
  <c r="Q615" i="163"/>
  <c r="M615" i="163"/>
  <c r="I615" i="163"/>
  <c r="E615" i="163"/>
  <c r="AY614" i="163"/>
  <c r="AX614" i="163"/>
  <c r="AY613" i="163"/>
  <c r="AX613" i="163"/>
  <c r="AY612" i="163"/>
  <c r="AX612" i="163"/>
  <c r="AY611" i="163"/>
  <c r="AX611" i="163"/>
  <c r="AY610" i="163"/>
  <c r="AX610" i="163"/>
  <c r="AY609" i="163"/>
  <c r="AX609" i="163"/>
  <c r="AY608" i="163"/>
  <c r="AX608" i="163"/>
  <c r="AT606" i="163"/>
  <c r="AP606" i="163"/>
  <c r="AL606" i="163"/>
  <c r="AH606" i="163"/>
  <c r="AD606" i="163"/>
  <c r="Z606" i="163"/>
  <c r="V606" i="163"/>
  <c r="Q606" i="163"/>
  <c r="M606" i="163"/>
  <c r="I606" i="163"/>
  <c r="E606" i="163"/>
  <c r="AY605" i="163"/>
  <c r="AX605" i="163"/>
  <c r="AY604" i="163"/>
  <c r="AX604" i="163"/>
  <c r="AY603" i="163"/>
  <c r="AX603" i="163"/>
  <c r="AY602" i="163"/>
  <c r="AX602" i="163"/>
  <c r="AY601" i="163"/>
  <c r="AX601" i="163"/>
  <c r="AY600" i="163"/>
  <c r="AX600" i="163"/>
  <c r="AY599" i="163"/>
  <c r="AX599" i="163"/>
  <c r="AT597" i="163"/>
  <c r="AP597" i="163"/>
  <c r="AL597" i="163"/>
  <c r="AH597" i="163"/>
  <c r="AD597" i="163"/>
  <c r="Z597" i="163"/>
  <c r="V597" i="163"/>
  <c r="Q597" i="163"/>
  <c r="M597" i="163"/>
  <c r="I597" i="163"/>
  <c r="E597" i="163"/>
  <c r="AY596" i="163"/>
  <c r="AX596" i="163"/>
  <c r="AY595" i="163"/>
  <c r="AX595" i="163"/>
  <c r="AY594" i="163"/>
  <c r="AX594" i="163"/>
  <c r="AY593" i="163"/>
  <c r="AX593" i="163"/>
  <c r="AY592" i="163"/>
  <c r="AX592" i="163"/>
  <c r="AY591" i="163"/>
  <c r="AX591" i="163"/>
  <c r="AY590" i="163"/>
  <c r="AX590" i="163"/>
  <c r="AT588" i="163"/>
  <c r="AP588" i="163"/>
  <c r="AL588" i="163"/>
  <c r="AH588" i="163"/>
  <c r="AD588" i="163"/>
  <c r="Z588" i="163"/>
  <c r="V588" i="163"/>
  <c r="Q588" i="163"/>
  <c r="M588" i="163"/>
  <c r="I588" i="163"/>
  <c r="E588" i="163"/>
  <c r="AY587" i="163"/>
  <c r="AX587" i="163"/>
  <c r="AY586" i="163"/>
  <c r="AX586" i="163"/>
  <c r="AY585" i="163"/>
  <c r="AX585" i="163"/>
  <c r="AY584" i="163"/>
  <c r="AX584" i="163"/>
  <c r="AY583" i="163"/>
  <c r="AX583" i="163"/>
  <c r="AY582" i="163"/>
  <c r="AX582" i="163"/>
  <c r="AY581" i="163"/>
  <c r="AX581" i="163"/>
  <c r="AT579" i="163"/>
  <c r="AP579" i="163"/>
  <c r="AL579" i="163"/>
  <c r="AH579" i="163"/>
  <c r="AD579" i="163"/>
  <c r="Z579" i="163"/>
  <c r="V579" i="163"/>
  <c r="Q579" i="163"/>
  <c r="M579" i="163"/>
  <c r="I579" i="163"/>
  <c r="E579" i="163"/>
  <c r="AY578" i="163"/>
  <c r="AX578" i="163"/>
  <c r="AY577" i="163"/>
  <c r="AX577" i="163"/>
  <c r="AY576" i="163"/>
  <c r="AX576" i="163"/>
  <c r="AY575" i="163"/>
  <c r="AX575" i="163"/>
  <c r="AY574" i="163"/>
  <c r="AX574" i="163"/>
  <c r="AY573" i="163"/>
  <c r="AX573" i="163"/>
  <c r="AY572" i="163"/>
  <c r="AX572" i="163"/>
  <c r="AT570" i="163"/>
  <c r="AP570" i="163"/>
  <c r="AL570" i="163"/>
  <c r="AH570" i="163"/>
  <c r="AD570" i="163"/>
  <c r="Z570" i="163"/>
  <c r="V570" i="163"/>
  <c r="Q570" i="163"/>
  <c r="M570" i="163"/>
  <c r="I570" i="163"/>
  <c r="E570" i="163"/>
  <c r="AY569" i="163"/>
  <c r="AX569" i="163"/>
  <c r="AY568" i="163"/>
  <c r="AX568" i="163"/>
  <c r="AY567" i="163"/>
  <c r="AX567" i="163"/>
  <c r="AY566" i="163"/>
  <c r="AX566" i="163"/>
  <c r="AY565" i="163"/>
  <c r="AX565" i="163"/>
  <c r="AT563" i="163"/>
  <c r="AP563" i="163"/>
  <c r="AL563" i="163"/>
  <c r="AH563" i="163"/>
  <c r="AD563" i="163"/>
  <c r="Z563" i="163"/>
  <c r="V563" i="163"/>
  <c r="Q563" i="163"/>
  <c r="M563" i="163"/>
  <c r="I563" i="163"/>
  <c r="E563" i="163"/>
  <c r="AY562" i="163"/>
  <c r="AX562" i="163"/>
  <c r="AY561" i="163"/>
  <c r="AX561" i="163"/>
  <c r="AY560" i="163"/>
  <c r="AX560" i="163"/>
  <c r="AY559" i="163"/>
  <c r="AX559" i="163"/>
  <c r="AY558" i="163"/>
  <c r="AX558" i="163"/>
  <c r="AT556" i="163"/>
  <c r="AP556" i="163"/>
  <c r="AL556" i="163"/>
  <c r="AH556" i="163"/>
  <c r="AD556" i="163"/>
  <c r="Z556" i="163"/>
  <c r="V556" i="163"/>
  <c r="Q556" i="163"/>
  <c r="M556" i="163"/>
  <c r="I556" i="163"/>
  <c r="E556" i="163"/>
  <c r="AY555" i="163"/>
  <c r="AX555" i="163"/>
  <c r="AY554" i="163"/>
  <c r="AX554" i="163"/>
  <c r="AY553" i="163"/>
  <c r="AX553" i="163"/>
  <c r="AY552" i="163"/>
  <c r="AX552" i="163"/>
  <c r="AY551" i="163"/>
  <c r="AX551" i="163"/>
  <c r="AT549" i="163"/>
  <c r="AP549" i="163"/>
  <c r="AL549" i="163"/>
  <c r="AH549" i="163"/>
  <c r="AD549" i="163"/>
  <c r="Z549" i="163"/>
  <c r="V549" i="163"/>
  <c r="Q549" i="163"/>
  <c r="M549" i="163"/>
  <c r="I549" i="163"/>
  <c r="E549" i="163"/>
  <c r="AY548" i="163"/>
  <c r="AX548" i="163"/>
  <c r="AY547" i="163"/>
  <c r="AX547" i="163"/>
  <c r="AY546" i="163"/>
  <c r="AX546" i="163"/>
  <c r="AY545" i="163"/>
  <c r="AX545" i="163"/>
  <c r="AY544" i="163"/>
  <c r="AX544" i="163"/>
  <c r="AT542" i="163"/>
  <c r="AP542" i="163"/>
  <c r="AL542" i="163"/>
  <c r="AH542" i="163"/>
  <c r="AD542" i="163"/>
  <c r="Z542" i="163"/>
  <c r="V542" i="163"/>
  <c r="Q542" i="163"/>
  <c r="M542" i="163"/>
  <c r="I542" i="163"/>
  <c r="E542" i="163"/>
  <c r="AY541" i="163"/>
  <c r="AX541" i="163"/>
  <c r="AY540" i="163"/>
  <c r="AX540" i="163"/>
  <c r="AY539" i="163"/>
  <c r="AX539" i="163"/>
  <c r="AY538" i="163"/>
  <c r="AX538" i="163"/>
  <c r="AY537" i="163"/>
  <c r="AX537" i="163"/>
  <c r="A536" i="163"/>
  <c r="A537" i="163" s="1"/>
  <c r="A538" i="163" s="1"/>
  <c r="A539" i="163" s="1"/>
  <c r="A540" i="163" s="1"/>
  <c r="A541" i="163" s="1"/>
  <c r="A542" i="163" s="1"/>
  <c r="AT529" i="163"/>
  <c r="AP529" i="163"/>
  <c r="AL529" i="163"/>
  <c r="AH529" i="163"/>
  <c r="AD529" i="163"/>
  <c r="Z529" i="163"/>
  <c r="V529" i="163"/>
  <c r="Q529" i="163"/>
  <c r="M529" i="163"/>
  <c r="I529" i="163"/>
  <c r="E529" i="163"/>
  <c r="AY528" i="163"/>
  <c r="AX528" i="163"/>
  <c r="AY527" i="163"/>
  <c r="AX527" i="163"/>
  <c r="AY526" i="163"/>
  <c r="AX526" i="163"/>
  <c r="AY525" i="163"/>
  <c r="AX525" i="163"/>
  <c r="AY524" i="163"/>
  <c r="AX524" i="163"/>
  <c r="AY523" i="163"/>
  <c r="AX523" i="163"/>
  <c r="AY522" i="163"/>
  <c r="AX522" i="163"/>
  <c r="AT520" i="163"/>
  <c r="AP520" i="163"/>
  <c r="AL520" i="163"/>
  <c r="AH520" i="163"/>
  <c r="AD520" i="163"/>
  <c r="Z520" i="163"/>
  <c r="V520" i="163"/>
  <c r="Q520" i="163"/>
  <c r="M520" i="163"/>
  <c r="I520" i="163"/>
  <c r="E520" i="163"/>
  <c r="AY519" i="163"/>
  <c r="AX519" i="163"/>
  <c r="AY518" i="163"/>
  <c r="AX518" i="163"/>
  <c r="AY517" i="163"/>
  <c r="AX517" i="163"/>
  <c r="AY516" i="163"/>
  <c r="AX516" i="163"/>
  <c r="AY515" i="163"/>
  <c r="AX515" i="163"/>
  <c r="AY514" i="163"/>
  <c r="AX514" i="163"/>
  <c r="AY513" i="163"/>
  <c r="AX513" i="163"/>
  <c r="AT511" i="163"/>
  <c r="AP511" i="163"/>
  <c r="AL511" i="163"/>
  <c r="AH511" i="163"/>
  <c r="AD511" i="163"/>
  <c r="Z511" i="163"/>
  <c r="V511" i="163"/>
  <c r="Q511" i="163"/>
  <c r="M511" i="163"/>
  <c r="I511" i="163"/>
  <c r="E511" i="163"/>
  <c r="AY510" i="163"/>
  <c r="AX510" i="163"/>
  <c r="AY509" i="163"/>
  <c r="AX509" i="163"/>
  <c r="AY508" i="163"/>
  <c r="AX508" i="163"/>
  <c r="AY507" i="163"/>
  <c r="AX507" i="163"/>
  <c r="AY506" i="163"/>
  <c r="AX506" i="163"/>
  <c r="BG505" i="163"/>
  <c r="AY505" i="163"/>
  <c r="AX505" i="163"/>
  <c r="AY504" i="163"/>
  <c r="AX504" i="163"/>
  <c r="AT502" i="163"/>
  <c r="AP502" i="163"/>
  <c r="AL502" i="163"/>
  <c r="AH502" i="163"/>
  <c r="AD502" i="163"/>
  <c r="Z502" i="163"/>
  <c r="V502" i="163"/>
  <c r="Q502" i="163"/>
  <c r="M502" i="163"/>
  <c r="I502" i="163"/>
  <c r="E502" i="163"/>
  <c r="AY501" i="163"/>
  <c r="AX501" i="163"/>
  <c r="AY500" i="163"/>
  <c r="AX500" i="163"/>
  <c r="AY499" i="163"/>
  <c r="AX499" i="163"/>
  <c r="AY498" i="163"/>
  <c r="AX498" i="163"/>
  <c r="AY497" i="163"/>
  <c r="AX497" i="163"/>
  <c r="AY496" i="163"/>
  <c r="AX496" i="163"/>
  <c r="AY495" i="163"/>
  <c r="AX495" i="163"/>
  <c r="AT493" i="163"/>
  <c r="AP493" i="163"/>
  <c r="AL493" i="163"/>
  <c r="AH493" i="163"/>
  <c r="AD493" i="163"/>
  <c r="Z493" i="163"/>
  <c r="V493" i="163"/>
  <c r="Q493" i="163"/>
  <c r="M493" i="163"/>
  <c r="I493" i="163"/>
  <c r="E493" i="163"/>
  <c r="AY492" i="163"/>
  <c r="AX492" i="163"/>
  <c r="AY491" i="163"/>
  <c r="AX491" i="163"/>
  <c r="AY490" i="163"/>
  <c r="AX490" i="163"/>
  <c r="AY489" i="163"/>
  <c r="AX489" i="163"/>
  <c r="AY488" i="163"/>
  <c r="AX488" i="163"/>
  <c r="AY487" i="163"/>
  <c r="AX487" i="163"/>
  <c r="AY486" i="163"/>
  <c r="AX486" i="163"/>
  <c r="AT484" i="163"/>
  <c r="AP484" i="163"/>
  <c r="AL484" i="163"/>
  <c r="AH484" i="163"/>
  <c r="AD484" i="163"/>
  <c r="Z484" i="163"/>
  <c r="V484" i="163"/>
  <c r="Q484" i="163"/>
  <c r="M484" i="163"/>
  <c r="I484" i="163"/>
  <c r="E484" i="163"/>
  <c r="AY483" i="163"/>
  <c r="AX483" i="163"/>
  <c r="AY482" i="163"/>
  <c r="AX482" i="163"/>
  <c r="AY481" i="163"/>
  <c r="AX481" i="163"/>
  <c r="AY480" i="163"/>
  <c r="AX480" i="163"/>
  <c r="AY479" i="163"/>
  <c r="AX479" i="163"/>
  <c r="AY478" i="163"/>
  <c r="AX478" i="163"/>
  <c r="AY477" i="163"/>
  <c r="AX477" i="163"/>
  <c r="AT475" i="163"/>
  <c r="AP475" i="163"/>
  <c r="AL475" i="163"/>
  <c r="AH475" i="163"/>
  <c r="AD475" i="163"/>
  <c r="Z475" i="163"/>
  <c r="V475" i="163"/>
  <c r="Q475" i="163"/>
  <c r="M475" i="163"/>
  <c r="I475" i="163"/>
  <c r="E475" i="163"/>
  <c r="AY474" i="163"/>
  <c r="AX474" i="163"/>
  <c r="AY473" i="163"/>
  <c r="AX473" i="163"/>
  <c r="AY472" i="163"/>
  <c r="AX472" i="163"/>
  <c r="AY471" i="163"/>
  <c r="AX471" i="163"/>
  <c r="AY470" i="163"/>
  <c r="AX470" i="163"/>
  <c r="AY469" i="163"/>
  <c r="AX469" i="163"/>
  <c r="AY468" i="163"/>
  <c r="AX468" i="163"/>
  <c r="AT466" i="163"/>
  <c r="AP466" i="163"/>
  <c r="AL466" i="163"/>
  <c r="AH466" i="163"/>
  <c r="AD466" i="163"/>
  <c r="Z466" i="163"/>
  <c r="V466" i="163"/>
  <c r="Q466" i="163"/>
  <c r="M466" i="163"/>
  <c r="I466" i="163"/>
  <c r="E466" i="163"/>
  <c r="AY465" i="163"/>
  <c r="AX465" i="163"/>
  <c r="AY464" i="163"/>
  <c r="AX464" i="163"/>
  <c r="AY463" i="163"/>
  <c r="AX463" i="163"/>
  <c r="AY462" i="163"/>
  <c r="AX462" i="163"/>
  <c r="AY461" i="163"/>
  <c r="AX461" i="163"/>
  <c r="AY460" i="163"/>
  <c r="AX460" i="163"/>
  <c r="AY459" i="163"/>
  <c r="AX459" i="163"/>
  <c r="AT457" i="163"/>
  <c r="AP457" i="163"/>
  <c r="AL457" i="163"/>
  <c r="AH457" i="163"/>
  <c r="AD457" i="163"/>
  <c r="Z457" i="163"/>
  <c r="V457" i="163"/>
  <c r="Q457" i="163"/>
  <c r="M457" i="163"/>
  <c r="I457" i="163"/>
  <c r="E457" i="163"/>
  <c r="AY456" i="163"/>
  <c r="AX456" i="163"/>
  <c r="AY455" i="163"/>
  <c r="AX455" i="163"/>
  <c r="AY454" i="163"/>
  <c r="AX454" i="163"/>
  <c r="AY453" i="163"/>
  <c r="AX453" i="163"/>
  <c r="AY452" i="163"/>
  <c r="AX452" i="163"/>
  <c r="AY451" i="163"/>
  <c r="AX451" i="163"/>
  <c r="AY450" i="163"/>
  <c r="AX450" i="163"/>
  <c r="AT448" i="163"/>
  <c r="AP448" i="163"/>
  <c r="AL448" i="163"/>
  <c r="AH448" i="163"/>
  <c r="AD448" i="163"/>
  <c r="Z448" i="163"/>
  <c r="V448" i="163"/>
  <c r="Q448" i="163"/>
  <c r="M448" i="163"/>
  <c r="I448" i="163"/>
  <c r="E448" i="163"/>
  <c r="AY447" i="163"/>
  <c r="AX447" i="163"/>
  <c r="AY446" i="163"/>
  <c r="AX446" i="163"/>
  <c r="AY445" i="163"/>
  <c r="AX445" i="163"/>
  <c r="AY444" i="163"/>
  <c r="AX444" i="163"/>
  <c r="AY443" i="163"/>
  <c r="AX443" i="163"/>
  <c r="AY442" i="163"/>
  <c r="AX442" i="163"/>
  <c r="AY441" i="163"/>
  <c r="AX441" i="163"/>
  <c r="AT439" i="163"/>
  <c r="AP439" i="163"/>
  <c r="AL439" i="163"/>
  <c r="AH439" i="163"/>
  <c r="AD439" i="163"/>
  <c r="Z439" i="163"/>
  <c r="V439" i="163"/>
  <c r="Q439" i="163"/>
  <c r="M439" i="163"/>
  <c r="I439" i="163"/>
  <c r="E439" i="163"/>
  <c r="AY438" i="163"/>
  <c r="AX438" i="163"/>
  <c r="AY437" i="163"/>
  <c r="AX437" i="163"/>
  <c r="AY436" i="163"/>
  <c r="AX436" i="163"/>
  <c r="AY435" i="163"/>
  <c r="AX435" i="163"/>
  <c r="AY434" i="163"/>
  <c r="AX434" i="163"/>
  <c r="AY433" i="163"/>
  <c r="AX433" i="163"/>
  <c r="AY432" i="163"/>
  <c r="AX432" i="163"/>
  <c r="C608" i="163"/>
  <c r="C960" i="163" s="1"/>
  <c r="C1136" i="163" s="1"/>
  <c r="C1312" i="163" s="1"/>
  <c r="C1488" i="163" s="1"/>
  <c r="C1664" i="163" s="1"/>
  <c r="C1840" i="163" s="1"/>
  <c r="AT430" i="163"/>
  <c r="AP430" i="163"/>
  <c r="AL430" i="163"/>
  <c r="AH430" i="163"/>
  <c r="AD430" i="163"/>
  <c r="Z430" i="163"/>
  <c r="V430" i="163"/>
  <c r="Q430" i="163"/>
  <c r="M430" i="163"/>
  <c r="I430" i="163"/>
  <c r="E430" i="163"/>
  <c r="AY429" i="163"/>
  <c r="AX429" i="163"/>
  <c r="AY428" i="163"/>
  <c r="AX428" i="163"/>
  <c r="AY427" i="163"/>
  <c r="AX427" i="163"/>
  <c r="AY426" i="163"/>
  <c r="AX426" i="163"/>
  <c r="AY425" i="163"/>
  <c r="AX425" i="163"/>
  <c r="AY424" i="163"/>
  <c r="AX424" i="163"/>
  <c r="AY423" i="163"/>
  <c r="AX423" i="163"/>
  <c r="AT421" i="163"/>
  <c r="AP421" i="163"/>
  <c r="AL421" i="163"/>
  <c r="AH421" i="163"/>
  <c r="AD421" i="163"/>
  <c r="Z421" i="163"/>
  <c r="V421" i="163"/>
  <c r="Q421" i="163"/>
  <c r="M421" i="163"/>
  <c r="I421" i="163"/>
  <c r="E421" i="163"/>
  <c r="AY420" i="163"/>
  <c r="AX420" i="163"/>
  <c r="AY419" i="163"/>
  <c r="AX419" i="163"/>
  <c r="AY418" i="163"/>
  <c r="AX418" i="163"/>
  <c r="AY417" i="163"/>
  <c r="AX417" i="163"/>
  <c r="AY416" i="163"/>
  <c r="AX416" i="163"/>
  <c r="AY415" i="163"/>
  <c r="AX415" i="163"/>
  <c r="AY414" i="163"/>
  <c r="AX414" i="163"/>
  <c r="AT412" i="163"/>
  <c r="AP412" i="163"/>
  <c r="AL412" i="163"/>
  <c r="AH412" i="163"/>
  <c r="AD412" i="163"/>
  <c r="Z412" i="163"/>
  <c r="V412" i="163"/>
  <c r="Q412" i="163"/>
  <c r="M412" i="163"/>
  <c r="I412" i="163"/>
  <c r="E412" i="163"/>
  <c r="AY411" i="163"/>
  <c r="AX411" i="163"/>
  <c r="AY410" i="163"/>
  <c r="AX410" i="163"/>
  <c r="AY409" i="163"/>
  <c r="AX409" i="163"/>
  <c r="AY408" i="163"/>
  <c r="AX408" i="163"/>
  <c r="AY407" i="163"/>
  <c r="AX407" i="163"/>
  <c r="AY406" i="163"/>
  <c r="AX406" i="163"/>
  <c r="AY405" i="163"/>
  <c r="AX405" i="163"/>
  <c r="AT403" i="163"/>
  <c r="AP403" i="163"/>
  <c r="AL403" i="163"/>
  <c r="AH403" i="163"/>
  <c r="AD403" i="163"/>
  <c r="Z403" i="163"/>
  <c r="V403" i="163"/>
  <c r="Q403" i="163"/>
  <c r="M403" i="163"/>
  <c r="I403" i="163"/>
  <c r="E403" i="163"/>
  <c r="AY402" i="163"/>
  <c r="AX402" i="163"/>
  <c r="AY401" i="163"/>
  <c r="AX401" i="163"/>
  <c r="AY400" i="163"/>
  <c r="AX400" i="163"/>
  <c r="AY399" i="163"/>
  <c r="AX399" i="163"/>
  <c r="AY398" i="163"/>
  <c r="AX398" i="163"/>
  <c r="AY397" i="163"/>
  <c r="AX397" i="163"/>
  <c r="AY396" i="163"/>
  <c r="AX396" i="163"/>
  <c r="AT394" i="163"/>
  <c r="AP394" i="163"/>
  <c r="AL394" i="163"/>
  <c r="AH394" i="163"/>
  <c r="AD394" i="163"/>
  <c r="Z394" i="163"/>
  <c r="V394" i="163"/>
  <c r="Q394" i="163"/>
  <c r="M394" i="163"/>
  <c r="I394" i="163"/>
  <c r="E394" i="163"/>
  <c r="AY393" i="163"/>
  <c r="AX393" i="163"/>
  <c r="AY392" i="163"/>
  <c r="AX392" i="163"/>
  <c r="AY391" i="163"/>
  <c r="AX391" i="163"/>
  <c r="AY390" i="163"/>
  <c r="AX390" i="163"/>
  <c r="AY389" i="163"/>
  <c r="AX389" i="163"/>
  <c r="AT387" i="163"/>
  <c r="AP387" i="163"/>
  <c r="AL387" i="163"/>
  <c r="AH387" i="163"/>
  <c r="AD387" i="163"/>
  <c r="Z387" i="163"/>
  <c r="V387" i="163"/>
  <c r="Q387" i="163"/>
  <c r="M387" i="163"/>
  <c r="I387" i="163"/>
  <c r="E387" i="163"/>
  <c r="AY386" i="163"/>
  <c r="AX386" i="163"/>
  <c r="AY385" i="163"/>
  <c r="AX385" i="163"/>
  <c r="AY384" i="163"/>
  <c r="AX384" i="163"/>
  <c r="AY383" i="163"/>
  <c r="AX383" i="163"/>
  <c r="AY382" i="163"/>
  <c r="AX382" i="163"/>
  <c r="AT380" i="163"/>
  <c r="AP380" i="163"/>
  <c r="AL380" i="163"/>
  <c r="AH380" i="163"/>
  <c r="AD380" i="163"/>
  <c r="Z380" i="163"/>
  <c r="V380" i="163"/>
  <c r="Q380" i="163"/>
  <c r="M380" i="163"/>
  <c r="I380" i="163"/>
  <c r="E380" i="163"/>
  <c r="AY379" i="163"/>
  <c r="AX379" i="163"/>
  <c r="AY378" i="163"/>
  <c r="AX378" i="163"/>
  <c r="AY377" i="163"/>
  <c r="AX377" i="163"/>
  <c r="AY376" i="163"/>
  <c r="AX376" i="163"/>
  <c r="AY375" i="163"/>
  <c r="AX375" i="163"/>
  <c r="C551" i="163"/>
  <c r="C727" i="163" s="1"/>
  <c r="C903" i="163" s="1"/>
  <c r="C1079" i="163" s="1"/>
  <c r="C1255" i="163" s="1"/>
  <c r="C1431" i="163" s="1"/>
  <c r="C1607" i="163" s="1"/>
  <c r="C1783" i="163" s="1"/>
  <c r="AT373" i="163"/>
  <c r="AP373" i="163"/>
  <c r="AL373" i="163"/>
  <c r="AH373" i="163"/>
  <c r="AD373" i="163"/>
  <c r="Z373" i="163"/>
  <c r="V373" i="163"/>
  <c r="Q373" i="163"/>
  <c r="M373" i="163"/>
  <c r="I373" i="163"/>
  <c r="E373" i="163"/>
  <c r="AY372" i="163"/>
  <c r="AX372" i="163"/>
  <c r="AY371" i="163"/>
  <c r="AX371" i="163"/>
  <c r="AY370" i="163"/>
  <c r="AX370" i="163"/>
  <c r="AY369" i="163"/>
  <c r="AX369" i="163"/>
  <c r="AY368" i="163"/>
  <c r="AX368" i="163"/>
  <c r="C544" i="163"/>
  <c r="C720" i="163" s="1"/>
  <c r="C896" i="163" s="1"/>
  <c r="C1072" i="163" s="1"/>
  <c r="C1248" i="163" s="1"/>
  <c r="C1424" i="163" s="1"/>
  <c r="C1600" i="163" s="1"/>
  <c r="C1776" i="163" s="1"/>
  <c r="AT366" i="163"/>
  <c r="AP366" i="163"/>
  <c r="AL366" i="163"/>
  <c r="AH366" i="163"/>
  <c r="AD366" i="163"/>
  <c r="Z366" i="163"/>
  <c r="V366" i="163"/>
  <c r="Q366" i="163"/>
  <c r="M366" i="163"/>
  <c r="I366" i="163"/>
  <c r="E366" i="163"/>
  <c r="AY365" i="163"/>
  <c r="AX365" i="163"/>
  <c r="AY364" i="163"/>
  <c r="AX364" i="163"/>
  <c r="AY363" i="163"/>
  <c r="AX363" i="163"/>
  <c r="AY362" i="163"/>
  <c r="AX362" i="163"/>
  <c r="AY361" i="163"/>
  <c r="AX361" i="163"/>
  <c r="A360" i="163"/>
  <c r="A381" i="163" s="1"/>
  <c r="A389" i="163" s="1"/>
  <c r="A390" i="163" s="1"/>
  <c r="A391" i="163" s="1"/>
  <c r="A392" i="163" s="1"/>
  <c r="A393" i="163" s="1"/>
  <c r="A394" i="163" s="1"/>
  <c r="AT353" i="163"/>
  <c r="AP353" i="163"/>
  <c r="AL353" i="163"/>
  <c r="AH353" i="163"/>
  <c r="AD353" i="163"/>
  <c r="Z353" i="163"/>
  <c r="V353" i="163"/>
  <c r="Q353" i="163"/>
  <c r="M353" i="163"/>
  <c r="I353" i="163"/>
  <c r="E353" i="163"/>
  <c r="AY352" i="163"/>
  <c r="AX352" i="163"/>
  <c r="C352" i="163"/>
  <c r="C528" i="163" s="1"/>
  <c r="C880" i="163" s="1"/>
  <c r="C1056" i="163" s="1"/>
  <c r="C1232" i="163" s="1"/>
  <c r="C1408" i="163" s="1"/>
  <c r="C1584" i="163" s="1"/>
  <c r="C1760" i="163" s="1"/>
  <c r="C1936" i="163" s="1"/>
  <c r="AY351" i="163"/>
  <c r="AX351" i="163"/>
  <c r="C351" i="163"/>
  <c r="C527" i="163" s="1"/>
  <c r="C879" i="163" s="1"/>
  <c r="C1055" i="163" s="1"/>
  <c r="C1231" i="163" s="1"/>
  <c r="C1407" i="163" s="1"/>
  <c r="C1583" i="163" s="1"/>
  <c r="C1759" i="163" s="1"/>
  <c r="C1935" i="163" s="1"/>
  <c r="AY350" i="163"/>
  <c r="AX350" i="163"/>
  <c r="C350" i="163"/>
  <c r="C526" i="163" s="1"/>
  <c r="C878" i="163" s="1"/>
  <c r="C1054" i="163" s="1"/>
  <c r="C1230" i="163" s="1"/>
  <c r="C1406" i="163" s="1"/>
  <c r="C1582" i="163" s="1"/>
  <c r="C1758" i="163" s="1"/>
  <c r="C1934" i="163" s="1"/>
  <c r="AY349" i="163"/>
  <c r="AX349" i="163"/>
  <c r="C349" i="163"/>
  <c r="C525" i="163" s="1"/>
  <c r="C877" i="163" s="1"/>
  <c r="C1053" i="163" s="1"/>
  <c r="C1229" i="163" s="1"/>
  <c r="C1405" i="163" s="1"/>
  <c r="C1581" i="163" s="1"/>
  <c r="C1757" i="163" s="1"/>
  <c r="C1933" i="163" s="1"/>
  <c r="AY348" i="163"/>
  <c r="AX348" i="163"/>
  <c r="C348" i="163"/>
  <c r="C524" i="163" s="1"/>
  <c r="C876" i="163" s="1"/>
  <c r="C1052" i="163" s="1"/>
  <c r="C1228" i="163" s="1"/>
  <c r="C1404" i="163" s="1"/>
  <c r="C1580" i="163" s="1"/>
  <c r="C1756" i="163" s="1"/>
  <c r="C1932" i="163" s="1"/>
  <c r="AY347" i="163"/>
  <c r="AX347" i="163"/>
  <c r="C347" i="163"/>
  <c r="C523" i="163" s="1"/>
  <c r="C875" i="163" s="1"/>
  <c r="C1051" i="163" s="1"/>
  <c r="C1227" i="163" s="1"/>
  <c r="C1403" i="163" s="1"/>
  <c r="C1579" i="163" s="1"/>
  <c r="C1755" i="163" s="1"/>
  <c r="C1931" i="163" s="1"/>
  <c r="AY346" i="163"/>
  <c r="AX346" i="163"/>
  <c r="D346" i="163"/>
  <c r="C346" i="163"/>
  <c r="C522" i="163" s="1"/>
  <c r="C874" i="163" s="1"/>
  <c r="C1050" i="163" s="1"/>
  <c r="C1226" i="163" s="1"/>
  <c r="C1402" i="163" s="1"/>
  <c r="C1578" i="163" s="1"/>
  <c r="C1754" i="163" s="1"/>
  <c r="C1930" i="163" s="1"/>
  <c r="B346" i="163"/>
  <c r="BA345" i="163" s="1"/>
  <c r="AT344" i="163"/>
  <c r="AP344" i="163"/>
  <c r="AL344" i="163"/>
  <c r="AH344" i="163"/>
  <c r="AD344" i="163"/>
  <c r="Z344" i="163"/>
  <c r="V344" i="163"/>
  <c r="Q344" i="163"/>
  <c r="M344" i="163"/>
  <c r="I344" i="163"/>
  <c r="E344" i="163"/>
  <c r="AY343" i="163"/>
  <c r="AX343" i="163"/>
  <c r="C343" i="163"/>
  <c r="C519" i="163" s="1"/>
  <c r="C695" i="163" s="1"/>
  <c r="C871" i="163" s="1"/>
  <c r="C1047" i="163" s="1"/>
  <c r="C1223" i="163" s="1"/>
  <c r="C1399" i="163" s="1"/>
  <c r="C1575" i="163" s="1"/>
  <c r="C1751" i="163" s="1"/>
  <c r="C1927" i="163" s="1"/>
  <c r="AY342" i="163"/>
  <c r="AX342" i="163"/>
  <c r="C342" i="163"/>
  <c r="C518" i="163" s="1"/>
  <c r="C694" i="163" s="1"/>
  <c r="C870" i="163" s="1"/>
  <c r="C1046" i="163" s="1"/>
  <c r="C1222" i="163" s="1"/>
  <c r="C1398" i="163" s="1"/>
  <c r="C1574" i="163" s="1"/>
  <c r="C1750" i="163" s="1"/>
  <c r="C1926" i="163" s="1"/>
  <c r="AY341" i="163"/>
  <c r="AX341" i="163"/>
  <c r="C341" i="163"/>
  <c r="C517" i="163" s="1"/>
  <c r="C869" i="163" s="1"/>
  <c r="C1045" i="163" s="1"/>
  <c r="C1221" i="163" s="1"/>
  <c r="C1397" i="163" s="1"/>
  <c r="C1573" i="163" s="1"/>
  <c r="C1749" i="163" s="1"/>
  <c r="C1925" i="163" s="1"/>
  <c r="AY340" i="163"/>
  <c r="AX340" i="163"/>
  <c r="C340" i="163"/>
  <c r="C516" i="163" s="1"/>
  <c r="C868" i="163" s="1"/>
  <c r="C1044" i="163" s="1"/>
  <c r="C1220" i="163" s="1"/>
  <c r="C1396" i="163" s="1"/>
  <c r="C1572" i="163" s="1"/>
  <c r="C1748" i="163" s="1"/>
  <c r="C1924" i="163" s="1"/>
  <c r="AY339" i="163"/>
  <c r="AX339" i="163"/>
  <c r="C339" i="163"/>
  <c r="C515" i="163" s="1"/>
  <c r="C867" i="163" s="1"/>
  <c r="C1043" i="163" s="1"/>
  <c r="C1219" i="163" s="1"/>
  <c r="C1395" i="163" s="1"/>
  <c r="C1571" i="163" s="1"/>
  <c r="C1747" i="163" s="1"/>
  <c r="C1923" i="163" s="1"/>
  <c r="AY338" i="163"/>
  <c r="AX338" i="163"/>
  <c r="C338" i="163"/>
  <c r="C514" i="163" s="1"/>
  <c r="C866" i="163" s="1"/>
  <c r="C1042" i="163" s="1"/>
  <c r="C1218" i="163" s="1"/>
  <c r="C1394" i="163" s="1"/>
  <c r="C1570" i="163" s="1"/>
  <c r="C1746" i="163" s="1"/>
  <c r="C1922" i="163" s="1"/>
  <c r="AY337" i="163"/>
  <c r="AX337" i="163"/>
  <c r="D337" i="163"/>
  <c r="D338" i="163" s="1"/>
  <c r="C337" i="163"/>
  <c r="C513" i="163" s="1"/>
  <c r="C865" i="163" s="1"/>
  <c r="C1041" i="163" s="1"/>
  <c r="C1217" i="163" s="1"/>
  <c r="C1393" i="163" s="1"/>
  <c r="C1569" i="163" s="1"/>
  <c r="C1745" i="163" s="1"/>
  <c r="C1921" i="163" s="1"/>
  <c r="B337" i="163"/>
  <c r="AT335" i="163"/>
  <c r="AP335" i="163"/>
  <c r="AL335" i="163"/>
  <c r="AH335" i="163"/>
  <c r="AD335" i="163"/>
  <c r="Z335" i="163"/>
  <c r="V335" i="163"/>
  <c r="Q335" i="163"/>
  <c r="M335" i="163"/>
  <c r="I335" i="163"/>
  <c r="E335" i="163"/>
  <c r="AY334" i="163"/>
  <c r="AX334" i="163"/>
  <c r="C334" i="163"/>
  <c r="C510" i="163" s="1"/>
  <c r="C686" i="163" s="1"/>
  <c r="C862" i="163" s="1"/>
  <c r="C1038" i="163" s="1"/>
  <c r="C1214" i="163" s="1"/>
  <c r="C1390" i="163" s="1"/>
  <c r="C1566" i="163" s="1"/>
  <c r="C1742" i="163" s="1"/>
  <c r="C1918" i="163" s="1"/>
  <c r="AY333" i="163"/>
  <c r="AX333" i="163"/>
  <c r="C333" i="163"/>
  <c r="C509" i="163" s="1"/>
  <c r="C685" i="163" s="1"/>
  <c r="C861" i="163" s="1"/>
  <c r="C1037" i="163" s="1"/>
  <c r="C1213" i="163" s="1"/>
  <c r="C1389" i="163" s="1"/>
  <c r="C1565" i="163" s="1"/>
  <c r="C1741" i="163" s="1"/>
  <c r="C1917" i="163" s="1"/>
  <c r="AY332" i="163"/>
  <c r="AX332" i="163"/>
  <c r="C332" i="163"/>
  <c r="C508" i="163" s="1"/>
  <c r="C860" i="163" s="1"/>
  <c r="C1036" i="163" s="1"/>
  <c r="C1388" i="163" s="1"/>
  <c r="C1564" i="163" s="1"/>
  <c r="C1740" i="163" s="1"/>
  <c r="C1916" i="163" s="1"/>
  <c r="AY331" i="163"/>
  <c r="AX331" i="163"/>
  <c r="C331" i="163"/>
  <c r="C507" i="163" s="1"/>
  <c r="C1035" i="163" s="1"/>
  <c r="C1211" i="163" s="1"/>
  <c r="C1387" i="163" s="1"/>
  <c r="C1563" i="163" s="1"/>
  <c r="C1739" i="163" s="1"/>
  <c r="C1915" i="163" s="1"/>
  <c r="AY330" i="163"/>
  <c r="AX330" i="163"/>
  <c r="C330" i="163"/>
  <c r="C506" i="163" s="1"/>
  <c r="C858" i="163" s="1"/>
  <c r="C1034" i="163" s="1"/>
  <c r="C1210" i="163" s="1"/>
  <c r="C1386" i="163" s="1"/>
  <c r="C1562" i="163" s="1"/>
  <c r="C1738" i="163" s="1"/>
  <c r="C1914" i="163" s="1"/>
  <c r="BG329" i="163"/>
  <c r="AY329" i="163"/>
  <c r="AX329" i="163"/>
  <c r="C329" i="163"/>
  <c r="C505" i="163" s="1"/>
  <c r="C857" i="163" s="1"/>
  <c r="C1033" i="163" s="1"/>
  <c r="C1209" i="163" s="1"/>
  <c r="C1385" i="163" s="1"/>
  <c r="C1561" i="163" s="1"/>
  <c r="C1737" i="163" s="1"/>
  <c r="C1913" i="163" s="1"/>
  <c r="AY328" i="163"/>
  <c r="AX328" i="163"/>
  <c r="D328" i="163"/>
  <c r="D329" i="163" s="1"/>
  <c r="D330" i="163" s="1"/>
  <c r="D331" i="163" s="1"/>
  <c r="D332" i="163" s="1"/>
  <c r="D333" i="163" s="1"/>
  <c r="C328" i="163"/>
  <c r="C504" i="163" s="1"/>
  <c r="C856" i="163" s="1"/>
  <c r="C1032" i="163" s="1"/>
  <c r="C1208" i="163" s="1"/>
  <c r="C1384" i="163" s="1"/>
  <c r="C1560" i="163" s="1"/>
  <c r="C1736" i="163" s="1"/>
  <c r="C1912" i="163" s="1"/>
  <c r="B328" i="163"/>
  <c r="B327" i="163" s="1"/>
  <c r="AT326" i="163"/>
  <c r="AP326" i="163"/>
  <c r="AL326" i="163"/>
  <c r="AH326" i="163"/>
  <c r="AD326" i="163"/>
  <c r="Z326" i="163"/>
  <c r="V326" i="163"/>
  <c r="Q326" i="163"/>
  <c r="M326" i="163"/>
  <c r="I326" i="163"/>
  <c r="E326" i="163"/>
  <c r="AY325" i="163"/>
  <c r="AX325" i="163"/>
  <c r="C325" i="163"/>
  <c r="C501" i="163" s="1"/>
  <c r="C677" i="163" s="1"/>
  <c r="C853" i="163" s="1"/>
  <c r="C1029" i="163" s="1"/>
  <c r="C1205" i="163" s="1"/>
  <c r="C1381" i="163" s="1"/>
  <c r="C1557" i="163" s="1"/>
  <c r="C1733" i="163" s="1"/>
  <c r="C1909" i="163" s="1"/>
  <c r="AY324" i="163"/>
  <c r="AX324" i="163"/>
  <c r="C324" i="163"/>
  <c r="C500" i="163" s="1"/>
  <c r="C676" i="163" s="1"/>
  <c r="C852" i="163" s="1"/>
  <c r="C1028" i="163" s="1"/>
  <c r="C1204" i="163" s="1"/>
  <c r="C1380" i="163" s="1"/>
  <c r="C1556" i="163" s="1"/>
  <c r="C1732" i="163" s="1"/>
  <c r="C1908" i="163" s="1"/>
  <c r="AY323" i="163"/>
  <c r="AX323" i="163"/>
  <c r="C323" i="163"/>
  <c r="C499" i="163" s="1"/>
  <c r="C675" i="163" s="1"/>
  <c r="C851" i="163" s="1"/>
  <c r="C1027" i="163" s="1"/>
  <c r="C1203" i="163" s="1"/>
  <c r="C1379" i="163" s="1"/>
  <c r="C1555" i="163" s="1"/>
  <c r="C1731" i="163" s="1"/>
  <c r="C1907" i="163" s="1"/>
  <c r="AY322" i="163"/>
  <c r="AX322" i="163"/>
  <c r="C322" i="163"/>
  <c r="C498" i="163" s="1"/>
  <c r="C850" i="163" s="1"/>
  <c r="C1026" i="163" s="1"/>
  <c r="C1202" i="163" s="1"/>
  <c r="C1378" i="163" s="1"/>
  <c r="C1554" i="163" s="1"/>
  <c r="C1730" i="163" s="1"/>
  <c r="C1906" i="163" s="1"/>
  <c r="AY321" i="163"/>
  <c r="AX321" i="163"/>
  <c r="C321" i="163"/>
  <c r="C497" i="163" s="1"/>
  <c r="C849" i="163" s="1"/>
  <c r="C1025" i="163" s="1"/>
  <c r="C1201" i="163" s="1"/>
  <c r="C1377" i="163" s="1"/>
  <c r="C1553" i="163" s="1"/>
  <c r="C1729" i="163" s="1"/>
  <c r="C1905" i="163" s="1"/>
  <c r="AY320" i="163"/>
  <c r="AX320" i="163"/>
  <c r="C320" i="163"/>
  <c r="C496" i="163" s="1"/>
  <c r="C848" i="163" s="1"/>
  <c r="C1024" i="163" s="1"/>
  <c r="C1200" i="163" s="1"/>
  <c r="C1376" i="163" s="1"/>
  <c r="C1552" i="163" s="1"/>
  <c r="C1728" i="163" s="1"/>
  <c r="C1904" i="163" s="1"/>
  <c r="AY319" i="163"/>
  <c r="AX319" i="163"/>
  <c r="D319" i="163"/>
  <c r="D320" i="163" s="1"/>
  <c r="C319" i="163"/>
  <c r="C495" i="163" s="1"/>
  <c r="C847" i="163" s="1"/>
  <c r="C1023" i="163" s="1"/>
  <c r="C1199" i="163" s="1"/>
  <c r="C1375" i="163" s="1"/>
  <c r="C1551" i="163" s="1"/>
  <c r="C1727" i="163" s="1"/>
  <c r="C1903" i="163" s="1"/>
  <c r="B319" i="163"/>
  <c r="B326" i="163" s="1"/>
  <c r="AT317" i="163"/>
  <c r="AP317" i="163"/>
  <c r="AL317" i="163"/>
  <c r="AH317" i="163"/>
  <c r="AD317" i="163"/>
  <c r="Z317" i="163"/>
  <c r="V317" i="163"/>
  <c r="Q317" i="163"/>
  <c r="M317" i="163"/>
  <c r="I317" i="163"/>
  <c r="E317" i="163"/>
  <c r="AY316" i="163"/>
  <c r="AX316" i="163"/>
  <c r="C316" i="163"/>
  <c r="C492" i="163" s="1"/>
  <c r="C668" i="163" s="1"/>
  <c r="C844" i="163" s="1"/>
  <c r="C1020" i="163" s="1"/>
  <c r="C1196" i="163" s="1"/>
  <c r="C1372" i="163" s="1"/>
  <c r="C1548" i="163" s="1"/>
  <c r="C1724" i="163" s="1"/>
  <c r="C1900" i="163" s="1"/>
  <c r="AY315" i="163"/>
  <c r="AX315" i="163"/>
  <c r="C315" i="163"/>
  <c r="C491" i="163" s="1"/>
  <c r="C667" i="163" s="1"/>
  <c r="C843" i="163" s="1"/>
  <c r="C1019" i="163" s="1"/>
  <c r="C1195" i="163" s="1"/>
  <c r="C1371" i="163" s="1"/>
  <c r="C1547" i="163" s="1"/>
  <c r="C1723" i="163" s="1"/>
  <c r="C1899" i="163" s="1"/>
  <c r="AY314" i="163"/>
  <c r="AX314" i="163"/>
  <c r="C314" i="163"/>
  <c r="C490" i="163" s="1"/>
  <c r="C666" i="163" s="1"/>
  <c r="C842" i="163" s="1"/>
  <c r="C1018" i="163" s="1"/>
  <c r="C1194" i="163" s="1"/>
  <c r="C1370" i="163" s="1"/>
  <c r="C1546" i="163" s="1"/>
  <c r="C1722" i="163" s="1"/>
  <c r="C1898" i="163" s="1"/>
  <c r="AY313" i="163"/>
  <c r="AX313" i="163"/>
  <c r="C313" i="163"/>
  <c r="C489" i="163" s="1"/>
  <c r="C665" i="163" s="1"/>
  <c r="C841" i="163" s="1"/>
  <c r="C1017" i="163" s="1"/>
  <c r="C1193" i="163" s="1"/>
  <c r="C1369" i="163" s="1"/>
  <c r="C1545" i="163" s="1"/>
  <c r="C1721" i="163" s="1"/>
  <c r="C1897" i="163" s="1"/>
  <c r="AY312" i="163"/>
  <c r="AX312" i="163"/>
  <c r="C312" i="163"/>
  <c r="C488" i="163" s="1"/>
  <c r="C664" i="163" s="1"/>
  <c r="C840" i="163" s="1"/>
  <c r="C1016" i="163" s="1"/>
  <c r="C1192" i="163" s="1"/>
  <c r="C1368" i="163" s="1"/>
  <c r="C1544" i="163" s="1"/>
  <c r="C1720" i="163" s="1"/>
  <c r="C1896" i="163" s="1"/>
  <c r="AY311" i="163"/>
  <c r="AX311" i="163"/>
  <c r="C311" i="163"/>
  <c r="C487" i="163" s="1"/>
  <c r="C663" i="163" s="1"/>
  <c r="C839" i="163" s="1"/>
  <c r="C1015" i="163" s="1"/>
  <c r="C1191" i="163" s="1"/>
  <c r="C1367" i="163" s="1"/>
  <c r="C1543" i="163" s="1"/>
  <c r="C1719" i="163" s="1"/>
  <c r="C1895" i="163" s="1"/>
  <c r="AY310" i="163"/>
  <c r="AX310" i="163"/>
  <c r="D310" i="163"/>
  <c r="D486" i="163" s="1"/>
  <c r="C310" i="163"/>
  <c r="C486" i="163" s="1"/>
  <c r="B310" i="163"/>
  <c r="B309" i="163" s="1"/>
  <c r="AT308" i="163"/>
  <c r="AP308" i="163"/>
  <c r="AL308" i="163"/>
  <c r="AH308" i="163"/>
  <c r="AD308" i="163"/>
  <c r="Z308" i="163"/>
  <c r="V308" i="163"/>
  <c r="Q308" i="163"/>
  <c r="M308" i="163"/>
  <c r="I308" i="163"/>
  <c r="E308" i="163"/>
  <c r="AY307" i="163"/>
  <c r="AX307" i="163"/>
  <c r="C307" i="163"/>
  <c r="C483" i="163" s="1"/>
  <c r="C659" i="163" s="1"/>
  <c r="C835" i="163" s="1"/>
  <c r="C1011" i="163" s="1"/>
  <c r="C1187" i="163" s="1"/>
  <c r="C1363" i="163" s="1"/>
  <c r="C1539" i="163" s="1"/>
  <c r="C1715" i="163" s="1"/>
  <c r="C1891" i="163" s="1"/>
  <c r="AY306" i="163"/>
  <c r="AX306" i="163"/>
  <c r="C306" i="163"/>
  <c r="C482" i="163" s="1"/>
  <c r="C658" i="163" s="1"/>
  <c r="C834" i="163" s="1"/>
  <c r="C1010" i="163" s="1"/>
  <c r="C1186" i="163" s="1"/>
  <c r="C1362" i="163" s="1"/>
  <c r="C1538" i="163" s="1"/>
  <c r="C1714" i="163" s="1"/>
  <c r="C1890" i="163" s="1"/>
  <c r="AY305" i="163"/>
  <c r="AX305" i="163"/>
  <c r="C305" i="163"/>
  <c r="C481" i="163" s="1"/>
  <c r="C657" i="163" s="1"/>
  <c r="C833" i="163" s="1"/>
  <c r="C1009" i="163" s="1"/>
  <c r="C1185" i="163" s="1"/>
  <c r="C1361" i="163" s="1"/>
  <c r="C1537" i="163" s="1"/>
  <c r="C1713" i="163" s="1"/>
  <c r="C1889" i="163" s="1"/>
  <c r="AY304" i="163"/>
  <c r="AX304" i="163"/>
  <c r="C304" i="163"/>
  <c r="C480" i="163" s="1"/>
  <c r="AY303" i="163"/>
  <c r="AX303" i="163"/>
  <c r="C303" i="163"/>
  <c r="C479" i="163" s="1"/>
  <c r="AY302" i="163"/>
  <c r="AX302" i="163"/>
  <c r="C302" i="163"/>
  <c r="C478" i="163" s="1"/>
  <c r="AY301" i="163"/>
  <c r="AX301" i="163"/>
  <c r="D301" i="163"/>
  <c r="C301" i="163"/>
  <c r="C477" i="163" s="1"/>
  <c r="B301" i="163"/>
  <c r="B302" i="163" s="1"/>
  <c r="B303" i="163" s="1"/>
  <c r="B304" i="163" s="1"/>
  <c r="B305" i="163" s="1"/>
  <c r="B306" i="163" s="1"/>
  <c r="B307" i="163" s="1"/>
  <c r="AT299" i="163"/>
  <c r="AP299" i="163"/>
  <c r="AL299" i="163"/>
  <c r="AH299" i="163"/>
  <c r="AD299" i="163"/>
  <c r="Z299" i="163"/>
  <c r="V299" i="163"/>
  <c r="Q299" i="163"/>
  <c r="M299" i="163"/>
  <c r="I299" i="163"/>
  <c r="E299" i="163"/>
  <c r="AY298" i="163"/>
  <c r="AX298" i="163"/>
  <c r="C298" i="163"/>
  <c r="C474" i="163" s="1"/>
  <c r="C650" i="163" s="1"/>
  <c r="C826" i="163" s="1"/>
  <c r="C1002" i="163" s="1"/>
  <c r="C1178" i="163" s="1"/>
  <c r="C1354" i="163" s="1"/>
  <c r="C1530" i="163" s="1"/>
  <c r="C1706" i="163" s="1"/>
  <c r="C1882" i="163" s="1"/>
  <c r="AY297" i="163"/>
  <c r="AX297" i="163"/>
  <c r="C297" i="163"/>
  <c r="C473" i="163" s="1"/>
  <c r="C649" i="163" s="1"/>
  <c r="C825" i="163" s="1"/>
  <c r="C1001" i="163" s="1"/>
  <c r="C1177" i="163" s="1"/>
  <c r="C1353" i="163" s="1"/>
  <c r="C1529" i="163" s="1"/>
  <c r="C1705" i="163" s="1"/>
  <c r="C1881" i="163" s="1"/>
  <c r="AY296" i="163"/>
  <c r="AX296" i="163"/>
  <c r="C296" i="163"/>
  <c r="C472" i="163" s="1"/>
  <c r="C648" i="163" s="1"/>
  <c r="C824" i="163" s="1"/>
  <c r="C1000" i="163" s="1"/>
  <c r="C1176" i="163" s="1"/>
  <c r="C1352" i="163" s="1"/>
  <c r="C1528" i="163" s="1"/>
  <c r="C1704" i="163" s="1"/>
  <c r="C1880" i="163" s="1"/>
  <c r="AY295" i="163"/>
  <c r="AX295" i="163"/>
  <c r="C295" i="163"/>
  <c r="C471" i="163" s="1"/>
  <c r="C647" i="163" s="1"/>
  <c r="C823" i="163" s="1"/>
  <c r="C999" i="163" s="1"/>
  <c r="C1175" i="163" s="1"/>
  <c r="C1351" i="163" s="1"/>
  <c r="C1527" i="163" s="1"/>
  <c r="C1703" i="163" s="1"/>
  <c r="C1879" i="163" s="1"/>
  <c r="AY294" i="163"/>
  <c r="AX294" i="163"/>
  <c r="C294" i="163"/>
  <c r="C470" i="163" s="1"/>
  <c r="C646" i="163" s="1"/>
  <c r="C822" i="163" s="1"/>
  <c r="C998" i="163" s="1"/>
  <c r="C1174" i="163" s="1"/>
  <c r="C1350" i="163" s="1"/>
  <c r="C1526" i="163" s="1"/>
  <c r="C1702" i="163" s="1"/>
  <c r="C1878" i="163" s="1"/>
  <c r="AY293" i="163"/>
  <c r="AX293" i="163"/>
  <c r="C293" i="163"/>
  <c r="C469" i="163" s="1"/>
  <c r="C645" i="163" s="1"/>
  <c r="C821" i="163" s="1"/>
  <c r="C997" i="163" s="1"/>
  <c r="C1173" i="163" s="1"/>
  <c r="C1349" i="163" s="1"/>
  <c r="C1525" i="163" s="1"/>
  <c r="C1701" i="163" s="1"/>
  <c r="C1877" i="163" s="1"/>
  <c r="AY292" i="163"/>
  <c r="AX292" i="163"/>
  <c r="D292" i="163"/>
  <c r="C292" i="163"/>
  <c r="C468" i="163" s="1"/>
  <c r="B292" i="163"/>
  <c r="BA291" i="163" s="1"/>
  <c r="AT290" i="163"/>
  <c r="AP290" i="163"/>
  <c r="AL290" i="163"/>
  <c r="AH290" i="163"/>
  <c r="AD290" i="163"/>
  <c r="Z290" i="163"/>
  <c r="V290" i="163"/>
  <c r="Q290" i="163"/>
  <c r="M290" i="163"/>
  <c r="I290" i="163"/>
  <c r="E290" i="163"/>
  <c r="AY289" i="163"/>
  <c r="AX289" i="163"/>
  <c r="C289" i="163"/>
  <c r="C465" i="163" s="1"/>
  <c r="C641" i="163" s="1"/>
  <c r="C817" i="163" s="1"/>
  <c r="C993" i="163" s="1"/>
  <c r="C1169" i="163" s="1"/>
  <c r="C1345" i="163" s="1"/>
  <c r="C1521" i="163" s="1"/>
  <c r="C1697" i="163" s="1"/>
  <c r="C1873" i="163" s="1"/>
  <c r="AY288" i="163"/>
  <c r="AX288" i="163"/>
  <c r="C288" i="163"/>
  <c r="C464" i="163" s="1"/>
  <c r="C640" i="163" s="1"/>
  <c r="C816" i="163" s="1"/>
  <c r="C992" i="163" s="1"/>
  <c r="C1168" i="163" s="1"/>
  <c r="C1344" i="163" s="1"/>
  <c r="C1520" i="163" s="1"/>
  <c r="C1696" i="163" s="1"/>
  <c r="C1872" i="163" s="1"/>
  <c r="AY287" i="163"/>
  <c r="AX287" i="163"/>
  <c r="C287" i="163"/>
  <c r="C463" i="163" s="1"/>
  <c r="AY286" i="163"/>
  <c r="AX286" i="163"/>
  <c r="C286" i="163"/>
  <c r="C462" i="163" s="1"/>
  <c r="AY285" i="163"/>
  <c r="AX285" i="163"/>
  <c r="C285" i="163"/>
  <c r="C461" i="163" s="1"/>
  <c r="AY284" i="163"/>
  <c r="AX284" i="163"/>
  <c r="C284" i="163"/>
  <c r="C460" i="163" s="1"/>
  <c r="AY283" i="163"/>
  <c r="AX283" i="163"/>
  <c r="D283" i="163"/>
  <c r="D459" i="163" s="1"/>
  <c r="C283" i="163"/>
  <c r="C459" i="163" s="1"/>
  <c r="B283" i="163"/>
  <c r="B290" i="163" s="1"/>
  <c r="AT281" i="163"/>
  <c r="AP281" i="163"/>
  <c r="AL281" i="163"/>
  <c r="AH281" i="163"/>
  <c r="AD281" i="163"/>
  <c r="Z281" i="163"/>
  <c r="V281" i="163"/>
  <c r="Q281" i="163"/>
  <c r="M281" i="163"/>
  <c r="I281" i="163"/>
  <c r="E281" i="163"/>
  <c r="AY280" i="163"/>
  <c r="AX280" i="163"/>
  <c r="C280" i="163"/>
  <c r="C456" i="163" s="1"/>
  <c r="C632" i="163" s="1"/>
  <c r="C808" i="163" s="1"/>
  <c r="C984" i="163" s="1"/>
  <c r="C1160" i="163" s="1"/>
  <c r="C1336" i="163" s="1"/>
  <c r="C1512" i="163" s="1"/>
  <c r="C1688" i="163" s="1"/>
  <c r="C1864" i="163" s="1"/>
  <c r="AY279" i="163"/>
  <c r="AX279" i="163"/>
  <c r="C279" i="163"/>
  <c r="C455" i="163" s="1"/>
  <c r="C631" i="163" s="1"/>
  <c r="C807" i="163" s="1"/>
  <c r="C983" i="163" s="1"/>
  <c r="C1159" i="163" s="1"/>
  <c r="C1335" i="163" s="1"/>
  <c r="C1511" i="163" s="1"/>
  <c r="C1687" i="163" s="1"/>
  <c r="C1863" i="163" s="1"/>
  <c r="AY278" i="163"/>
  <c r="AX278" i="163"/>
  <c r="C278" i="163"/>
  <c r="C454" i="163" s="1"/>
  <c r="AY277" i="163"/>
  <c r="AX277" i="163"/>
  <c r="C277" i="163"/>
  <c r="C453" i="163" s="1"/>
  <c r="AY276" i="163"/>
  <c r="AX276" i="163"/>
  <c r="C276" i="163"/>
  <c r="C452" i="163" s="1"/>
  <c r="AY275" i="163"/>
  <c r="AX275" i="163"/>
  <c r="C275" i="163"/>
  <c r="C451" i="163" s="1"/>
  <c r="AY274" i="163"/>
  <c r="AX274" i="163"/>
  <c r="D274" i="163"/>
  <c r="D275" i="163" s="1"/>
  <c r="C274" i="163"/>
  <c r="C450" i="163" s="1"/>
  <c r="B274" i="163"/>
  <c r="BA273" i="163" s="1"/>
  <c r="AT272" i="163"/>
  <c r="AP272" i="163"/>
  <c r="AL272" i="163"/>
  <c r="AH272" i="163"/>
  <c r="AD272" i="163"/>
  <c r="Z272" i="163"/>
  <c r="V272" i="163"/>
  <c r="Q272" i="163"/>
  <c r="M272" i="163"/>
  <c r="I272" i="163"/>
  <c r="E272" i="163"/>
  <c r="AY271" i="163"/>
  <c r="AX271" i="163"/>
  <c r="C271" i="163"/>
  <c r="C447" i="163" s="1"/>
  <c r="C623" i="163" s="1"/>
  <c r="C799" i="163" s="1"/>
  <c r="C975" i="163" s="1"/>
  <c r="C1151" i="163" s="1"/>
  <c r="C1327" i="163" s="1"/>
  <c r="C1503" i="163" s="1"/>
  <c r="C1679" i="163" s="1"/>
  <c r="C1855" i="163" s="1"/>
  <c r="AY270" i="163"/>
  <c r="AX270" i="163"/>
  <c r="C270" i="163"/>
  <c r="C446" i="163" s="1"/>
  <c r="C622" i="163" s="1"/>
  <c r="C798" i="163" s="1"/>
  <c r="C974" i="163" s="1"/>
  <c r="C1150" i="163" s="1"/>
  <c r="C1326" i="163" s="1"/>
  <c r="C1502" i="163" s="1"/>
  <c r="C1678" i="163" s="1"/>
  <c r="C1854" i="163" s="1"/>
  <c r="AY269" i="163"/>
  <c r="AX269" i="163"/>
  <c r="C269" i="163"/>
  <c r="C445" i="163" s="1"/>
  <c r="C621" i="163" s="1"/>
  <c r="C797" i="163" s="1"/>
  <c r="C973" i="163" s="1"/>
  <c r="C1149" i="163" s="1"/>
  <c r="C1325" i="163" s="1"/>
  <c r="C1501" i="163" s="1"/>
  <c r="C1677" i="163" s="1"/>
  <c r="C1853" i="163" s="1"/>
  <c r="AY268" i="163"/>
  <c r="AX268" i="163"/>
  <c r="C268" i="163"/>
  <c r="C444" i="163" s="1"/>
  <c r="C620" i="163" s="1"/>
  <c r="C796" i="163" s="1"/>
  <c r="C972" i="163" s="1"/>
  <c r="C1148" i="163" s="1"/>
  <c r="C1324" i="163" s="1"/>
  <c r="C1500" i="163" s="1"/>
  <c r="C1676" i="163" s="1"/>
  <c r="C1852" i="163" s="1"/>
  <c r="AY267" i="163"/>
  <c r="AX267" i="163"/>
  <c r="C267" i="163"/>
  <c r="C443" i="163" s="1"/>
  <c r="C619" i="163" s="1"/>
  <c r="C795" i="163" s="1"/>
  <c r="C971" i="163" s="1"/>
  <c r="C1147" i="163" s="1"/>
  <c r="C1323" i="163" s="1"/>
  <c r="C1499" i="163" s="1"/>
  <c r="C1675" i="163" s="1"/>
  <c r="C1851" i="163" s="1"/>
  <c r="AY266" i="163"/>
  <c r="AX266" i="163"/>
  <c r="C266" i="163"/>
  <c r="C442" i="163" s="1"/>
  <c r="AY265" i="163"/>
  <c r="AX265" i="163"/>
  <c r="D265" i="163"/>
  <c r="D266" i="163" s="1"/>
  <c r="D267" i="163" s="1"/>
  <c r="C265" i="163"/>
  <c r="C441" i="163" s="1"/>
  <c r="B265" i="163"/>
  <c r="B441" i="163" s="1"/>
  <c r="B442" i="163" s="1"/>
  <c r="B443" i="163" s="1"/>
  <c r="B444" i="163" s="1"/>
  <c r="B445" i="163" s="1"/>
  <c r="B446" i="163" s="1"/>
  <c r="B447" i="163" s="1"/>
  <c r="AT263" i="163"/>
  <c r="AP263" i="163"/>
  <c r="AL263" i="163"/>
  <c r="AH263" i="163"/>
  <c r="AD263" i="163"/>
  <c r="Z263" i="163"/>
  <c r="V263" i="163"/>
  <c r="Q263" i="163"/>
  <c r="M263" i="163"/>
  <c r="I263" i="163"/>
  <c r="E263" i="163"/>
  <c r="AY262" i="163"/>
  <c r="AX262" i="163"/>
  <c r="C262" i="163"/>
  <c r="C438" i="163" s="1"/>
  <c r="C614" i="163" s="1"/>
  <c r="C790" i="163" s="1"/>
  <c r="C966" i="163" s="1"/>
  <c r="C1142" i="163" s="1"/>
  <c r="C1318" i="163" s="1"/>
  <c r="C1494" i="163" s="1"/>
  <c r="C1670" i="163" s="1"/>
  <c r="C1846" i="163" s="1"/>
  <c r="AY261" i="163"/>
  <c r="AX261" i="163"/>
  <c r="C261" i="163"/>
  <c r="C437" i="163" s="1"/>
  <c r="C613" i="163" s="1"/>
  <c r="C789" i="163" s="1"/>
  <c r="C965" i="163" s="1"/>
  <c r="C1141" i="163" s="1"/>
  <c r="C1317" i="163" s="1"/>
  <c r="C1493" i="163" s="1"/>
  <c r="C1669" i="163" s="1"/>
  <c r="C1845" i="163" s="1"/>
  <c r="AY260" i="163"/>
  <c r="AX260" i="163"/>
  <c r="C260" i="163"/>
  <c r="C436" i="163" s="1"/>
  <c r="C612" i="163" s="1"/>
  <c r="C788" i="163" s="1"/>
  <c r="C964" i="163" s="1"/>
  <c r="C1140" i="163" s="1"/>
  <c r="C1316" i="163" s="1"/>
  <c r="C1492" i="163" s="1"/>
  <c r="C1668" i="163" s="1"/>
  <c r="C1844" i="163" s="1"/>
  <c r="AY259" i="163"/>
  <c r="AX259" i="163"/>
  <c r="C259" i="163"/>
  <c r="C435" i="163" s="1"/>
  <c r="C611" i="163" s="1"/>
  <c r="C787" i="163" s="1"/>
  <c r="C963" i="163" s="1"/>
  <c r="C1139" i="163" s="1"/>
  <c r="C1315" i="163" s="1"/>
  <c r="C1491" i="163" s="1"/>
  <c r="C1667" i="163" s="1"/>
  <c r="C1843" i="163" s="1"/>
  <c r="AY258" i="163"/>
  <c r="AX258" i="163"/>
  <c r="C258" i="163"/>
  <c r="C434" i="163" s="1"/>
  <c r="AY257" i="163"/>
  <c r="AX257" i="163"/>
  <c r="C257" i="163"/>
  <c r="C433" i="163" s="1"/>
  <c r="AY256" i="163"/>
  <c r="AX256" i="163"/>
  <c r="D256" i="163"/>
  <c r="D257" i="163" s="1"/>
  <c r="C256" i="163"/>
  <c r="B256" i="163"/>
  <c r="AT254" i="163"/>
  <c r="AP254" i="163"/>
  <c r="AL254" i="163"/>
  <c r="AH254" i="163"/>
  <c r="AD254" i="163"/>
  <c r="Z254" i="163"/>
  <c r="V254" i="163"/>
  <c r="Q254" i="163"/>
  <c r="M254" i="163"/>
  <c r="I254" i="163"/>
  <c r="E254" i="163"/>
  <c r="AY253" i="163"/>
  <c r="AX253" i="163"/>
  <c r="C253" i="163"/>
  <c r="C429" i="163" s="1"/>
  <c r="C605" i="163" s="1"/>
  <c r="C781" i="163" s="1"/>
  <c r="C957" i="163" s="1"/>
  <c r="C1133" i="163" s="1"/>
  <c r="C1309" i="163" s="1"/>
  <c r="C1485" i="163" s="1"/>
  <c r="C1661" i="163" s="1"/>
  <c r="C1837" i="163" s="1"/>
  <c r="AY252" i="163"/>
  <c r="AX252" i="163"/>
  <c r="C252" i="163"/>
  <c r="C428" i="163" s="1"/>
  <c r="C604" i="163" s="1"/>
  <c r="C780" i="163" s="1"/>
  <c r="C956" i="163" s="1"/>
  <c r="C1132" i="163" s="1"/>
  <c r="C1308" i="163" s="1"/>
  <c r="C1484" i="163" s="1"/>
  <c r="C1660" i="163" s="1"/>
  <c r="C1836" i="163" s="1"/>
  <c r="AY251" i="163"/>
  <c r="AX251" i="163"/>
  <c r="C251" i="163"/>
  <c r="C427" i="163" s="1"/>
  <c r="C603" i="163" s="1"/>
  <c r="C779" i="163" s="1"/>
  <c r="C955" i="163" s="1"/>
  <c r="C1131" i="163" s="1"/>
  <c r="C1307" i="163" s="1"/>
  <c r="C1483" i="163" s="1"/>
  <c r="C1659" i="163" s="1"/>
  <c r="C1835" i="163" s="1"/>
  <c r="AY250" i="163"/>
  <c r="AX250" i="163"/>
  <c r="C250" i="163"/>
  <c r="C426" i="163" s="1"/>
  <c r="C602" i="163" s="1"/>
  <c r="C778" i="163" s="1"/>
  <c r="C954" i="163" s="1"/>
  <c r="C1130" i="163" s="1"/>
  <c r="C1306" i="163" s="1"/>
  <c r="C1482" i="163" s="1"/>
  <c r="C1658" i="163" s="1"/>
  <c r="C1834" i="163" s="1"/>
  <c r="AY249" i="163"/>
  <c r="AX249" i="163"/>
  <c r="C249" i="163"/>
  <c r="C425" i="163" s="1"/>
  <c r="C601" i="163" s="1"/>
  <c r="C777" i="163" s="1"/>
  <c r="C953" i="163" s="1"/>
  <c r="C1129" i="163" s="1"/>
  <c r="C1481" i="163" s="1"/>
  <c r="C1657" i="163" s="1"/>
  <c r="C1833" i="163" s="1"/>
  <c r="AY248" i="163"/>
  <c r="AX248" i="163"/>
  <c r="C248" i="163"/>
  <c r="C424" i="163" s="1"/>
  <c r="AY247" i="163"/>
  <c r="AX247" i="163"/>
  <c r="D247" i="163"/>
  <c r="D423" i="163" s="1"/>
  <c r="D599" i="163" s="1"/>
  <c r="D775" i="163" s="1"/>
  <c r="C247" i="163"/>
  <c r="C599" i="163" s="1"/>
  <c r="C775" i="163" s="1"/>
  <c r="C1127" i="163" s="1"/>
  <c r="C1303" i="163" s="1"/>
  <c r="C1479" i="163" s="1"/>
  <c r="C1655" i="163" s="1"/>
  <c r="C1831" i="163" s="1"/>
  <c r="B247" i="163"/>
  <c r="B246" i="163" s="1"/>
  <c r="AT245" i="163"/>
  <c r="AP245" i="163"/>
  <c r="AL245" i="163"/>
  <c r="AH245" i="163"/>
  <c r="AD245" i="163"/>
  <c r="Z245" i="163"/>
  <c r="V245" i="163"/>
  <c r="Q245" i="163"/>
  <c r="M245" i="163"/>
  <c r="I245" i="163"/>
  <c r="E245" i="163"/>
  <c r="AY244" i="163"/>
  <c r="AX244" i="163"/>
  <c r="C244" i="163"/>
  <c r="C420" i="163" s="1"/>
  <c r="C596" i="163" s="1"/>
  <c r="C772" i="163" s="1"/>
  <c r="C948" i="163" s="1"/>
  <c r="C1124" i="163" s="1"/>
  <c r="C1300" i="163" s="1"/>
  <c r="C1476" i="163" s="1"/>
  <c r="C1652" i="163" s="1"/>
  <c r="C1828" i="163" s="1"/>
  <c r="AY243" i="163"/>
  <c r="AX243" i="163"/>
  <c r="C243" i="163"/>
  <c r="C419" i="163" s="1"/>
  <c r="C595" i="163" s="1"/>
  <c r="C771" i="163" s="1"/>
  <c r="C947" i="163" s="1"/>
  <c r="C1123" i="163" s="1"/>
  <c r="C1299" i="163" s="1"/>
  <c r="C1475" i="163" s="1"/>
  <c r="C1651" i="163" s="1"/>
  <c r="C1827" i="163" s="1"/>
  <c r="AY242" i="163"/>
  <c r="AX242" i="163"/>
  <c r="C242" i="163"/>
  <c r="C418" i="163" s="1"/>
  <c r="C594" i="163" s="1"/>
  <c r="C770" i="163" s="1"/>
  <c r="C946" i="163" s="1"/>
  <c r="C1122" i="163" s="1"/>
  <c r="C1298" i="163" s="1"/>
  <c r="C1474" i="163" s="1"/>
  <c r="C1650" i="163" s="1"/>
  <c r="C1826" i="163" s="1"/>
  <c r="AY241" i="163"/>
  <c r="AX241" i="163"/>
  <c r="C241" i="163"/>
  <c r="C417" i="163" s="1"/>
  <c r="C593" i="163" s="1"/>
  <c r="C769" i="163" s="1"/>
  <c r="C945" i="163" s="1"/>
  <c r="C1121" i="163" s="1"/>
  <c r="C1297" i="163" s="1"/>
  <c r="C1473" i="163" s="1"/>
  <c r="C1649" i="163" s="1"/>
  <c r="C1825" i="163" s="1"/>
  <c r="AY240" i="163"/>
  <c r="AX240" i="163"/>
  <c r="C240" i="163"/>
  <c r="C416" i="163" s="1"/>
  <c r="C592" i="163" s="1"/>
  <c r="C768" i="163" s="1"/>
  <c r="C944" i="163" s="1"/>
  <c r="C1120" i="163" s="1"/>
  <c r="C1296" i="163" s="1"/>
  <c r="C1472" i="163" s="1"/>
  <c r="C1648" i="163" s="1"/>
  <c r="C1824" i="163" s="1"/>
  <c r="AY239" i="163"/>
  <c r="AX239" i="163"/>
  <c r="C239" i="163"/>
  <c r="C591" i="163" s="1"/>
  <c r="C767" i="163" s="1"/>
  <c r="C943" i="163" s="1"/>
  <c r="C1119" i="163" s="1"/>
  <c r="C1295" i="163" s="1"/>
  <c r="C1471" i="163" s="1"/>
  <c r="C1647" i="163" s="1"/>
  <c r="C1823" i="163" s="1"/>
  <c r="AY238" i="163"/>
  <c r="AX238" i="163"/>
  <c r="D238" i="163"/>
  <c r="C238" i="163"/>
  <c r="C590" i="163" s="1"/>
  <c r="C766" i="163" s="1"/>
  <c r="C942" i="163" s="1"/>
  <c r="C1118" i="163" s="1"/>
  <c r="C1294" i="163" s="1"/>
  <c r="C1470" i="163" s="1"/>
  <c r="C1646" i="163" s="1"/>
  <c r="C1822" i="163" s="1"/>
  <c r="B238" i="163"/>
  <c r="AT236" i="163"/>
  <c r="AP236" i="163"/>
  <c r="AL236" i="163"/>
  <c r="AH236" i="163"/>
  <c r="AD236" i="163"/>
  <c r="Z236" i="163"/>
  <c r="V236" i="163"/>
  <c r="Q236" i="163"/>
  <c r="M236" i="163"/>
  <c r="I236" i="163"/>
  <c r="E236" i="163"/>
  <c r="AY235" i="163"/>
  <c r="AX235" i="163"/>
  <c r="C235" i="163"/>
  <c r="C411" i="163" s="1"/>
  <c r="C587" i="163" s="1"/>
  <c r="C763" i="163" s="1"/>
  <c r="C939" i="163" s="1"/>
  <c r="C1115" i="163" s="1"/>
  <c r="C1291" i="163" s="1"/>
  <c r="C1467" i="163" s="1"/>
  <c r="C1643" i="163" s="1"/>
  <c r="C1819" i="163" s="1"/>
  <c r="AY234" i="163"/>
  <c r="AX234" i="163"/>
  <c r="C234" i="163"/>
  <c r="C410" i="163" s="1"/>
  <c r="C586" i="163" s="1"/>
  <c r="C762" i="163" s="1"/>
  <c r="C938" i="163" s="1"/>
  <c r="C1114" i="163" s="1"/>
  <c r="C1290" i="163" s="1"/>
  <c r="C1466" i="163" s="1"/>
  <c r="C1642" i="163" s="1"/>
  <c r="C1818" i="163" s="1"/>
  <c r="AY233" i="163"/>
  <c r="AX233" i="163"/>
  <c r="C233" i="163"/>
  <c r="C409" i="163" s="1"/>
  <c r="C585" i="163" s="1"/>
  <c r="C761" i="163" s="1"/>
  <c r="C937" i="163" s="1"/>
  <c r="C1113" i="163" s="1"/>
  <c r="C1289" i="163" s="1"/>
  <c r="C1465" i="163" s="1"/>
  <c r="C1641" i="163" s="1"/>
  <c r="C1817" i="163" s="1"/>
  <c r="AY232" i="163"/>
  <c r="AX232" i="163"/>
  <c r="C232" i="163"/>
  <c r="AY231" i="163"/>
  <c r="AX231" i="163"/>
  <c r="C231" i="163"/>
  <c r="AY230" i="163"/>
  <c r="AX230" i="163"/>
  <c r="C230" i="163"/>
  <c r="AY229" i="163"/>
  <c r="AX229" i="163"/>
  <c r="D229" i="163"/>
  <c r="D405" i="163" s="1"/>
  <c r="D581" i="163" s="1"/>
  <c r="C229" i="163"/>
  <c r="B229" i="163"/>
  <c r="B236" i="163" s="1"/>
  <c r="AT227" i="163"/>
  <c r="AP227" i="163"/>
  <c r="AL227" i="163"/>
  <c r="AH227" i="163"/>
  <c r="AD227" i="163"/>
  <c r="Z227" i="163"/>
  <c r="V227" i="163"/>
  <c r="Q227" i="163"/>
  <c r="M227" i="163"/>
  <c r="I227" i="163"/>
  <c r="E227" i="163"/>
  <c r="AY226" i="163"/>
  <c r="AX226" i="163"/>
  <c r="C226" i="163"/>
  <c r="C402" i="163" s="1"/>
  <c r="C578" i="163" s="1"/>
  <c r="C754" i="163" s="1"/>
  <c r="C930" i="163" s="1"/>
  <c r="C1106" i="163" s="1"/>
  <c r="C1282" i="163" s="1"/>
  <c r="C1458" i="163" s="1"/>
  <c r="C1634" i="163" s="1"/>
  <c r="C1810" i="163" s="1"/>
  <c r="AY225" i="163"/>
  <c r="AX225" i="163"/>
  <c r="C225" i="163"/>
  <c r="C401" i="163" s="1"/>
  <c r="C577" i="163" s="1"/>
  <c r="C753" i="163" s="1"/>
  <c r="C929" i="163" s="1"/>
  <c r="C1105" i="163" s="1"/>
  <c r="C1281" i="163" s="1"/>
  <c r="C1457" i="163" s="1"/>
  <c r="C1633" i="163" s="1"/>
  <c r="C1809" i="163" s="1"/>
  <c r="AY224" i="163"/>
  <c r="AX224" i="163"/>
  <c r="C224" i="163"/>
  <c r="C400" i="163" s="1"/>
  <c r="C576" i="163" s="1"/>
  <c r="C752" i="163" s="1"/>
  <c r="C928" i="163" s="1"/>
  <c r="C1104" i="163" s="1"/>
  <c r="C1280" i="163" s="1"/>
  <c r="C1456" i="163" s="1"/>
  <c r="C1632" i="163" s="1"/>
  <c r="C1808" i="163" s="1"/>
  <c r="AY223" i="163"/>
  <c r="AX223" i="163"/>
  <c r="C223" i="163"/>
  <c r="C399" i="163" s="1"/>
  <c r="C575" i="163" s="1"/>
  <c r="C751" i="163" s="1"/>
  <c r="C927" i="163" s="1"/>
  <c r="C1103" i="163" s="1"/>
  <c r="C1279" i="163" s="1"/>
  <c r="C1455" i="163" s="1"/>
  <c r="C1631" i="163" s="1"/>
  <c r="C1807" i="163" s="1"/>
  <c r="AY222" i="163"/>
  <c r="AX222" i="163"/>
  <c r="C222" i="163"/>
  <c r="C398" i="163" s="1"/>
  <c r="C574" i="163" s="1"/>
  <c r="C750" i="163" s="1"/>
  <c r="C926" i="163" s="1"/>
  <c r="C1102" i="163" s="1"/>
  <c r="C1278" i="163" s="1"/>
  <c r="C1454" i="163" s="1"/>
  <c r="C1630" i="163" s="1"/>
  <c r="C1806" i="163" s="1"/>
  <c r="AY221" i="163"/>
  <c r="AX221" i="163"/>
  <c r="C221" i="163"/>
  <c r="C397" i="163" s="1"/>
  <c r="C573" i="163" s="1"/>
  <c r="C749" i="163" s="1"/>
  <c r="C925" i="163" s="1"/>
  <c r="C1101" i="163" s="1"/>
  <c r="C1277" i="163" s="1"/>
  <c r="C1453" i="163" s="1"/>
  <c r="C1629" i="163" s="1"/>
  <c r="C1805" i="163" s="1"/>
  <c r="AY220" i="163"/>
  <c r="AX220" i="163"/>
  <c r="D220" i="163"/>
  <c r="D221" i="163" s="1"/>
  <c r="D222" i="163" s="1"/>
  <c r="C220" i="163"/>
  <c r="C396" i="163" s="1"/>
  <c r="C572" i="163" s="1"/>
  <c r="C748" i="163" s="1"/>
  <c r="C924" i="163" s="1"/>
  <c r="C1100" i="163" s="1"/>
  <c r="C1276" i="163" s="1"/>
  <c r="C1452" i="163" s="1"/>
  <c r="C1628" i="163" s="1"/>
  <c r="C1804" i="163" s="1"/>
  <c r="B220" i="163"/>
  <c r="B221" i="163" s="1"/>
  <c r="B222" i="163" s="1"/>
  <c r="B223" i="163" s="1"/>
  <c r="B224" i="163" s="1"/>
  <c r="B225" i="163" s="1"/>
  <c r="B226" i="163" s="1"/>
  <c r="AT218" i="163"/>
  <c r="AP218" i="163"/>
  <c r="AL218" i="163"/>
  <c r="AH218" i="163"/>
  <c r="AD218" i="163"/>
  <c r="Z218" i="163"/>
  <c r="V218" i="163"/>
  <c r="Q218" i="163"/>
  <c r="M218" i="163"/>
  <c r="I218" i="163"/>
  <c r="E218" i="163"/>
  <c r="AY217" i="163"/>
  <c r="AX217" i="163"/>
  <c r="C217" i="163"/>
  <c r="C393" i="163" s="1"/>
  <c r="C569" i="163" s="1"/>
  <c r="C745" i="163" s="1"/>
  <c r="C921" i="163" s="1"/>
  <c r="C1097" i="163" s="1"/>
  <c r="C1273" i="163" s="1"/>
  <c r="C1449" i="163" s="1"/>
  <c r="C1625" i="163" s="1"/>
  <c r="C1801" i="163" s="1"/>
  <c r="AY216" i="163"/>
  <c r="AX216" i="163"/>
  <c r="C216" i="163"/>
  <c r="C392" i="163" s="1"/>
  <c r="C568" i="163" s="1"/>
  <c r="C744" i="163" s="1"/>
  <c r="C920" i="163" s="1"/>
  <c r="C1096" i="163" s="1"/>
  <c r="C1272" i="163" s="1"/>
  <c r="C1448" i="163" s="1"/>
  <c r="C1624" i="163" s="1"/>
  <c r="C1800" i="163" s="1"/>
  <c r="AY215" i="163"/>
  <c r="AX215" i="163"/>
  <c r="C215" i="163"/>
  <c r="C391" i="163" s="1"/>
  <c r="C567" i="163" s="1"/>
  <c r="C743" i="163" s="1"/>
  <c r="C919" i="163" s="1"/>
  <c r="C1095" i="163" s="1"/>
  <c r="C1271" i="163" s="1"/>
  <c r="C1447" i="163" s="1"/>
  <c r="C1623" i="163" s="1"/>
  <c r="C1799" i="163" s="1"/>
  <c r="AY214" i="163"/>
  <c r="AX214" i="163"/>
  <c r="C214" i="163"/>
  <c r="C390" i="163" s="1"/>
  <c r="C566" i="163" s="1"/>
  <c r="C742" i="163" s="1"/>
  <c r="C918" i="163" s="1"/>
  <c r="C1094" i="163" s="1"/>
  <c r="C1270" i="163" s="1"/>
  <c r="C1446" i="163" s="1"/>
  <c r="C1622" i="163" s="1"/>
  <c r="C1798" i="163" s="1"/>
  <c r="AY213" i="163"/>
  <c r="AX213" i="163"/>
  <c r="D213" i="163"/>
  <c r="C213" i="163"/>
  <c r="C389" i="163" s="1"/>
  <c r="C565" i="163" s="1"/>
  <c r="C741" i="163" s="1"/>
  <c r="C917" i="163" s="1"/>
  <c r="C1093" i="163" s="1"/>
  <c r="C1269" i="163" s="1"/>
  <c r="C1445" i="163" s="1"/>
  <c r="C1621" i="163" s="1"/>
  <c r="C1797" i="163" s="1"/>
  <c r="B213" i="163"/>
  <c r="B212" i="163" s="1"/>
  <c r="AT211" i="163"/>
  <c r="AP211" i="163"/>
  <c r="AL211" i="163"/>
  <c r="AH211" i="163"/>
  <c r="AD211" i="163"/>
  <c r="Z211" i="163"/>
  <c r="V211" i="163"/>
  <c r="Q211" i="163"/>
  <c r="M211" i="163"/>
  <c r="I211" i="163"/>
  <c r="E211" i="163"/>
  <c r="AY210" i="163"/>
  <c r="AX210" i="163"/>
  <c r="C210" i="163"/>
  <c r="C386" i="163" s="1"/>
  <c r="C562" i="163" s="1"/>
  <c r="C738" i="163" s="1"/>
  <c r="C914" i="163" s="1"/>
  <c r="C1090" i="163" s="1"/>
  <c r="C1266" i="163" s="1"/>
  <c r="C1442" i="163" s="1"/>
  <c r="C1618" i="163" s="1"/>
  <c r="C1794" i="163" s="1"/>
  <c r="AY209" i="163"/>
  <c r="AX209" i="163"/>
  <c r="C209" i="163"/>
  <c r="C385" i="163" s="1"/>
  <c r="C561" i="163" s="1"/>
  <c r="C737" i="163" s="1"/>
  <c r="C913" i="163" s="1"/>
  <c r="C1089" i="163" s="1"/>
  <c r="C1265" i="163" s="1"/>
  <c r="C1441" i="163" s="1"/>
  <c r="C1617" i="163" s="1"/>
  <c r="C1793" i="163" s="1"/>
  <c r="AY208" i="163"/>
  <c r="AX208" i="163"/>
  <c r="C208" i="163"/>
  <c r="C384" i="163" s="1"/>
  <c r="C560" i="163" s="1"/>
  <c r="C736" i="163" s="1"/>
  <c r="C912" i="163" s="1"/>
  <c r="C1088" i="163" s="1"/>
  <c r="C1264" i="163" s="1"/>
  <c r="C1440" i="163" s="1"/>
  <c r="C1616" i="163" s="1"/>
  <c r="C1792" i="163" s="1"/>
  <c r="AY207" i="163"/>
  <c r="AX207" i="163"/>
  <c r="C207" i="163"/>
  <c r="C383" i="163" s="1"/>
  <c r="C559" i="163" s="1"/>
  <c r="C735" i="163" s="1"/>
  <c r="C911" i="163" s="1"/>
  <c r="C1087" i="163" s="1"/>
  <c r="C1263" i="163" s="1"/>
  <c r="C1439" i="163" s="1"/>
  <c r="C1615" i="163" s="1"/>
  <c r="C1791" i="163" s="1"/>
  <c r="AY206" i="163"/>
  <c r="AX206" i="163"/>
  <c r="D206" i="163"/>
  <c r="C206" i="163"/>
  <c r="C382" i="163" s="1"/>
  <c r="C558" i="163" s="1"/>
  <c r="C734" i="163" s="1"/>
  <c r="C910" i="163" s="1"/>
  <c r="C1086" i="163" s="1"/>
  <c r="C1262" i="163" s="1"/>
  <c r="C1438" i="163" s="1"/>
  <c r="C1614" i="163" s="1"/>
  <c r="C1790" i="163" s="1"/>
  <c r="B206" i="163"/>
  <c r="B205" i="163" s="1"/>
  <c r="AT204" i="163"/>
  <c r="AP204" i="163"/>
  <c r="AL204" i="163"/>
  <c r="AH204" i="163"/>
  <c r="AD204" i="163"/>
  <c r="Z204" i="163"/>
  <c r="V204" i="163"/>
  <c r="Q204" i="163"/>
  <c r="M204" i="163"/>
  <c r="I204" i="163"/>
  <c r="E204" i="163"/>
  <c r="AY203" i="163"/>
  <c r="AX203" i="163"/>
  <c r="C203" i="163"/>
  <c r="C379" i="163" s="1"/>
  <c r="C555" i="163" s="1"/>
  <c r="C731" i="163" s="1"/>
  <c r="C907" i="163" s="1"/>
  <c r="C1083" i="163" s="1"/>
  <c r="C1259" i="163" s="1"/>
  <c r="C1435" i="163" s="1"/>
  <c r="C1611" i="163" s="1"/>
  <c r="C1787" i="163" s="1"/>
  <c r="AY202" i="163"/>
  <c r="AX202" i="163"/>
  <c r="C202" i="163"/>
  <c r="C378" i="163" s="1"/>
  <c r="C554" i="163" s="1"/>
  <c r="C730" i="163" s="1"/>
  <c r="C906" i="163" s="1"/>
  <c r="C1082" i="163" s="1"/>
  <c r="C1258" i="163" s="1"/>
  <c r="C1434" i="163" s="1"/>
  <c r="C1610" i="163" s="1"/>
  <c r="C1786" i="163" s="1"/>
  <c r="AY201" i="163"/>
  <c r="AX201" i="163"/>
  <c r="C201" i="163"/>
  <c r="C377" i="163" s="1"/>
  <c r="C553" i="163" s="1"/>
  <c r="C729" i="163" s="1"/>
  <c r="C905" i="163" s="1"/>
  <c r="C1081" i="163" s="1"/>
  <c r="C1257" i="163" s="1"/>
  <c r="C1433" i="163" s="1"/>
  <c r="C1609" i="163" s="1"/>
  <c r="C1785" i="163" s="1"/>
  <c r="AY200" i="163"/>
  <c r="AX200" i="163"/>
  <c r="C200" i="163"/>
  <c r="C376" i="163" s="1"/>
  <c r="C552" i="163" s="1"/>
  <c r="C728" i="163" s="1"/>
  <c r="C904" i="163" s="1"/>
  <c r="C1080" i="163" s="1"/>
  <c r="C1256" i="163" s="1"/>
  <c r="C1432" i="163" s="1"/>
  <c r="C1608" i="163" s="1"/>
  <c r="C1784" i="163" s="1"/>
  <c r="AY199" i="163"/>
  <c r="AX199" i="163"/>
  <c r="D199" i="163"/>
  <c r="D200" i="163" s="1"/>
  <c r="C199" i="163"/>
  <c r="B199" i="163"/>
  <c r="BA198" i="163" s="1"/>
  <c r="AT197" i="163"/>
  <c r="AP197" i="163"/>
  <c r="AL197" i="163"/>
  <c r="AH197" i="163"/>
  <c r="AD197" i="163"/>
  <c r="Z197" i="163"/>
  <c r="V197" i="163"/>
  <c r="Q197" i="163"/>
  <c r="M197" i="163"/>
  <c r="I197" i="163"/>
  <c r="E197" i="163"/>
  <c r="AY196" i="163"/>
  <c r="AX196" i="163"/>
  <c r="C196" i="163"/>
  <c r="C372" i="163" s="1"/>
  <c r="C548" i="163" s="1"/>
  <c r="C724" i="163" s="1"/>
  <c r="C900" i="163" s="1"/>
  <c r="C1076" i="163" s="1"/>
  <c r="C1252" i="163" s="1"/>
  <c r="C1428" i="163" s="1"/>
  <c r="C1604" i="163" s="1"/>
  <c r="C1780" i="163" s="1"/>
  <c r="AY195" i="163"/>
  <c r="AX195" i="163"/>
  <c r="C195" i="163"/>
  <c r="C371" i="163" s="1"/>
  <c r="C547" i="163" s="1"/>
  <c r="C723" i="163" s="1"/>
  <c r="C899" i="163" s="1"/>
  <c r="C1075" i="163" s="1"/>
  <c r="C1251" i="163" s="1"/>
  <c r="C1427" i="163" s="1"/>
  <c r="C1603" i="163" s="1"/>
  <c r="C1779" i="163" s="1"/>
  <c r="AY194" i="163"/>
  <c r="AX194" i="163"/>
  <c r="C194" i="163"/>
  <c r="C370" i="163" s="1"/>
  <c r="C546" i="163" s="1"/>
  <c r="C722" i="163" s="1"/>
  <c r="C898" i="163" s="1"/>
  <c r="C1074" i="163" s="1"/>
  <c r="C1250" i="163" s="1"/>
  <c r="C1426" i="163" s="1"/>
  <c r="C1602" i="163" s="1"/>
  <c r="C1778" i="163" s="1"/>
  <c r="AY193" i="163"/>
  <c r="AX193" i="163"/>
  <c r="C193" i="163"/>
  <c r="C369" i="163" s="1"/>
  <c r="C545" i="163" s="1"/>
  <c r="C721" i="163" s="1"/>
  <c r="C897" i="163" s="1"/>
  <c r="C1073" i="163" s="1"/>
  <c r="C1249" i="163" s="1"/>
  <c r="C1425" i="163" s="1"/>
  <c r="C1601" i="163" s="1"/>
  <c r="C1777" i="163" s="1"/>
  <c r="AY192" i="163"/>
  <c r="AX192" i="163"/>
  <c r="D192" i="163"/>
  <c r="D368" i="163" s="1"/>
  <c r="D544" i="163" s="1"/>
  <c r="C192" i="163"/>
  <c r="B192" i="163"/>
  <c r="BA191" i="163" s="1"/>
  <c r="AT190" i="163"/>
  <c r="AP190" i="163"/>
  <c r="AL190" i="163"/>
  <c r="AH190" i="163"/>
  <c r="AD190" i="163"/>
  <c r="Z190" i="163"/>
  <c r="V190" i="163"/>
  <c r="Q190" i="163"/>
  <c r="M190" i="163"/>
  <c r="I190" i="163"/>
  <c r="E190" i="163"/>
  <c r="AY189" i="163"/>
  <c r="AX189" i="163"/>
  <c r="C189" i="163"/>
  <c r="C365" i="163" s="1"/>
  <c r="C541" i="163" s="1"/>
  <c r="C717" i="163" s="1"/>
  <c r="C893" i="163" s="1"/>
  <c r="C1069" i="163" s="1"/>
  <c r="C1245" i="163" s="1"/>
  <c r="C1421" i="163" s="1"/>
  <c r="C1597" i="163" s="1"/>
  <c r="C1773" i="163" s="1"/>
  <c r="AY188" i="163"/>
  <c r="AX188" i="163"/>
  <c r="C188" i="163"/>
  <c r="C364" i="163" s="1"/>
  <c r="C540" i="163" s="1"/>
  <c r="C716" i="163" s="1"/>
  <c r="C892" i="163" s="1"/>
  <c r="C1068" i="163" s="1"/>
  <c r="C1244" i="163" s="1"/>
  <c r="C1420" i="163" s="1"/>
  <c r="C1596" i="163" s="1"/>
  <c r="C1772" i="163" s="1"/>
  <c r="AY187" i="163"/>
  <c r="AX187" i="163"/>
  <c r="C187" i="163"/>
  <c r="C363" i="163" s="1"/>
  <c r="C539" i="163" s="1"/>
  <c r="C715" i="163" s="1"/>
  <c r="C891" i="163" s="1"/>
  <c r="C1067" i="163" s="1"/>
  <c r="C1243" i="163" s="1"/>
  <c r="C1419" i="163" s="1"/>
  <c r="C1595" i="163" s="1"/>
  <c r="C1771" i="163" s="1"/>
  <c r="AY186" i="163"/>
  <c r="AX186" i="163"/>
  <c r="C186" i="163"/>
  <c r="C362" i="163" s="1"/>
  <c r="C538" i="163" s="1"/>
  <c r="C714" i="163" s="1"/>
  <c r="C890" i="163" s="1"/>
  <c r="C1066" i="163" s="1"/>
  <c r="C1242" i="163" s="1"/>
  <c r="C1418" i="163" s="1"/>
  <c r="C1594" i="163" s="1"/>
  <c r="C1770" i="163" s="1"/>
  <c r="AY185" i="163"/>
  <c r="AX185" i="163"/>
  <c r="D185" i="163"/>
  <c r="D186" i="163" s="1"/>
  <c r="C185" i="163"/>
  <c r="C537" i="163" s="1"/>
  <c r="C713" i="163" s="1"/>
  <c r="C889" i="163" s="1"/>
  <c r="C1065" i="163" s="1"/>
  <c r="C1241" i="163" s="1"/>
  <c r="C1417" i="163" s="1"/>
  <c r="C1593" i="163" s="1"/>
  <c r="C1769" i="163" s="1"/>
  <c r="B185" i="163"/>
  <c r="B184" i="163" s="1"/>
  <c r="A184" i="163"/>
  <c r="BG183" i="163"/>
  <c r="BG359" i="163" s="1"/>
  <c r="BG535" i="163" s="1"/>
  <c r="BG711" i="163" s="1"/>
  <c r="BG887" i="163" s="1"/>
  <c r="BG1063" i="163" s="1"/>
  <c r="BG1239" i="163" s="1"/>
  <c r="BG1415" i="163" s="1"/>
  <c r="BG1591" i="163" s="1"/>
  <c r="BG1767" i="163" s="1"/>
  <c r="BF183" i="163"/>
  <c r="BF359" i="163" s="1"/>
  <c r="BF535" i="163" s="1"/>
  <c r="BF711" i="163" s="1"/>
  <c r="BF887" i="163" s="1"/>
  <c r="BF1063" i="163" s="1"/>
  <c r="BF1239" i="163" s="1"/>
  <c r="BF1415" i="163" s="1"/>
  <c r="BF1591" i="163" s="1"/>
  <c r="BF1767" i="163" s="1"/>
  <c r="BE183" i="163"/>
  <c r="BE359" i="163" s="1"/>
  <c r="BE535" i="163" s="1"/>
  <c r="BE711" i="163" s="1"/>
  <c r="BE887" i="163" s="1"/>
  <c r="BE1063" i="163" s="1"/>
  <c r="BE1239" i="163" s="1"/>
  <c r="BD183" i="163"/>
  <c r="BD359" i="163" s="1"/>
  <c r="BD535" i="163" s="1"/>
  <c r="BD711" i="163" s="1"/>
  <c r="BD887" i="163" s="1"/>
  <c r="BD1063" i="163" s="1"/>
  <c r="BD1239" i="163" s="1"/>
  <c r="BC183" i="163"/>
  <c r="BC359" i="163" s="1"/>
  <c r="BC535" i="163" s="1"/>
  <c r="BC711" i="163" s="1"/>
  <c r="BC887" i="163" s="1"/>
  <c r="BC1063" i="163" s="1"/>
  <c r="BC1239" i="163" s="1"/>
  <c r="BB183" i="163"/>
  <c r="BB359" i="163" s="1"/>
  <c r="BB535" i="163" s="1"/>
  <c r="BB711" i="163" s="1"/>
  <c r="BB887" i="163" s="1"/>
  <c r="BB1063" i="163" s="1"/>
  <c r="BB1239" i="163" s="1"/>
  <c r="BA183" i="163"/>
  <c r="BA359" i="163" s="1"/>
  <c r="BA535" i="163" s="1"/>
  <c r="BA711" i="163" s="1"/>
  <c r="C183" i="163"/>
  <c r="C359" i="163" s="1"/>
  <c r="C535" i="163" s="1"/>
  <c r="C711" i="163" s="1"/>
  <c r="C887" i="163" s="1"/>
  <c r="C1063" i="163" s="1"/>
  <c r="C1239" i="163" s="1"/>
  <c r="C1415" i="163" s="1"/>
  <c r="C1591" i="163" s="1"/>
  <c r="C1767" i="163" s="1"/>
  <c r="BG182" i="163"/>
  <c r="BG358" i="163" s="1"/>
  <c r="BG534" i="163" s="1"/>
  <c r="BG710" i="163" s="1"/>
  <c r="BG886" i="163" s="1"/>
  <c r="BG1062" i="163" s="1"/>
  <c r="BG1238" i="163" s="1"/>
  <c r="BG1414" i="163" s="1"/>
  <c r="BG1590" i="163" s="1"/>
  <c r="BG1766" i="163" s="1"/>
  <c r="BF182" i="163"/>
  <c r="BE182" i="163"/>
  <c r="BE358" i="163" s="1"/>
  <c r="BD182" i="163"/>
  <c r="BE328" i="163" s="1"/>
  <c r="BC182" i="163"/>
  <c r="BD328" i="163" s="1"/>
  <c r="BB182" i="163"/>
  <c r="BA182" i="163"/>
  <c r="BA358" i="163" s="1"/>
  <c r="BB504" i="163" s="1"/>
  <c r="C182" i="163"/>
  <c r="D236" i="163" s="1"/>
  <c r="BB230" i="163" s="1"/>
  <c r="C180" i="163"/>
  <c r="C356" i="163" s="1"/>
  <c r="C532" i="163" s="1"/>
  <c r="C708" i="163" s="1"/>
  <c r="C884" i="163" s="1"/>
  <c r="C1060" i="163" s="1"/>
  <c r="C1236" i="163" s="1"/>
  <c r="C1412" i="163" s="1"/>
  <c r="C1588" i="163" s="1"/>
  <c r="C1764" i="163" s="1"/>
  <c r="C179" i="163"/>
  <c r="C355" i="163" s="1"/>
  <c r="C531" i="163" s="1"/>
  <c r="C707" i="163" s="1"/>
  <c r="C883" i="163" s="1"/>
  <c r="C1059" i="163" s="1"/>
  <c r="C1235" i="163" s="1"/>
  <c r="C1411" i="163" s="1"/>
  <c r="C1587" i="163" s="1"/>
  <c r="C1763" i="163" s="1"/>
  <c r="AT177" i="163"/>
  <c r="AP177" i="163"/>
  <c r="AL177" i="163"/>
  <c r="AH177" i="163"/>
  <c r="AD177" i="163"/>
  <c r="Z177" i="163"/>
  <c r="V177" i="163"/>
  <c r="Q177" i="163"/>
  <c r="M177" i="163"/>
  <c r="I177" i="163"/>
  <c r="E177" i="163"/>
  <c r="D177" i="163"/>
  <c r="BB171" i="163" s="1"/>
  <c r="B177" i="163"/>
  <c r="AY176" i="163"/>
  <c r="AX176" i="163"/>
  <c r="AY175" i="163"/>
  <c r="AX175" i="163"/>
  <c r="AY174" i="163"/>
  <c r="AX174" i="163"/>
  <c r="AY173" i="163"/>
  <c r="AX173" i="163"/>
  <c r="AY172" i="163"/>
  <c r="AX172" i="163"/>
  <c r="AY171" i="163"/>
  <c r="AX171" i="163"/>
  <c r="D171" i="163"/>
  <c r="D172" i="163" s="1"/>
  <c r="B171" i="163"/>
  <c r="B172" i="163" s="1"/>
  <c r="B173" i="163" s="1"/>
  <c r="B174" i="163" s="1"/>
  <c r="B175" i="163" s="1"/>
  <c r="B176" i="163" s="1"/>
  <c r="AY170" i="163"/>
  <c r="AZ170" i="163" s="1"/>
  <c r="AX170" i="163"/>
  <c r="BA169" i="163"/>
  <c r="B169" i="163"/>
  <c r="AT168" i="163"/>
  <c r="AP168" i="163"/>
  <c r="AL168" i="163"/>
  <c r="AH168" i="163"/>
  <c r="AD168" i="163"/>
  <c r="Z168" i="163"/>
  <c r="V168" i="163"/>
  <c r="Q168" i="163"/>
  <c r="M168" i="163"/>
  <c r="I168" i="163"/>
  <c r="E168" i="163"/>
  <c r="D168" i="163"/>
  <c r="B168" i="163"/>
  <c r="AY167" i="163"/>
  <c r="AX167" i="163"/>
  <c r="AY166" i="163"/>
  <c r="AX166" i="163"/>
  <c r="AY165" i="163"/>
  <c r="AX165" i="163"/>
  <c r="AY164" i="163"/>
  <c r="AX164" i="163"/>
  <c r="AY163" i="163"/>
  <c r="AX163" i="163"/>
  <c r="AY162" i="163"/>
  <c r="AX162" i="163"/>
  <c r="D162" i="163"/>
  <c r="D163" i="163" s="1"/>
  <c r="D164" i="163" s="1"/>
  <c r="D165" i="163" s="1"/>
  <c r="B162" i="163"/>
  <c r="B163" i="163" s="1"/>
  <c r="B164" i="163" s="1"/>
  <c r="B165" i="163" s="1"/>
  <c r="B166" i="163" s="1"/>
  <c r="B167" i="163" s="1"/>
  <c r="AY161" i="163"/>
  <c r="AZ161" i="163" s="1"/>
  <c r="AX161" i="163"/>
  <c r="BA160" i="163"/>
  <c r="B160" i="163"/>
  <c r="AT159" i="163"/>
  <c r="AP159" i="163"/>
  <c r="AL159" i="163"/>
  <c r="AH159" i="163"/>
  <c r="AD159" i="163"/>
  <c r="Z159" i="163"/>
  <c r="V159" i="163"/>
  <c r="Q159" i="163"/>
  <c r="M159" i="163"/>
  <c r="I159" i="163"/>
  <c r="E159" i="163"/>
  <c r="D159" i="163"/>
  <c r="B159" i="163"/>
  <c r="AY158" i="163"/>
  <c r="AX158" i="163"/>
  <c r="AY157" i="163"/>
  <c r="AX157" i="163"/>
  <c r="AY156" i="163"/>
  <c r="AX156" i="163"/>
  <c r="AY155" i="163"/>
  <c r="AX155" i="163"/>
  <c r="AY154" i="163"/>
  <c r="AX154" i="163"/>
  <c r="BG153" i="163"/>
  <c r="AY153" i="163"/>
  <c r="AX153" i="163"/>
  <c r="D153" i="163"/>
  <c r="D154" i="163" s="1"/>
  <c r="D155" i="163" s="1"/>
  <c r="B153" i="163"/>
  <c r="B154" i="163" s="1"/>
  <c r="B155" i="163" s="1"/>
  <c r="B156" i="163" s="1"/>
  <c r="B157" i="163" s="1"/>
  <c r="B158" i="163" s="1"/>
  <c r="BG152" i="163"/>
  <c r="BG154" i="163" s="1"/>
  <c r="BF152" i="163"/>
  <c r="BF154" i="163" s="1"/>
  <c r="BE152" i="163"/>
  <c r="BD152" i="163"/>
  <c r="BC152" i="163"/>
  <c r="BC154" i="163" s="1"/>
  <c r="BB152" i="163"/>
  <c r="BB154" i="163" s="1"/>
  <c r="AY152" i="163"/>
  <c r="AZ152" i="163" s="1"/>
  <c r="AX152" i="163"/>
  <c r="BA151" i="163"/>
  <c r="B151" i="163"/>
  <c r="AT150" i="163"/>
  <c r="AP150" i="163"/>
  <c r="AL150" i="163"/>
  <c r="AH150" i="163"/>
  <c r="AD150" i="163"/>
  <c r="Z150" i="163"/>
  <c r="V150" i="163"/>
  <c r="Q150" i="163"/>
  <c r="M150" i="163"/>
  <c r="I150" i="163"/>
  <c r="E150" i="163"/>
  <c r="D150" i="163"/>
  <c r="B150" i="163"/>
  <c r="AY149" i="163"/>
  <c r="AX149" i="163"/>
  <c r="AY148" i="163"/>
  <c r="AX148" i="163"/>
  <c r="AY147" i="163"/>
  <c r="AX147" i="163"/>
  <c r="AY146" i="163"/>
  <c r="AX146" i="163"/>
  <c r="AY145" i="163"/>
  <c r="AX145" i="163"/>
  <c r="AY144" i="163"/>
  <c r="AX144" i="163"/>
  <c r="D144" i="163"/>
  <c r="D145" i="163" s="1"/>
  <c r="D146" i="163" s="1"/>
  <c r="D147" i="163" s="1"/>
  <c r="D148" i="163" s="1"/>
  <c r="D149" i="163" s="1"/>
  <c r="B144" i="163"/>
  <c r="B145" i="163" s="1"/>
  <c r="B146" i="163" s="1"/>
  <c r="B147" i="163" s="1"/>
  <c r="B148" i="163" s="1"/>
  <c r="B149" i="163" s="1"/>
  <c r="AY143" i="163"/>
  <c r="AZ143" i="163" s="1"/>
  <c r="AX143" i="163"/>
  <c r="BA142" i="163"/>
  <c r="B142" i="163"/>
  <c r="AT141" i="163"/>
  <c r="AP141" i="163"/>
  <c r="AL141" i="163"/>
  <c r="AH141" i="163"/>
  <c r="AD141" i="163"/>
  <c r="Z141" i="163"/>
  <c r="V141" i="163"/>
  <c r="Q141" i="163"/>
  <c r="M141" i="163"/>
  <c r="I141" i="163"/>
  <c r="E141" i="163"/>
  <c r="D141" i="163"/>
  <c r="BB135" i="163" s="1"/>
  <c r="B141" i="163"/>
  <c r="AY140" i="163"/>
  <c r="AX140" i="163"/>
  <c r="AY139" i="163"/>
  <c r="AX139" i="163"/>
  <c r="AY138" i="163"/>
  <c r="AX138" i="163"/>
  <c r="AY137" i="163"/>
  <c r="AX137" i="163"/>
  <c r="AY136" i="163"/>
  <c r="AX136" i="163"/>
  <c r="AY135" i="163"/>
  <c r="AX135" i="163"/>
  <c r="D135" i="163"/>
  <c r="D136" i="163" s="1"/>
  <c r="D137" i="163" s="1"/>
  <c r="D138" i="163" s="1"/>
  <c r="D139" i="163" s="1"/>
  <c r="D140" i="163" s="1"/>
  <c r="B135" i="163"/>
  <c r="B136" i="163" s="1"/>
  <c r="B137" i="163" s="1"/>
  <c r="B138" i="163" s="1"/>
  <c r="B139" i="163" s="1"/>
  <c r="B140" i="163" s="1"/>
  <c r="AY134" i="163"/>
  <c r="AZ134" i="163" s="1"/>
  <c r="AX134" i="163"/>
  <c r="BA133" i="163"/>
  <c r="B133" i="163"/>
  <c r="AT132" i="163"/>
  <c r="AP132" i="163"/>
  <c r="AL132" i="163"/>
  <c r="AH132" i="163"/>
  <c r="AD132" i="163"/>
  <c r="Z132" i="163"/>
  <c r="V132" i="163"/>
  <c r="Q132" i="163"/>
  <c r="M132" i="163"/>
  <c r="I132" i="163"/>
  <c r="E132" i="163"/>
  <c r="D132" i="163"/>
  <c r="BB126" i="163" s="1"/>
  <c r="B132" i="163"/>
  <c r="AY131" i="163"/>
  <c r="AX131" i="163"/>
  <c r="AY130" i="163"/>
  <c r="AX130" i="163"/>
  <c r="AY129" i="163"/>
  <c r="AX129" i="163"/>
  <c r="AY128" i="163"/>
  <c r="AX128" i="163"/>
  <c r="AY127" i="163"/>
  <c r="AX127" i="163"/>
  <c r="AY126" i="163"/>
  <c r="AX126" i="163"/>
  <c r="D126" i="163"/>
  <c r="D127" i="163" s="1"/>
  <c r="D128" i="163" s="1"/>
  <c r="D129" i="163" s="1"/>
  <c r="D130" i="163" s="1"/>
  <c r="D131" i="163" s="1"/>
  <c r="B126" i="163"/>
  <c r="B127" i="163" s="1"/>
  <c r="B128" i="163" s="1"/>
  <c r="B129" i="163" s="1"/>
  <c r="B130" i="163" s="1"/>
  <c r="B131" i="163" s="1"/>
  <c r="AY125" i="163"/>
  <c r="AZ125" i="163" s="1"/>
  <c r="AX125" i="163"/>
  <c r="BA124" i="163"/>
  <c r="B124" i="163"/>
  <c r="AT123" i="163"/>
  <c r="AP123" i="163"/>
  <c r="AL123" i="163"/>
  <c r="AH123" i="163"/>
  <c r="AD123" i="163"/>
  <c r="Z123" i="163"/>
  <c r="V123" i="163"/>
  <c r="Q123" i="163"/>
  <c r="M123" i="163"/>
  <c r="I123" i="163"/>
  <c r="E123" i="163"/>
  <c r="D123" i="163"/>
  <c r="BB117" i="163" s="1"/>
  <c r="B123" i="163"/>
  <c r="AY122" i="163"/>
  <c r="AX122" i="163"/>
  <c r="AY121" i="163"/>
  <c r="AX121" i="163"/>
  <c r="AY120" i="163"/>
  <c r="AX120" i="163"/>
  <c r="AY119" i="163"/>
  <c r="AX119" i="163"/>
  <c r="AY118" i="163"/>
  <c r="AX118" i="163"/>
  <c r="AY117" i="163"/>
  <c r="AX117" i="163"/>
  <c r="D117" i="163"/>
  <c r="D118" i="163" s="1"/>
  <c r="D119" i="163" s="1"/>
  <c r="D120" i="163" s="1"/>
  <c r="D121" i="163" s="1"/>
  <c r="D122" i="163" s="1"/>
  <c r="B117" i="163"/>
  <c r="B118" i="163" s="1"/>
  <c r="B119" i="163" s="1"/>
  <c r="B120" i="163" s="1"/>
  <c r="B121" i="163" s="1"/>
  <c r="B122" i="163" s="1"/>
  <c r="AY116" i="163"/>
  <c r="AZ116" i="163" s="1"/>
  <c r="AX116" i="163"/>
  <c r="BA115" i="163"/>
  <c r="B115" i="163"/>
  <c r="AT114" i="163"/>
  <c r="AP114" i="163"/>
  <c r="AL114" i="163"/>
  <c r="AH114" i="163"/>
  <c r="AD114" i="163"/>
  <c r="Z114" i="163"/>
  <c r="V114" i="163"/>
  <c r="Q114" i="163"/>
  <c r="M114" i="163"/>
  <c r="I114" i="163"/>
  <c r="E114" i="163"/>
  <c r="D114" i="163"/>
  <c r="BB108" i="163" s="1"/>
  <c r="B114" i="163"/>
  <c r="AY113" i="163"/>
  <c r="AX113" i="163"/>
  <c r="AY112" i="163"/>
  <c r="AX112" i="163"/>
  <c r="AY111" i="163"/>
  <c r="AX111" i="163"/>
  <c r="AY110" i="163"/>
  <c r="AX110" i="163"/>
  <c r="AY109" i="163"/>
  <c r="AX109" i="163"/>
  <c r="AY108" i="163"/>
  <c r="AX108" i="163"/>
  <c r="D108" i="163"/>
  <c r="D109" i="163" s="1"/>
  <c r="D110" i="163" s="1"/>
  <c r="D111" i="163" s="1"/>
  <c r="D112" i="163" s="1"/>
  <c r="D113" i="163" s="1"/>
  <c r="B108" i="163"/>
  <c r="B109" i="163" s="1"/>
  <c r="B110" i="163" s="1"/>
  <c r="B111" i="163" s="1"/>
  <c r="B112" i="163" s="1"/>
  <c r="B113" i="163" s="1"/>
  <c r="AY107" i="163"/>
  <c r="AZ107" i="163" s="1"/>
  <c r="AX107" i="163"/>
  <c r="BA106" i="163"/>
  <c r="B106" i="163"/>
  <c r="AT105" i="163"/>
  <c r="AP105" i="163"/>
  <c r="AL105" i="163"/>
  <c r="AH105" i="163"/>
  <c r="AD105" i="163"/>
  <c r="Z105" i="163"/>
  <c r="V105" i="163"/>
  <c r="Q105" i="163"/>
  <c r="M105" i="163"/>
  <c r="I105" i="163"/>
  <c r="E105" i="163"/>
  <c r="D105" i="163"/>
  <c r="BB99" i="163" s="1"/>
  <c r="B105" i="163"/>
  <c r="AY104" i="163"/>
  <c r="AX104" i="163"/>
  <c r="AY103" i="163"/>
  <c r="AX103" i="163"/>
  <c r="AY102" i="163"/>
  <c r="AX102" i="163"/>
  <c r="AY101" i="163"/>
  <c r="AX101" i="163"/>
  <c r="AY100" i="163"/>
  <c r="AX100" i="163"/>
  <c r="AY99" i="163"/>
  <c r="AX99" i="163"/>
  <c r="D99" i="163"/>
  <c r="D100" i="163" s="1"/>
  <c r="D101" i="163" s="1"/>
  <c r="D102" i="163" s="1"/>
  <c r="D103" i="163" s="1"/>
  <c r="D104" i="163" s="1"/>
  <c r="B99" i="163"/>
  <c r="B100" i="163" s="1"/>
  <c r="B101" i="163" s="1"/>
  <c r="B102" i="163" s="1"/>
  <c r="B103" i="163" s="1"/>
  <c r="B104" i="163" s="1"/>
  <c r="AY98" i="163"/>
  <c r="AZ98" i="163" s="1"/>
  <c r="AX98" i="163"/>
  <c r="BA97" i="163"/>
  <c r="B97" i="163"/>
  <c r="AT96" i="163"/>
  <c r="AP96" i="163"/>
  <c r="AL96" i="163"/>
  <c r="AH96" i="163"/>
  <c r="AD96" i="163"/>
  <c r="Z96" i="163"/>
  <c r="V96" i="163"/>
  <c r="Q96" i="163"/>
  <c r="M96" i="163"/>
  <c r="I96" i="163"/>
  <c r="E96" i="163"/>
  <c r="D96" i="163"/>
  <c r="B96" i="163"/>
  <c r="AY95" i="163"/>
  <c r="AX95" i="163"/>
  <c r="AY94" i="163"/>
  <c r="AX94" i="163"/>
  <c r="AY93" i="163"/>
  <c r="AX93" i="163"/>
  <c r="AY92" i="163"/>
  <c r="AX92" i="163"/>
  <c r="AY91" i="163"/>
  <c r="AX91" i="163"/>
  <c r="AY90" i="163"/>
  <c r="AX90" i="163"/>
  <c r="D90" i="163"/>
  <c r="D91" i="163" s="1"/>
  <c r="D92" i="163" s="1"/>
  <c r="D93" i="163" s="1"/>
  <c r="D94" i="163" s="1"/>
  <c r="D95" i="163" s="1"/>
  <c r="B90" i="163"/>
  <c r="B91" i="163" s="1"/>
  <c r="B92" i="163" s="1"/>
  <c r="B93" i="163" s="1"/>
  <c r="B94" i="163" s="1"/>
  <c r="B95" i="163" s="1"/>
  <c r="AY89" i="163"/>
  <c r="AZ89" i="163" s="1"/>
  <c r="AX89" i="163"/>
  <c r="BA88" i="163"/>
  <c r="B88" i="163"/>
  <c r="AT87" i="163"/>
  <c r="AP87" i="163"/>
  <c r="AL87" i="163"/>
  <c r="AH87" i="163"/>
  <c r="AD87" i="163"/>
  <c r="Z87" i="163"/>
  <c r="V87" i="163"/>
  <c r="Q87" i="163"/>
  <c r="M87" i="163"/>
  <c r="I87" i="163"/>
  <c r="E87" i="163"/>
  <c r="D87" i="163"/>
  <c r="BB90" i="163" s="1"/>
  <c r="B87" i="163"/>
  <c r="AY86" i="163"/>
  <c r="AX86" i="163"/>
  <c r="AY85" i="163"/>
  <c r="AX85" i="163"/>
  <c r="AY84" i="163"/>
  <c r="AX84" i="163"/>
  <c r="AY83" i="163"/>
  <c r="AX83" i="163"/>
  <c r="AY82" i="163"/>
  <c r="AX82" i="163"/>
  <c r="AY81" i="163"/>
  <c r="AX81" i="163"/>
  <c r="D81" i="163"/>
  <c r="D82" i="163" s="1"/>
  <c r="D83" i="163" s="1"/>
  <c r="D84" i="163" s="1"/>
  <c r="D85" i="163" s="1"/>
  <c r="D86" i="163" s="1"/>
  <c r="B81" i="163"/>
  <c r="B82" i="163" s="1"/>
  <c r="B83" i="163" s="1"/>
  <c r="B84" i="163" s="1"/>
  <c r="B85" i="163" s="1"/>
  <c r="B86" i="163" s="1"/>
  <c r="AY80" i="163"/>
  <c r="AZ80" i="163" s="1"/>
  <c r="AX80" i="163"/>
  <c r="BA79" i="163"/>
  <c r="B79" i="163"/>
  <c r="AT78" i="163"/>
  <c r="AP78" i="163"/>
  <c r="AL78" i="163"/>
  <c r="AH78" i="163"/>
  <c r="AD78" i="163"/>
  <c r="Z78" i="163"/>
  <c r="V78" i="163"/>
  <c r="Q78" i="163"/>
  <c r="M78" i="163"/>
  <c r="I78" i="163"/>
  <c r="E78" i="163"/>
  <c r="D78" i="163"/>
  <c r="B78" i="163"/>
  <c r="AY77" i="163"/>
  <c r="AX77" i="163"/>
  <c r="AY76" i="163"/>
  <c r="AX76" i="163"/>
  <c r="AY75" i="163"/>
  <c r="AX75" i="163"/>
  <c r="AY74" i="163"/>
  <c r="AX74" i="163"/>
  <c r="AY73" i="163"/>
  <c r="AX73" i="163"/>
  <c r="BB72" i="163"/>
  <c r="AY72" i="163"/>
  <c r="AX72" i="163"/>
  <c r="D72" i="163"/>
  <c r="D73" i="163" s="1"/>
  <c r="B72" i="163"/>
  <c r="B73" i="163" s="1"/>
  <c r="B74" i="163" s="1"/>
  <c r="B75" i="163" s="1"/>
  <c r="B76" i="163" s="1"/>
  <c r="B77" i="163" s="1"/>
  <c r="AY71" i="163"/>
  <c r="AZ71" i="163" s="1"/>
  <c r="AX71" i="163"/>
  <c r="BA70" i="163"/>
  <c r="B70" i="163"/>
  <c r="AT69" i="163"/>
  <c r="AP69" i="163"/>
  <c r="AL69" i="163"/>
  <c r="AH69" i="163"/>
  <c r="AD69" i="163"/>
  <c r="Z69" i="163"/>
  <c r="V69" i="163"/>
  <c r="Q69" i="163"/>
  <c r="M69" i="163"/>
  <c r="I69" i="163"/>
  <c r="E69" i="163"/>
  <c r="D69" i="163"/>
  <c r="BB63" i="163" s="1"/>
  <c r="B69" i="163"/>
  <c r="AY68" i="163"/>
  <c r="AX68" i="163"/>
  <c r="AY67" i="163"/>
  <c r="AX67" i="163"/>
  <c r="AY66" i="163"/>
  <c r="AX66" i="163"/>
  <c r="AY65" i="163"/>
  <c r="AX65" i="163"/>
  <c r="AY64" i="163"/>
  <c r="AX64" i="163"/>
  <c r="AY63" i="163"/>
  <c r="AX63" i="163"/>
  <c r="D63" i="163"/>
  <c r="D64" i="163" s="1"/>
  <c r="B63" i="163"/>
  <c r="B64" i="163" s="1"/>
  <c r="B65" i="163" s="1"/>
  <c r="B66" i="163" s="1"/>
  <c r="B67" i="163" s="1"/>
  <c r="B68" i="163" s="1"/>
  <c r="AY62" i="163"/>
  <c r="AZ62" i="163" s="1"/>
  <c r="AX62" i="163"/>
  <c r="BA61" i="163"/>
  <c r="B61" i="163"/>
  <c r="AT60" i="163"/>
  <c r="AP60" i="163"/>
  <c r="AL60" i="163"/>
  <c r="AH60" i="163"/>
  <c r="AD60" i="163"/>
  <c r="Z60" i="163"/>
  <c r="V60" i="163"/>
  <c r="Q60" i="163"/>
  <c r="M60" i="163"/>
  <c r="I60" i="163"/>
  <c r="E60" i="163"/>
  <c r="D60" i="163"/>
  <c r="B60" i="163"/>
  <c r="AY59" i="163"/>
  <c r="AX59" i="163"/>
  <c r="AY58" i="163"/>
  <c r="AX58" i="163"/>
  <c r="AY57" i="163"/>
  <c r="AX57" i="163"/>
  <c r="AY56" i="163"/>
  <c r="AX56" i="163"/>
  <c r="AY55" i="163"/>
  <c r="AX55" i="163"/>
  <c r="BB54" i="163"/>
  <c r="AY54" i="163"/>
  <c r="AX54" i="163"/>
  <c r="D54" i="163"/>
  <c r="D55" i="163" s="1"/>
  <c r="B54" i="163"/>
  <c r="B55" i="163" s="1"/>
  <c r="B56" i="163" s="1"/>
  <c r="B57" i="163" s="1"/>
  <c r="B58" i="163" s="1"/>
  <c r="B59" i="163" s="1"/>
  <c r="AY53" i="163"/>
  <c r="AZ53" i="163" s="1"/>
  <c r="AX53" i="163"/>
  <c r="BA52" i="163"/>
  <c r="B52" i="163"/>
  <c r="AT51" i="163"/>
  <c r="AP51" i="163"/>
  <c r="AL51" i="163"/>
  <c r="AH51" i="163"/>
  <c r="AD51" i="163"/>
  <c r="Z51" i="163"/>
  <c r="V51" i="163"/>
  <c r="Q51" i="163"/>
  <c r="M51" i="163"/>
  <c r="I51" i="163"/>
  <c r="E51" i="163"/>
  <c r="D51" i="163"/>
  <c r="B51" i="163"/>
  <c r="AY50" i="163"/>
  <c r="AX50" i="163"/>
  <c r="AY49" i="163"/>
  <c r="AX49" i="163"/>
  <c r="AY48" i="163"/>
  <c r="AX48" i="163"/>
  <c r="AY47" i="163"/>
  <c r="AX47" i="163"/>
  <c r="AY46" i="163"/>
  <c r="AX46" i="163"/>
  <c r="AY45" i="163"/>
  <c r="AX45" i="163"/>
  <c r="D45" i="163"/>
  <c r="D46" i="163" s="1"/>
  <c r="D47" i="163" s="1"/>
  <c r="D48" i="163" s="1"/>
  <c r="B45" i="163"/>
  <c r="B46" i="163" s="1"/>
  <c r="B47" i="163" s="1"/>
  <c r="B48" i="163" s="1"/>
  <c r="B49" i="163" s="1"/>
  <c r="B50" i="163" s="1"/>
  <c r="BG44" i="163"/>
  <c r="BF44" i="163"/>
  <c r="BF45" i="163" s="1"/>
  <c r="BE44" i="163"/>
  <c r="BD44" i="163"/>
  <c r="BD45" i="163" s="1"/>
  <c r="BD153" i="163" s="1"/>
  <c r="BC44" i="163"/>
  <c r="BB44" i="163"/>
  <c r="AY44" i="163"/>
  <c r="AZ44" i="163" s="1"/>
  <c r="AX44" i="163"/>
  <c r="BA43" i="163"/>
  <c r="B43" i="163"/>
  <c r="AT42" i="163"/>
  <c r="AP42" i="163"/>
  <c r="AL42" i="163"/>
  <c r="AH42" i="163"/>
  <c r="AD42" i="163"/>
  <c r="Z42" i="163"/>
  <c r="V42" i="163"/>
  <c r="Q42" i="163"/>
  <c r="M42" i="163"/>
  <c r="I42" i="163"/>
  <c r="E42" i="163"/>
  <c r="D42" i="163"/>
  <c r="BB38" i="163" s="1"/>
  <c r="B42" i="163"/>
  <c r="AY41" i="163"/>
  <c r="AX41" i="163"/>
  <c r="AY40" i="163"/>
  <c r="AX40" i="163"/>
  <c r="AY39" i="163"/>
  <c r="AX39" i="163"/>
  <c r="AY38" i="163"/>
  <c r="AX38" i="163"/>
  <c r="D38" i="163"/>
  <c r="B38" i="163"/>
  <c r="B39" i="163" s="1"/>
  <c r="B40" i="163" s="1"/>
  <c r="B41" i="163" s="1"/>
  <c r="AY37" i="163"/>
  <c r="AZ37" i="163" s="1"/>
  <c r="AX37" i="163"/>
  <c r="BA36" i="163"/>
  <c r="B36" i="163"/>
  <c r="AT35" i="163"/>
  <c r="AP35" i="163"/>
  <c r="AL35" i="163"/>
  <c r="AH35" i="163"/>
  <c r="AD35" i="163"/>
  <c r="Z35" i="163"/>
  <c r="V35" i="163"/>
  <c r="Q35" i="163"/>
  <c r="M35" i="163"/>
  <c r="I35" i="163"/>
  <c r="E35" i="163"/>
  <c r="D35" i="163"/>
  <c r="BB31" i="163" s="1"/>
  <c r="B35" i="163"/>
  <c r="AY34" i="163"/>
  <c r="AX34" i="163"/>
  <c r="AY33" i="163"/>
  <c r="AX33" i="163"/>
  <c r="AY32" i="163"/>
  <c r="AX32" i="163"/>
  <c r="AY31" i="163"/>
  <c r="AX31" i="163"/>
  <c r="D31" i="163"/>
  <c r="B31" i="163"/>
  <c r="B32" i="163" s="1"/>
  <c r="B33" i="163" s="1"/>
  <c r="B34" i="163" s="1"/>
  <c r="AY30" i="163"/>
  <c r="AZ30" i="163" s="1"/>
  <c r="AX30" i="163"/>
  <c r="BA29" i="163"/>
  <c r="B29" i="163"/>
  <c r="AT28" i="163"/>
  <c r="AP28" i="163"/>
  <c r="AL28" i="163"/>
  <c r="AH28" i="163"/>
  <c r="AD28" i="163"/>
  <c r="Z28" i="163"/>
  <c r="V28" i="163"/>
  <c r="Q28" i="163"/>
  <c r="M28" i="163"/>
  <c r="I28" i="163"/>
  <c r="E28" i="163"/>
  <c r="D28" i="163"/>
  <c r="BB24" i="163" s="1"/>
  <c r="B28" i="163"/>
  <c r="AY27" i="163"/>
  <c r="AX27" i="163"/>
  <c r="AY26" i="163"/>
  <c r="AX26" i="163"/>
  <c r="AY25" i="163"/>
  <c r="AX25" i="163"/>
  <c r="AY24" i="163"/>
  <c r="AX24" i="163"/>
  <c r="D24" i="163"/>
  <c r="B24" i="163"/>
  <c r="B25" i="163" s="1"/>
  <c r="B26" i="163" s="1"/>
  <c r="B27" i="163" s="1"/>
  <c r="AY23" i="163"/>
  <c r="AZ23" i="163" s="1"/>
  <c r="AX23" i="163"/>
  <c r="BA22" i="163"/>
  <c r="B22" i="163"/>
  <c r="AT21" i="163"/>
  <c r="AP21" i="163"/>
  <c r="AL21" i="163"/>
  <c r="AH21" i="163"/>
  <c r="AD21" i="163"/>
  <c r="Z21" i="163"/>
  <c r="V21" i="163"/>
  <c r="Q21" i="163"/>
  <c r="M21" i="163"/>
  <c r="I21" i="163"/>
  <c r="E21" i="163"/>
  <c r="D21" i="163"/>
  <c r="BB17" i="163" s="1"/>
  <c r="B21" i="163"/>
  <c r="AY20" i="163"/>
  <c r="AX20" i="163"/>
  <c r="AY19" i="163"/>
  <c r="AX19" i="163"/>
  <c r="AY18" i="163"/>
  <c r="AX18" i="163"/>
  <c r="AY17" i="163"/>
  <c r="AX17" i="163"/>
  <c r="D17" i="163"/>
  <c r="B17" i="163"/>
  <c r="B18" i="163" s="1"/>
  <c r="B19" i="163" s="1"/>
  <c r="B20" i="163" s="1"/>
  <c r="AY16" i="163"/>
  <c r="AZ16" i="163" s="1"/>
  <c r="AX16" i="163"/>
  <c r="BA15" i="163"/>
  <c r="B15" i="163"/>
  <c r="AT14" i="163"/>
  <c r="AP14" i="163"/>
  <c r="AL14" i="163"/>
  <c r="AH14" i="163"/>
  <c r="AD14" i="163"/>
  <c r="Z14" i="163"/>
  <c r="V14" i="163"/>
  <c r="Q14" i="163"/>
  <c r="M14" i="163"/>
  <c r="I14" i="163"/>
  <c r="E14" i="163"/>
  <c r="D14" i="163"/>
  <c r="BB10" i="163" s="1"/>
  <c r="B14" i="163"/>
  <c r="AY13" i="163"/>
  <c r="AX13" i="163"/>
  <c r="AY12" i="163"/>
  <c r="AX12" i="163"/>
  <c r="AY11" i="163"/>
  <c r="AX11" i="163"/>
  <c r="AY10" i="163"/>
  <c r="AX10" i="163"/>
  <c r="D10" i="163"/>
  <c r="B10" i="163"/>
  <c r="B11" i="163" s="1"/>
  <c r="B12" i="163" s="1"/>
  <c r="B13" i="163" s="1"/>
  <c r="AY9" i="163"/>
  <c r="AZ9" i="163" s="1"/>
  <c r="AX9" i="163"/>
  <c r="BA8" i="163"/>
  <c r="B8" i="163"/>
  <c r="A8" i="163"/>
  <c r="A22" i="163" s="1"/>
  <c r="BH7" i="163"/>
  <c r="C5" i="163" s="1"/>
  <c r="A1668" i="163" l="1"/>
  <c r="A1669" i="163" s="1"/>
  <c r="A1670" i="163" s="1"/>
  <c r="A1671" i="163" s="1"/>
  <c r="A1666" i="163"/>
  <c r="A1667" i="163" s="1"/>
  <c r="A1862" i="163"/>
  <c r="A1863" i="163" s="1"/>
  <c r="A1864" i="163" s="1"/>
  <c r="A1865" i="163" s="1"/>
  <c r="A1860" i="163"/>
  <c r="A1861" i="163" s="1"/>
  <c r="A1902" i="163"/>
  <c r="A1875" i="163"/>
  <c r="A1867" i="163"/>
  <c r="A1868" i="163" s="1"/>
  <c r="A1690" i="163"/>
  <c r="A1682" i="163"/>
  <c r="A1683" i="163" s="1"/>
  <c r="A1677" i="163"/>
  <c r="A1678" i="163" s="1"/>
  <c r="A1679" i="163" s="1"/>
  <c r="A1680" i="163" s="1"/>
  <c r="A1675" i="163"/>
  <c r="A1676" i="163" s="1"/>
  <c r="BC1415" i="163"/>
  <c r="BC1591" i="163" s="1"/>
  <c r="BD1415" i="163"/>
  <c r="BD1591" i="163" s="1"/>
  <c r="BE1415" i="163"/>
  <c r="BE1591" i="163" s="1"/>
  <c r="BB1415" i="163"/>
  <c r="BB1591" i="163" s="1"/>
  <c r="A1499" i="163"/>
  <c r="A1500" i="163" s="1"/>
  <c r="A1501" i="163"/>
  <c r="A1502" i="163" s="1"/>
  <c r="A1503" i="163" s="1"/>
  <c r="A1504" i="163" s="1"/>
  <c r="A1514" i="163"/>
  <c r="A1506" i="163"/>
  <c r="A1507" i="163" s="1"/>
  <c r="A1492" i="163"/>
  <c r="A1493" i="163" s="1"/>
  <c r="A1494" i="163" s="1"/>
  <c r="A1495" i="163" s="1"/>
  <c r="A1490" i="163"/>
  <c r="A1491" i="163" s="1"/>
  <c r="A1307" i="163"/>
  <c r="A1308" i="163" s="1"/>
  <c r="A1309" i="163" s="1"/>
  <c r="A1310" i="163" s="1"/>
  <c r="A1305" i="163"/>
  <c r="A1306" i="163" s="1"/>
  <c r="A1329" i="163"/>
  <c r="A1320" i="163"/>
  <c r="A1321" i="163" s="1"/>
  <c r="A1322" i="163" s="1"/>
  <c r="A1312" i="163"/>
  <c r="A1313" i="163" s="1"/>
  <c r="A1102" i="163"/>
  <c r="A1103" i="163" s="1"/>
  <c r="A1104" i="163"/>
  <c r="A1105" i="163" s="1"/>
  <c r="A1106" i="163" s="1"/>
  <c r="A1107" i="163" s="1"/>
  <c r="A1117" i="163"/>
  <c r="A1118" i="163" s="1"/>
  <c r="A1119" i="163" s="1"/>
  <c r="A1109" i="163"/>
  <c r="A1110" i="163" s="1"/>
  <c r="AZ328" i="163"/>
  <c r="AX570" i="163"/>
  <c r="B207" i="163"/>
  <c r="B208" i="163" s="1"/>
  <c r="B209" i="163" s="1"/>
  <c r="B210" i="163" s="1"/>
  <c r="B361" i="163"/>
  <c r="B360" i="163" s="1"/>
  <c r="AZ153" i="163"/>
  <c r="AX141" i="163"/>
  <c r="AX35" i="163"/>
  <c r="BA31" i="163" s="1"/>
  <c r="BC31" i="163" s="1"/>
  <c r="BB45" i="163"/>
  <c r="BB153" i="163" s="1"/>
  <c r="AX28" i="163"/>
  <c r="AZ108" i="163"/>
  <c r="AX150" i="163"/>
  <c r="BA144" i="163" s="1"/>
  <c r="BC144" i="163" s="1"/>
  <c r="D396" i="163"/>
  <c r="D572" i="163" s="1"/>
  <c r="AX123" i="163"/>
  <c r="BA117" i="163" s="1"/>
  <c r="AX42" i="163"/>
  <c r="AZ220" i="163"/>
  <c r="AY299" i="163"/>
  <c r="AZ337" i="163"/>
  <c r="B293" i="163"/>
  <c r="B294" i="163" s="1"/>
  <c r="B295" i="163" s="1"/>
  <c r="B296" i="163" s="1"/>
  <c r="B297" i="163" s="1"/>
  <c r="B298" i="163" s="1"/>
  <c r="AY484" i="163"/>
  <c r="B459" i="163"/>
  <c r="B460" i="163" s="1"/>
  <c r="B461" i="163" s="1"/>
  <c r="B462" i="163" s="1"/>
  <c r="B463" i="163" s="1"/>
  <c r="B464" i="163" s="1"/>
  <c r="B465" i="163" s="1"/>
  <c r="AZ46" i="163"/>
  <c r="AX87" i="163"/>
  <c r="BA81" i="163" s="1"/>
  <c r="AX96" i="163"/>
  <c r="BA90" i="163" s="1"/>
  <c r="BG155" i="163"/>
  <c r="B228" i="163"/>
  <c r="AX263" i="163"/>
  <c r="AY263" i="163"/>
  <c r="AX335" i="163"/>
  <c r="AX403" i="163"/>
  <c r="B468" i="163"/>
  <c r="A543" i="163"/>
  <c r="AX21" i="163"/>
  <c r="BA17" i="163" s="1"/>
  <c r="BC17" i="163" s="1"/>
  <c r="BE17" i="163" s="1"/>
  <c r="BF17" i="163" s="1"/>
  <c r="AX14" i="163"/>
  <c r="AZ14" i="163" s="1"/>
  <c r="AY28" i="163"/>
  <c r="AZ45" i="163"/>
  <c r="AX105" i="163"/>
  <c r="AZ105" i="163" s="1"/>
  <c r="AX132" i="163"/>
  <c r="BA126" i="163" s="1"/>
  <c r="AZ144" i="163"/>
  <c r="AY159" i="163"/>
  <c r="BH711" i="163"/>
  <c r="BA887" i="163"/>
  <c r="BA1063" i="163" s="1"/>
  <c r="BA1239" i="163" s="1"/>
  <c r="AZ192" i="163"/>
  <c r="AX204" i="163"/>
  <c r="AZ206" i="163"/>
  <c r="B230" i="163"/>
  <c r="B231" i="163" s="1"/>
  <c r="B232" i="163" s="1"/>
  <c r="B233" i="163" s="1"/>
  <c r="B234" i="163" s="1"/>
  <c r="B235" i="163" s="1"/>
  <c r="AX254" i="163"/>
  <c r="B273" i="163"/>
  <c r="AZ292" i="163"/>
  <c r="AX308" i="163"/>
  <c r="AX448" i="163"/>
  <c r="D495" i="163"/>
  <c r="D681" i="163" s="1"/>
  <c r="D682" i="163" s="1"/>
  <c r="D683" i="163" s="1"/>
  <c r="D684" i="163" s="1"/>
  <c r="D685" i="163" s="1"/>
  <c r="D686" i="163" s="1"/>
  <c r="AZ686" i="163" s="1"/>
  <c r="AY563" i="163"/>
  <c r="AX579" i="163"/>
  <c r="D311" i="163"/>
  <c r="D312" i="163" s="1"/>
  <c r="AY51" i="163"/>
  <c r="AZ73" i="163"/>
  <c r="AY78" i="163"/>
  <c r="AX114" i="163"/>
  <c r="AZ126" i="163"/>
  <c r="AX168" i="163"/>
  <c r="BA162" i="163" s="1"/>
  <c r="BC162" i="163" s="1"/>
  <c r="AY190" i="163"/>
  <c r="BA264" i="163"/>
  <c r="AX272" i="163"/>
  <c r="BA266" i="163" s="1"/>
  <c r="BA442" i="163" s="1"/>
  <c r="B291" i="163"/>
  <c r="AX299" i="163"/>
  <c r="AX344" i="163"/>
  <c r="AY344" i="163"/>
  <c r="B347" i="163"/>
  <c r="B348" i="163" s="1"/>
  <c r="B349" i="163" s="1"/>
  <c r="B350" i="163" s="1"/>
  <c r="B351" i="163" s="1"/>
  <c r="B352" i="163" s="1"/>
  <c r="AY493" i="163"/>
  <c r="AY502" i="163"/>
  <c r="B522" i="163"/>
  <c r="B698" i="163" s="1"/>
  <c r="B874" i="163" s="1"/>
  <c r="AY570" i="163"/>
  <c r="AX687" i="163"/>
  <c r="AZ310" i="163"/>
  <c r="AZ90" i="163"/>
  <c r="AZ256" i="163"/>
  <c r="D432" i="163"/>
  <c r="D951" i="163"/>
  <c r="D1127" i="163" s="1"/>
  <c r="D1303" i="163" s="1"/>
  <c r="D776" i="163"/>
  <c r="AZ775" i="163"/>
  <c r="D248" i="163"/>
  <c r="D249" i="163" s="1"/>
  <c r="D250" i="163" s="1"/>
  <c r="D251" i="163" s="1"/>
  <c r="AZ247" i="163"/>
  <c r="D582" i="163"/>
  <c r="D583" i="163" s="1"/>
  <c r="AZ583" i="163" s="1"/>
  <c r="D757" i="163"/>
  <c r="AZ405" i="163"/>
  <c r="AZ199" i="163"/>
  <c r="D545" i="163"/>
  <c r="D546" i="163" s="1"/>
  <c r="D547" i="163" s="1"/>
  <c r="AZ547" i="163" s="1"/>
  <c r="D720" i="163"/>
  <c r="D193" i="163"/>
  <c r="D194" i="163" s="1"/>
  <c r="A932" i="163"/>
  <c r="A924" i="163"/>
  <c r="A925" i="163" s="1"/>
  <c r="AY669" i="163"/>
  <c r="AY624" i="163"/>
  <c r="AX660" i="163"/>
  <c r="AX642" i="163"/>
  <c r="AY633" i="163"/>
  <c r="A740" i="163"/>
  <c r="A747" i="163" s="1"/>
  <c r="A734" i="163"/>
  <c r="A735" i="163" s="1"/>
  <c r="A736" i="163" s="1"/>
  <c r="A737" i="163" s="1"/>
  <c r="A738" i="163" s="1"/>
  <c r="A739" i="163" s="1"/>
  <c r="A727" i="163"/>
  <c r="A728" i="163" s="1"/>
  <c r="A729" i="163" s="1"/>
  <c r="A730" i="163" s="1"/>
  <c r="A731" i="163" s="1"/>
  <c r="A732" i="163" s="1"/>
  <c r="AY373" i="163"/>
  <c r="AY366" i="163"/>
  <c r="AX421" i="163"/>
  <c r="BD126" i="163"/>
  <c r="AZ155" i="163"/>
  <c r="D156" i="163"/>
  <c r="AZ156" i="163" s="1"/>
  <c r="BF504" i="163"/>
  <c r="BE534" i="163"/>
  <c r="BE710" i="163" s="1"/>
  <c r="BC328" i="163"/>
  <c r="BB358" i="163"/>
  <c r="BC396" i="163" s="1"/>
  <c r="B197" i="163"/>
  <c r="D214" i="163"/>
  <c r="D215" i="163" s="1"/>
  <c r="D216" i="163" s="1"/>
  <c r="D389" i="163"/>
  <c r="AZ389" i="163" s="1"/>
  <c r="B239" i="163"/>
  <c r="B240" i="163" s="1"/>
  <c r="B241" i="163" s="1"/>
  <c r="B242" i="163" s="1"/>
  <c r="B243" i="163" s="1"/>
  <c r="B244" i="163" s="1"/>
  <c r="B414" i="163"/>
  <c r="B413" i="163" s="1"/>
  <c r="B245" i="163"/>
  <c r="D487" i="163"/>
  <c r="D488" i="163" s="1"/>
  <c r="D489" i="163" s="1"/>
  <c r="D490" i="163" s="1"/>
  <c r="AZ490" i="163" s="1"/>
  <c r="D662" i="163"/>
  <c r="B635" i="163"/>
  <c r="B811" i="163" s="1"/>
  <c r="AX60" i="163"/>
  <c r="BA54" i="163" s="1"/>
  <c r="AY69" i="163"/>
  <c r="AZ154" i="163"/>
  <c r="AY197" i="163"/>
  <c r="B204" i="163"/>
  <c r="B375" i="163"/>
  <c r="B376" i="163" s="1"/>
  <c r="B377" i="163" s="1"/>
  <c r="B378" i="163" s="1"/>
  <c r="B379" i="163" s="1"/>
  <c r="AX211" i="163"/>
  <c r="AY245" i="163"/>
  <c r="B272" i="163"/>
  <c r="AX281" i="163"/>
  <c r="D302" i="163"/>
  <c r="D303" i="163" s="1"/>
  <c r="D304" i="163" s="1"/>
  <c r="D477" i="163"/>
  <c r="AX317" i="163"/>
  <c r="B344" i="163"/>
  <c r="B513" i="163"/>
  <c r="B514" i="163" s="1"/>
  <c r="B515" i="163" s="1"/>
  <c r="B516" i="163" s="1"/>
  <c r="B517" i="163" s="1"/>
  <c r="B518" i="163" s="1"/>
  <c r="B519" i="163" s="1"/>
  <c r="BC358" i="163"/>
  <c r="BD396" i="163" s="1"/>
  <c r="D433" i="163"/>
  <c r="D434" i="163" s="1"/>
  <c r="D435" i="163" s="1"/>
  <c r="D608" i="163"/>
  <c r="AX466" i="163"/>
  <c r="D504" i="163"/>
  <c r="D505" i="163" s="1"/>
  <c r="D506" i="163" s="1"/>
  <c r="D507" i="163" s="1"/>
  <c r="D508" i="163" s="1"/>
  <c r="D509" i="163" s="1"/>
  <c r="AZ509" i="163" s="1"/>
  <c r="AX51" i="163"/>
  <c r="BH45" i="163" s="1"/>
  <c r="AZ47" i="163"/>
  <c r="AY60" i="163"/>
  <c r="AX78" i="163"/>
  <c r="BA72" i="163" s="1"/>
  <c r="BD81" i="163" s="1"/>
  <c r="AX159" i="163"/>
  <c r="BD154" i="163"/>
  <c r="B193" i="163"/>
  <c r="B194" i="163" s="1"/>
  <c r="B195" i="163" s="1"/>
  <c r="B196" i="163" s="1"/>
  <c r="AZ193" i="163"/>
  <c r="AY204" i="163"/>
  <c r="BA205" i="163"/>
  <c r="B382" i="163"/>
  <c r="D207" i="163"/>
  <c r="D208" i="163" s="1"/>
  <c r="D209" i="163" s="1"/>
  <c r="D210" i="163" s="1"/>
  <c r="AZ210" i="163" s="1"/>
  <c r="B211" i="163"/>
  <c r="AZ213" i="163"/>
  <c r="AX218" i="163"/>
  <c r="B219" i="163"/>
  <c r="AZ221" i="163"/>
  <c r="BA228" i="163"/>
  <c r="AX236" i="163"/>
  <c r="AZ236" i="163" s="1"/>
  <c r="B237" i="163"/>
  <c r="AZ238" i="163"/>
  <c r="D239" i="163"/>
  <c r="D240" i="163" s="1"/>
  <c r="D241" i="163" s="1"/>
  <c r="AY254" i="163"/>
  <c r="B266" i="163"/>
  <c r="B267" i="163" s="1"/>
  <c r="B268" i="163" s="1"/>
  <c r="B269" i="163" s="1"/>
  <c r="B270" i="163" s="1"/>
  <c r="B271" i="163" s="1"/>
  <c r="AY272" i="163"/>
  <c r="AY281" i="163"/>
  <c r="BA300" i="163"/>
  <c r="AY308" i="163"/>
  <c r="BA309" i="163"/>
  <c r="B317" i="163"/>
  <c r="B311" i="163"/>
  <c r="B312" i="163" s="1"/>
  <c r="B313" i="163" s="1"/>
  <c r="B314" i="163" s="1"/>
  <c r="B315" i="163" s="1"/>
  <c r="B316" i="163" s="1"/>
  <c r="BD358" i="163"/>
  <c r="BE396" i="163" s="1"/>
  <c r="D361" i="163"/>
  <c r="D375" i="163"/>
  <c r="AX387" i="163"/>
  <c r="B389" i="163"/>
  <c r="BA388" i="163" s="1"/>
  <c r="B405" i="163"/>
  <c r="AX430" i="163"/>
  <c r="B440" i="163"/>
  <c r="AZ459" i="163"/>
  <c r="AX475" i="163"/>
  <c r="B477" i="163"/>
  <c r="B476" i="163" s="1"/>
  <c r="B486" i="163"/>
  <c r="B487" i="163" s="1"/>
  <c r="B488" i="163" s="1"/>
  <c r="B489" i="163" s="1"/>
  <c r="B490" i="163" s="1"/>
  <c r="B491" i="163" s="1"/>
  <c r="B492" i="163" s="1"/>
  <c r="AY511" i="163"/>
  <c r="D513" i="163"/>
  <c r="AZ581" i="163"/>
  <c r="BG328" i="163"/>
  <c r="BG330" i="163" s="1"/>
  <c r="BG331" i="163" s="1"/>
  <c r="BF358" i="163"/>
  <c r="BG396" i="163" s="1"/>
  <c r="B227" i="163"/>
  <c r="B396" i="163"/>
  <c r="B403" i="163" s="1"/>
  <c r="BC45" i="163"/>
  <c r="BC153" i="163" s="1"/>
  <c r="BC155" i="163" s="1"/>
  <c r="BA246" i="163"/>
  <c r="B423" i="163"/>
  <c r="B263" i="163"/>
  <c r="B432" i="163"/>
  <c r="B431" i="163" s="1"/>
  <c r="BA440" i="163"/>
  <c r="B617" i="163"/>
  <c r="B793" i="163" s="1"/>
  <c r="AX326" i="163"/>
  <c r="AY326" i="163"/>
  <c r="B335" i="163"/>
  <c r="B504" i="163"/>
  <c r="AZ329" i="163"/>
  <c r="D347" i="163"/>
  <c r="D348" i="163" s="1"/>
  <c r="D349" i="163" s="1"/>
  <c r="D522" i="163"/>
  <c r="AZ522" i="163" s="1"/>
  <c r="D369" i="163"/>
  <c r="D370" i="163" s="1"/>
  <c r="D371" i="163" s="1"/>
  <c r="D372" i="163" s="1"/>
  <c r="AZ372" i="163" s="1"/>
  <c r="AX373" i="163"/>
  <c r="D382" i="163"/>
  <c r="D406" i="163"/>
  <c r="D407" i="163" s="1"/>
  <c r="AZ407" i="163" s="1"/>
  <c r="D600" i="163"/>
  <c r="D601" i="163" s="1"/>
  <c r="D602" i="163" s="1"/>
  <c r="D603" i="163" s="1"/>
  <c r="AZ599" i="163"/>
  <c r="D424" i="163"/>
  <c r="D425" i="163" s="1"/>
  <c r="D426" i="163" s="1"/>
  <c r="D427" i="163" s="1"/>
  <c r="B469" i="163"/>
  <c r="B470" i="163" s="1"/>
  <c r="B471" i="163" s="1"/>
  <c r="B472" i="163" s="1"/>
  <c r="B473" i="163" s="1"/>
  <c r="B474" i="163" s="1"/>
  <c r="B644" i="163"/>
  <c r="B820" i="163" s="1"/>
  <c r="BA534" i="163"/>
  <c r="BB572" i="163" s="1"/>
  <c r="BE45" i="163"/>
  <c r="BE46" i="163" s="1"/>
  <c r="AZ54" i="163"/>
  <c r="AX69" i="163"/>
  <c r="BA63" i="163" s="1"/>
  <c r="BC63" i="163" s="1"/>
  <c r="AZ64" i="163"/>
  <c r="AZ81" i="163"/>
  <c r="AZ82" i="163"/>
  <c r="AZ99" i="163"/>
  <c r="AZ117" i="163"/>
  <c r="AZ135" i="163"/>
  <c r="BE154" i="163"/>
  <c r="AY168" i="163"/>
  <c r="AZ171" i="163"/>
  <c r="AZ185" i="163"/>
  <c r="AX190" i="163"/>
  <c r="B191" i="163"/>
  <c r="AX197" i="163"/>
  <c r="AY211" i="163"/>
  <c r="AY218" i="163"/>
  <c r="BA219" i="163"/>
  <c r="AY227" i="163"/>
  <c r="AY236" i="163"/>
  <c r="BA237" i="163"/>
  <c r="AX245" i="163"/>
  <c r="BA239" i="163" s="1"/>
  <c r="B264" i="163"/>
  <c r="B275" i="163"/>
  <c r="B276" i="163" s="1"/>
  <c r="B277" i="163" s="1"/>
  <c r="B278" i="163" s="1"/>
  <c r="B279" i="163" s="1"/>
  <c r="B280" i="163" s="1"/>
  <c r="B450" i="163"/>
  <c r="B449" i="163" s="1"/>
  <c r="AZ671" i="163"/>
  <c r="D635" i="163"/>
  <c r="D284" i="163"/>
  <c r="D285" i="163" s="1"/>
  <c r="D286" i="163" s="1"/>
  <c r="AZ286" i="163" s="1"/>
  <c r="D468" i="163"/>
  <c r="AZ468" i="163" s="1"/>
  <c r="D293" i="163"/>
  <c r="D294" i="163" s="1"/>
  <c r="AZ294" i="163" s="1"/>
  <c r="AY317" i="163"/>
  <c r="AZ346" i="163"/>
  <c r="AY353" i="163"/>
  <c r="C358" i="163"/>
  <c r="D475" i="163" s="1"/>
  <c r="BB469" i="163" s="1"/>
  <c r="AZ475" i="163" s="1"/>
  <c r="B368" i="163"/>
  <c r="B369" i="163" s="1"/>
  <c r="B370" i="163" s="1"/>
  <c r="B371" i="163" s="1"/>
  <c r="B372" i="163" s="1"/>
  <c r="AZ368" i="163"/>
  <c r="AX394" i="163"/>
  <c r="D414" i="163"/>
  <c r="AZ423" i="163"/>
  <c r="D441" i="163"/>
  <c r="AZ441" i="163" s="1"/>
  <c r="AY448" i="163"/>
  <c r="D450" i="163"/>
  <c r="AZ450" i="163" s="1"/>
  <c r="D460" i="163"/>
  <c r="D461" i="163" s="1"/>
  <c r="D462" i="163" s="1"/>
  <c r="D463" i="163" s="1"/>
  <c r="D464" i="163" s="1"/>
  <c r="AY475" i="163"/>
  <c r="AX493" i="163"/>
  <c r="AX563" i="163"/>
  <c r="AX380" i="163"/>
  <c r="AY380" i="163"/>
  <c r="AY387" i="163"/>
  <c r="AX439" i="163"/>
  <c r="AY439" i="163"/>
  <c r="AX457" i="163"/>
  <c r="AY457" i="163"/>
  <c r="AY466" i="163"/>
  <c r="AX502" i="163"/>
  <c r="AX511" i="163"/>
  <c r="AX520" i="163"/>
  <c r="AY520" i="163"/>
  <c r="AX669" i="163"/>
  <c r="AZ283" i="163"/>
  <c r="AZ311" i="163"/>
  <c r="AZ319" i="163"/>
  <c r="AY335" i="163"/>
  <c r="AX353" i="163"/>
  <c r="AX366" i="163"/>
  <c r="AY394" i="163"/>
  <c r="AY412" i="163"/>
  <c r="AY421" i="163"/>
  <c r="AY430" i="163"/>
  <c r="AZ432" i="163"/>
  <c r="AX484" i="163"/>
  <c r="B495" i="163"/>
  <c r="BA494" i="163" s="1"/>
  <c r="AZ505" i="163"/>
  <c r="AX615" i="163"/>
  <c r="AZ680" i="163"/>
  <c r="AY579" i="163"/>
  <c r="AY588" i="163"/>
  <c r="AX624" i="163"/>
  <c r="AY705" i="163"/>
  <c r="AY542" i="163"/>
  <c r="AX549" i="163"/>
  <c r="AY597" i="163"/>
  <c r="AY606" i="163"/>
  <c r="AX633" i="163"/>
  <c r="AY651" i="163"/>
  <c r="AY660" i="163"/>
  <c r="AZ682" i="163"/>
  <c r="AX696" i="163"/>
  <c r="AX705" i="163"/>
  <c r="AX529" i="163"/>
  <c r="AY529" i="163"/>
  <c r="AY556" i="163"/>
  <c r="AX588" i="163"/>
  <c r="AX606" i="163"/>
  <c r="AY615" i="163"/>
  <c r="AX678" i="163"/>
  <c r="AY696" i="163"/>
  <c r="BH535" i="163"/>
  <c r="AX542" i="163"/>
  <c r="AX597" i="163"/>
  <c r="A550" i="163"/>
  <c r="A544" i="163"/>
  <c r="A545" i="163" s="1"/>
  <c r="A546" i="163" s="1"/>
  <c r="A547" i="163" s="1"/>
  <c r="A548" i="163" s="1"/>
  <c r="A549" i="163" s="1"/>
  <c r="AZ544" i="163"/>
  <c r="AY549" i="163"/>
  <c r="AX556" i="163"/>
  <c r="A557" i="163"/>
  <c r="A565" i="163" s="1"/>
  <c r="A566" i="163" s="1"/>
  <c r="A567" i="163" s="1"/>
  <c r="A568" i="163" s="1"/>
  <c r="A569" i="163" s="1"/>
  <c r="A570" i="163" s="1"/>
  <c r="AZ685" i="163"/>
  <c r="AZ601" i="163"/>
  <c r="B616" i="163"/>
  <c r="B624" i="163"/>
  <c r="AY678" i="163"/>
  <c r="AY687" i="163"/>
  <c r="AY642" i="163"/>
  <c r="AX651" i="163"/>
  <c r="BA643" i="163"/>
  <c r="AZ371" i="163"/>
  <c r="AZ370" i="163"/>
  <c r="A368" i="163"/>
  <c r="A369" i="163" s="1"/>
  <c r="A370" i="163" s="1"/>
  <c r="A371" i="163" s="1"/>
  <c r="A372" i="163" s="1"/>
  <c r="A373" i="163" s="1"/>
  <c r="A374" i="163"/>
  <c r="AZ433" i="163"/>
  <c r="BH359" i="163"/>
  <c r="A361" i="163"/>
  <c r="A362" i="163" s="1"/>
  <c r="A363" i="163" s="1"/>
  <c r="A364" i="163" s="1"/>
  <c r="A365" i="163" s="1"/>
  <c r="A366" i="163" s="1"/>
  <c r="A367" i="163"/>
  <c r="AY403" i="163"/>
  <c r="BB396" i="163"/>
  <c r="BF396" i="163"/>
  <c r="AX412" i="163"/>
  <c r="B424" i="163"/>
  <c r="B425" i="163" s="1"/>
  <c r="B426" i="163" s="1"/>
  <c r="B427" i="163" s="1"/>
  <c r="B428" i="163" s="1"/>
  <c r="B429" i="163" s="1"/>
  <c r="B448" i="163"/>
  <c r="D510" i="163"/>
  <c r="AZ510" i="163" s="1"/>
  <c r="BA404" i="163"/>
  <c r="B422" i="163"/>
  <c r="B430" i="163"/>
  <c r="D491" i="163"/>
  <c r="D492" i="163" s="1"/>
  <c r="AZ492" i="163" s="1"/>
  <c r="AZ506" i="163"/>
  <c r="B467" i="163"/>
  <c r="B475" i="163"/>
  <c r="B503" i="163"/>
  <c r="B505" i="163"/>
  <c r="B506" i="163" s="1"/>
  <c r="B507" i="163" s="1"/>
  <c r="B508" i="163" s="1"/>
  <c r="B509" i="163" s="1"/>
  <c r="B510" i="163" s="1"/>
  <c r="BA467" i="163"/>
  <c r="BA503" i="163"/>
  <c r="AZ486" i="163"/>
  <c r="D190" i="163"/>
  <c r="BB186" i="163" s="1"/>
  <c r="BF153" i="163"/>
  <c r="BF155" i="163" s="1"/>
  <c r="BF46" i="163"/>
  <c r="AZ84" i="163"/>
  <c r="BD144" i="163"/>
  <c r="AZ10" i="163"/>
  <c r="D11" i="163"/>
  <c r="D12" i="163" s="1"/>
  <c r="AZ24" i="163"/>
  <c r="D25" i="163"/>
  <c r="D26" i="163" s="1"/>
  <c r="AZ28" i="163"/>
  <c r="A43" i="163"/>
  <c r="A44" i="163" s="1"/>
  <c r="A45" i="163" s="1"/>
  <c r="A36" i="163"/>
  <c r="A37" i="163" s="1"/>
  <c r="A38" i="163" s="1"/>
  <c r="A39" i="163" s="1"/>
  <c r="A40" i="163" s="1"/>
  <c r="A41" i="163" s="1"/>
  <c r="A42" i="163" s="1"/>
  <c r="A29" i="163"/>
  <c r="A30" i="163" s="1"/>
  <c r="A31" i="163" s="1"/>
  <c r="A32" i="163" s="1"/>
  <c r="A33" i="163" s="1"/>
  <c r="A34" i="163" s="1"/>
  <c r="A35" i="163" s="1"/>
  <c r="A23" i="163"/>
  <c r="A24" i="163" s="1"/>
  <c r="A25" i="163" s="1"/>
  <c r="A26" i="163" s="1"/>
  <c r="A27" i="163" s="1"/>
  <c r="A28" i="163" s="1"/>
  <c r="AZ17" i="163"/>
  <c r="D18" i="163"/>
  <c r="D19" i="163" s="1"/>
  <c r="AZ55" i="163"/>
  <c r="D56" i="163"/>
  <c r="D57" i="163" s="1"/>
  <c r="AZ38" i="163"/>
  <c r="D39" i="163"/>
  <c r="D40" i="163" s="1"/>
  <c r="AZ42" i="163"/>
  <c r="AY14" i="163"/>
  <c r="AY42" i="163"/>
  <c r="AZ31" i="163"/>
  <c r="D32" i="163"/>
  <c r="D33" i="163" s="1"/>
  <c r="BA10" i="163"/>
  <c r="AY21" i="163"/>
  <c r="BA24" i="163"/>
  <c r="BC24" i="163" s="1"/>
  <c r="AY35" i="163"/>
  <c r="BA38" i="163"/>
  <c r="AZ60" i="163"/>
  <c r="BD46" i="163"/>
  <c r="AZ48" i="163"/>
  <c r="D49" i="163"/>
  <c r="D50" i="163" s="1"/>
  <c r="AZ50" i="163" s="1"/>
  <c r="AZ78" i="163"/>
  <c r="AZ94" i="163"/>
  <c r="AZ139" i="163"/>
  <c r="C181" i="163"/>
  <c r="C357" i="163" s="1"/>
  <c r="C533" i="163" s="1"/>
  <c r="C709" i="163" s="1"/>
  <c r="BC126" i="163"/>
  <c r="BC117" i="163"/>
  <c r="BC81" i="163"/>
  <c r="AZ83" i="163"/>
  <c r="AZ85" i="163"/>
  <c r="AZ103" i="163"/>
  <c r="AZ112" i="163"/>
  <c r="AZ121" i="163"/>
  <c r="AZ130" i="163"/>
  <c r="AZ148" i="163"/>
  <c r="D65" i="163"/>
  <c r="D74" i="163"/>
  <c r="D75" i="163" s="1"/>
  <c r="AZ93" i="163"/>
  <c r="AZ102" i="163"/>
  <c r="AZ111" i="163"/>
  <c r="AZ114" i="163"/>
  <c r="AZ120" i="163"/>
  <c r="AZ141" i="163"/>
  <c r="AZ147" i="163"/>
  <c r="BB162" i="163"/>
  <c r="BB144" i="163"/>
  <c r="A9" i="163"/>
  <c r="A10" i="163" s="1"/>
  <c r="A11" i="163" s="1"/>
  <c r="A12" i="163" s="1"/>
  <c r="A13" i="163" s="1"/>
  <c r="A14" i="163" s="1"/>
  <c r="A16" i="163"/>
  <c r="A17" i="163" s="1"/>
  <c r="A18" i="163" s="1"/>
  <c r="A19" i="163" s="1"/>
  <c r="A20" i="163" s="1"/>
  <c r="A21" i="163" s="1"/>
  <c r="BB81" i="163"/>
  <c r="AZ87" i="163" s="1"/>
  <c r="AY87" i="163"/>
  <c r="AZ92" i="163"/>
  <c r="AY96" i="163"/>
  <c r="AZ101" i="163"/>
  <c r="AY105" i="163"/>
  <c r="BA108" i="163"/>
  <c r="BD117" i="163" s="1"/>
  <c r="AZ110" i="163"/>
  <c r="AY114" i="163"/>
  <c r="AZ119" i="163"/>
  <c r="AY123" i="163"/>
  <c r="AZ128" i="163"/>
  <c r="AY132" i="163"/>
  <c r="BA135" i="163"/>
  <c r="BA311" i="163" s="1"/>
  <c r="AZ137" i="163"/>
  <c r="AY141" i="163"/>
  <c r="AZ146" i="163"/>
  <c r="AY150" i="163"/>
  <c r="AZ123" i="163"/>
  <c r="AZ129" i="163"/>
  <c r="AZ132" i="163"/>
  <c r="AZ138" i="163"/>
  <c r="A15" i="163"/>
  <c r="AZ63" i="163"/>
  <c r="AZ72" i="163"/>
  <c r="AZ86" i="163"/>
  <c r="AZ91" i="163"/>
  <c r="AZ95" i="163"/>
  <c r="AZ100" i="163"/>
  <c r="AZ104" i="163"/>
  <c r="AZ109" i="163"/>
  <c r="AZ113" i="163"/>
  <c r="AZ118" i="163"/>
  <c r="AZ122" i="163"/>
  <c r="AZ127" i="163"/>
  <c r="AZ131" i="163"/>
  <c r="AZ136" i="163"/>
  <c r="AZ140" i="163"/>
  <c r="AZ145" i="163"/>
  <c r="AZ149" i="163"/>
  <c r="AZ162" i="163"/>
  <c r="AX177" i="163"/>
  <c r="D173" i="163"/>
  <c r="AZ172" i="163"/>
  <c r="A205" i="163"/>
  <c r="A213" i="163" s="1"/>
  <c r="A214" i="163" s="1"/>
  <c r="A215" i="163" s="1"/>
  <c r="A216" i="163" s="1"/>
  <c r="A217" i="163" s="1"/>
  <c r="A218" i="163" s="1"/>
  <c r="A191" i="163"/>
  <c r="A185" i="163"/>
  <c r="A186" i="163" s="1"/>
  <c r="A187" i="163" s="1"/>
  <c r="A188" i="163" s="1"/>
  <c r="A189" i="163" s="1"/>
  <c r="A190" i="163" s="1"/>
  <c r="A198" i="163"/>
  <c r="A192" i="163"/>
  <c r="A193" i="163" s="1"/>
  <c r="A194" i="163" s="1"/>
  <c r="A195" i="163" s="1"/>
  <c r="A196" i="163" s="1"/>
  <c r="A197" i="163" s="1"/>
  <c r="D166" i="163"/>
  <c r="AZ165" i="163"/>
  <c r="BB328" i="163"/>
  <c r="BB330" i="163" s="1"/>
  <c r="BB506" i="163" s="1"/>
  <c r="BB220" i="163"/>
  <c r="BF328" i="163"/>
  <c r="BF330" i="163" s="1"/>
  <c r="BF220" i="163"/>
  <c r="BF221" i="163" s="1"/>
  <c r="BF329" i="163" s="1"/>
  <c r="BH183" i="163"/>
  <c r="BA230" i="163"/>
  <c r="D201" i="163"/>
  <c r="D202" i="163" s="1"/>
  <c r="AZ200" i="163"/>
  <c r="AZ163" i="163"/>
  <c r="AZ164" i="163"/>
  <c r="AY177" i="163"/>
  <c r="D187" i="163"/>
  <c r="AZ186" i="163"/>
  <c r="D195" i="163"/>
  <c r="D196" i="163" s="1"/>
  <c r="AZ196" i="163" s="1"/>
  <c r="AZ194" i="163"/>
  <c r="AZ214" i="163"/>
  <c r="D223" i="163"/>
  <c r="D224" i="163" s="1"/>
  <c r="D225" i="163" s="1"/>
  <c r="D226" i="163" s="1"/>
  <c r="AZ226" i="163" s="1"/>
  <c r="AZ222" i="163"/>
  <c r="BA184" i="163"/>
  <c r="D204" i="163"/>
  <c r="BB200" i="163" s="1"/>
  <c r="BA212" i="163"/>
  <c r="AX227" i="163"/>
  <c r="BC220" i="163"/>
  <c r="BG220" i="163"/>
  <c r="AZ266" i="163"/>
  <c r="D276" i="163"/>
  <c r="D277" i="163" s="1"/>
  <c r="D278" i="163" s="1"/>
  <c r="AZ275" i="163"/>
  <c r="D317" i="163"/>
  <c r="BB311" i="163" s="1"/>
  <c r="D308" i="163"/>
  <c r="BB302" i="163" s="1"/>
  <c r="AZ308" i="163" s="1"/>
  <c r="D353" i="163"/>
  <c r="BB347" i="163" s="1"/>
  <c r="D299" i="163"/>
  <c r="BB293" i="163" s="1"/>
  <c r="AZ299" i="163" s="1"/>
  <c r="D344" i="163"/>
  <c r="D335" i="163"/>
  <c r="D326" i="163"/>
  <c r="D290" i="163"/>
  <c r="BB284" i="163" s="1"/>
  <c r="D254" i="163"/>
  <c r="BB248" i="163" s="1"/>
  <c r="AZ254" i="163" s="1"/>
  <c r="D281" i="163"/>
  <c r="BB275" i="163" s="1"/>
  <c r="D272" i="163"/>
  <c r="BB266" i="163" s="1"/>
  <c r="D263" i="163"/>
  <c r="BB257" i="163" s="1"/>
  <c r="AZ263" i="163" s="1"/>
  <c r="D227" i="163"/>
  <c r="BE330" i="163"/>
  <c r="B186" i="163"/>
  <c r="B187" i="163" s="1"/>
  <c r="B188" i="163" s="1"/>
  <c r="B189" i="163" s="1"/>
  <c r="B190" i="163"/>
  <c r="D197" i="163"/>
  <c r="BB193" i="163" s="1"/>
  <c r="B198" i="163"/>
  <c r="B214" i="163"/>
  <c r="B215" i="163" s="1"/>
  <c r="B216" i="163" s="1"/>
  <c r="B217" i="163" s="1"/>
  <c r="B218" i="163"/>
  <c r="BD220" i="163"/>
  <c r="BD221" i="163" s="1"/>
  <c r="BD329" i="163" s="1"/>
  <c r="D218" i="163"/>
  <c r="BB214" i="163" s="1"/>
  <c r="BE220" i="163"/>
  <c r="D245" i="163"/>
  <c r="BB239" i="163" s="1"/>
  <c r="D258" i="163"/>
  <c r="AZ257" i="163"/>
  <c r="D268" i="163"/>
  <c r="AZ267" i="163"/>
  <c r="BC330" i="163"/>
  <c r="B200" i="163"/>
  <c r="B201" i="163" s="1"/>
  <c r="B202" i="163" s="1"/>
  <c r="B203" i="163" s="1"/>
  <c r="D211" i="163"/>
  <c r="BB207" i="163" s="1"/>
  <c r="D230" i="163"/>
  <c r="D231" i="163" s="1"/>
  <c r="D232" i="163" s="1"/>
  <c r="AZ229" i="163"/>
  <c r="AZ249" i="163"/>
  <c r="BA257" i="163"/>
  <c r="B248" i="163"/>
  <c r="B249" i="163" s="1"/>
  <c r="B250" i="163" s="1"/>
  <c r="B251" i="163" s="1"/>
  <c r="B252" i="163" s="1"/>
  <c r="B253" i="163" s="1"/>
  <c r="BA255" i="163"/>
  <c r="AZ265" i="163"/>
  <c r="AX290" i="163"/>
  <c r="B284" i="163"/>
  <c r="B285" i="163" s="1"/>
  <c r="B286" i="163" s="1"/>
  <c r="B287" i="163" s="1"/>
  <c r="B288" i="163" s="1"/>
  <c r="B289" i="163" s="1"/>
  <c r="AY290" i="163"/>
  <c r="AZ301" i="163"/>
  <c r="B257" i="163"/>
  <c r="B258" i="163" s="1"/>
  <c r="B259" i="163" s="1"/>
  <c r="B260" i="163" s="1"/>
  <c r="B261" i="163" s="1"/>
  <c r="B262" i="163" s="1"/>
  <c r="AZ274" i="163"/>
  <c r="B281" i="163"/>
  <c r="BA293" i="163"/>
  <c r="BA469" i="163" s="1"/>
  <c r="D334" i="163"/>
  <c r="AZ334" i="163" s="1"/>
  <c r="AZ333" i="163"/>
  <c r="AZ332" i="163"/>
  <c r="D339" i="163"/>
  <c r="AZ338" i="163"/>
  <c r="B254" i="163"/>
  <c r="B282" i="163"/>
  <c r="D313" i="163"/>
  <c r="AZ312" i="163"/>
  <c r="D321" i="163"/>
  <c r="D322" i="163" s="1"/>
  <c r="AZ320" i="163"/>
  <c r="AZ331" i="163"/>
  <c r="B255" i="163"/>
  <c r="BA282" i="163"/>
  <c r="BA302" i="163"/>
  <c r="AZ330" i="163"/>
  <c r="B299" i="163"/>
  <c r="BA318" i="163"/>
  <c r="B329" i="163"/>
  <c r="B330" i="163" s="1"/>
  <c r="B331" i="163" s="1"/>
  <c r="B332" i="163" s="1"/>
  <c r="B333" i="163" s="1"/>
  <c r="B334" i="163" s="1"/>
  <c r="BA336" i="163"/>
  <c r="B345" i="163"/>
  <c r="B353" i="163"/>
  <c r="B300" i="163"/>
  <c r="B308" i="163"/>
  <c r="B320" i="163"/>
  <c r="B321" i="163" s="1"/>
  <c r="B322" i="163" s="1"/>
  <c r="B323" i="163" s="1"/>
  <c r="B324" i="163" s="1"/>
  <c r="B325" i="163" s="1"/>
  <c r="BA327" i="163"/>
  <c r="B338" i="163"/>
  <c r="B339" i="163" s="1"/>
  <c r="B340" i="163" s="1"/>
  <c r="B341" i="163" s="1"/>
  <c r="B342" i="163" s="1"/>
  <c r="B343" i="163" s="1"/>
  <c r="B318" i="163"/>
  <c r="B397" i="163" l="1"/>
  <c r="B398" i="163" s="1"/>
  <c r="B399" i="163" s="1"/>
  <c r="B400" i="163" s="1"/>
  <c r="B401" i="163" s="1"/>
  <c r="B402" i="163" s="1"/>
  <c r="AZ197" i="163"/>
  <c r="AZ240" i="163"/>
  <c r="AZ208" i="163"/>
  <c r="BA186" i="163"/>
  <c r="BA362" i="163" s="1"/>
  <c r="B457" i="163"/>
  <c r="B394" i="163"/>
  <c r="BA449" i="163"/>
  <c r="AZ190" i="163"/>
  <c r="D408" i="163"/>
  <c r="BC1767" i="163"/>
  <c r="BB1767" i="163"/>
  <c r="BE1767" i="163"/>
  <c r="BD1767" i="163"/>
  <c r="A1869" i="163"/>
  <c r="A1870" i="163" s="1"/>
  <c r="A1871" i="163"/>
  <c r="A1872" i="163" s="1"/>
  <c r="A1873" i="163" s="1"/>
  <c r="A1874" i="163" s="1"/>
  <c r="A1699" i="163"/>
  <c r="A1726" i="163"/>
  <c r="A1691" i="163"/>
  <c r="A1692" i="163" s="1"/>
  <c r="A1884" i="163"/>
  <c r="A1876" i="163"/>
  <c r="A1877" i="163" s="1"/>
  <c r="A1684" i="163"/>
  <c r="A1685" i="163" s="1"/>
  <c r="A1686" i="163"/>
  <c r="A1687" i="163" s="1"/>
  <c r="A1688" i="163" s="1"/>
  <c r="A1689" i="163" s="1"/>
  <c r="A1903" i="163"/>
  <c r="A1904" i="163" s="1"/>
  <c r="A1911" i="163"/>
  <c r="D157" i="163"/>
  <c r="D158" i="163" s="1"/>
  <c r="AZ158" i="163" s="1"/>
  <c r="AZ461" i="163"/>
  <c r="B395" i="163"/>
  <c r="D1479" i="163"/>
  <c r="D1655" i="163" s="1"/>
  <c r="D1304" i="163"/>
  <c r="AZ1303" i="163"/>
  <c r="BD38" i="163"/>
  <c r="BA521" i="163"/>
  <c r="B523" i="163"/>
  <c r="B524" i="163" s="1"/>
  <c r="B525" i="163" s="1"/>
  <c r="B526" i="163" s="1"/>
  <c r="B527" i="163" s="1"/>
  <c r="B528" i="163" s="1"/>
  <c r="BA1415" i="163"/>
  <c r="BA1591" i="163" s="1"/>
  <c r="BH1239" i="163"/>
  <c r="AZ281" i="163"/>
  <c r="BA207" i="163"/>
  <c r="A1508" i="163"/>
  <c r="A1509" i="163" s="1"/>
  <c r="A1510" i="163"/>
  <c r="A1511" i="163" s="1"/>
  <c r="A1512" i="163" s="1"/>
  <c r="A1513" i="163" s="1"/>
  <c r="A1523" i="163"/>
  <c r="A1550" i="163"/>
  <c r="A1515" i="163"/>
  <c r="A1516" i="163" s="1"/>
  <c r="A1323" i="163"/>
  <c r="A1324" i="163" s="1"/>
  <c r="A1325" i="163"/>
  <c r="A1326" i="163" s="1"/>
  <c r="A1327" i="163" s="1"/>
  <c r="A1328" i="163" s="1"/>
  <c r="A1338" i="163"/>
  <c r="A1330" i="163"/>
  <c r="A1331" i="163" s="1"/>
  <c r="A1316" i="163"/>
  <c r="A1317" i="163" s="1"/>
  <c r="A1318" i="163" s="1"/>
  <c r="A1319" i="163" s="1"/>
  <c r="A1314" i="163"/>
  <c r="A1315" i="163" s="1"/>
  <c r="B366" i="163"/>
  <c r="AZ425" i="163"/>
  <c r="B367" i="163"/>
  <c r="AZ396" i="163"/>
  <c r="BA214" i="163"/>
  <c r="BA390" i="163" s="1"/>
  <c r="BA566" i="163" s="1"/>
  <c r="BA742" i="163" s="1"/>
  <c r="BA918" i="163" s="1"/>
  <c r="BA1094" i="163" s="1"/>
  <c r="BA1270" i="163" s="1"/>
  <c r="BA1446" i="163" s="1"/>
  <c r="BA1622" i="163" s="1"/>
  <c r="BG17" i="163"/>
  <c r="BH17" i="163" s="1"/>
  <c r="AZ21" i="163"/>
  <c r="AZ224" i="163"/>
  <c r="B362" i="163"/>
  <c r="B363" i="163" s="1"/>
  <c r="B364" i="163" s="1"/>
  <c r="B365" i="163" s="1"/>
  <c r="BA512" i="163"/>
  <c r="B421" i="163"/>
  <c r="BA360" i="163"/>
  <c r="BA193" i="163"/>
  <c r="BA369" i="163" s="1"/>
  <c r="BA545" i="163" s="1"/>
  <c r="BA721" i="163" s="1"/>
  <c r="B458" i="163"/>
  <c r="BA413" i="163"/>
  <c r="B537" i="163"/>
  <c r="BA536" i="163" s="1"/>
  <c r="D397" i="163"/>
  <c r="D398" i="163" s="1"/>
  <c r="D399" i="163" s="1"/>
  <c r="AZ399" i="163" s="1"/>
  <c r="BA320" i="163"/>
  <c r="BA496" i="163" s="1"/>
  <c r="BA672" i="163" s="1"/>
  <c r="BA848" i="163" s="1"/>
  <c r="BA1024" i="163" s="1"/>
  <c r="BA1200" i="163" s="1"/>
  <c r="BA1376" i="163" s="1"/>
  <c r="BA1552" i="163" s="1"/>
  <c r="BA1728" i="163" s="1"/>
  <c r="BA1904" i="163" s="1"/>
  <c r="AZ211" i="163"/>
  <c r="AZ204" i="163"/>
  <c r="AZ150" i="163"/>
  <c r="AZ96" i="163"/>
  <c r="AZ683" i="163"/>
  <c r="AZ681" i="163"/>
  <c r="D584" i="163"/>
  <c r="D585" i="163" s="1"/>
  <c r="D496" i="163"/>
  <c r="D497" i="163" s="1"/>
  <c r="D1128" i="163"/>
  <c r="AZ1127" i="163"/>
  <c r="AZ302" i="163"/>
  <c r="AZ272" i="163"/>
  <c r="AZ353" i="163"/>
  <c r="BA200" i="163"/>
  <c r="BA376" i="163" s="1"/>
  <c r="AZ69" i="163"/>
  <c r="B494" i="163"/>
  <c r="B529" i="163"/>
  <c r="AZ488" i="163"/>
  <c r="D430" i="163"/>
  <c r="BB424" i="163" s="1"/>
  <c r="AZ430" i="163" s="1"/>
  <c r="AZ684" i="163"/>
  <c r="AZ582" i="163"/>
  <c r="AZ489" i="163"/>
  <c r="BH1063" i="163"/>
  <c r="AZ348" i="163"/>
  <c r="AZ218" i="163"/>
  <c r="AZ35" i="163"/>
  <c r="B496" i="163"/>
  <c r="B497" i="163" s="1"/>
  <c r="B498" i="163" s="1"/>
  <c r="B499" i="163" s="1"/>
  <c r="B500" i="163" s="1"/>
  <c r="B501" i="163" s="1"/>
  <c r="B521" i="163"/>
  <c r="AZ487" i="163"/>
  <c r="D493" i="163"/>
  <c r="BB487" i="163" s="1"/>
  <c r="AZ493" i="163" s="1"/>
  <c r="AZ495" i="163"/>
  <c r="A1122" i="163"/>
  <c r="A1123" i="163" s="1"/>
  <c r="A1124" i="163" s="1"/>
  <c r="A1125" i="163" s="1"/>
  <c r="A1120" i="163"/>
  <c r="A1121" i="163" s="1"/>
  <c r="A1111" i="163"/>
  <c r="A1112" i="163" s="1"/>
  <c r="A1113" i="163"/>
  <c r="A1114" i="163" s="1"/>
  <c r="A1115" i="163" s="1"/>
  <c r="A1116" i="163" s="1"/>
  <c r="D748" i="163"/>
  <c r="D749" i="163" s="1"/>
  <c r="AZ572" i="163"/>
  <c r="D573" i="163"/>
  <c r="D574" i="163" s="1"/>
  <c r="D295" i="163"/>
  <c r="D296" i="163" s="1"/>
  <c r="AZ168" i="163"/>
  <c r="BD17" i="163"/>
  <c r="B466" i="163"/>
  <c r="D502" i="163"/>
  <c r="BB514" i="163" s="1"/>
  <c r="AZ520" i="163" s="1"/>
  <c r="AZ504" i="163"/>
  <c r="BA458" i="163"/>
  <c r="BB221" i="163"/>
  <c r="BB222" i="163" s="1"/>
  <c r="BA99" i="163"/>
  <c r="BA275" i="163" s="1"/>
  <c r="BA451" i="163" s="1"/>
  <c r="BA627" i="163" s="1"/>
  <c r="BA803" i="163" s="1"/>
  <c r="BA979" i="163" s="1"/>
  <c r="BA1155" i="163" s="1"/>
  <c r="BA1331" i="163" s="1"/>
  <c r="AZ508" i="163"/>
  <c r="D403" i="163"/>
  <c r="D412" i="163"/>
  <c r="BB406" i="163" s="1"/>
  <c r="AZ412" i="163" s="1"/>
  <c r="D520" i="163"/>
  <c r="AZ398" i="163"/>
  <c r="BA697" i="163"/>
  <c r="B636" i="163"/>
  <c r="B637" i="163" s="1"/>
  <c r="B638" i="163" s="1"/>
  <c r="B639" i="163" s="1"/>
  <c r="B640" i="163" s="1"/>
  <c r="B641" i="163" s="1"/>
  <c r="BA478" i="163"/>
  <c r="BD496" i="163" s="1"/>
  <c r="AZ245" i="163"/>
  <c r="D421" i="163"/>
  <c r="BB415" i="163" s="1"/>
  <c r="AZ421" i="163" s="1"/>
  <c r="D529" i="163"/>
  <c r="BB523" i="163" s="1"/>
  <c r="AZ529" i="163" s="1"/>
  <c r="D400" i="163"/>
  <c r="D401" i="163" s="1"/>
  <c r="D402" i="163" s="1"/>
  <c r="AZ402" i="163" s="1"/>
  <c r="AZ507" i="163"/>
  <c r="AZ159" i="163"/>
  <c r="BB46" i="163"/>
  <c r="BC221" i="163"/>
  <c r="BC329" i="163" s="1"/>
  <c r="BC331" i="163" s="1"/>
  <c r="AZ51" i="163"/>
  <c r="BE221" i="163"/>
  <c r="BE329" i="163" s="1"/>
  <c r="BE331" i="163" s="1"/>
  <c r="BC46" i="163"/>
  <c r="BH46" i="163" s="1"/>
  <c r="BE153" i="163"/>
  <c r="BE155" i="163" s="1"/>
  <c r="BA338" i="163"/>
  <c r="BA514" i="163" s="1"/>
  <c r="BA690" i="163" s="1"/>
  <c r="BA866" i="163" s="1"/>
  <c r="BA1042" i="163" s="1"/>
  <c r="BA1218" i="163" s="1"/>
  <c r="BA1394" i="163" s="1"/>
  <c r="BA1570" i="163" s="1"/>
  <c r="BA1746" i="163" s="1"/>
  <c r="BA248" i="163"/>
  <c r="BA424" i="163" s="1"/>
  <c r="AZ18" i="163"/>
  <c r="D394" i="163"/>
  <c r="BB390" i="163" s="1"/>
  <c r="AZ394" i="163" s="1"/>
  <c r="D439" i="163"/>
  <c r="BB433" i="163" s="1"/>
  <c r="AZ439" i="163" s="1"/>
  <c r="D457" i="163"/>
  <c r="BB451" i="163" s="1"/>
  <c r="AZ457" i="163" s="1"/>
  <c r="D511" i="163"/>
  <c r="D484" i="163"/>
  <c r="BB478" i="163" s="1"/>
  <c r="AZ484" i="163" s="1"/>
  <c r="AZ406" i="163"/>
  <c r="D387" i="163"/>
  <c r="BB383" i="163" s="1"/>
  <c r="AZ387" i="163" s="1"/>
  <c r="D366" i="163"/>
  <c r="BB362" i="163" s="1"/>
  <c r="AZ366" i="163" s="1"/>
  <c r="D373" i="163"/>
  <c r="BB369" i="163" s="1"/>
  <c r="AZ373" i="163" s="1"/>
  <c r="D448" i="163"/>
  <c r="BB442" i="163" s="1"/>
  <c r="AZ448" i="163" s="1"/>
  <c r="D466" i="163"/>
  <c r="BB460" i="163" s="1"/>
  <c r="AZ466" i="163" s="1"/>
  <c r="AZ207" i="163"/>
  <c r="AZ25" i="163"/>
  <c r="BD54" i="163"/>
  <c r="BC72" i="163"/>
  <c r="BE72" i="163" s="1"/>
  <c r="BF72" i="163" s="1"/>
  <c r="BC38" i="163"/>
  <c r="BE38" i="163" s="1"/>
  <c r="BF38" i="163" s="1"/>
  <c r="BC10" i="163"/>
  <c r="BE10" i="163" s="1"/>
  <c r="BF10" i="163" s="1"/>
  <c r="AZ11" i="163"/>
  <c r="AZ424" i="163"/>
  <c r="D672" i="163"/>
  <c r="D856" i="163"/>
  <c r="BB680" i="163"/>
  <c r="BA710" i="163"/>
  <c r="B821" i="163"/>
  <c r="B822" i="163" s="1"/>
  <c r="B823" i="163" s="1"/>
  <c r="B824" i="163" s="1"/>
  <c r="B825" i="163" s="1"/>
  <c r="B826" i="163" s="1"/>
  <c r="B996" i="163"/>
  <c r="B1172" i="163" s="1"/>
  <c r="B1348" i="163" s="1"/>
  <c r="BA819" i="163"/>
  <c r="B827" i="163"/>
  <c r="B819" i="163"/>
  <c r="AZ397" i="163"/>
  <c r="B875" i="163"/>
  <c r="B876" i="163" s="1"/>
  <c r="B877" i="163" s="1"/>
  <c r="B878" i="163" s="1"/>
  <c r="B879" i="163" s="1"/>
  <c r="B880" i="163" s="1"/>
  <c r="B1050" i="163"/>
  <c r="B1226" i="163" s="1"/>
  <c r="B1402" i="163" s="1"/>
  <c r="B881" i="163"/>
  <c r="B873" i="163"/>
  <c r="BA873" i="163"/>
  <c r="B818" i="163"/>
  <c r="B987" i="163"/>
  <c r="B1163" i="163" s="1"/>
  <c r="B1339" i="163" s="1"/>
  <c r="B810" i="163"/>
  <c r="B812" i="163"/>
  <c r="B813" i="163" s="1"/>
  <c r="B814" i="163" s="1"/>
  <c r="B815" i="163" s="1"/>
  <c r="B816" i="163" s="1"/>
  <c r="B817" i="163" s="1"/>
  <c r="BA810" i="163"/>
  <c r="BH887" i="163"/>
  <c r="BC672" i="163"/>
  <c r="BE672" i="163" s="1"/>
  <c r="BF672" i="163" s="1"/>
  <c r="BD266" i="163"/>
  <c r="AZ215" i="163"/>
  <c r="C885" i="163"/>
  <c r="D636" i="163"/>
  <c r="D811" i="163"/>
  <c r="D847" i="163"/>
  <c r="B969" i="163"/>
  <c r="B1145" i="163" s="1"/>
  <c r="B1321" i="163" s="1"/>
  <c r="B800" i="163"/>
  <c r="B792" i="163"/>
  <c r="B794" i="163"/>
  <c r="B795" i="163" s="1"/>
  <c r="B796" i="163" s="1"/>
  <c r="B797" i="163" s="1"/>
  <c r="B798" i="163" s="1"/>
  <c r="B799" i="163" s="1"/>
  <c r="BA792" i="163"/>
  <c r="BH154" i="163"/>
  <c r="BF856" i="163"/>
  <c r="BE886" i="163"/>
  <c r="BE1062" i="163" s="1"/>
  <c r="BE1238" i="163" s="1"/>
  <c r="BF748" i="163"/>
  <c r="D663" i="163"/>
  <c r="D664" i="163" s="1"/>
  <c r="D665" i="163" s="1"/>
  <c r="D666" i="163" s="1"/>
  <c r="D667" i="163" s="1"/>
  <c r="D838" i="163"/>
  <c r="AZ295" i="163"/>
  <c r="AZ276" i="163"/>
  <c r="AZ277" i="163"/>
  <c r="D609" i="163"/>
  <c r="D784" i="163"/>
  <c r="AZ608" i="163"/>
  <c r="AZ74" i="163"/>
  <c r="AZ248" i="163"/>
  <c r="D777" i="163"/>
  <c r="AZ776" i="163"/>
  <c r="D952" i="163"/>
  <c r="AZ951" i="163"/>
  <c r="D758" i="163"/>
  <c r="D933" i="163"/>
  <c r="D1109" i="163" s="1"/>
  <c r="D1285" i="163" s="1"/>
  <c r="AZ757" i="163"/>
  <c r="D548" i="163"/>
  <c r="AZ548" i="163" s="1"/>
  <c r="AZ369" i="163"/>
  <c r="AZ545" i="163"/>
  <c r="AZ546" i="163"/>
  <c r="D721" i="163"/>
  <c r="D896" i="163"/>
  <c r="D1072" i="163" s="1"/>
  <c r="D1248" i="163" s="1"/>
  <c r="AZ720" i="163"/>
  <c r="A928" i="163"/>
  <c r="A929" i="163" s="1"/>
  <c r="A930" i="163" s="1"/>
  <c r="A931" i="163" s="1"/>
  <c r="A926" i="163"/>
  <c r="A927" i="163" s="1"/>
  <c r="A933" i="163"/>
  <c r="A934" i="163" s="1"/>
  <c r="A941" i="163"/>
  <c r="A942" i="163" s="1"/>
  <c r="A943" i="163" s="1"/>
  <c r="A748" i="163"/>
  <c r="A749" i="163" s="1"/>
  <c r="A756" i="163"/>
  <c r="BD369" i="163"/>
  <c r="BD338" i="163"/>
  <c r="BA487" i="163"/>
  <c r="D340" i="163"/>
  <c r="AZ339" i="163"/>
  <c r="BD451" i="163"/>
  <c r="D66" i="163"/>
  <c r="D67" i="163" s="1"/>
  <c r="AZ65" i="163"/>
  <c r="BC478" i="163"/>
  <c r="BG478" i="163" s="1"/>
  <c r="BH478" i="163" s="1"/>
  <c r="BA654" i="163"/>
  <c r="BC654" i="163" s="1"/>
  <c r="BG654" i="163" s="1"/>
  <c r="BH654" i="163" s="1"/>
  <c r="D314" i="163"/>
  <c r="D315" i="163" s="1"/>
  <c r="AZ313" i="163"/>
  <c r="BD478" i="163"/>
  <c r="D188" i="163"/>
  <c r="D189" i="163" s="1"/>
  <c r="AZ189" i="163" s="1"/>
  <c r="AZ187" i="163"/>
  <c r="BA415" i="163"/>
  <c r="BA591" i="163" s="1"/>
  <c r="BA767" i="163" s="1"/>
  <c r="BA943" i="163" s="1"/>
  <c r="D409" i="163"/>
  <c r="AZ409" i="163" s="1"/>
  <c r="AZ408" i="163"/>
  <c r="BA618" i="163"/>
  <c r="BD135" i="163"/>
  <c r="BC135" i="163"/>
  <c r="BG135" i="163" s="1"/>
  <c r="BH135" i="163" s="1"/>
  <c r="B439" i="163"/>
  <c r="B608" i="163"/>
  <c r="B784" i="163" s="1"/>
  <c r="BA431" i="163"/>
  <c r="D362" i="163"/>
  <c r="D537" i="163"/>
  <c r="D713" i="163" s="1"/>
  <c r="D287" i="163"/>
  <c r="AZ239" i="163"/>
  <c r="BD330" i="163"/>
  <c r="BD331" i="163" s="1"/>
  <c r="BA433" i="163"/>
  <c r="BD442" i="163" s="1"/>
  <c r="BC362" i="163"/>
  <c r="BE362" i="163" s="1"/>
  <c r="BF362" i="163" s="1"/>
  <c r="B373" i="163"/>
  <c r="AZ600" i="163"/>
  <c r="AZ662" i="163"/>
  <c r="B502" i="163"/>
  <c r="B671" i="163"/>
  <c r="B847" i="163" s="1"/>
  <c r="AZ460" i="163"/>
  <c r="D451" i="163"/>
  <c r="D626" i="163"/>
  <c r="D802" i="163" s="1"/>
  <c r="D590" i="163"/>
  <c r="D766" i="163" s="1"/>
  <c r="D415" i="163"/>
  <c r="D380" i="163"/>
  <c r="BB376" i="163" s="1"/>
  <c r="AZ380" i="163" s="1"/>
  <c r="C534" i="163"/>
  <c r="C710" i="163" s="1"/>
  <c r="B493" i="163"/>
  <c r="B662" i="163"/>
  <c r="B838" i="163" s="1"/>
  <c r="B485" i="163"/>
  <c r="BA485" i="163"/>
  <c r="B388" i="163"/>
  <c r="B390" i="163"/>
  <c r="B391" i="163" s="1"/>
  <c r="B392" i="163" s="1"/>
  <c r="B393" i="163" s="1"/>
  <c r="B565" i="163"/>
  <c r="B741" i="163" s="1"/>
  <c r="BE504" i="163"/>
  <c r="BE506" i="163" s="1"/>
  <c r="BD534" i="163"/>
  <c r="BD710" i="163" s="1"/>
  <c r="BD504" i="163"/>
  <c r="BC534" i="163"/>
  <c r="BC710" i="163" s="1"/>
  <c r="D478" i="163"/>
  <c r="D653" i="163"/>
  <c r="D829" i="163" s="1"/>
  <c r="AZ635" i="163"/>
  <c r="AZ496" i="163"/>
  <c r="D565" i="163"/>
  <c r="D741" i="163" s="1"/>
  <c r="D390" i="163"/>
  <c r="AZ285" i="163"/>
  <c r="AZ317" i="163"/>
  <c r="BF331" i="163"/>
  <c r="BD214" i="163"/>
  <c r="AZ491" i="163"/>
  <c r="B433" i="163"/>
  <c r="B434" i="163" s="1"/>
  <c r="B435" i="163" s="1"/>
  <c r="B436" i="163" s="1"/>
  <c r="B437" i="163" s="1"/>
  <c r="B438" i="163" s="1"/>
  <c r="BF397" i="163"/>
  <c r="BF505" i="163" s="1"/>
  <c r="BB682" i="163"/>
  <c r="B511" i="163"/>
  <c r="B680" i="163"/>
  <c r="B856" i="163" s="1"/>
  <c r="BA616" i="163"/>
  <c r="B618" i="163"/>
  <c r="B619" i="163" s="1"/>
  <c r="B620" i="163" s="1"/>
  <c r="B621" i="163" s="1"/>
  <c r="B622" i="163" s="1"/>
  <c r="B623" i="163" s="1"/>
  <c r="BA422" i="163"/>
  <c r="B599" i="163"/>
  <c r="B775" i="163" s="1"/>
  <c r="AZ361" i="163"/>
  <c r="BG504" i="163"/>
  <c r="BG506" i="163" s="1"/>
  <c r="BG507" i="163" s="1"/>
  <c r="BF534" i="163"/>
  <c r="BF710" i="163" s="1"/>
  <c r="B484" i="163"/>
  <c r="B653" i="163"/>
  <c r="B829" i="163" s="1"/>
  <c r="BA476" i="163"/>
  <c r="B478" i="163"/>
  <c r="B479" i="163" s="1"/>
  <c r="B480" i="163" s="1"/>
  <c r="B481" i="163" s="1"/>
  <c r="B482" i="163" s="1"/>
  <c r="B483" i="163" s="1"/>
  <c r="B520" i="163"/>
  <c r="B689" i="163"/>
  <c r="B865" i="163" s="1"/>
  <c r="BF680" i="163"/>
  <c r="BF572" i="163"/>
  <c r="BD155" i="163"/>
  <c r="BA367" i="163"/>
  <c r="B544" i="163"/>
  <c r="B720" i="163" s="1"/>
  <c r="AZ603" i="163"/>
  <c r="D604" i="163"/>
  <c r="D383" i="163"/>
  <c r="D558" i="163"/>
  <c r="D734" i="163" s="1"/>
  <c r="BC504" i="163"/>
  <c r="BC506" i="163" s="1"/>
  <c r="BB534" i="163"/>
  <c r="BB710" i="163" s="1"/>
  <c r="AZ284" i="163"/>
  <c r="AZ209" i="163"/>
  <c r="BD397" i="163"/>
  <c r="BD505" i="163" s="1"/>
  <c r="BA383" i="163"/>
  <c r="BD390" i="163" s="1"/>
  <c r="AZ602" i="163"/>
  <c r="AZ414" i="163"/>
  <c r="AZ382" i="163"/>
  <c r="D617" i="163"/>
  <c r="D793" i="163" s="1"/>
  <c r="D442" i="163"/>
  <c r="AZ347" i="163"/>
  <c r="D469" i="163"/>
  <c r="D644" i="163"/>
  <c r="D820" i="163" s="1"/>
  <c r="B451" i="163"/>
  <c r="B452" i="163" s="1"/>
  <c r="B453" i="163" s="1"/>
  <c r="B454" i="163" s="1"/>
  <c r="B455" i="163" s="1"/>
  <c r="B456" i="163" s="1"/>
  <c r="B626" i="163"/>
  <c r="B802" i="163" s="1"/>
  <c r="B645" i="163"/>
  <c r="B646" i="163" s="1"/>
  <c r="B647" i="163" s="1"/>
  <c r="B648" i="163" s="1"/>
  <c r="B649" i="163" s="1"/>
  <c r="B650" i="163" s="1"/>
  <c r="B651" i="163"/>
  <c r="B643" i="163"/>
  <c r="D523" i="163"/>
  <c r="D874" i="163"/>
  <c r="BA395" i="163"/>
  <c r="B572" i="163"/>
  <c r="B748" i="163" s="1"/>
  <c r="D865" i="163"/>
  <c r="D514" i="163"/>
  <c r="AZ513" i="163"/>
  <c r="B406" i="163"/>
  <c r="B407" i="163" s="1"/>
  <c r="B408" i="163" s="1"/>
  <c r="B409" i="163" s="1"/>
  <c r="B410" i="163" s="1"/>
  <c r="B411" i="163" s="1"/>
  <c r="B581" i="163"/>
  <c r="B757" i="163" s="1"/>
  <c r="B412" i="163"/>
  <c r="B404" i="163"/>
  <c r="D551" i="163"/>
  <c r="D727" i="163" s="1"/>
  <c r="D376" i="163"/>
  <c r="AZ375" i="163"/>
  <c r="AZ293" i="163"/>
  <c r="B381" i="163"/>
  <c r="B558" i="163"/>
  <c r="B734" i="163" s="1"/>
  <c r="B383" i="163"/>
  <c r="B384" i="163" s="1"/>
  <c r="B385" i="163" s="1"/>
  <c r="B386" i="163" s="1"/>
  <c r="BA381" i="163"/>
  <c r="B387" i="163"/>
  <c r="AZ477" i="163"/>
  <c r="B380" i="163"/>
  <c r="B551" i="163"/>
  <c r="B727" i="163" s="1"/>
  <c r="B374" i="163"/>
  <c r="BA374" i="163"/>
  <c r="B699" i="163"/>
  <c r="B700" i="163" s="1"/>
  <c r="B701" i="163" s="1"/>
  <c r="B702" i="163" s="1"/>
  <c r="B703" i="163" s="1"/>
  <c r="B704" i="163" s="1"/>
  <c r="B697" i="163"/>
  <c r="B705" i="163"/>
  <c r="B642" i="163"/>
  <c r="B634" i="163"/>
  <c r="BA634" i="163"/>
  <c r="B415" i="163"/>
  <c r="B416" i="163" s="1"/>
  <c r="B417" i="163" s="1"/>
  <c r="B418" i="163" s="1"/>
  <c r="B419" i="163" s="1"/>
  <c r="B420" i="163" s="1"/>
  <c r="B590" i="163"/>
  <c r="B766" i="163" s="1"/>
  <c r="BF506" i="163"/>
  <c r="BC390" i="163"/>
  <c r="BG390" i="163" s="1"/>
  <c r="BH390" i="163" s="1"/>
  <c r="BA538" i="163"/>
  <c r="BA714" i="163" s="1"/>
  <c r="BA890" i="163" s="1"/>
  <c r="BA1066" i="163" s="1"/>
  <c r="BA1242" i="163" s="1"/>
  <c r="BA645" i="163"/>
  <c r="BA821" i="163" s="1"/>
  <c r="BA997" i="163" s="1"/>
  <c r="BA1173" i="163" s="1"/>
  <c r="BA1349" i="163" s="1"/>
  <c r="A564" i="163"/>
  <c r="A571" i="163" s="1"/>
  <c r="A558" i="163"/>
  <c r="A559" i="163" s="1"/>
  <c r="A560" i="163" s="1"/>
  <c r="A561" i="163" s="1"/>
  <c r="A562" i="163" s="1"/>
  <c r="A563" i="163" s="1"/>
  <c r="A551" i="163"/>
  <c r="A552" i="163" s="1"/>
  <c r="A553" i="163" s="1"/>
  <c r="A554" i="163" s="1"/>
  <c r="A555" i="163" s="1"/>
  <c r="A556" i="163" s="1"/>
  <c r="AZ462" i="163"/>
  <c r="D428" i="163"/>
  <c r="AZ427" i="163"/>
  <c r="BC442" i="163"/>
  <c r="BD487" i="163"/>
  <c r="BA406" i="163"/>
  <c r="BA582" i="163" s="1"/>
  <c r="BA758" i="163" s="1"/>
  <c r="D436" i="163"/>
  <c r="AZ435" i="163"/>
  <c r="AZ464" i="163"/>
  <c r="D465" i="163"/>
  <c r="AZ465" i="163" s="1"/>
  <c r="AZ426" i="163"/>
  <c r="A375" i="163"/>
  <c r="A376" i="163" s="1"/>
  <c r="A377" i="163" s="1"/>
  <c r="A378" i="163" s="1"/>
  <c r="A379" i="163" s="1"/>
  <c r="A380" i="163" s="1"/>
  <c r="A388" i="163"/>
  <c r="A395" i="163" s="1"/>
  <c r="A382" i="163"/>
  <c r="A383" i="163" s="1"/>
  <c r="A384" i="163" s="1"/>
  <c r="A385" i="163" s="1"/>
  <c r="A386" i="163" s="1"/>
  <c r="A387" i="163" s="1"/>
  <c r="BC451" i="163"/>
  <c r="BC469" i="163"/>
  <c r="AZ463" i="163"/>
  <c r="AZ434" i="163"/>
  <c r="BC487" i="163"/>
  <c r="BG162" i="163"/>
  <c r="BH162" i="163" s="1"/>
  <c r="BE162" i="163"/>
  <c r="BF162" i="163" s="1"/>
  <c r="BD311" i="163"/>
  <c r="D252" i="163"/>
  <c r="AZ251" i="163"/>
  <c r="AZ290" i="163"/>
  <c r="BA284" i="163"/>
  <c r="BD293" i="163" s="1"/>
  <c r="AZ321" i="163"/>
  <c r="BD302" i="163"/>
  <c r="D297" i="163"/>
  <c r="AZ296" i="163"/>
  <c r="AZ250" i="163"/>
  <c r="AZ230" i="163"/>
  <c r="D242" i="163"/>
  <c r="AZ241" i="163"/>
  <c r="AZ223" i="163"/>
  <c r="AZ195" i="163"/>
  <c r="AZ201" i="163"/>
  <c r="BD239" i="163"/>
  <c r="BF222" i="163"/>
  <c r="BG38" i="163"/>
  <c r="BH38" i="163" s="1"/>
  <c r="BD90" i="163"/>
  <c r="BC108" i="163"/>
  <c r="BG144" i="163"/>
  <c r="BH144" i="163" s="1"/>
  <c r="BE144" i="163"/>
  <c r="BF144" i="163" s="1"/>
  <c r="A48" i="163"/>
  <c r="A49" i="163" s="1"/>
  <c r="A50" i="163" s="1"/>
  <c r="A51" i="163" s="1"/>
  <c r="A52" i="163" s="1"/>
  <c r="A53" i="163" s="1"/>
  <c r="A54" i="163" s="1"/>
  <c r="A46" i="163"/>
  <c r="A47" i="163" s="1"/>
  <c r="D350" i="163"/>
  <c r="AZ349" i="163"/>
  <c r="D323" i="163"/>
  <c r="AZ322" i="163"/>
  <c r="D233" i="163"/>
  <c r="AZ232" i="163"/>
  <c r="D305" i="163"/>
  <c r="AZ304" i="163"/>
  <c r="AZ303" i="163"/>
  <c r="D269" i="163"/>
  <c r="AZ268" i="163"/>
  <c r="D259" i="163"/>
  <c r="AZ258" i="163"/>
  <c r="BB338" i="163"/>
  <c r="AZ344" i="163" s="1"/>
  <c r="BB320" i="163"/>
  <c r="AZ326" i="163" s="1"/>
  <c r="D279" i="163"/>
  <c r="AZ278" i="163"/>
  <c r="D217" i="163"/>
  <c r="AZ217" i="163" s="1"/>
  <c r="AZ216" i="163"/>
  <c r="D167" i="163"/>
  <c r="AZ167" i="163" s="1"/>
  <c r="AZ166" i="163"/>
  <c r="D174" i="163"/>
  <c r="AZ173" i="163"/>
  <c r="BD31" i="163"/>
  <c r="BG31" i="163"/>
  <c r="BH31" i="163" s="1"/>
  <c r="BE31" i="163"/>
  <c r="BF31" i="163" s="1"/>
  <c r="BG81" i="163"/>
  <c r="BH81" i="163" s="1"/>
  <c r="BE81" i="163"/>
  <c r="BF81" i="163" s="1"/>
  <c r="BG117" i="163"/>
  <c r="BH117" i="163" s="1"/>
  <c r="BE117" i="163"/>
  <c r="BF117" i="163" s="1"/>
  <c r="BC302" i="163"/>
  <c r="BC338" i="163"/>
  <c r="BC311" i="163"/>
  <c r="BC275" i="163"/>
  <c r="BC239" i="163"/>
  <c r="BC266" i="163"/>
  <c r="BC293" i="163"/>
  <c r="BC257" i="163"/>
  <c r="BC207" i="163"/>
  <c r="BC186" i="163"/>
  <c r="BC230" i="163"/>
  <c r="BC193" i="163"/>
  <c r="AZ56" i="163"/>
  <c r="AZ39" i="163"/>
  <c r="AZ32" i="163"/>
  <c r="AZ49" i="163"/>
  <c r="BD222" i="163"/>
  <c r="D203" i="163"/>
  <c r="AZ203" i="163" s="1"/>
  <c r="AZ202" i="163"/>
  <c r="AZ225" i="163"/>
  <c r="BA171" i="163"/>
  <c r="BD171" i="163" s="1"/>
  <c r="AZ177" i="163"/>
  <c r="BD162" i="163"/>
  <c r="BD24" i="163"/>
  <c r="BG24" i="163"/>
  <c r="BH24" i="163" s="1"/>
  <c r="BE24" i="163"/>
  <c r="BF24" i="163" s="1"/>
  <c r="D76" i="163"/>
  <c r="AZ75" i="163"/>
  <c r="BC90" i="163"/>
  <c r="BG126" i="163"/>
  <c r="BH126" i="163" s="1"/>
  <c r="BE126" i="163"/>
  <c r="BF126" i="163" s="1"/>
  <c r="BD63" i="163"/>
  <c r="BC54" i="163"/>
  <c r="AZ40" i="163"/>
  <c r="D41" i="163"/>
  <c r="AZ41" i="163" s="1"/>
  <c r="AZ19" i="163"/>
  <c r="D20" i="163"/>
  <c r="AZ20" i="163" s="1"/>
  <c r="BB155" i="163"/>
  <c r="AZ26" i="163"/>
  <c r="D27" i="163"/>
  <c r="AZ27" i="163" s="1"/>
  <c r="AZ12" i="163"/>
  <c r="D13" i="163"/>
  <c r="AZ13" i="163" s="1"/>
  <c r="AZ231" i="163"/>
  <c r="A199" i="163"/>
  <c r="A200" i="163" s="1"/>
  <c r="A201" i="163" s="1"/>
  <c r="A202" i="163" s="1"/>
  <c r="A203" i="163" s="1"/>
  <c r="A204" i="163" s="1"/>
  <c r="A212" i="163"/>
  <c r="A219" i="163" s="1"/>
  <c r="A206" i="163"/>
  <c r="A207" i="163" s="1"/>
  <c r="A208" i="163" s="1"/>
  <c r="A209" i="163" s="1"/>
  <c r="A210" i="163" s="1"/>
  <c r="A211" i="163" s="1"/>
  <c r="BE63" i="163"/>
  <c r="BF63" i="163" s="1"/>
  <c r="BG63" i="163"/>
  <c r="BH63" i="163" s="1"/>
  <c r="AZ33" i="163"/>
  <c r="D34" i="163"/>
  <c r="AZ34" i="163" s="1"/>
  <c r="AZ57" i="163"/>
  <c r="D58" i="163"/>
  <c r="BD72" i="163"/>
  <c r="BE478" i="163" l="1"/>
  <c r="BF478" i="163" s="1"/>
  <c r="BG10" i="163"/>
  <c r="BH10" i="163" s="1"/>
  <c r="BB496" i="163"/>
  <c r="AZ502" i="163" s="1"/>
  <c r="AZ584" i="163"/>
  <c r="BC369" i="163"/>
  <c r="BE369" i="163" s="1"/>
  <c r="BF369" i="163" s="1"/>
  <c r="BC566" i="163"/>
  <c r="BG566" i="163" s="1"/>
  <c r="BH566" i="163" s="1"/>
  <c r="BC99" i="163"/>
  <c r="D924" i="163"/>
  <c r="D1100" i="163" s="1"/>
  <c r="D1276" i="163" s="1"/>
  <c r="D1452" i="163" s="1"/>
  <c r="D1628" i="163" s="1"/>
  <c r="AZ157" i="163"/>
  <c r="BD320" i="163"/>
  <c r="AZ748" i="163"/>
  <c r="BD193" i="163"/>
  <c r="BC214" i="163"/>
  <c r="BC320" i="163"/>
  <c r="BD275" i="163"/>
  <c r="AZ401" i="163"/>
  <c r="AZ400" i="163"/>
  <c r="BC496" i="163"/>
  <c r="BE496" i="163" s="1"/>
  <c r="BF496" i="163" s="1"/>
  <c r="BD108" i="163"/>
  <c r="BC742" i="163"/>
  <c r="BE742" i="163" s="1"/>
  <c r="BF742" i="163" s="1"/>
  <c r="BB397" i="163"/>
  <c r="BB398" i="163" s="1"/>
  <c r="BC514" i="163"/>
  <c r="B536" i="163"/>
  <c r="BA1798" i="163"/>
  <c r="D1656" i="163"/>
  <c r="D1831" i="163"/>
  <c r="AZ1655" i="163"/>
  <c r="BA1922" i="163"/>
  <c r="BH1591" i="163"/>
  <c r="BA1767" i="163"/>
  <c r="A1727" i="163"/>
  <c r="A1728" i="163" s="1"/>
  <c r="A1735" i="163"/>
  <c r="A1912" i="163"/>
  <c r="A1913" i="163" s="1"/>
  <c r="A1920" i="163"/>
  <c r="A1878" i="163"/>
  <c r="A1879" i="163" s="1"/>
  <c r="A1880" i="163"/>
  <c r="A1881" i="163" s="1"/>
  <c r="A1882" i="163" s="1"/>
  <c r="A1883" i="163" s="1"/>
  <c r="A1700" i="163"/>
  <c r="A1701" i="163" s="1"/>
  <c r="A1708" i="163"/>
  <c r="A1907" i="163"/>
  <c r="A1908" i="163" s="1"/>
  <c r="A1909" i="163" s="1"/>
  <c r="A1910" i="163" s="1"/>
  <c r="A1905" i="163"/>
  <c r="A1906" i="163" s="1"/>
  <c r="A1893" i="163"/>
  <c r="A1894" i="163" s="1"/>
  <c r="A1895" i="163" s="1"/>
  <c r="A1885" i="163"/>
  <c r="A1886" i="163" s="1"/>
  <c r="A1693" i="163"/>
  <c r="A1694" i="163" s="1"/>
  <c r="A1695" i="163"/>
  <c r="A1696" i="163" s="1"/>
  <c r="A1697" i="163" s="1"/>
  <c r="A1698" i="163" s="1"/>
  <c r="B1578" i="163"/>
  <c r="B1754" i="163" s="1"/>
  <c r="B1403" i="163"/>
  <c r="B1404" i="163" s="1"/>
  <c r="B1405" i="163" s="1"/>
  <c r="B1406" i="163" s="1"/>
  <c r="B1407" i="163" s="1"/>
  <c r="B1408" i="163" s="1"/>
  <c r="B1401" i="163"/>
  <c r="B1409" i="163"/>
  <c r="BA1401" i="163"/>
  <c r="BH1415" i="163"/>
  <c r="AZ1479" i="163"/>
  <c r="D1480" i="163"/>
  <c r="D1461" i="163"/>
  <c r="D1637" i="163" s="1"/>
  <c r="D1286" i="163"/>
  <c r="AZ1285" i="163"/>
  <c r="BA1320" i="163"/>
  <c r="B1497" i="163"/>
  <c r="B1673" i="163" s="1"/>
  <c r="B1322" i="163"/>
  <c r="B1323" i="163" s="1"/>
  <c r="B1324" i="163" s="1"/>
  <c r="B1325" i="163" s="1"/>
  <c r="B1326" i="163" s="1"/>
  <c r="B1327" i="163" s="1"/>
  <c r="B1328" i="163"/>
  <c r="B1320" i="163"/>
  <c r="BA1347" i="163"/>
  <c r="B1524" i="163"/>
  <c r="B1700" i="163" s="1"/>
  <c r="B1355" i="163"/>
  <c r="B1347" i="163"/>
  <c r="B1349" i="163"/>
  <c r="B1350" i="163" s="1"/>
  <c r="B1351" i="163" s="1"/>
  <c r="B1352" i="163" s="1"/>
  <c r="B1353" i="163" s="1"/>
  <c r="B1354" i="163" s="1"/>
  <c r="D1249" i="163"/>
  <c r="D1424" i="163"/>
  <c r="D1600" i="163" s="1"/>
  <c r="AZ1248" i="163"/>
  <c r="BF1384" i="163"/>
  <c r="BE1414" i="163"/>
  <c r="BE1590" i="163" s="1"/>
  <c r="BF1276" i="163"/>
  <c r="B1346" i="163"/>
  <c r="B1515" i="163"/>
  <c r="B1691" i="163" s="1"/>
  <c r="BA1338" i="163"/>
  <c r="B1338" i="163"/>
  <c r="B1340" i="163"/>
  <c r="B1341" i="163" s="1"/>
  <c r="B1342" i="163" s="1"/>
  <c r="B1343" i="163" s="1"/>
  <c r="B1344" i="163" s="1"/>
  <c r="B1345" i="163" s="1"/>
  <c r="D1305" i="163"/>
  <c r="AZ1304" i="163"/>
  <c r="BA1507" i="163"/>
  <c r="BA1683" i="163" s="1"/>
  <c r="BA1525" i="163"/>
  <c r="BA1701" i="163" s="1"/>
  <c r="BA1418" i="163"/>
  <c r="BA1594" i="163" s="1"/>
  <c r="A1559" i="163"/>
  <c r="A1551" i="163"/>
  <c r="A1552" i="163" s="1"/>
  <c r="A1532" i="163"/>
  <c r="A1524" i="163"/>
  <c r="A1525" i="163" s="1"/>
  <c r="A1519" i="163"/>
  <c r="A1520" i="163" s="1"/>
  <c r="A1521" i="163" s="1"/>
  <c r="A1522" i="163" s="1"/>
  <c r="A1517" i="163"/>
  <c r="A1518" i="163" s="1"/>
  <c r="A1332" i="163"/>
  <c r="A1333" i="163" s="1"/>
  <c r="A1334" i="163"/>
  <c r="A1335" i="163" s="1"/>
  <c r="A1336" i="163" s="1"/>
  <c r="A1337" i="163" s="1"/>
  <c r="A1347" i="163"/>
  <c r="A1374" i="163"/>
  <c r="A1339" i="163"/>
  <c r="A1340" i="163" s="1"/>
  <c r="BB329" i="163"/>
  <c r="AZ335" i="163" s="1"/>
  <c r="AZ66" i="163"/>
  <c r="BE390" i="163"/>
  <c r="BF390" i="163" s="1"/>
  <c r="AZ573" i="163"/>
  <c r="B542" i="163"/>
  <c r="BG72" i="163"/>
  <c r="BH72" i="163" s="1"/>
  <c r="AZ314" i="163"/>
  <c r="D410" i="163"/>
  <c r="AZ410" i="163" s="1"/>
  <c r="AZ663" i="163"/>
  <c r="AZ664" i="163"/>
  <c r="AZ227" i="163"/>
  <c r="BA552" i="163"/>
  <c r="BC552" i="163" s="1"/>
  <c r="BC376" i="163"/>
  <c r="BE376" i="163" s="1"/>
  <c r="BF376" i="163" s="1"/>
  <c r="BE135" i="163"/>
  <c r="BF135" i="163" s="1"/>
  <c r="BC200" i="163"/>
  <c r="BG200" i="163" s="1"/>
  <c r="BH200" i="163" s="1"/>
  <c r="BD248" i="163"/>
  <c r="B713" i="163"/>
  <c r="B538" i="163"/>
  <c r="B539" i="163" s="1"/>
  <c r="B540" i="163" s="1"/>
  <c r="B541" i="163" s="1"/>
  <c r="BA934" i="163"/>
  <c r="BA1110" i="163" s="1"/>
  <c r="BA1286" i="163" s="1"/>
  <c r="BC866" i="163"/>
  <c r="BG866" i="163" s="1"/>
  <c r="BH866" i="163" s="1"/>
  <c r="BC690" i="163"/>
  <c r="BG690" i="163" s="1"/>
  <c r="BH690" i="163" s="1"/>
  <c r="BC424" i="163"/>
  <c r="BE424" i="163" s="1"/>
  <c r="BF424" i="163" s="1"/>
  <c r="BA600" i="163"/>
  <c r="BD600" i="163" s="1"/>
  <c r="BC248" i="163"/>
  <c r="BD10" i="163"/>
  <c r="BD257" i="163"/>
  <c r="BG672" i="163"/>
  <c r="BH672" i="163" s="1"/>
  <c r="AZ665" i="163"/>
  <c r="D1110" i="163"/>
  <c r="AZ1109" i="163"/>
  <c r="BA1162" i="163"/>
  <c r="B1162" i="163"/>
  <c r="B1170" i="163"/>
  <c r="B1164" i="163"/>
  <c r="B1165" i="163" s="1"/>
  <c r="B1166" i="163" s="1"/>
  <c r="B1167" i="163" s="1"/>
  <c r="B1168" i="163" s="1"/>
  <c r="B1169" i="163" s="1"/>
  <c r="AZ1128" i="163"/>
  <c r="D1129" i="163"/>
  <c r="BC918" i="163"/>
  <c r="BE918" i="163" s="1"/>
  <c r="BF918" i="163" s="1"/>
  <c r="C1061" i="163"/>
  <c r="C1237" i="163" s="1"/>
  <c r="BC1331" i="163" s="1"/>
  <c r="B1173" i="163"/>
  <c r="B1174" i="163" s="1"/>
  <c r="B1175" i="163" s="1"/>
  <c r="B1176" i="163" s="1"/>
  <c r="B1177" i="163" s="1"/>
  <c r="B1178" i="163" s="1"/>
  <c r="BA1171" i="163"/>
  <c r="B1171" i="163"/>
  <c r="B1179" i="163"/>
  <c r="AZ666" i="163"/>
  <c r="D1073" i="163"/>
  <c r="AZ1072" i="163"/>
  <c r="BF1208" i="163"/>
  <c r="BF1100" i="163"/>
  <c r="B1152" i="163"/>
  <c r="BA1144" i="163"/>
  <c r="B1146" i="163"/>
  <c r="B1147" i="163" s="1"/>
  <c r="B1148" i="163" s="1"/>
  <c r="B1149" i="163" s="1"/>
  <c r="B1150" i="163" s="1"/>
  <c r="B1151" i="163" s="1"/>
  <c r="B1144" i="163"/>
  <c r="B1227" i="163"/>
  <c r="B1228" i="163" s="1"/>
  <c r="B1229" i="163" s="1"/>
  <c r="B1230" i="163" s="1"/>
  <c r="B1231" i="163" s="1"/>
  <c r="B1232" i="163" s="1"/>
  <c r="B1225" i="163"/>
  <c r="B1233" i="163"/>
  <c r="BA1225" i="163"/>
  <c r="BA1119" i="163"/>
  <c r="BA1295" i="163" s="1"/>
  <c r="BC1200" i="163"/>
  <c r="A1135" i="163"/>
  <c r="A1126" i="163"/>
  <c r="A1127" i="163" s="1"/>
  <c r="A1128" i="163" s="1"/>
  <c r="BD99" i="163"/>
  <c r="BH330" i="163"/>
  <c r="BC222" i="163"/>
  <c r="BC397" i="163"/>
  <c r="BC505" i="163" s="1"/>
  <c r="BC507" i="163" s="1"/>
  <c r="BH155" i="163"/>
  <c r="BE222" i="163"/>
  <c r="BH221" i="163"/>
  <c r="BD230" i="163" s="1"/>
  <c r="BE397" i="163"/>
  <c r="BE505" i="163" s="1"/>
  <c r="BE507" i="163" s="1"/>
  <c r="BH153" i="163"/>
  <c r="BF573" i="163"/>
  <c r="BF749" i="163" s="1"/>
  <c r="BF398" i="163"/>
  <c r="BB505" i="163"/>
  <c r="AZ511" i="163" s="1"/>
  <c r="BC848" i="163"/>
  <c r="BG848" i="163" s="1"/>
  <c r="BH848" i="163" s="1"/>
  <c r="BD398" i="163"/>
  <c r="BG496" i="163"/>
  <c r="BH496" i="163" s="1"/>
  <c r="D1050" i="163"/>
  <c r="D1226" i="163" s="1"/>
  <c r="D1402" i="163" s="1"/>
  <c r="D875" i="163"/>
  <c r="AZ874" i="163"/>
  <c r="B872" i="163"/>
  <c r="B1041" i="163"/>
  <c r="B1217" i="163" s="1"/>
  <c r="B1393" i="163" s="1"/>
  <c r="BA864" i="163"/>
  <c r="B866" i="163"/>
  <c r="B867" i="163" s="1"/>
  <c r="B868" i="163" s="1"/>
  <c r="B869" i="163" s="1"/>
  <c r="B870" i="163" s="1"/>
  <c r="B871" i="163" s="1"/>
  <c r="B1005" i="163"/>
  <c r="B1181" i="163" s="1"/>
  <c r="B1357" i="163" s="1"/>
  <c r="BA828" i="163"/>
  <c r="B836" i="163"/>
  <c r="B828" i="163"/>
  <c r="B830" i="163"/>
  <c r="B831" i="163" s="1"/>
  <c r="B832" i="163" s="1"/>
  <c r="B833" i="163" s="1"/>
  <c r="B834" i="163" s="1"/>
  <c r="B835" i="163" s="1"/>
  <c r="B785" i="163"/>
  <c r="B786" i="163" s="1"/>
  <c r="B787" i="163" s="1"/>
  <c r="B788" i="163" s="1"/>
  <c r="B789" i="163" s="1"/>
  <c r="B790" i="163" s="1"/>
  <c r="B960" i="163"/>
  <c r="B1136" i="163" s="1"/>
  <c r="B1312" i="163" s="1"/>
  <c r="B783" i="163"/>
  <c r="B791" i="163"/>
  <c r="BA783" i="163"/>
  <c r="D750" i="163"/>
  <c r="AZ749" i="163"/>
  <c r="D637" i="163"/>
  <c r="AZ636" i="163"/>
  <c r="B997" i="163"/>
  <c r="B998" i="163" s="1"/>
  <c r="B999" i="163" s="1"/>
  <c r="B1000" i="163" s="1"/>
  <c r="B1001" i="163" s="1"/>
  <c r="B1002" i="163" s="1"/>
  <c r="BA995" i="163"/>
  <c r="B1003" i="163"/>
  <c r="B995" i="163"/>
  <c r="D857" i="163"/>
  <c r="AZ856" i="163"/>
  <c r="BD284" i="163"/>
  <c r="BC284" i="163"/>
  <c r="BE284" i="163" s="1"/>
  <c r="BF284" i="163" s="1"/>
  <c r="AZ403" i="163"/>
  <c r="BE566" i="163"/>
  <c r="BF566" i="163" s="1"/>
  <c r="BC383" i="163"/>
  <c r="BD383" i="163" s="1"/>
  <c r="B773" i="163"/>
  <c r="B942" i="163"/>
  <c r="B1118" i="163" s="1"/>
  <c r="B1294" i="163" s="1"/>
  <c r="B767" i="163"/>
  <c r="B768" i="163" s="1"/>
  <c r="B769" i="163" s="1"/>
  <c r="B770" i="163" s="1"/>
  <c r="B771" i="163" s="1"/>
  <c r="B772" i="163" s="1"/>
  <c r="BA765" i="163"/>
  <c r="B765" i="163"/>
  <c r="B910" i="163"/>
  <c r="B1086" i="163" s="1"/>
  <c r="B1262" i="163" s="1"/>
  <c r="B733" i="163"/>
  <c r="B739" i="163"/>
  <c r="B735" i="163"/>
  <c r="B736" i="163" s="1"/>
  <c r="B737" i="163" s="1"/>
  <c r="B738" i="163" s="1"/>
  <c r="BA733" i="163"/>
  <c r="B933" i="163"/>
  <c r="B1109" i="163" s="1"/>
  <c r="B1285" i="163" s="1"/>
  <c r="B756" i="163"/>
  <c r="B758" i="163"/>
  <c r="B759" i="163" s="1"/>
  <c r="B760" i="163" s="1"/>
  <c r="B761" i="163" s="1"/>
  <c r="B762" i="163" s="1"/>
  <c r="B763" i="163" s="1"/>
  <c r="BA756" i="163"/>
  <c r="B764" i="163"/>
  <c r="D1041" i="163"/>
  <c r="D1217" i="163" s="1"/>
  <c r="D1393" i="163" s="1"/>
  <c r="D866" i="163"/>
  <c r="AZ865" i="163"/>
  <c r="B809" i="163"/>
  <c r="B978" i="163"/>
  <c r="B1154" i="163" s="1"/>
  <c r="B1330" i="163" s="1"/>
  <c r="BA801" i="163"/>
  <c r="B803" i="163"/>
  <c r="B804" i="163" s="1"/>
  <c r="B805" i="163" s="1"/>
  <c r="B806" i="163" s="1"/>
  <c r="B807" i="163" s="1"/>
  <c r="B808" i="163" s="1"/>
  <c r="B801" i="163"/>
  <c r="BB886" i="163"/>
  <c r="BB1062" i="163" s="1"/>
  <c r="BB1238" i="163" s="1"/>
  <c r="BC856" i="163"/>
  <c r="BC748" i="163"/>
  <c r="B951" i="163"/>
  <c r="B1127" i="163" s="1"/>
  <c r="B1303" i="163" s="1"/>
  <c r="B782" i="163"/>
  <c r="B776" i="163"/>
  <c r="B777" i="163" s="1"/>
  <c r="B778" i="163" s="1"/>
  <c r="B779" i="163" s="1"/>
  <c r="B780" i="163" s="1"/>
  <c r="B781" i="163" s="1"/>
  <c r="BA774" i="163"/>
  <c r="B774" i="163"/>
  <c r="B863" i="163"/>
  <c r="B1032" i="163"/>
  <c r="B1208" i="163" s="1"/>
  <c r="B1384" i="163" s="1"/>
  <c r="B857" i="163"/>
  <c r="B858" i="163" s="1"/>
  <c r="B859" i="163" s="1"/>
  <c r="B860" i="163" s="1"/>
  <c r="B861" i="163" s="1"/>
  <c r="B862" i="163" s="1"/>
  <c r="B855" i="163"/>
  <c r="BA855" i="163"/>
  <c r="BC721" i="163"/>
  <c r="BE721" i="163" s="1"/>
  <c r="BF721" i="163" s="1"/>
  <c r="BA897" i="163"/>
  <c r="BD897" i="163" s="1"/>
  <c r="BC886" i="163"/>
  <c r="BC1062" i="163" s="1"/>
  <c r="BC1238" i="163" s="1"/>
  <c r="BD856" i="163"/>
  <c r="BD748" i="163"/>
  <c r="B746" i="163"/>
  <c r="B917" i="163"/>
  <c r="B1093" i="163" s="1"/>
  <c r="B1269" i="163" s="1"/>
  <c r="B740" i="163"/>
  <c r="B742" i="163"/>
  <c r="B743" i="163" s="1"/>
  <c r="B744" i="163" s="1"/>
  <c r="B745" i="163" s="1"/>
  <c r="BA740" i="163"/>
  <c r="D889" i="163"/>
  <c r="D1065" i="163" s="1"/>
  <c r="D1241" i="163" s="1"/>
  <c r="D714" i="163"/>
  <c r="AZ713" i="163"/>
  <c r="BF1032" i="163"/>
  <c r="BF924" i="163"/>
  <c r="B970" i="163"/>
  <c r="B971" i="163" s="1"/>
  <c r="B972" i="163" s="1"/>
  <c r="B973" i="163" s="1"/>
  <c r="B974" i="163" s="1"/>
  <c r="B975" i="163" s="1"/>
  <c r="B976" i="163"/>
  <c r="B968" i="163"/>
  <c r="BA968" i="163"/>
  <c r="BA986" i="163"/>
  <c r="B994" i="163"/>
  <c r="B988" i="163"/>
  <c r="B989" i="163" s="1"/>
  <c r="B990" i="163" s="1"/>
  <c r="B991" i="163" s="1"/>
  <c r="B992" i="163" s="1"/>
  <c r="B993" i="163" s="1"/>
  <c r="B986" i="163"/>
  <c r="D673" i="163"/>
  <c r="AZ672" i="163"/>
  <c r="B749" i="163"/>
  <c r="B750" i="163" s="1"/>
  <c r="B751" i="163" s="1"/>
  <c r="B752" i="163" s="1"/>
  <c r="B753" i="163" s="1"/>
  <c r="B754" i="163" s="1"/>
  <c r="B924" i="163"/>
  <c r="B1100" i="163" s="1"/>
  <c r="B1276" i="163" s="1"/>
  <c r="BA747" i="163"/>
  <c r="B755" i="163"/>
  <c r="B747" i="163"/>
  <c r="BF886" i="163"/>
  <c r="BF1062" i="163" s="1"/>
  <c r="BF1238" i="163" s="1"/>
  <c r="BG856" i="163"/>
  <c r="BG748" i="163"/>
  <c r="BD506" i="163"/>
  <c r="BH506" i="163" s="1"/>
  <c r="BA837" i="163"/>
  <c r="B1014" i="163"/>
  <c r="B1190" i="163" s="1"/>
  <c r="B1366" i="163" s="1"/>
  <c r="B839" i="163"/>
  <c r="B840" i="163" s="1"/>
  <c r="B841" i="163" s="1"/>
  <c r="B842" i="163" s="1"/>
  <c r="B843" i="163" s="1"/>
  <c r="B844" i="163" s="1"/>
  <c r="B837" i="163"/>
  <c r="B845" i="163"/>
  <c r="B854" i="163"/>
  <c r="B1023" i="163"/>
  <c r="B1199" i="163" s="1"/>
  <c r="B1375" i="163" s="1"/>
  <c r="BA846" i="163"/>
  <c r="B846" i="163"/>
  <c r="B848" i="163"/>
  <c r="B849" i="163" s="1"/>
  <c r="B850" i="163" s="1"/>
  <c r="B851" i="163" s="1"/>
  <c r="B852" i="163" s="1"/>
  <c r="B853" i="163" s="1"/>
  <c r="D848" i="163"/>
  <c r="D1032" i="163"/>
  <c r="AZ847" i="163"/>
  <c r="BC979" i="163"/>
  <c r="BC890" i="163"/>
  <c r="BC1042" i="163"/>
  <c r="BC943" i="163"/>
  <c r="BC997" i="163"/>
  <c r="BC1024" i="163"/>
  <c r="B1051" i="163"/>
  <c r="B1052" i="163" s="1"/>
  <c r="B1053" i="163" s="1"/>
  <c r="B1054" i="163" s="1"/>
  <c r="B1055" i="163" s="1"/>
  <c r="B1056" i="163" s="1"/>
  <c r="B1057" i="163"/>
  <c r="BA1049" i="163"/>
  <c r="B1049" i="163"/>
  <c r="BB856" i="163"/>
  <c r="BB858" i="163" s="1"/>
  <c r="BA886" i="163"/>
  <c r="BA1062" i="163" s="1"/>
  <c r="BA1238" i="163" s="1"/>
  <c r="BB748" i="163"/>
  <c r="B903" i="163"/>
  <c r="B1079" i="163" s="1"/>
  <c r="B1255" i="163" s="1"/>
  <c r="B728" i="163"/>
  <c r="B729" i="163" s="1"/>
  <c r="B730" i="163" s="1"/>
  <c r="B731" i="163" s="1"/>
  <c r="BA726" i="163"/>
  <c r="B726" i="163"/>
  <c r="B732" i="163"/>
  <c r="D735" i="163"/>
  <c r="D910" i="163"/>
  <c r="D1086" i="163" s="1"/>
  <c r="D1262" i="163" s="1"/>
  <c r="AZ734" i="163"/>
  <c r="B725" i="163"/>
  <c r="B896" i="163"/>
  <c r="B1072" i="163" s="1"/>
  <c r="B1248" i="163" s="1"/>
  <c r="B719" i="163"/>
  <c r="BA719" i="163"/>
  <c r="B721" i="163"/>
  <c r="B722" i="163" s="1"/>
  <c r="B723" i="163" s="1"/>
  <c r="B724" i="163" s="1"/>
  <c r="BF682" i="163"/>
  <c r="BF858" i="163" s="1"/>
  <c r="D917" i="163"/>
  <c r="D1093" i="163" s="1"/>
  <c r="D1269" i="163" s="1"/>
  <c r="D742" i="163"/>
  <c r="AZ741" i="163"/>
  <c r="D830" i="163"/>
  <c r="D1005" i="163"/>
  <c r="D1181" i="163" s="1"/>
  <c r="D1357" i="163" s="1"/>
  <c r="AZ829" i="163"/>
  <c r="BD886" i="163"/>
  <c r="BD1062" i="163" s="1"/>
  <c r="BD1238" i="163" s="1"/>
  <c r="BE748" i="163"/>
  <c r="BE856" i="163"/>
  <c r="C886" i="163"/>
  <c r="C1062" i="163" s="1"/>
  <c r="C1238" i="163" s="1"/>
  <c r="D827" i="163"/>
  <c r="BB821" i="163" s="1"/>
  <c r="AZ827" i="163" s="1"/>
  <c r="D800" i="163"/>
  <c r="BB794" i="163" s="1"/>
  <c r="AZ800" i="163" s="1"/>
  <c r="D782" i="163"/>
  <c r="BB776" i="163" s="1"/>
  <c r="AZ782" i="163" s="1"/>
  <c r="D755" i="163"/>
  <c r="D845" i="163"/>
  <c r="BB839" i="163" s="1"/>
  <c r="AZ845" i="163" s="1"/>
  <c r="D809" i="163"/>
  <c r="BB803" i="163" s="1"/>
  <c r="AZ809" i="163" s="1"/>
  <c r="D764" i="163"/>
  <c r="BB758" i="163" s="1"/>
  <c r="AZ764" i="163" s="1"/>
  <c r="D746" i="163"/>
  <c r="BB742" i="163" s="1"/>
  <c r="AZ746" i="163" s="1"/>
  <c r="D725" i="163"/>
  <c r="BB721" i="163" s="1"/>
  <c r="AZ725" i="163" s="1"/>
  <c r="D739" i="163"/>
  <c r="BB735" i="163" s="1"/>
  <c r="AZ739" i="163" s="1"/>
  <c r="D836" i="163"/>
  <c r="BB830" i="163" s="1"/>
  <c r="AZ836" i="163" s="1"/>
  <c r="D773" i="163"/>
  <c r="BB767" i="163" s="1"/>
  <c r="AZ773" i="163" s="1"/>
  <c r="D863" i="163"/>
  <c r="D718" i="163"/>
  <c r="BB714" i="163" s="1"/>
  <c r="AZ718" i="163" s="1"/>
  <c r="D854" i="163"/>
  <c r="D881" i="163"/>
  <c r="BB875" i="163" s="1"/>
  <c r="AZ881" i="163" s="1"/>
  <c r="D872" i="163"/>
  <c r="D791" i="163"/>
  <c r="BB785" i="163" s="1"/>
  <c r="AZ791" i="163" s="1"/>
  <c r="D818" i="163"/>
  <c r="BB812" i="163" s="1"/>
  <c r="AZ818" i="163" s="1"/>
  <c r="D732" i="163"/>
  <c r="BB728" i="163" s="1"/>
  <c r="AZ732" i="163" s="1"/>
  <c r="D1023" i="163"/>
  <c r="D1208" i="163" s="1"/>
  <c r="D987" i="163"/>
  <c r="D812" i="163"/>
  <c r="AZ811" i="163"/>
  <c r="D839" i="163"/>
  <c r="D1014" i="163"/>
  <c r="D1190" i="163" s="1"/>
  <c r="D1366" i="163" s="1"/>
  <c r="AZ838" i="163"/>
  <c r="D668" i="163"/>
  <c r="AZ668" i="163" s="1"/>
  <c r="AZ667" i="163"/>
  <c r="D996" i="163"/>
  <c r="D1172" i="163" s="1"/>
  <c r="D1348" i="163" s="1"/>
  <c r="AZ820" i="163"/>
  <c r="D821" i="163"/>
  <c r="D803" i="163"/>
  <c r="D978" i="163"/>
  <c r="D1154" i="163" s="1"/>
  <c r="D1330" i="163" s="1"/>
  <c r="AZ802" i="163"/>
  <c r="D969" i="163"/>
  <c r="D1145" i="163" s="1"/>
  <c r="D1321" i="163" s="1"/>
  <c r="D794" i="163"/>
  <c r="AZ793" i="163"/>
  <c r="D960" i="163"/>
  <c r="D1136" i="163" s="1"/>
  <c r="D1312" i="163" s="1"/>
  <c r="AZ784" i="163"/>
  <c r="D785" i="163"/>
  <c r="D610" i="163"/>
  <c r="AZ609" i="163"/>
  <c r="D778" i="163"/>
  <c r="AZ777" i="163"/>
  <c r="D953" i="163"/>
  <c r="AZ952" i="163"/>
  <c r="D767" i="163"/>
  <c r="D942" i="163"/>
  <c r="D1118" i="163" s="1"/>
  <c r="D1294" i="163" s="1"/>
  <c r="AZ766" i="163"/>
  <c r="D934" i="163"/>
  <c r="AZ933" i="163"/>
  <c r="D759" i="163"/>
  <c r="AZ758" i="163"/>
  <c r="D728" i="163"/>
  <c r="D903" i="163"/>
  <c r="D1079" i="163" s="1"/>
  <c r="D1255" i="163" s="1"/>
  <c r="AZ727" i="163"/>
  <c r="D897" i="163"/>
  <c r="AZ896" i="163"/>
  <c r="D722" i="163"/>
  <c r="AZ721" i="163"/>
  <c r="A946" i="163"/>
  <c r="A947" i="163" s="1"/>
  <c r="A948" i="163" s="1"/>
  <c r="A949" i="163" s="1"/>
  <c r="A944" i="163"/>
  <c r="A945" i="163" s="1"/>
  <c r="A937" i="163"/>
  <c r="A938" i="163" s="1"/>
  <c r="A939" i="163" s="1"/>
  <c r="A940" i="163" s="1"/>
  <c r="A935" i="163"/>
  <c r="A936" i="163" s="1"/>
  <c r="BC627" i="163"/>
  <c r="BG627" i="163" s="1"/>
  <c r="BH627" i="163" s="1"/>
  <c r="BD672" i="163"/>
  <c r="BA830" i="163"/>
  <c r="BA1006" i="163" s="1"/>
  <c r="BA1182" i="163" s="1"/>
  <c r="BA1358" i="163" s="1"/>
  <c r="BD1376" i="163" s="1"/>
  <c r="BC821" i="163"/>
  <c r="BE821" i="163" s="1"/>
  <c r="BF821" i="163" s="1"/>
  <c r="BC803" i="163"/>
  <c r="BD767" i="163"/>
  <c r="BD627" i="163"/>
  <c r="BA794" i="163"/>
  <c r="BA970" i="163" s="1"/>
  <c r="BC545" i="163"/>
  <c r="BE545" i="163" s="1"/>
  <c r="BF545" i="163" s="1"/>
  <c r="BD721" i="163"/>
  <c r="BC714" i="163"/>
  <c r="BC767" i="163"/>
  <c r="BC758" i="163"/>
  <c r="BE758" i="163" s="1"/>
  <c r="BF758" i="163" s="1"/>
  <c r="A765" i="163"/>
  <c r="A766" i="163" s="1"/>
  <c r="A767" i="163" s="1"/>
  <c r="A757" i="163"/>
  <c r="A758" i="163" s="1"/>
  <c r="A752" i="163"/>
  <c r="A753" i="163" s="1"/>
  <c r="A754" i="163" s="1"/>
  <c r="A755" i="163" s="1"/>
  <c r="A750" i="163"/>
  <c r="A751" i="163" s="1"/>
  <c r="BG362" i="163"/>
  <c r="BH362" i="163" s="1"/>
  <c r="BD362" i="163"/>
  <c r="BD424" i="163"/>
  <c r="BC415" i="163"/>
  <c r="BE415" i="163" s="1"/>
  <c r="BF415" i="163" s="1"/>
  <c r="BD591" i="163"/>
  <c r="BG376" i="163"/>
  <c r="BH376" i="163" s="1"/>
  <c r="BC582" i="163"/>
  <c r="BG582" i="163" s="1"/>
  <c r="BH582" i="163" s="1"/>
  <c r="D452" i="163"/>
  <c r="AZ451" i="163"/>
  <c r="D341" i="163"/>
  <c r="AZ340" i="163"/>
  <c r="BC618" i="163"/>
  <c r="BE618" i="163" s="1"/>
  <c r="BF618" i="163" s="1"/>
  <c r="D552" i="163"/>
  <c r="AZ551" i="163"/>
  <c r="B573" i="163"/>
  <c r="B574" i="163" s="1"/>
  <c r="B575" i="163" s="1"/>
  <c r="B576" i="163" s="1"/>
  <c r="B577" i="163" s="1"/>
  <c r="B578" i="163" s="1"/>
  <c r="B571" i="163"/>
  <c r="BA571" i="163"/>
  <c r="B579" i="163"/>
  <c r="D443" i="163"/>
  <c r="AZ442" i="163"/>
  <c r="D384" i="163"/>
  <c r="AZ383" i="163"/>
  <c r="BF507" i="163"/>
  <c r="BA609" i="163"/>
  <c r="BA785" i="163" s="1"/>
  <c r="BA961" i="163" s="1"/>
  <c r="D498" i="163"/>
  <c r="AZ497" i="163"/>
  <c r="BD572" i="163"/>
  <c r="BD573" i="163" s="1"/>
  <c r="BD680" i="163"/>
  <c r="B570" i="163"/>
  <c r="B564" i="163"/>
  <c r="B566" i="163"/>
  <c r="B567" i="163" s="1"/>
  <c r="B568" i="163" s="1"/>
  <c r="B569" i="163" s="1"/>
  <c r="BA564" i="163"/>
  <c r="D416" i="163"/>
  <c r="AZ415" i="163"/>
  <c r="D288" i="163"/>
  <c r="AZ287" i="163"/>
  <c r="B609" i="163"/>
  <c r="B610" i="163" s="1"/>
  <c r="B611" i="163" s="1"/>
  <c r="B612" i="163" s="1"/>
  <c r="B613" i="163" s="1"/>
  <c r="B614" i="163" s="1"/>
  <c r="BA607" i="163"/>
  <c r="B615" i="163"/>
  <c r="B607" i="163"/>
  <c r="D68" i="163"/>
  <c r="AZ68" i="163" s="1"/>
  <c r="AZ67" i="163"/>
  <c r="BD514" i="163"/>
  <c r="BA663" i="163"/>
  <c r="BA839" i="163" s="1"/>
  <c r="BA1015" i="163" s="1"/>
  <c r="B597" i="163"/>
  <c r="B591" i="163"/>
  <c r="B592" i="163" s="1"/>
  <c r="B593" i="163" s="1"/>
  <c r="B594" i="163" s="1"/>
  <c r="B595" i="163" s="1"/>
  <c r="B596" i="163" s="1"/>
  <c r="BA589" i="163"/>
  <c r="B589" i="163"/>
  <c r="B557" i="163"/>
  <c r="B563" i="163"/>
  <c r="B559" i="163"/>
  <c r="B560" i="163" s="1"/>
  <c r="B561" i="163" s="1"/>
  <c r="B562" i="163" s="1"/>
  <c r="BA557" i="163"/>
  <c r="D377" i="163"/>
  <c r="AZ376" i="163"/>
  <c r="BA580" i="163"/>
  <c r="B582" i="163"/>
  <c r="B583" i="163" s="1"/>
  <c r="B584" i="163" s="1"/>
  <c r="B585" i="163" s="1"/>
  <c r="B586" i="163" s="1"/>
  <c r="B587" i="163" s="1"/>
  <c r="B580" i="163"/>
  <c r="B588" i="163"/>
  <c r="D690" i="163"/>
  <c r="AZ689" i="163"/>
  <c r="D524" i="163"/>
  <c r="AZ523" i="163"/>
  <c r="B633" i="163"/>
  <c r="BA625" i="163"/>
  <c r="B627" i="163"/>
  <c r="B628" i="163" s="1"/>
  <c r="B629" i="163" s="1"/>
  <c r="B630" i="163" s="1"/>
  <c r="B631" i="163" s="1"/>
  <c r="B632" i="163" s="1"/>
  <c r="B625" i="163"/>
  <c r="D559" i="163"/>
  <c r="AZ558" i="163"/>
  <c r="B543" i="163"/>
  <c r="BA543" i="163"/>
  <c r="B545" i="163"/>
  <c r="B546" i="163" s="1"/>
  <c r="B547" i="163" s="1"/>
  <c r="B548" i="163" s="1"/>
  <c r="B549" i="163"/>
  <c r="BG680" i="163"/>
  <c r="BG682" i="163" s="1"/>
  <c r="BG683" i="163" s="1"/>
  <c r="BG572" i="163"/>
  <c r="D479" i="163"/>
  <c r="AZ478" i="163"/>
  <c r="AZ188" i="163"/>
  <c r="BC433" i="163"/>
  <c r="BG433" i="163" s="1"/>
  <c r="BH433" i="163" s="1"/>
  <c r="BD433" i="163"/>
  <c r="BE654" i="163"/>
  <c r="BF654" i="163" s="1"/>
  <c r="BA550" i="163"/>
  <c r="B556" i="163"/>
  <c r="B552" i="163"/>
  <c r="B553" i="163" s="1"/>
  <c r="B554" i="163" s="1"/>
  <c r="B555" i="163" s="1"/>
  <c r="B550" i="163"/>
  <c r="D645" i="163"/>
  <c r="AZ644" i="163"/>
  <c r="D618" i="163"/>
  <c r="AZ617" i="163"/>
  <c r="BC680" i="163"/>
  <c r="BC682" i="163" s="1"/>
  <c r="BC572" i="163"/>
  <c r="D605" i="163"/>
  <c r="AZ605" i="163" s="1"/>
  <c r="AZ604" i="163"/>
  <c r="B696" i="163"/>
  <c r="BA688" i="163"/>
  <c r="B690" i="163"/>
  <c r="B691" i="163" s="1"/>
  <c r="B692" i="163" s="1"/>
  <c r="B693" i="163" s="1"/>
  <c r="B694" i="163" s="1"/>
  <c r="B695" i="163" s="1"/>
  <c r="B652" i="163"/>
  <c r="B654" i="163"/>
  <c r="B655" i="163" s="1"/>
  <c r="B656" i="163" s="1"/>
  <c r="B657" i="163" s="1"/>
  <c r="B658" i="163" s="1"/>
  <c r="B659" i="163" s="1"/>
  <c r="BA652" i="163"/>
  <c r="B660" i="163"/>
  <c r="D391" i="163"/>
  <c r="AZ390" i="163"/>
  <c r="BA661" i="163"/>
  <c r="B663" i="163"/>
  <c r="B664" i="163" s="1"/>
  <c r="B665" i="163" s="1"/>
  <c r="B666" i="163" s="1"/>
  <c r="B667" i="163" s="1"/>
  <c r="B668" i="163" s="1"/>
  <c r="B661" i="163"/>
  <c r="B669" i="163"/>
  <c r="D591" i="163"/>
  <c r="AZ590" i="163"/>
  <c r="B678" i="163"/>
  <c r="BA670" i="163"/>
  <c r="B672" i="163"/>
  <c r="B673" i="163" s="1"/>
  <c r="B674" i="163" s="1"/>
  <c r="B675" i="163" s="1"/>
  <c r="B676" i="163" s="1"/>
  <c r="B677" i="163" s="1"/>
  <c r="B670" i="163"/>
  <c r="D538" i="163"/>
  <c r="AZ537" i="163"/>
  <c r="BA559" i="163"/>
  <c r="BA735" i="163" s="1"/>
  <c r="D515" i="163"/>
  <c r="AZ514" i="163"/>
  <c r="D699" i="163"/>
  <c r="AZ698" i="163"/>
  <c r="D470" i="163"/>
  <c r="AZ469" i="163"/>
  <c r="B600" i="163"/>
  <c r="B601" i="163" s="1"/>
  <c r="B602" i="163" s="1"/>
  <c r="B603" i="163" s="1"/>
  <c r="B604" i="163" s="1"/>
  <c r="B605" i="163" s="1"/>
  <c r="BA598" i="163"/>
  <c r="B606" i="163"/>
  <c r="B598" i="163"/>
  <c r="B687" i="163"/>
  <c r="B681" i="163"/>
  <c r="B682" i="163" s="1"/>
  <c r="B683" i="163" s="1"/>
  <c r="B684" i="163" s="1"/>
  <c r="B685" i="163" s="1"/>
  <c r="B686" i="163" s="1"/>
  <c r="B679" i="163"/>
  <c r="BA679" i="163"/>
  <c r="D566" i="163"/>
  <c r="AZ565" i="163"/>
  <c r="D654" i="163"/>
  <c r="AZ653" i="163"/>
  <c r="BE680" i="163"/>
  <c r="BE682" i="163" s="1"/>
  <c r="BE572" i="163"/>
  <c r="D705" i="163"/>
  <c r="BB699" i="163" s="1"/>
  <c r="AZ705" i="163" s="1"/>
  <c r="D642" i="163"/>
  <c r="BB636" i="163" s="1"/>
  <c r="AZ642" i="163" s="1"/>
  <c r="D606" i="163"/>
  <c r="BB600" i="163" s="1"/>
  <c r="AZ606" i="163" s="1"/>
  <c r="D633" i="163"/>
  <c r="BB627" i="163" s="1"/>
  <c r="AZ633" i="163" s="1"/>
  <c r="D542" i="163"/>
  <c r="BB538" i="163" s="1"/>
  <c r="AZ542" i="163" s="1"/>
  <c r="D696" i="163"/>
  <c r="D556" i="163"/>
  <c r="BB552" i="163" s="1"/>
  <c r="AZ556" i="163" s="1"/>
  <c r="D651" i="163"/>
  <c r="BB645" i="163" s="1"/>
  <c r="AZ651" i="163" s="1"/>
  <c r="D615" i="163"/>
  <c r="BB609" i="163" s="1"/>
  <c r="AZ615" i="163" s="1"/>
  <c r="D597" i="163"/>
  <c r="BB591" i="163" s="1"/>
  <c r="AZ597" i="163" s="1"/>
  <c r="D579" i="163"/>
  <c r="D660" i="163"/>
  <c r="BB654" i="163" s="1"/>
  <c r="AZ660" i="163" s="1"/>
  <c r="D678" i="163"/>
  <c r="D669" i="163"/>
  <c r="BB663" i="163" s="1"/>
  <c r="AZ669" i="163" s="1"/>
  <c r="D624" i="163"/>
  <c r="BB618" i="163" s="1"/>
  <c r="AZ624" i="163" s="1"/>
  <c r="D687" i="163"/>
  <c r="D588" i="163"/>
  <c r="BB582" i="163" s="1"/>
  <c r="AZ588" i="163" s="1"/>
  <c r="D549" i="163"/>
  <c r="BB545" i="163" s="1"/>
  <c r="AZ549" i="163" s="1"/>
  <c r="D570" i="163"/>
  <c r="BB566" i="163" s="1"/>
  <c r="AZ570" i="163" s="1"/>
  <c r="D563" i="163"/>
  <c r="BB559" i="163" s="1"/>
  <c r="AZ563" i="163" s="1"/>
  <c r="D627" i="163"/>
  <c r="AZ626" i="163"/>
  <c r="BB573" i="163"/>
  <c r="D363" i="163"/>
  <c r="AZ362" i="163"/>
  <c r="BA460" i="163"/>
  <c r="BG369" i="163"/>
  <c r="BH369" i="163" s="1"/>
  <c r="BC591" i="163"/>
  <c r="A580" i="163"/>
  <c r="A572" i="163"/>
  <c r="A573" i="163" s="1"/>
  <c r="BD654" i="163"/>
  <c r="BC645" i="163"/>
  <c r="D586" i="163"/>
  <c r="AZ585" i="163"/>
  <c r="D575" i="163"/>
  <c r="AZ574" i="163"/>
  <c r="BD545" i="163"/>
  <c r="BC538" i="163"/>
  <c r="BG451" i="163"/>
  <c r="BH451" i="163" s="1"/>
  <c r="BE451" i="163"/>
  <c r="BF451" i="163" s="1"/>
  <c r="BD415" i="163"/>
  <c r="BC406" i="163"/>
  <c r="D411" i="163"/>
  <c r="AZ411" i="163" s="1"/>
  <c r="BE487" i="163"/>
  <c r="BF487" i="163" s="1"/>
  <c r="BG487" i="163"/>
  <c r="BH487" i="163" s="1"/>
  <c r="BE514" i="163"/>
  <c r="BF514" i="163" s="1"/>
  <c r="BG514" i="163"/>
  <c r="BH514" i="163" s="1"/>
  <c r="BG469" i="163"/>
  <c r="BH469" i="163" s="1"/>
  <c r="BE469" i="163"/>
  <c r="BF469" i="163" s="1"/>
  <c r="A404" i="163"/>
  <c r="A396" i="163"/>
  <c r="A397" i="163" s="1"/>
  <c r="D437" i="163"/>
  <c r="AZ436" i="163"/>
  <c r="BG442" i="163"/>
  <c r="BH442" i="163" s="1"/>
  <c r="BE442" i="163"/>
  <c r="BF442" i="163" s="1"/>
  <c r="D429" i="163"/>
  <c r="AZ429" i="163" s="1"/>
  <c r="AZ428" i="163"/>
  <c r="D59" i="163"/>
  <c r="AZ59" i="163" s="1"/>
  <c r="AZ58" i="163"/>
  <c r="A228" i="163"/>
  <c r="A220" i="163"/>
  <c r="A221" i="163" s="1"/>
  <c r="BE54" i="163"/>
  <c r="BF54" i="163" s="1"/>
  <c r="BG54" i="163"/>
  <c r="BH54" i="163" s="1"/>
  <c r="BG90" i="163"/>
  <c r="BH90" i="163" s="1"/>
  <c r="BE90" i="163"/>
  <c r="BF90" i="163" s="1"/>
  <c r="BE230" i="163"/>
  <c r="BF230" i="163" s="1"/>
  <c r="BG230" i="163"/>
  <c r="BH230" i="163" s="1"/>
  <c r="BD200" i="163"/>
  <c r="BE293" i="163"/>
  <c r="BF293" i="163" s="1"/>
  <c r="BG293" i="163"/>
  <c r="BH293" i="163" s="1"/>
  <c r="BE311" i="163"/>
  <c r="BF311" i="163" s="1"/>
  <c r="BG311" i="163"/>
  <c r="BH311" i="163" s="1"/>
  <c r="BG302" i="163"/>
  <c r="BH302" i="163" s="1"/>
  <c r="BE302" i="163"/>
  <c r="BF302" i="163" s="1"/>
  <c r="D280" i="163"/>
  <c r="AZ280" i="163" s="1"/>
  <c r="AZ279" i="163"/>
  <c r="D306" i="163"/>
  <c r="AZ305" i="163"/>
  <c r="D324" i="163"/>
  <c r="AZ323" i="163"/>
  <c r="A57" i="163"/>
  <c r="A58" i="163" s="1"/>
  <c r="A59" i="163" s="1"/>
  <c r="A60" i="163" s="1"/>
  <c r="A61" i="163" s="1"/>
  <c r="A62" i="163" s="1"/>
  <c r="A63" i="163" s="1"/>
  <c r="A55" i="163"/>
  <c r="A56" i="163" s="1"/>
  <c r="BG108" i="163"/>
  <c r="BH108" i="163" s="1"/>
  <c r="BE108" i="163"/>
  <c r="BF108" i="163" s="1"/>
  <c r="BE186" i="163"/>
  <c r="BF186" i="163" s="1"/>
  <c r="BD186" i="163"/>
  <c r="BG186" i="163"/>
  <c r="BH186" i="163" s="1"/>
  <c r="BE248" i="163"/>
  <c r="BF248" i="163" s="1"/>
  <c r="BG248" i="163"/>
  <c r="BH248" i="163" s="1"/>
  <c r="BG266" i="163"/>
  <c r="BH266" i="163" s="1"/>
  <c r="BE266" i="163"/>
  <c r="BF266" i="163" s="1"/>
  <c r="BE320" i="163"/>
  <c r="BF320" i="163" s="1"/>
  <c r="BG320" i="163"/>
  <c r="BH320" i="163" s="1"/>
  <c r="D175" i="163"/>
  <c r="AZ174" i="163"/>
  <c r="BH329" i="163"/>
  <c r="D260" i="163"/>
  <c r="AZ259" i="163"/>
  <c r="D270" i="163"/>
  <c r="AZ269" i="163"/>
  <c r="D77" i="163"/>
  <c r="AZ77" i="163" s="1"/>
  <c r="AZ76" i="163"/>
  <c r="BC171" i="163"/>
  <c r="BA347" i="163"/>
  <c r="BA523" i="163" s="1"/>
  <c r="BE214" i="163"/>
  <c r="BF214" i="163" s="1"/>
  <c r="BG214" i="163"/>
  <c r="BH214" i="163" s="1"/>
  <c r="BG284" i="163"/>
  <c r="BH284" i="163" s="1"/>
  <c r="BG239" i="163"/>
  <c r="BH239" i="163" s="1"/>
  <c r="BE239" i="163"/>
  <c r="BF239" i="163" s="1"/>
  <c r="BE338" i="163"/>
  <c r="BF338" i="163" s="1"/>
  <c r="BG338" i="163"/>
  <c r="BH338" i="163" s="1"/>
  <c r="D234" i="163"/>
  <c r="AZ233" i="163"/>
  <c r="D351" i="163"/>
  <c r="AZ350" i="163"/>
  <c r="D243" i="163"/>
  <c r="AZ242" i="163"/>
  <c r="D298" i="163"/>
  <c r="AZ298" i="163" s="1"/>
  <c r="AZ297" i="163"/>
  <c r="BE193" i="163"/>
  <c r="BF193" i="163" s="1"/>
  <c r="BG193" i="163"/>
  <c r="BH193" i="163" s="1"/>
  <c r="BD207" i="163"/>
  <c r="BG207" i="163"/>
  <c r="BH207" i="163" s="1"/>
  <c r="BE207" i="163"/>
  <c r="BF207" i="163" s="1"/>
  <c r="BE257" i="163"/>
  <c r="BF257" i="163" s="1"/>
  <c r="BG257" i="163"/>
  <c r="BH257" i="163" s="1"/>
  <c r="BG275" i="163"/>
  <c r="BH275" i="163" s="1"/>
  <c r="BE275" i="163"/>
  <c r="BF275" i="163" s="1"/>
  <c r="D316" i="163"/>
  <c r="AZ316" i="163" s="1"/>
  <c r="AZ315" i="163"/>
  <c r="D253" i="163"/>
  <c r="AZ253" i="163" s="1"/>
  <c r="AZ252" i="163"/>
  <c r="BG552" i="163" l="1"/>
  <c r="BH552" i="163" s="1"/>
  <c r="BD552" i="163"/>
  <c r="BA728" i="163"/>
  <c r="BG742" i="163"/>
  <c r="BH742" i="163" s="1"/>
  <c r="AZ924" i="163"/>
  <c r="AZ1100" i="163"/>
  <c r="AZ1276" i="163"/>
  <c r="BE200" i="163"/>
  <c r="BF200" i="163" s="1"/>
  <c r="BG918" i="163"/>
  <c r="BH918" i="163" s="1"/>
  <c r="D925" i="163"/>
  <c r="D1101" i="163"/>
  <c r="D1277" i="163"/>
  <c r="D1278" i="163" s="1"/>
  <c r="BE627" i="163"/>
  <c r="BF627" i="163" s="1"/>
  <c r="BG415" i="163"/>
  <c r="BH415" i="163" s="1"/>
  <c r="BC1173" i="163"/>
  <c r="BE99" i="163"/>
  <c r="BF99" i="163" s="1"/>
  <c r="BG99" i="163"/>
  <c r="BH99" i="163" s="1"/>
  <c r="BA1877" i="163"/>
  <c r="D1832" i="163"/>
  <c r="AZ1831" i="163"/>
  <c r="BA1859" i="163"/>
  <c r="D1776" i="163"/>
  <c r="D1601" i="163"/>
  <c r="AZ1600" i="163"/>
  <c r="D1657" i="163"/>
  <c r="AZ1656" i="163"/>
  <c r="BF1628" i="163"/>
  <c r="BF1736" i="163"/>
  <c r="BE1766" i="163"/>
  <c r="B1876" i="163"/>
  <c r="BA1699" i="163"/>
  <c r="B1707" i="163"/>
  <c r="B1699" i="163"/>
  <c r="B1701" i="163"/>
  <c r="B1702" i="163" s="1"/>
  <c r="B1703" i="163" s="1"/>
  <c r="B1704" i="163" s="1"/>
  <c r="B1705" i="163" s="1"/>
  <c r="B1706" i="163" s="1"/>
  <c r="D1804" i="163"/>
  <c r="D1629" i="163"/>
  <c r="AZ1628" i="163"/>
  <c r="BA1770" i="163"/>
  <c r="B1867" i="163"/>
  <c r="BA1690" i="163"/>
  <c r="B1692" i="163"/>
  <c r="B1693" i="163" s="1"/>
  <c r="B1694" i="163" s="1"/>
  <c r="B1695" i="163" s="1"/>
  <c r="B1696" i="163" s="1"/>
  <c r="B1697" i="163" s="1"/>
  <c r="B1690" i="163"/>
  <c r="B1698" i="163"/>
  <c r="B1674" i="163"/>
  <c r="B1675" i="163" s="1"/>
  <c r="B1676" i="163" s="1"/>
  <c r="B1677" i="163" s="1"/>
  <c r="B1678" i="163" s="1"/>
  <c r="B1679" i="163" s="1"/>
  <c r="BA1672" i="163"/>
  <c r="B1680" i="163"/>
  <c r="B1849" i="163"/>
  <c r="B1672" i="163"/>
  <c r="D1813" i="163"/>
  <c r="AZ1637" i="163"/>
  <c r="D1638" i="163"/>
  <c r="BA1753" i="163"/>
  <c r="B1755" i="163"/>
  <c r="B1756" i="163" s="1"/>
  <c r="B1757" i="163" s="1"/>
  <c r="B1758" i="163" s="1"/>
  <c r="B1759" i="163" s="1"/>
  <c r="B1760" i="163" s="1"/>
  <c r="B1753" i="163"/>
  <c r="B1930" i="163"/>
  <c r="B1761" i="163"/>
  <c r="BH1767" i="163"/>
  <c r="A1921" i="163"/>
  <c r="A1922" i="163" s="1"/>
  <c r="A1929" i="163"/>
  <c r="A1930" i="163" s="1"/>
  <c r="A1931" i="163" s="1"/>
  <c r="A1896" i="163"/>
  <c r="A1897" i="163" s="1"/>
  <c r="A1898" i="163"/>
  <c r="A1899" i="163" s="1"/>
  <c r="A1900" i="163" s="1"/>
  <c r="A1901" i="163" s="1"/>
  <c r="A1704" i="163"/>
  <c r="A1705" i="163" s="1"/>
  <c r="A1706" i="163" s="1"/>
  <c r="A1707" i="163" s="1"/>
  <c r="A1702" i="163"/>
  <c r="A1703" i="163" s="1"/>
  <c r="A1916" i="163"/>
  <c r="A1917" i="163" s="1"/>
  <c r="A1918" i="163" s="1"/>
  <c r="A1919" i="163" s="1"/>
  <c r="A1914" i="163"/>
  <c r="A1915" i="163" s="1"/>
  <c r="A1887" i="163"/>
  <c r="A1888" i="163" s="1"/>
  <c r="A1889" i="163"/>
  <c r="A1890" i="163" s="1"/>
  <c r="A1891" i="163" s="1"/>
  <c r="A1892" i="163" s="1"/>
  <c r="A1744" i="163"/>
  <c r="A1736" i="163"/>
  <c r="A1737" i="163" s="1"/>
  <c r="A1709" i="163"/>
  <c r="A1710" i="163" s="1"/>
  <c r="A1717" i="163"/>
  <c r="A1718" i="163" s="1"/>
  <c r="A1719" i="163" s="1"/>
  <c r="A1731" i="163"/>
  <c r="A1732" i="163" s="1"/>
  <c r="A1733" i="163" s="1"/>
  <c r="A1734" i="163" s="1"/>
  <c r="A1729" i="163"/>
  <c r="A1730" i="163" s="1"/>
  <c r="D1470" i="163"/>
  <c r="D1646" i="163" s="1"/>
  <c r="D1295" i="163"/>
  <c r="AZ1294" i="163"/>
  <c r="BA1247" i="163"/>
  <c r="B1424" i="163"/>
  <c r="B1600" i="163" s="1"/>
  <c r="B1249" i="163"/>
  <c r="B1250" i="163" s="1"/>
  <c r="B1251" i="163" s="1"/>
  <c r="B1252" i="163" s="1"/>
  <c r="B1253" i="163"/>
  <c r="B1247" i="163"/>
  <c r="B1267" i="163"/>
  <c r="B1438" i="163"/>
  <c r="B1614" i="163" s="1"/>
  <c r="BA1261" i="163"/>
  <c r="B1263" i="163"/>
  <c r="B1264" i="163" s="1"/>
  <c r="B1265" i="163" s="1"/>
  <c r="B1266" i="163" s="1"/>
  <c r="B1261" i="163"/>
  <c r="B1470" i="163"/>
  <c r="B1646" i="163" s="1"/>
  <c r="B1295" i="163"/>
  <c r="B1296" i="163" s="1"/>
  <c r="B1297" i="163" s="1"/>
  <c r="B1298" i="163" s="1"/>
  <c r="B1299" i="163" s="1"/>
  <c r="B1300" i="163" s="1"/>
  <c r="B1293" i="163"/>
  <c r="B1301" i="163"/>
  <c r="BA1293" i="163"/>
  <c r="B1488" i="163"/>
  <c r="B1664" i="163" s="1"/>
  <c r="BA1311" i="163"/>
  <c r="B1319" i="163"/>
  <c r="B1311" i="163"/>
  <c r="B1313" i="163"/>
  <c r="B1314" i="163" s="1"/>
  <c r="B1315" i="163" s="1"/>
  <c r="B1316" i="163" s="1"/>
  <c r="B1317" i="163" s="1"/>
  <c r="B1318" i="163" s="1"/>
  <c r="BC1349" i="163"/>
  <c r="BE1349" i="163" s="1"/>
  <c r="BF1349" i="163" s="1"/>
  <c r="BF1560" i="163"/>
  <c r="BF1452" i="163"/>
  <c r="D1250" i="163"/>
  <c r="AZ1249" i="163"/>
  <c r="BA1523" i="163"/>
  <c r="B1525" i="163"/>
  <c r="B1526" i="163" s="1"/>
  <c r="B1527" i="163" s="1"/>
  <c r="B1528" i="163" s="1"/>
  <c r="B1529" i="163" s="1"/>
  <c r="B1530" i="163" s="1"/>
  <c r="B1531" i="163"/>
  <c r="B1523" i="163"/>
  <c r="D1287" i="163"/>
  <c r="AZ1286" i="163"/>
  <c r="B1579" i="163"/>
  <c r="B1580" i="163" s="1"/>
  <c r="B1581" i="163" s="1"/>
  <c r="B1582" i="163" s="1"/>
  <c r="B1583" i="163" s="1"/>
  <c r="B1584" i="163" s="1"/>
  <c r="BA1577" i="163"/>
  <c r="B1577" i="163"/>
  <c r="B1585" i="163"/>
  <c r="D1431" i="163"/>
  <c r="D1607" i="163" s="1"/>
  <c r="D1256" i="163"/>
  <c r="AZ1255" i="163"/>
  <c r="D1322" i="163"/>
  <c r="D1497" i="163"/>
  <c r="D1673" i="163" s="1"/>
  <c r="AZ1321" i="163"/>
  <c r="BE1384" i="163"/>
  <c r="BD1414" i="163"/>
  <c r="BD1590" i="163" s="1"/>
  <c r="BE1276" i="163"/>
  <c r="B1431" i="163"/>
  <c r="B1607" i="163" s="1"/>
  <c r="B1254" i="163"/>
  <c r="BA1254" i="163"/>
  <c r="B1260" i="163"/>
  <c r="B1256" i="163"/>
  <c r="B1257" i="163" s="1"/>
  <c r="B1258" i="163" s="1"/>
  <c r="B1259" i="163" s="1"/>
  <c r="B1382" i="163"/>
  <c r="B1551" i="163"/>
  <c r="B1727" i="163" s="1"/>
  <c r="BA1374" i="163"/>
  <c r="B1376" i="163"/>
  <c r="B1377" i="163" s="1"/>
  <c r="B1378" i="163" s="1"/>
  <c r="B1379" i="163" s="1"/>
  <c r="B1380" i="163" s="1"/>
  <c r="B1381" i="163" s="1"/>
  <c r="B1374" i="163"/>
  <c r="B1391" i="163"/>
  <c r="B1560" i="163"/>
  <c r="B1736" i="163" s="1"/>
  <c r="BA1383" i="163"/>
  <c r="B1385" i="163"/>
  <c r="B1386" i="163" s="1"/>
  <c r="B1387" i="163" s="1"/>
  <c r="B1388" i="163" s="1"/>
  <c r="B1389" i="163" s="1"/>
  <c r="B1390" i="163" s="1"/>
  <c r="B1383" i="163"/>
  <c r="B1400" i="163"/>
  <c r="B1569" i="163"/>
  <c r="B1745" i="163" s="1"/>
  <c r="BA1392" i="163"/>
  <c r="B1394" i="163"/>
  <c r="B1395" i="163" s="1"/>
  <c r="B1396" i="163" s="1"/>
  <c r="B1397" i="163" s="1"/>
  <c r="B1398" i="163" s="1"/>
  <c r="B1399" i="163" s="1"/>
  <c r="D1578" i="163"/>
  <c r="D1754" i="163" s="1"/>
  <c r="AZ1402" i="163"/>
  <c r="D1403" i="163"/>
  <c r="D1306" i="163"/>
  <c r="AZ1305" i="163"/>
  <c r="B1522" i="163"/>
  <c r="BA1514" i="163"/>
  <c r="B1514" i="163"/>
  <c r="B1516" i="163"/>
  <c r="B1517" i="163" s="1"/>
  <c r="B1518" i="163" s="1"/>
  <c r="B1519" i="163" s="1"/>
  <c r="B1520" i="163" s="1"/>
  <c r="B1521" i="163" s="1"/>
  <c r="BA1496" i="163"/>
  <c r="B1498" i="163"/>
  <c r="B1499" i="163" s="1"/>
  <c r="B1500" i="163" s="1"/>
  <c r="B1501" i="163" s="1"/>
  <c r="B1502" i="163" s="1"/>
  <c r="B1503" i="163" s="1"/>
  <c r="B1496" i="163"/>
  <c r="B1504" i="163"/>
  <c r="D1462" i="163"/>
  <c r="AZ1461" i="163"/>
  <c r="D1488" i="163"/>
  <c r="D1664" i="163" s="1"/>
  <c r="D1313" i="163"/>
  <c r="AZ1312" i="163"/>
  <c r="C1414" i="163"/>
  <c r="C1590" i="163" s="1"/>
  <c r="D1400" i="163"/>
  <c r="D1337" i="163"/>
  <c r="BB1331" i="163" s="1"/>
  <c r="AZ1337" i="163" s="1"/>
  <c r="D1260" i="163"/>
  <c r="BB1256" i="163" s="1"/>
  <c r="AZ1260" i="163" s="1"/>
  <c r="D1355" i="163"/>
  <c r="BB1349" i="163" s="1"/>
  <c r="AZ1355" i="163" s="1"/>
  <c r="D1319" i="163"/>
  <c r="BB1313" i="163" s="1"/>
  <c r="AZ1319" i="163" s="1"/>
  <c r="D1283" i="163"/>
  <c r="D1373" i="163"/>
  <c r="BB1367" i="163" s="1"/>
  <c r="AZ1373" i="163" s="1"/>
  <c r="D1391" i="163"/>
  <c r="D1382" i="163"/>
  <c r="D1301" i="163"/>
  <c r="BB1295" i="163" s="1"/>
  <c r="AZ1301" i="163" s="1"/>
  <c r="D1274" i="163"/>
  <c r="BB1270" i="163" s="1"/>
  <c r="AZ1274" i="163" s="1"/>
  <c r="D1267" i="163"/>
  <c r="BB1263" i="163" s="1"/>
  <c r="AZ1267" i="163" s="1"/>
  <c r="D1292" i="163"/>
  <c r="BB1286" i="163" s="1"/>
  <c r="AZ1292" i="163" s="1"/>
  <c r="D1328" i="163"/>
  <c r="BB1322" i="163" s="1"/>
  <c r="AZ1328" i="163" s="1"/>
  <c r="D1246" i="163"/>
  <c r="BB1242" i="163" s="1"/>
  <c r="AZ1246" i="163" s="1"/>
  <c r="D1364" i="163"/>
  <c r="BB1358" i="163" s="1"/>
  <c r="AZ1364" i="163" s="1"/>
  <c r="D1346" i="163"/>
  <c r="BB1340" i="163" s="1"/>
  <c r="AZ1346" i="163" s="1"/>
  <c r="D1310" i="163"/>
  <c r="BB1304" i="163" s="1"/>
  <c r="AZ1310" i="163" s="1"/>
  <c r="D1409" i="163"/>
  <c r="BB1403" i="163" s="1"/>
  <c r="AZ1409" i="163" s="1"/>
  <c r="D1253" i="163"/>
  <c r="BB1249" i="163" s="1"/>
  <c r="AZ1253" i="163" s="1"/>
  <c r="BA1365" i="163"/>
  <c r="B1542" i="163"/>
  <c r="B1718" i="163" s="1"/>
  <c r="B1373" i="163"/>
  <c r="B1365" i="163"/>
  <c r="B1367" i="163"/>
  <c r="B1368" i="163" s="1"/>
  <c r="B1369" i="163" s="1"/>
  <c r="B1370" i="163" s="1"/>
  <c r="B1371" i="163" s="1"/>
  <c r="B1372" i="163" s="1"/>
  <c r="BC1384" i="163"/>
  <c r="BB1414" i="163"/>
  <c r="BB1590" i="163" s="1"/>
  <c r="BC1276" i="163"/>
  <c r="B1506" i="163"/>
  <c r="B1682" i="163" s="1"/>
  <c r="B1337" i="163"/>
  <c r="B1331" i="163"/>
  <c r="B1332" i="163" s="1"/>
  <c r="B1333" i="163" s="1"/>
  <c r="B1334" i="163" s="1"/>
  <c r="B1335" i="163" s="1"/>
  <c r="B1336" i="163" s="1"/>
  <c r="BA1329" i="163"/>
  <c r="B1329" i="163"/>
  <c r="D1394" i="163"/>
  <c r="D1569" i="163"/>
  <c r="D1745" i="163" s="1"/>
  <c r="AZ1393" i="163"/>
  <c r="B1533" i="163"/>
  <c r="B1709" i="163" s="1"/>
  <c r="BA1356" i="163"/>
  <c r="B1364" i="163"/>
  <c r="B1358" i="163"/>
  <c r="B1359" i="163" s="1"/>
  <c r="B1360" i="163" s="1"/>
  <c r="B1361" i="163" s="1"/>
  <c r="B1362" i="163" s="1"/>
  <c r="B1363" i="163" s="1"/>
  <c r="B1356" i="163"/>
  <c r="BC1376" i="163"/>
  <c r="BE1376" i="163" s="1"/>
  <c r="BF1376" i="163" s="1"/>
  <c r="BC1242" i="163"/>
  <c r="BD1242" i="163" s="1"/>
  <c r="D1506" i="163"/>
  <c r="D1682" i="163" s="1"/>
  <c r="AZ1330" i="163"/>
  <c r="D1331" i="163"/>
  <c r="D1524" i="163"/>
  <c r="D1700" i="163" s="1"/>
  <c r="D1349" i="163"/>
  <c r="AZ1348" i="163"/>
  <c r="D1542" i="163"/>
  <c r="D1718" i="163" s="1"/>
  <c r="AZ1366" i="163"/>
  <c r="D1367" i="163"/>
  <c r="D1358" i="163"/>
  <c r="D1533" i="163"/>
  <c r="D1709" i="163" s="1"/>
  <c r="AZ1357" i="163"/>
  <c r="D1270" i="163"/>
  <c r="D1445" i="163"/>
  <c r="D1621" i="163" s="1"/>
  <c r="AZ1269" i="163"/>
  <c r="D1438" i="163"/>
  <c r="D1614" i="163" s="1"/>
  <c r="AZ1262" i="163"/>
  <c r="D1263" i="163"/>
  <c r="BB1384" i="163"/>
  <c r="BA1414" i="163"/>
  <c r="BA1590" i="163" s="1"/>
  <c r="BB1276" i="163"/>
  <c r="BG1384" i="163"/>
  <c r="BF1414" i="163"/>
  <c r="BF1590" i="163" s="1"/>
  <c r="BG1276" i="163"/>
  <c r="BA1275" i="163"/>
  <c r="B1452" i="163"/>
  <c r="B1628" i="163" s="1"/>
  <c r="B1283" i="163"/>
  <c r="B1277" i="163"/>
  <c r="B1278" i="163" s="1"/>
  <c r="B1279" i="163" s="1"/>
  <c r="B1280" i="163" s="1"/>
  <c r="B1281" i="163" s="1"/>
  <c r="B1282" i="163" s="1"/>
  <c r="B1275" i="163"/>
  <c r="D1242" i="163"/>
  <c r="D1417" i="163"/>
  <c r="D1593" i="163" s="1"/>
  <c r="AZ1241" i="163"/>
  <c r="B1268" i="163"/>
  <c r="B1445" i="163"/>
  <c r="B1621" i="163" s="1"/>
  <c r="B1270" i="163"/>
  <c r="B1271" i="163" s="1"/>
  <c r="B1272" i="163" s="1"/>
  <c r="B1273" i="163" s="1"/>
  <c r="B1274" i="163"/>
  <c r="BA1268" i="163"/>
  <c r="BC1414" i="163"/>
  <c r="BC1590" i="163" s="1"/>
  <c r="BD1276" i="163"/>
  <c r="BD1384" i="163"/>
  <c r="B1310" i="163"/>
  <c r="B1479" i="163"/>
  <c r="B1655" i="163" s="1"/>
  <c r="BA1302" i="163"/>
  <c r="B1302" i="163"/>
  <c r="B1304" i="163"/>
  <c r="B1305" i="163" s="1"/>
  <c r="B1306" i="163" s="1"/>
  <c r="B1307" i="163" s="1"/>
  <c r="B1308" i="163" s="1"/>
  <c r="B1309" i="163" s="1"/>
  <c r="B1292" i="163"/>
  <c r="B1461" i="163"/>
  <c r="B1637" i="163" s="1"/>
  <c r="B1286" i="163"/>
  <c r="B1287" i="163" s="1"/>
  <c r="B1288" i="163" s="1"/>
  <c r="B1289" i="163" s="1"/>
  <c r="B1290" i="163" s="1"/>
  <c r="B1291" i="163" s="1"/>
  <c r="BA1284" i="163"/>
  <c r="B1284" i="163"/>
  <c r="C1413" i="163"/>
  <c r="C1589" i="163" s="1"/>
  <c r="BC1270" i="163"/>
  <c r="BC1394" i="163"/>
  <c r="BG1394" i="163" s="1"/>
  <c r="BH1394" i="163" s="1"/>
  <c r="D1425" i="163"/>
  <c r="AZ1424" i="163"/>
  <c r="D1481" i="163"/>
  <c r="AZ1480" i="163"/>
  <c r="D1453" i="163"/>
  <c r="AZ1452" i="163"/>
  <c r="BE1331" i="163"/>
  <c r="BF1331" i="163" s="1"/>
  <c r="BG1331" i="163"/>
  <c r="BH1331" i="163" s="1"/>
  <c r="BC1507" i="163"/>
  <c r="BA1534" i="163"/>
  <c r="BA1710" i="163" s="1"/>
  <c r="BC1358" i="163"/>
  <c r="BD1358" i="163"/>
  <c r="BC1418" i="163"/>
  <c r="BA1471" i="163"/>
  <c r="BA1647" i="163" s="1"/>
  <c r="BC1295" i="163"/>
  <c r="BC1286" i="163"/>
  <c r="BA1462" i="163"/>
  <c r="BA1638" i="163" s="1"/>
  <c r="BD1295" i="163"/>
  <c r="A1528" i="163"/>
  <c r="A1529" i="163" s="1"/>
  <c r="A1530" i="163" s="1"/>
  <c r="A1531" i="163" s="1"/>
  <c r="A1526" i="163"/>
  <c r="A1527" i="163" s="1"/>
  <c r="A1533" i="163"/>
  <c r="A1534" i="163" s="1"/>
  <c r="A1541" i="163"/>
  <c r="A1542" i="163" s="1"/>
  <c r="A1543" i="163" s="1"/>
  <c r="A1553" i="163"/>
  <c r="A1554" i="163" s="1"/>
  <c r="A1555" i="163"/>
  <c r="A1556" i="163" s="1"/>
  <c r="A1557" i="163" s="1"/>
  <c r="A1558" i="163" s="1"/>
  <c r="A1568" i="163"/>
  <c r="A1560" i="163"/>
  <c r="A1561" i="163" s="1"/>
  <c r="A1348" i="163"/>
  <c r="A1349" i="163" s="1"/>
  <c r="A1356" i="163"/>
  <c r="A1383" i="163"/>
  <c r="A1375" i="163"/>
  <c r="A1376" i="163" s="1"/>
  <c r="A1341" i="163"/>
  <c r="A1342" i="163" s="1"/>
  <c r="A1343" i="163"/>
  <c r="A1344" i="163" s="1"/>
  <c r="A1345" i="163" s="1"/>
  <c r="A1346" i="163" s="1"/>
  <c r="BB331" i="163"/>
  <c r="BH331" i="163" s="1"/>
  <c r="BG424" i="163"/>
  <c r="BH424" i="163" s="1"/>
  <c r="BC573" i="163"/>
  <c r="BD376" i="163"/>
  <c r="BE848" i="163"/>
  <c r="BF848" i="163" s="1"/>
  <c r="BD943" i="163"/>
  <c r="BC934" i="163"/>
  <c r="BG934" i="163" s="1"/>
  <c r="BH934" i="163" s="1"/>
  <c r="BG721" i="163"/>
  <c r="BH721" i="163" s="1"/>
  <c r="BE433" i="163"/>
  <c r="BF433" i="163" s="1"/>
  <c r="B889" i="163"/>
  <c r="B712" i="163"/>
  <c r="B714" i="163"/>
  <c r="B715" i="163" s="1"/>
  <c r="B716" i="163" s="1"/>
  <c r="B717" i="163" s="1"/>
  <c r="BA712" i="163"/>
  <c r="B718" i="163"/>
  <c r="BE866" i="163"/>
  <c r="BF866" i="163" s="1"/>
  <c r="BE690" i="163"/>
  <c r="BF690" i="163" s="1"/>
  <c r="BD1042" i="163"/>
  <c r="BA1191" i="163"/>
  <c r="D1119" i="163"/>
  <c r="AZ1118" i="163"/>
  <c r="D1209" i="163"/>
  <c r="AZ1208" i="163"/>
  <c r="D1182" i="163"/>
  <c r="AZ1181" i="163"/>
  <c r="D1094" i="163"/>
  <c r="AZ1093" i="163"/>
  <c r="D1087" i="163"/>
  <c r="AZ1086" i="163"/>
  <c r="BG1208" i="163"/>
  <c r="BG1100" i="163"/>
  <c r="B1107" i="163"/>
  <c r="B1099" i="163"/>
  <c r="B1101" i="163"/>
  <c r="B1102" i="163" s="1"/>
  <c r="B1103" i="163" s="1"/>
  <c r="B1104" i="163" s="1"/>
  <c r="B1105" i="163" s="1"/>
  <c r="B1106" i="163" s="1"/>
  <c r="BA1099" i="163"/>
  <c r="B1215" i="163"/>
  <c r="B1209" i="163"/>
  <c r="B1210" i="163" s="1"/>
  <c r="B1211" i="163" s="1"/>
  <c r="B1212" i="163" s="1"/>
  <c r="B1213" i="163" s="1"/>
  <c r="B1214" i="163" s="1"/>
  <c r="B1207" i="163"/>
  <c r="BA1207" i="163"/>
  <c r="B1224" i="163"/>
  <c r="BA1216" i="163"/>
  <c r="B1218" i="163"/>
  <c r="B1219" i="163" s="1"/>
  <c r="B1220" i="163" s="1"/>
  <c r="B1221" i="163" s="1"/>
  <c r="B1222" i="163" s="1"/>
  <c r="B1223" i="163" s="1"/>
  <c r="D1227" i="163"/>
  <c r="AZ1226" i="163"/>
  <c r="BE1200" i="163"/>
  <c r="BF1200" i="163" s="1"/>
  <c r="BG1200" i="163"/>
  <c r="BH1200" i="163" s="1"/>
  <c r="D1074" i="163"/>
  <c r="AZ1073" i="163"/>
  <c r="BD970" i="163"/>
  <c r="BA1137" i="163"/>
  <c r="BD1182" i="163"/>
  <c r="BD1200" i="163"/>
  <c r="D1080" i="163"/>
  <c r="AZ1079" i="163"/>
  <c r="D1146" i="163"/>
  <c r="AZ1145" i="163"/>
  <c r="B1077" i="163"/>
  <c r="B1071" i="163"/>
  <c r="BA1071" i="163"/>
  <c r="B1073" i="163"/>
  <c r="B1074" i="163" s="1"/>
  <c r="B1075" i="163" s="1"/>
  <c r="B1076" i="163" s="1"/>
  <c r="BB1208" i="163"/>
  <c r="BB1100" i="163"/>
  <c r="BC1100" i="163"/>
  <c r="BC1208" i="163"/>
  <c r="B1155" i="163"/>
  <c r="B1156" i="163" s="1"/>
  <c r="B1157" i="163" s="1"/>
  <c r="B1158" i="163" s="1"/>
  <c r="B1159" i="163" s="1"/>
  <c r="B1160" i="163" s="1"/>
  <c r="B1161" i="163"/>
  <c r="B1153" i="163"/>
  <c r="BA1153" i="163"/>
  <c r="D1218" i="163"/>
  <c r="AZ1217" i="163"/>
  <c r="B1180" i="163"/>
  <c r="B1188" i="163"/>
  <c r="B1182" i="163"/>
  <c r="B1183" i="163" s="1"/>
  <c r="B1184" i="163" s="1"/>
  <c r="B1185" i="163" s="1"/>
  <c r="B1186" i="163" s="1"/>
  <c r="B1187" i="163" s="1"/>
  <c r="BA1180" i="163"/>
  <c r="D1137" i="163"/>
  <c r="AZ1136" i="163"/>
  <c r="BE1208" i="163"/>
  <c r="BE1100" i="163"/>
  <c r="B1078" i="163"/>
  <c r="BA1078" i="163"/>
  <c r="B1080" i="163"/>
  <c r="B1081" i="163" s="1"/>
  <c r="B1082" i="163" s="1"/>
  <c r="B1083" i="163" s="1"/>
  <c r="B1084" i="163"/>
  <c r="B1206" i="163"/>
  <c r="BA1198" i="163"/>
  <c r="B1198" i="163"/>
  <c r="B1200" i="163"/>
  <c r="B1201" i="163" s="1"/>
  <c r="B1202" i="163" s="1"/>
  <c r="B1203" i="163" s="1"/>
  <c r="B1204" i="163" s="1"/>
  <c r="B1205" i="163" s="1"/>
  <c r="D1066" i="163"/>
  <c r="AZ1065" i="163"/>
  <c r="B1092" i="163"/>
  <c r="B1098" i="163"/>
  <c r="B1094" i="163"/>
  <c r="B1095" i="163" s="1"/>
  <c r="B1096" i="163" s="1"/>
  <c r="B1097" i="163" s="1"/>
  <c r="BA1092" i="163"/>
  <c r="BD1100" i="163"/>
  <c r="BD1208" i="163"/>
  <c r="BA1126" i="163"/>
  <c r="B1134" i="163"/>
  <c r="B1126" i="163"/>
  <c r="B1128" i="163"/>
  <c r="B1129" i="163" s="1"/>
  <c r="B1130" i="163" s="1"/>
  <c r="B1131" i="163" s="1"/>
  <c r="B1132" i="163" s="1"/>
  <c r="B1133" i="163" s="1"/>
  <c r="B1116" i="163"/>
  <c r="BA1108" i="163"/>
  <c r="B1108" i="163"/>
  <c r="B1110" i="163"/>
  <c r="B1111" i="163" s="1"/>
  <c r="B1112" i="163" s="1"/>
  <c r="B1113" i="163" s="1"/>
  <c r="B1114" i="163" s="1"/>
  <c r="B1115" i="163" s="1"/>
  <c r="BD1119" i="163"/>
  <c r="D1102" i="163"/>
  <c r="AZ1101" i="163"/>
  <c r="D1111" i="163"/>
  <c r="AZ1110" i="163"/>
  <c r="BA776" i="163"/>
  <c r="BD785" i="163" s="1"/>
  <c r="BC600" i="163"/>
  <c r="BD979" i="163"/>
  <c r="BA1146" i="163"/>
  <c r="D1155" i="163"/>
  <c r="AZ1154" i="163"/>
  <c r="D1173" i="163"/>
  <c r="AZ1172" i="163"/>
  <c r="D1191" i="163"/>
  <c r="AZ1190" i="163"/>
  <c r="D1199" i="163"/>
  <c r="D1384" i="163" s="1"/>
  <c r="D1163" i="163"/>
  <c r="D1116" i="163"/>
  <c r="BB1110" i="163" s="1"/>
  <c r="AZ1116" i="163" s="1"/>
  <c r="D1233" i="163"/>
  <c r="BB1227" i="163" s="1"/>
  <c r="AZ1233" i="163" s="1"/>
  <c r="D1134" i="163"/>
  <c r="BB1128" i="163" s="1"/>
  <c r="AZ1134" i="163" s="1"/>
  <c r="D1161" i="163"/>
  <c r="BB1155" i="163" s="1"/>
  <c r="AZ1161" i="163" s="1"/>
  <c r="D1152" i="163"/>
  <c r="BB1146" i="163" s="1"/>
  <c r="AZ1152" i="163" s="1"/>
  <c r="D1098" i="163"/>
  <c r="BB1094" i="163" s="1"/>
  <c r="AZ1098" i="163" s="1"/>
  <c r="D1179" i="163"/>
  <c r="BB1173" i="163" s="1"/>
  <c r="AZ1179" i="163" s="1"/>
  <c r="D1215" i="163"/>
  <c r="D1125" i="163"/>
  <c r="BB1119" i="163" s="1"/>
  <c r="AZ1125" i="163" s="1"/>
  <c r="D1084" i="163"/>
  <c r="BB1080" i="163" s="1"/>
  <c r="AZ1084" i="163" s="1"/>
  <c r="D1197" i="163"/>
  <c r="BB1191" i="163" s="1"/>
  <c r="AZ1197" i="163" s="1"/>
  <c r="D1143" i="163"/>
  <c r="BB1137" i="163" s="1"/>
  <c r="AZ1143" i="163" s="1"/>
  <c r="D1206" i="163"/>
  <c r="D1107" i="163"/>
  <c r="D1091" i="163"/>
  <c r="BB1087" i="163" s="1"/>
  <c r="AZ1091" i="163" s="1"/>
  <c r="D1070" i="163"/>
  <c r="BB1066" i="163" s="1"/>
  <c r="AZ1070" i="163" s="1"/>
  <c r="D1188" i="163"/>
  <c r="BB1182" i="163" s="1"/>
  <c r="AZ1188" i="163" s="1"/>
  <c r="D1224" i="163"/>
  <c r="D1170" i="163"/>
  <c r="BB1164" i="163" s="1"/>
  <c r="AZ1170" i="163" s="1"/>
  <c r="D1077" i="163"/>
  <c r="BB1073" i="163" s="1"/>
  <c r="AZ1077" i="163" s="1"/>
  <c r="BA1189" i="163"/>
  <c r="B1191" i="163"/>
  <c r="B1192" i="163" s="1"/>
  <c r="B1193" i="163" s="1"/>
  <c r="B1194" i="163" s="1"/>
  <c r="B1195" i="163" s="1"/>
  <c r="B1196" i="163" s="1"/>
  <c r="B1189" i="163"/>
  <c r="B1197" i="163"/>
  <c r="BC897" i="163"/>
  <c r="BE897" i="163" s="1"/>
  <c r="BF897" i="163" s="1"/>
  <c r="BA1073" i="163"/>
  <c r="BA1249" i="163" s="1"/>
  <c r="BA1085" i="163"/>
  <c r="B1087" i="163"/>
  <c r="B1088" i="163" s="1"/>
  <c r="B1089" i="163" s="1"/>
  <c r="B1090" i="163" s="1"/>
  <c r="B1091" i="163"/>
  <c r="B1085" i="163"/>
  <c r="B1125" i="163"/>
  <c r="B1119" i="163"/>
  <c r="B1120" i="163" s="1"/>
  <c r="B1121" i="163" s="1"/>
  <c r="B1122" i="163" s="1"/>
  <c r="B1123" i="163" s="1"/>
  <c r="B1124" i="163" s="1"/>
  <c r="B1117" i="163"/>
  <c r="BA1117" i="163"/>
  <c r="BA1135" i="163"/>
  <c r="B1137" i="163"/>
  <c r="B1138" i="163" s="1"/>
  <c r="B1139" i="163" s="1"/>
  <c r="B1140" i="163" s="1"/>
  <c r="B1141" i="163" s="1"/>
  <c r="B1142" i="163" s="1"/>
  <c r="B1135" i="163"/>
  <c r="B1143" i="163"/>
  <c r="BG1173" i="163"/>
  <c r="BH1173" i="163" s="1"/>
  <c r="BE1173" i="163"/>
  <c r="BF1173" i="163" s="1"/>
  <c r="BC1110" i="163"/>
  <c r="BC1155" i="163"/>
  <c r="BC1066" i="163"/>
  <c r="BC1218" i="163"/>
  <c r="BC1182" i="163"/>
  <c r="BC1119" i="163"/>
  <c r="BC1094" i="163"/>
  <c r="D1130" i="163"/>
  <c r="AZ1129" i="163"/>
  <c r="A1131" i="163"/>
  <c r="A1132" i="163" s="1"/>
  <c r="A1133" i="163" s="1"/>
  <c r="A1134" i="163" s="1"/>
  <c r="A1129" i="163"/>
  <c r="A1130" i="163" s="1"/>
  <c r="A1153" i="163"/>
  <c r="A1144" i="163"/>
  <c r="A1145" i="163" s="1"/>
  <c r="A1146" i="163" s="1"/>
  <c r="A1136" i="163"/>
  <c r="A1137" i="163" s="1"/>
  <c r="BH222" i="163"/>
  <c r="BD682" i="163"/>
  <c r="BH682" i="163" s="1"/>
  <c r="BC398" i="163"/>
  <c r="BE573" i="163"/>
  <c r="BE574" i="163" s="1"/>
  <c r="BH397" i="163"/>
  <c r="BD406" i="163" s="1"/>
  <c r="BH505" i="163"/>
  <c r="BE398" i="163"/>
  <c r="BH398" i="163" s="1"/>
  <c r="BF574" i="163"/>
  <c r="BF681" i="163"/>
  <c r="BF683" i="163" s="1"/>
  <c r="BB507" i="163"/>
  <c r="D1024" i="163"/>
  <c r="AZ1023" i="163"/>
  <c r="D1003" i="163"/>
  <c r="BB997" i="163" s="1"/>
  <c r="AZ1003" i="163" s="1"/>
  <c r="D994" i="163"/>
  <c r="BB988" i="163" s="1"/>
  <c r="AZ994" i="163" s="1"/>
  <c r="D1012" i="163"/>
  <c r="BB1006" i="163" s="1"/>
  <c r="AZ1012" i="163" s="1"/>
  <c r="D915" i="163"/>
  <c r="BB911" i="163" s="1"/>
  <c r="AZ915" i="163" s="1"/>
  <c r="D1048" i="163"/>
  <c r="D958" i="163"/>
  <c r="BB952" i="163" s="1"/>
  <c r="AZ958" i="163" s="1"/>
  <c r="D976" i="163"/>
  <c r="BB970" i="163" s="1"/>
  <c r="AZ976" i="163" s="1"/>
  <c r="D940" i="163"/>
  <c r="BB934" i="163" s="1"/>
  <c r="AZ940" i="163" s="1"/>
  <c r="D901" i="163"/>
  <c r="BB897" i="163" s="1"/>
  <c r="AZ901" i="163" s="1"/>
  <c r="D1021" i="163"/>
  <c r="BB1015" i="163" s="1"/>
  <c r="AZ1021" i="163" s="1"/>
  <c r="D1039" i="163"/>
  <c r="D985" i="163"/>
  <c r="BB979" i="163" s="1"/>
  <c r="AZ985" i="163" s="1"/>
  <c r="D908" i="163"/>
  <c r="BB904" i="163" s="1"/>
  <c r="AZ908" i="163" s="1"/>
  <c r="D922" i="163"/>
  <c r="BB918" i="163" s="1"/>
  <c r="AZ922" i="163" s="1"/>
  <c r="D931" i="163"/>
  <c r="D1057" i="163"/>
  <c r="BB1051" i="163" s="1"/>
  <c r="AZ1057" i="163" s="1"/>
  <c r="D1030" i="163"/>
  <c r="D949" i="163"/>
  <c r="BB943" i="163" s="1"/>
  <c r="AZ949" i="163" s="1"/>
  <c r="D894" i="163"/>
  <c r="BB890" i="163" s="1"/>
  <c r="AZ894" i="163" s="1"/>
  <c r="D967" i="163"/>
  <c r="BB961" i="163" s="1"/>
  <c r="AZ967" i="163" s="1"/>
  <c r="D743" i="163"/>
  <c r="AZ742" i="163"/>
  <c r="BE997" i="163"/>
  <c r="BF997" i="163" s="1"/>
  <c r="BG997" i="163"/>
  <c r="BH997" i="163" s="1"/>
  <c r="BC1015" i="163"/>
  <c r="BD507" i="163"/>
  <c r="B923" i="163"/>
  <c r="B931" i="163"/>
  <c r="BA923" i="163"/>
  <c r="B925" i="163"/>
  <c r="B926" i="163" s="1"/>
  <c r="B927" i="163" s="1"/>
  <c r="B928" i="163" s="1"/>
  <c r="B929" i="163" s="1"/>
  <c r="B930" i="163" s="1"/>
  <c r="D674" i="163"/>
  <c r="AZ673" i="163"/>
  <c r="BF1034" i="163"/>
  <c r="BF1210" i="163" s="1"/>
  <c r="BF1386" i="163" s="1"/>
  <c r="BC749" i="163"/>
  <c r="B909" i="163"/>
  <c r="BA909" i="163"/>
  <c r="B911" i="163"/>
  <c r="B912" i="163" s="1"/>
  <c r="B913" i="163" s="1"/>
  <c r="B914" i="163" s="1"/>
  <c r="B915" i="163"/>
  <c r="B941" i="163"/>
  <c r="B949" i="163"/>
  <c r="B943" i="163"/>
  <c r="B944" i="163" s="1"/>
  <c r="B945" i="163" s="1"/>
  <c r="B946" i="163" s="1"/>
  <c r="B947" i="163" s="1"/>
  <c r="B948" i="163" s="1"/>
  <c r="BA941" i="163"/>
  <c r="B1048" i="163"/>
  <c r="BA1040" i="163"/>
  <c r="B1042" i="163"/>
  <c r="B1043" i="163" s="1"/>
  <c r="B1044" i="163" s="1"/>
  <c r="B1045" i="163" s="1"/>
  <c r="B1046" i="163" s="1"/>
  <c r="B1047" i="163" s="1"/>
  <c r="D1051" i="163"/>
  <c r="AZ1050" i="163"/>
  <c r="BD1015" i="163"/>
  <c r="BD1024" i="163"/>
  <c r="BB848" i="163"/>
  <c r="AZ854" i="163" s="1"/>
  <c r="BB866" i="163"/>
  <c r="AZ872" i="163" s="1"/>
  <c r="BE858" i="163"/>
  <c r="D1006" i="163"/>
  <c r="AZ1005" i="163"/>
  <c r="D918" i="163"/>
  <c r="AZ917" i="163"/>
  <c r="D911" i="163"/>
  <c r="AZ910" i="163"/>
  <c r="BE1024" i="163"/>
  <c r="BF1024" i="163" s="1"/>
  <c r="BG1024" i="163"/>
  <c r="BH1024" i="163" s="1"/>
  <c r="BD890" i="163"/>
  <c r="BG890" i="163"/>
  <c r="BH890" i="163" s="1"/>
  <c r="BE890" i="163"/>
  <c r="BF890" i="163" s="1"/>
  <c r="BG979" i="163"/>
  <c r="BH979" i="163" s="1"/>
  <c r="BE979" i="163"/>
  <c r="BF979" i="163" s="1"/>
  <c r="BA1022" i="163"/>
  <c r="B1030" i="163"/>
  <c r="B1022" i="163"/>
  <c r="B1024" i="163"/>
  <c r="B1025" i="163" s="1"/>
  <c r="B1026" i="163" s="1"/>
  <c r="B1027" i="163" s="1"/>
  <c r="B1028" i="163" s="1"/>
  <c r="B1029" i="163" s="1"/>
  <c r="BD749" i="163"/>
  <c r="B1039" i="163"/>
  <c r="B1031" i="163"/>
  <c r="B1033" i="163"/>
  <c r="B1034" i="163" s="1"/>
  <c r="B1035" i="163" s="1"/>
  <c r="B1036" i="163" s="1"/>
  <c r="B1037" i="163" s="1"/>
  <c r="B1038" i="163" s="1"/>
  <c r="BA1031" i="163"/>
  <c r="BC858" i="163"/>
  <c r="D867" i="163"/>
  <c r="AZ866" i="163"/>
  <c r="D858" i="163"/>
  <c r="AZ857" i="163"/>
  <c r="D751" i="163"/>
  <c r="AZ750" i="163"/>
  <c r="B1012" i="163"/>
  <c r="B1006" i="163"/>
  <c r="B1007" i="163" s="1"/>
  <c r="B1008" i="163" s="1"/>
  <c r="B1009" i="163" s="1"/>
  <c r="B1010" i="163" s="1"/>
  <c r="B1011" i="163" s="1"/>
  <c r="BA1004" i="163"/>
  <c r="B1004" i="163"/>
  <c r="D813" i="163"/>
  <c r="AZ812" i="163"/>
  <c r="D926" i="163"/>
  <c r="AZ925" i="163"/>
  <c r="D831" i="163"/>
  <c r="AZ830" i="163"/>
  <c r="B895" i="163"/>
  <c r="BA895" i="163"/>
  <c r="B897" i="163"/>
  <c r="B898" i="163" s="1"/>
  <c r="B899" i="163" s="1"/>
  <c r="B900" i="163" s="1"/>
  <c r="B901" i="163"/>
  <c r="D736" i="163"/>
  <c r="AZ735" i="163"/>
  <c r="BB749" i="163"/>
  <c r="BC961" i="163"/>
  <c r="BG943" i="163"/>
  <c r="BH943" i="163" s="1"/>
  <c r="BE943" i="163"/>
  <c r="BF943" i="163" s="1"/>
  <c r="BC1006" i="163"/>
  <c r="D1033" i="163"/>
  <c r="AZ1032" i="163"/>
  <c r="B1015" i="163"/>
  <c r="B1016" i="163" s="1"/>
  <c r="B1017" i="163" s="1"/>
  <c r="B1018" i="163" s="1"/>
  <c r="B1019" i="163" s="1"/>
  <c r="B1020" i="163" s="1"/>
  <c r="B1013" i="163"/>
  <c r="B1021" i="163"/>
  <c r="BA1013" i="163"/>
  <c r="BG858" i="163"/>
  <c r="BG859" i="163" s="1"/>
  <c r="BD1006" i="163"/>
  <c r="D715" i="163"/>
  <c r="AZ714" i="163"/>
  <c r="BC1032" i="163"/>
  <c r="BC924" i="163"/>
  <c r="B977" i="163"/>
  <c r="B979" i="163"/>
  <c r="B980" i="163" s="1"/>
  <c r="B981" i="163" s="1"/>
  <c r="B982" i="163" s="1"/>
  <c r="B983" i="163" s="1"/>
  <c r="B984" i="163" s="1"/>
  <c r="BA977" i="163"/>
  <c r="B985" i="163"/>
  <c r="D1042" i="163"/>
  <c r="AZ1041" i="163"/>
  <c r="BE383" i="163"/>
  <c r="BF383" i="163" s="1"/>
  <c r="BG383" i="163"/>
  <c r="BH383" i="163" s="1"/>
  <c r="BF857" i="163"/>
  <c r="BF859" i="163" s="1"/>
  <c r="BF750" i="163"/>
  <c r="B967" i="163"/>
  <c r="BA959" i="163"/>
  <c r="B959" i="163"/>
  <c r="B961" i="163"/>
  <c r="B962" i="163" s="1"/>
  <c r="B963" i="163" s="1"/>
  <c r="B964" i="163" s="1"/>
  <c r="B965" i="163" s="1"/>
  <c r="B966" i="163" s="1"/>
  <c r="BA911" i="163"/>
  <c r="BA1087" i="163" s="1"/>
  <c r="BD742" i="163"/>
  <c r="BC735" i="163"/>
  <c r="BC728" i="163"/>
  <c r="BE728" i="163" s="1"/>
  <c r="BF728" i="163" s="1"/>
  <c r="BA904" i="163"/>
  <c r="D988" i="163"/>
  <c r="AZ987" i="163"/>
  <c r="BE924" i="163"/>
  <c r="BE1032" i="163"/>
  <c r="B904" i="163"/>
  <c r="B905" i="163" s="1"/>
  <c r="B906" i="163" s="1"/>
  <c r="B907" i="163" s="1"/>
  <c r="BA902" i="163"/>
  <c r="B902" i="163"/>
  <c r="B908" i="163"/>
  <c r="BB924" i="163"/>
  <c r="BB1032" i="163"/>
  <c r="BB1034" i="163" s="1"/>
  <c r="BE1042" i="163"/>
  <c r="BF1042" i="163" s="1"/>
  <c r="BG1042" i="163"/>
  <c r="BH1042" i="163" s="1"/>
  <c r="BC970" i="163"/>
  <c r="AZ848" i="163"/>
  <c r="D849" i="163"/>
  <c r="BG924" i="163"/>
  <c r="BG1032" i="163"/>
  <c r="BF925" i="163"/>
  <c r="BF1101" i="163" s="1"/>
  <c r="BF1277" i="163" s="1"/>
  <c r="AZ889" i="163"/>
  <c r="D890" i="163"/>
  <c r="BA916" i="163"/>
  <c r="B922" i="163"/>
  <c r="B918" i="163"/>
  <c r="B919" i="163" s="1"/>
  <c r="B920" i="163" s="1"/>
  <c r="B921" i="163" s="1"/>
  <c r="B916" i="163"/>
  <c r="BD1032" i="163"/>
  <c r="BD924" i="163"/>
  <c r="BA950" i="163"/>
  <c r="B952" i="163"/>
  <c r="B953" i="163" s="1"/>
  <c r="B954" i="163" s="1"/>
  <c r="B955" i="163" s="1"/>
  <c r="B956" i="163" s="1"/>
  <c r="B957" i="163" s="1"/>
  <c r="B958" i="163"/>
  <c r="B950" i="163"/>
  <c r="B934" i="163"/>
  <c r="B935" i="163" s="1"/>
  <c r="B936" i="163" s="1"/>
  <c r="B937" i="163" s="1"/>
  <c r="B938" i="163" s="1"/>
  <c r="B939" i="163" s="1"/>
  <c r="B932" i="163"/>
  <c r="B940" i="163"/>
  <c r="BA932" i="163"/>
  <c r="D638" i="163"/>
  <c r="AZ637" i="163"/>
  <c r="D876" i="163"/>
  <c r="AZ875" i="163"/>
  <c r="AZ1014" i="163"/>
  <c r="D1015" i="163"/>
  <c r="D840" i="163"/>
  <c r="AZ839" i="163"/>
  <c r="D822" i="163"/>
  <c r="AZ821" i="163"/>
  <c r="D997" i="163"/>
  <c r="AZ996" i="163"/>
  <c r="D979" i="163"/>
  <c r="AZ978" i="163"/>
  <c r="D804" i="163"/>
  <c r="AZ803" i="163"/>
  <c r="AZ794" i="163"/>
  <c r="D795" i="163"/>
  <c r="D970" i="163"/>
  <c r="AZ969" i="163"/>
  <c r="D611" i="163"/>
  <c r="AZ610" i="163"/>
  <c r="D786" i="163"/>
  <c r="AZ785" i="163"/>
  <c r="D961" i="163"/>
  <c r="AZ960" i="163"/>
  <c r="AZ953" i="163"/>
  <c r="D954" i="163"/>
  <c r="AZ778" i="163"/>
  <c r="D779" i="163"/>
  <c r="D943" i="163"/>
  <c r="AZ942" i="163"/>
  <c r="D768" i="163"/>
  <c r="AZ767" i="163"/>
  <c r="D760" i="163"/>
  <c r="AZ759" i="163"/>
  <c r="AZ934" i="163"/>
  <c r="D935" i="163"/>
  <c r="AZ903" i="163"/>
  <c r="D904" i="163"/>
  <c r="D729" i="163"/>
  <c r="AZ728" i="163"/>
  <c r="D723" i="163"/>
  <c r="AZ722" i="163"/>
  <c r="D898" i="163"/>
  <c r="AZ897" i="163"/>
  <c r="A959" i="163"/>
  <c r="A950" i="163"/>
  <c r="A951" i="163" s="1"/>
  <c r="A952" i="163" s="1"/>
  <c r="BC839" i="163"/>
  <c r="BD866" i="163"/>
  <c r="BG821" i="163"/>
  <c r="BH821" i="163" s="1"/>
  <c r="BD839" i="163"/>
  <c r="BC830" i="163"/>
  <c r="BD848" i="163"/>
  <c r="BD830" i="163"/>
  <c r="BE803" i="163"/>
  <c r="BF803" i="163" s="1"/>
  <c r="BG803" i="163"/>
  <c r="BH803" i="163" s="1"/>
  <c r="BG758" i="163"/>
  <c r="BH758" i="163" s="1"/>
  <c r="BG618" i="163"/>
  <c r="BH618" i="163" s="1"/>
  <c r="BD803" i="163"/>
  <c r="BC794" i="163"/>
  <c r="BC785" i="163"/>
  <c r="BD794" i="163"/>
  <c r="BG545" i="163"/>
  <c r="BH545" i="163" s="1"/>
  <c r="BG714" i="163"/>
  <c r="BH714" i="163" s="1"/>
  <c r="BE714" i="163"/>
  <c r="BF714" i="163" s="1"/>
  <c r="BD714" i="163"/>
  <c r="BG767" i="163"/>
  <c r="BH767" i="163" s="1"/>
  <c r="BE767" i="163"/>
  <c r="BF767" i="163" s="1"/>
  <c r="BE552" i="163"/>
  <c r="BF552" i="163" s="1"/>
  <c r="A768" i="163"/>
  <c r="A769" i="163" s="1"/>
  <c r="A770" i="163"/>
  <c r="A771" i="163" s="1"/>
  <c r="A772" i="163" s="1"/>
  <c r="A773" i="163" s="1"/>
  <c r="A759" i="163"/>
  <c r="A760" i="163" s="1"/>
  <c r="A761" i="163"/>
  <c r="A762" i="163" s="1"/>
  <c r="A763" i="163" s="1"/>
  <c r="A764" i="163" s="1"/>
  <c r="BE582" i="163"/>
  <c r="BF582" i="163" s="1"/>
  <c r="BC681" i="163"/>
  <c r="BC683" i="163" s="1"/>
  <c r="BC574" i="163"/>
  <c r="BD681" i="163"/>
  <c r="BD574" i="163"/>
  <c r="D628" i="163"/>
  <c r="AZ627" i="163"/>
  <c r="BB690" i="163"/>
  <c r="AZ696" i="163" s="1"/>
  <c r="BB672" i="163"/>
  <c r="AZ678" i="163" s="1"/>
  <c r="D655" i="163"/>
  <c r="AZ654" i="163"/>
  <c r="AZ470" i="163"/>
  <c r="D471" i="163"/>
  <c r="D516" i="163"/>
  <c r="AZ515" i="163"/>
  <c r="D646" i="163"/>
  <c r="AZ645" i="163"/>
  <c r="D480" i="163"/>
  <c r="AZ479" i="163"/>
  <c r="D560" i="163"/>
  <c r="AZ559" i="163"/>
  <c r="D691" i="163"/>
  <c r="AZ690" i="163"/>
  <c r="BC663" i="163"/>
  <c r="BD663" i="163"/>
  <c r="BD690" i="163"/>
  <c r="D453" i="163"/>
  <c r="AZ452" i="163"/>
  <c r="BD566" i="163"/>
  <c r="BC559" i="163"/>
  <c r="D592" i="163"/>
  <c r="AZ591" i="163"/>
  <c r="D444" i="163"/>
  <c r="AZ443" i="163"/>
  <c r="D364" i="163"/>
  <c r="AZ363" i="163"/>
  <c r="D539" i="163"/>
  <c r="AZ538" i="163"/>
  <c r="D392" i="163"/>
  <c r="AZ391" i="163"/>
  <c r="D417" i="163"/>
  <c r="AZ416" i="163"/>
  <c r="D499" i="163"/>
  <c r="AZ498" i="163"/>
  <c r="D385" i="163"/>
  <c r="AZ384" i="163"/>
  <c r="D553" i="163"/>
  <c r="AZ552" i="163"/>
  <c r="BA699" i="163"/>
  <c r="BA875" i="163" s="1"/>
  <c r="BC523" i="163"/>
  <c r="BD523" i="163"/>
  <c r="BD469" i="163"/>
  <c r="BA636" i="163"/>
  <c r="BA812" i="163" s="1"/>
  <c r="BA988" i="163" s="1"/>
  <c r="BA1164" i="163" s="1"/>
  <c r="BD460" i="163"/>
  <c r="BC460" i="163"/>
  <c r="BH507" i="163"/>
  <c r="BB574" i="163"/>
  <c r="BB681" i="163"/>
  <c r="AZ579" i="163"/>
  <c r="D567" i="163"/>
  <c r="AZ566" i="163"/>
  <c r="D700" i="163"/>
  <c r="AZ699" i="163"/>
  <c r="D619" i="163"/>
  <c r="AZ618" i="163"/>
  <c r="D525" i="163"/>
  <c r="AZ524" i="163"/>
  <c r="D378" i="163"/>
  <c r="AZ377" i="163"/>
  <c r="AZ288" i="163"/>
  <c r="D289" i="163"/>
  <c r="AZ289" i="163" s="1"/>
  <c r="BD618" i="163"/>
  <c r="BD609" i="163"/>
  <c r="BC609" i="163"/>
  <c r="D342" i="163"/>
  <c r="AZ341" i="163"/>
  <c r="BE538" i="163"/>
  <c r="BF538" i="163" s="1"/>
  <c r="BD538" i="163"/>
  <c r="BG538" i="163"/>
  <c r="BH538" i="163" s="1"/>
  <c r="D576" i="163"/>
  <c r="AZ575" i="163"/>
  <c r="A576" i="163"/>
  <c r="A577" i="163" s="1"/>
  <c r="A578" i="163" s="1"/>
  <c r="A579" i="163" s="1"/>
  <c r="A574" i="163"/>
  <c r="A575" i="163" s="1"/>
  <c r="D587" i="163"/>
  <c r="AZ587" i="163" s="1"/>
  <c r="AZ586" i="163"/>
  <c r="A589" i="163"/>
  <c r="A590" i="163" s="1"/>
  <c r="A591" i="163" s="1"/>
  <c r="A581" i="163"/>
  <c r="A582" i="163" s="1"/>
  <c r="BG645" i="163"/>
  <c r="BH645" i="163" s="1"/>
  <c r="BE645" i="163"/>
  <c r="BF645" i="163" s="1"/>
  <c r="BE591" i="163"/>
  <c r="BF591" i="163" s="1"/>
  <c r="BG591" i="163"/>
  <c r="BH591" i="163" s="1"/>
  <c r="A400" i="163"/>
  <c r="A401" i="163" s="1"/>
  <c r="A402" i="163" s="1"/>
  <c r="A403" i="163" s="1"/>
  <c r="A398" i="163"/>
  <c r="A399" i="163" s="1"/>
  <c r="D438" i="163"/>
  <c r="AZ438" i="163" s="1"/>
  <c r="AZ437" i="163"/>
  <c r="A405" i="163"/>
  <c r="A406" i="163" s="1"/>
  <c r="A413" i="163"/>
  <c r="A414" i="163" s="1"/>
  <c r="A415" i="163" s="1"/>
  <c r="BG406" i="163"/>
  <c r="BH406" i="163" s="1"/>
  <c r="BE406" i="163"/>
  <c r="BF406" i="163" s="1"/>
  <c r="D244" i="163"/>
  <c r="AZ244" i="163" s="1"/>
  <c r="AZ243" i="163"/>
  <c r="D235" i="163"/>
  <c r="AZ235" i="163" s="1"/>
  <c r="AZ234" i="163"/>
  <c r="D261" i="163"/>
  <c r="AZ260" i="163"/>
  <c r="D325" i="163"/>
  <c r="AZ325" i="163" s="1"/>
  <c r="AZ324" i="163"/>
  <c r="A224" i="163"/>
  <c r="A225" i="163" s="1"/>
  <c r="A226" i="163" s="1"/>
  <c r="A227" i="163" s="1"/>
  <c r="A222" i="163"/>
  <c r="A223" i="163" s="1"/>
  <c r="BD347" i="163"/>
  <c r="BC347" i="163"/>
  <c r="D176" i="163"/>
  <c r="AZ176" i="163" s="1"/>
  <c r="AZ175" i="163"/>
  <c r="A237" i="163"/>
  <c r="A238" i="163" s="1"/>
  <c r="A239" i="163" s="1"/>
  <c r="A229" i="163"/>
  <c r="A230" i="163" s="1"/>
  <c r="D352" i="163"/>
  <c r="AZ352" i="163" s="1"/>
  <c r="AZ351" i="163"/>
  <c r="BE171" i="163"/>
  <c r="BF171" i="163" s="1"/>
  <c r="BG171" i="163"/>
  <c r="BH171" i="163" s="1"/>
  <c r="D271" i="163"/>
  <c r="AZ271" i="163" s="1"/>
  <c r="AZ270" i="163"/>
  <c r="A64" i="163"/>
  <c r="A65" i="163" s="1"/>
  <c r="A66" i="163"/>
  <c r="A67" i="163" s="1"/>
  <c r="A68" i="163" s="1"/>
  <c r="A69" i="163" s="1"/>
  <c r="D307" i="163"/>
  <c r="AZ307" i="163" s="1"/>
  <c r="AZ306" i="163"/>
  <c r="AZ1277" i="163" l="1"/>
  <c r="BE681" i="163"/>
  <c r="BE683" i="163" s="1"/>
  <c r="BE749" i="163"/>
  <c r="BG1376" i="163"/>
  <c r="BH1376" i="163" s="1"/>
  <c r="BE1394" i="163"/>
  <c r="BF1394" i="163" s="1"/>
  <c r="D1858" i="163"/>
  <c r="AZ1682" i="163"/>
  <c r="D1683" i="163"/>
  <c r="B1894" i="163"/>
  <c r="B1725" i="163"/>
  <c r="BA1717" i="163"/>
  <c r="B1719" i="163"/>
  <c r="B1720" i="163" s="1"/>
  <c r="B1721" i="163" s="1"/>
  <c r="B1722" i="163" s="1"/>
  <c r="B1723" i="163" s="1"/>
  <c r="B1724" i="163" s="1"/>
  <c r="B1717" i="163"/>
  <c r="D1930" i="163"/>
  <c r="D1755" i="163"/>
  <c r="AZ1754" i="163"/>
  <c r="B1912" i="163"/>
  <c r="BA1735" i="163"/>
  <c r="B1735" i="163"/>
  <c r="B1737" i="163"/>
  <c r="B1738" i="163" s="1"/>
  <c r="B1739" i="163" s="1"/>
  <c r="B1740" i="163" s="1"/>
  <c r="B1741" i="163" s="1"/>
  <c r="B1742" i="163" s="1"/>
  <c r="B1743" i="163"/>
  <c r="D1849" i="163"/>
  <c r="D1674" i="163"/>
  <c r="AZ1673" i="163"/>
  <c r="D1783" i="163"/>
  <c r="AZ1607" i="163"/>
  <c r="D1608" i="163"/>
  <c r="B1840" i="163"/>
  <c r="B1663" i="163"/>
  <c r="B1671" i="163"/>
  <c r="BA1663" i="163"/>
  <c r="B1665" i="163"/>
  <c r="B1666" i="163" s="1"/>
  <c r="B1667" i="163" s="1"/>
  <c r="B1668" i="163" s="1"/>
  <c r="B1669" i="163" s="1"/>
  <c r="B1670" i="163" s="1"/>
  <c r="D1814" i="163"/>
  <c r="AZ1813" i="163"/>
  <c r="B1875" i="163"/>
  <c r="B1883" i="163"/>
  <c r="BA1875" i="163"/>
  <c r="B1877" i="163"/>
  <c r="B1878" i="163" s="1"/>
  <c r="B1879" i="163" s="1"/>
  <c r="B1880" i="163" s="1"/>
  <c r="B1881" i="163" s="1"/>
  <c r="B1882" i="163" s="1"/>
  <c r="D1777" i="163"/>
  <c r="AZ1776" i="163"/>
  <c r="AZ1832" i="163"/>
  <c r="D1833" i="163"/>
  <c r="BB1628" i="163"/>
  <c r="BB1736" i="163"/>
  <c r="BA1766" i="163"/>
  <c r="D1790" i="163"/>
  <c r="D1615" i="163"/>
  <c r="AZ1614" i="163"/>
  <c r="D1876" i="163"/>
  <c r="D1701" i="163"/>
  <c r="AZ1700" i="163"/>
  <c r="BA1708" i="163"/>
  <c r="B1716" i="163"/>
  <c r="B1885" i="163"/>
  <c r="B1708" i="163"/>
  <c r="B1710" i="163"/>
  <c r="B1711" i="163" s="1"/>
  <c r="B1712" i="163" s="1"/>
  <c r="B1713" i="163" s="1"/>
  <c r="B1714" i="163" s="1"/>
  <c r="B1715" i="163" s="1"/>
  <c r="B1858" i="163"/>
  <c r="B1683" i="163"/>
  <c r="B1684" i="163" s="1"/>
  <c r="B1685" i="163" s="1"/>
  <c r="B1686" i="163" s="1"/>
  <c r="B1687" i="163" s="1"/>
  <c r="B1688" i="163" s="1"/>
  <c r="B1681" i="163"/>
  <c r="BA1681" i="163"/>
  <c r="B1689" i="163"/>
  <c r="D1840" i="163"/>
  <c r="D1665" i="163"/>
  <c r="AZ1664" i="163"/>
  <c r="B1903" i="163"/>
  <c r="B1726" i="163"/>
  <c r="B1728" i="163"/>
  <c r="B1729" i="163" s="1"/>
  <c r="B1730" i="163" s="1"/>
  <c r="B1731" i="163" s="1"/>
  <c r="B1732" i="163" s="1"/>
  <c r="B1733" i="163" s="1"/>
  <c r="BA1726" i="163"/>
  <c r="B1734" i="163"/>
  <c r="BE1628" i="163"/>
  <c r="BD1766" i="163"/>
  <c r="BE1736" i="163"/>
  <c r="B1822" i="163"/>
  <c r="B1647" i="163"/>
  <c r="B1648" i="163" s="1"/>
  <c r="B1649" i="163" s="1"/>
  <c r="B1650" i="163" s="1"/>
  <c r="B1651" i="163" s="1"/>
  <c r="B1652" i="163" s="1"/>
  <c r="B1645" i="163"/>
  <c r="B1653" i="163"/>
  <c r="BA1645" i="163"/>
  <c r="B1790" i="163"/>
  <c r="B1619" i="163"/>
  <c r="B1615" i="163"/>
  <c r="B1616" i="163" s="1"/>
  <c r="B1617" i="163" s="1"/>
  <c r="B1618" i="163" s="1"/>
  <c r="BA1613" i="163"/>
  <c r="B1613" i="163"/>
  <c r="BF1804" i="163"/>
  <c r="BF1912" i="163"/>
  <c r="D1658" i="163"/>
  <c r="AZ1657" i="163"/>
  <c r="BA1823" i="163"/>
  <c r="BA1886" i="163"/>
  <c r="BD1886" i="163" s="1"/>
  <c r="BD1728" i="163"/>
  <c r="BC1638" i="163"/>
  <c r="BC1594" i="163"/>
  <c r="BC1647" i="163"/>
  <c r="BC1746" i="163"/>
  <c r="BC1710" i="163"/>
  <c r="C1765" i="163"/>
  <c r="BC1683" i="163"/>
  <c r="BC1701" i="163"/>
  <c r="BC1728" i="163"/>
  <c r="BC1622" i="163"/>
  <c r="B1644" i="163"/>
  <c r="B1638" i="163"/>
  <c r="B1639" i="163" s="1"/>
  <c r="B1640" i="163" s="1"/>
  <c r="B1641" i="163" s="1"/>
  <c r="B1642" i="163" s="1"/>
  <c r="B1643" i="163" s="1"/>
  <c r="B1636" i="163"/>
  <c r="B1813" i="163"/>
  <c r="BA1636" i="163"/>
  <c r="D1594" i="163"/>
  <c r="D1769" i="163"/>
  <c r="AZ1593" i="163"/>
  <c r="BF1766" i="163"/>
  <c r="BG1628" i="163"/>
  <c r="BG1736" i="163"/>
  <c r="D1885" i="163"/>
  <c r="D1710" i="163"/>
  <c r="AZ1709" i="163"/>
  <c r="D1894" i="163"/>
  <c r="D1719" i="163"/>
  <c r="AZ1718" i="163"/>
  <c r="D1612" i="163"/>
  <c r="BB1608" i="163" s="1"/>
  <c r="AZ1612" i="163" s="1"/>
  <c r="D1626" i="163"/>
  <c r="BB1622" i="163" s="1"/>
  <c r="AZ1626" i="163" s="1"/>
  <c r="D1598" i="163"/>
  <c r="BB1594" i="163" s="1"/>
  <c r="AZ1598" i="163" s="1"/>
  <c r="D1619" i="163"/>
  <c r="BB1615" i="163" s="1"/>
  <c r="AZ1619" i="163" s="1"/>
  <c r="D1734" i="163"/>
  <c r="D1653" i="163"/>
  <c r="BB1647" i="163" s="1"/>
  <c r="AZ1653" i="163" s="1"/>
  <c r="D1707" i="163"/>
  <c r="BB1701" i="163" s="1"/>
  <c r="AZ1707" i="163" s="1"/>
  <c r="D1605" i="163"/>
  <c r="BB1601" i="163" s="1"/>
  <c r="AZ1605" i="163" s="1"/>
  <c r="D1761" i="163"/>
  <c r="BB1755" i="163" s="1"/>
  <c r="AZ1761" i="163" s="1"/>
  <c r="C1766" i="163"/>
  <c r="D1716" i="163"/>
  <c r="BB1710" i="163" s="1"/>
  <c r="AZ1716" i="163" s="1"/>
  <c r="D1671" i="163"/>
  <c r="BB1665" i="163" s="1"/>
  <c r="AZ1671" i="163" s="1"/>
  <c r="D1698" i="163"/>
  <c r="BB1692" i="163" s="1"/>
  <c r="AZ1698" i="163" s="1"/>
  <c r="D1752" i="163"/>
  <c r="D1725" i="163"/>
  <c r="BB1719" i="163" s="1"/>
  <c r="AZ1725" i="163" s="1"/>
  <c r="D1680" i="163"/>
  <c r="BB1674" i="163" s="1"/>
  <c r="AZ1680" i="163" s="1"/>
  <c r="D1635" i="163"/>
  <c r="D1662" i="163"/>
  <c r="BB1656" i="163" s="1"/>
  <c r="AZ1662" i="163" s="1"/>
  <c r="D1743" i="163"/>
  <c r="D1689" i="163"/>
  <c r="BB1683" i="163" s="1"/>
  <c r="AZ1689" i="163" s="1"/>
  <c r="D1644" i="163"/>
  <c r="BB1638" i="163" s="1"/>
  <c r="AZ1644" i="163" s="1"/>
  <c r="B1776" i="163"/>
  <c r="B1599" i="163"/>
  <c r="B1601" i="163"/>
  <c r="B1602" i="163" s="1"/>
  <c r="B1603" i="163" s="1"/>
  <c r="B1604" i="163" s="1"/>
  <c r="BA1599" i="163"/>
  <c r="B1605" i="163"/>
  <c r="D1647" i="163"/>
  <c r="D1822" i="163"/>
  <c r="AZ1646" i="163"/>
  <c r="B1931" i="163"/>
  <c r="B1932" i="163" s="1"/>
  <c r="B1933" i="163" s="1"/>
  <c r="B1934" i="163" s="1"/>
  <c r="B1935" i="163" s="1"/>
  <c r="B1936" i="163" s="1"/>
  <c r="BA1929" i="163"/>
  <c r="B1937" i="163"/>
  <c r="B1929" i="163"/>
  <c r="D1639" i="163"/>
  <c r="AZ1638" i="163"/>
  <c r="B1856" i="163"/>
  <c r="B1850" i="163"/>
  <c r="B1851" i="163" s="1"/>
  <c r="B1852" i="163" s="1"/>
  <c r="B1853" i="163" s="1"/>
  <c r="B1854" i="163" s="1"/>
  <c r="B1855" i="163" s="1"/>
  <c r="BA1848" i="163"/>
  <c r="B1848" i="163"/>
  <c r="BA1866" i="163"/>
  <c r="B1874" i="163"/>
  <c r="B1866" i="163"/>
  <c r="B1868" i="163"/>
  <c r="B1869" i="163" s="1"/>
  <c r="B1870" i="163" s="1"/>
  <c r="B1871" i="163" s="1"/>
  <c r="B1872" i="163" s="1"/>
  <c r="B1873" i="163" s="1"/>
  <c r="D1630" i="163"/>
  <c r="AZ1629" i="163"/>
  <c r="BD1710" i="163"/>
  <c r="BD1647" i="163"/>
  <c r="BA1814" i="163"/>
  <c r="B1831" i="163"/>
  <c r="BA1654" i="163"/>
  <c r="B1654" i="163"/>
  <c r="B1662" i="163"/>
  <c r="B1656" i="163"/>
  <c r="B1657" i="163" s="1"/>
  <c r="B1658" i="163" s="1"/>
  <c r="B1659" i="163" s="1"/>
  <c r="B1660" i="163" s="1"/>
  <c r="B1661" i="163" s="1"/>
  <c r="BD1736" i="163"/>
  <c r="BD1628" i="163"/>
  <c r="BC1766" i="163"/>
  <c r="B1797" i="163"/>
  <c r="B1620" i="163"/>
  <c r="B1622" i="163"/>
  <c r="B1623" i="163" s="1"/>
  <c r="B1624" i="163" s="1"/>
  <c r="B1625" i="163" s="1"/>
  <c r="BA1620" i="163"/>
  <c r="B1626" i="163"/>
  <c r="B1804" i="163"/>
  <c r="B1629" i="163"/>
  <c r="B1630" i="163" s="1"/>
  <c r="B1631" i="163" s="1"/>
  <c r="B1632" i="163" s="1"/>
  <c r="B1633" i="163" s="1"/>
  <c r="B1634" i="163" s="1"/>
  <c r="B1627" i="163"/>
  <c r="B1635" i="163"/>
  <c r="BA1627" i="163"/>
  <c r="D1797" i="163"/>
  <c r="D1622" i="163"/>
  <c r="AZ1621" i="163"/>
  <c r="D1921" i="163"/>
  <c r="AZ1745" i="163"/>
  <c r="D1746" i="163"/>
  <c r="BC1736" i="163"/>
  <c r="BB1766" i="163"/>
  <c r="BC1628" i="163"/>
  <c r="BA1744" i="163"/>
  <c r="B1752" i="163"/>
  <c r="B1921" i="163"/>
  <c r="B1746" i="163"/>
  <c r="B1747" i="163" s="1"/>
  <c r="B1748" i="163" s="1"/>
  <c r="B1749" i="163" s="1"/>
  <c r="B1750" i="163" s="1"/>
  <c r="B1751" i="163" s="1"/>
  <c r="B1783" i="163"/>
  <c r="B1608" i="163"/>
  <c r="B1609" i="163" s="1"/>
  <c r="B1610" i="163" s="1"/>
  <c r="B1611" i="163" s="1"/>
  <c r="BA1606" i="163"/>
  <c r="B1606" i="163"/>
  <c r="B1612" i="163"/>
  <c r="D1805" i="163"/>
  <c r="AZ1804" i="163"/>
  <c r="D1602" i="163"/>
  <c r="AZ1601" i="163"/>
  <c r="A1745" i="163"/>
  <c r="A1746" i="163" s="1"/>
  <c r="A1753" i="163"/>
  <c r="A1754" i="163" s="1"/>
  <c r="A1755" i="163" s="1"/>
  <c r="A1740" i="163"/>
  <c r="A1741" i="163" s="1"/>
  <c r="A1742" i="163" s="1"/>
  <c r="A1743" i="163" s="1"/>
  <c r="A1738" i="163"/>
  <c r="A1739" i="163" s="1"/>
  <c r="A1722" i="163"/>
  <c r="A1723" i="163" s="1"/>
  <c r="A1724" i="163" s="1"/>
  <c r="A1725" i="163" s="1"/>
  <c r="A1720" i="163"/>
  <c r="A1721" i="163" s="1"/>
  <c r="A1934" i="163"/>
  <c r="A1935" i="163" s="1"/>
  <c r="A1936" i="163" s="1"/>
  <c r="A1937" i="163" s="1"/>
  <c r="A1932" i="163"/>
  <c r="A1933" i="163" s="1"/>
  <c r="A1713" i="163"/>
  <c r="A1714" i="163" s="1"/>
  <c r="A1715" i="163" s="1"/>
  <c r="A1716" i="163" s="1"/>
  <c r="A1711" i="163"/>
  <c r="A1712" i="163" s="1"/>
  <c r="A1925" i="163"/>
  <c r="A1926" i="163" s="1"/>
  <c r="A1927" i="163" s="1"/>
  <c r="A1928" i="163" s="1"/>
  <c r="A1923" i="163"/>
  <c r="A1924" i="163" s="1"/>
  <c r="BG1349" i="163"/>
  <c r="BH1349" i="163" s="1"/>
  <c r="BE1242" i="163"/>
  <c r="BF1242" i="163" s="1"/>
  <c r="BG1242" i="163"/>
  <c r="BH1242" i="163" s="1"/>
  <c r="BF1385" i="163"/>
  <c r="BF1387" i="163" s="1"/>
  <c r="BF1278" i="163"/>
  <c r="D1271" i="163"/>
  <c r="AZ1270" i="163"/>
  <c r="D1368" i="163"/>
  <c r="AZ1367" i="163"/>
  <c r="D1350" i="163"/>
  <c r="AZ1349" i="163"/>
  <c r="D1507" i="163"/>
  <c r="AZ1506" i="163"/>
  <c r="D1395" i="163"/>
  <c r="AZ1394" i="163"/>
  <c r="BA1541" i="163"/>
  <c r="B1541" i="163"/>
  <c r="B1543" i="163"/>
  <c r="B1544" i="163" s="1"/>
  <c r="B1545" i="163" s="1"/>
  <c r="B1546" i="163" s="1"/>
  <c r="B1547" i="163" s="1"/>
  <c r="B1548" i="163" s="1"/>
  <c r="B1549" i="163"/>
  <c r="D1314" i="163"/>
  <c r="AZ1313" i="163"/>
  <c r="B1576" i="163"/>
  <c r="B1570" i="163"/>
  <c r="B1571" i="163" s="1"/>
  <c r="B1572" i="163" s="1"/>
  <c r="B1573" i="163" s="1"/>
  <c r="B1574" i="163" s="1"/>
  <c r="B1575" i="163" s="1"/>
  <c r="BA1568" i="163"/>
  <c r="B1436" i="163"/>
  <c r="B1430" i="163"/>
  <c r="BA1430" i="163"/>
  <c r="B1432" i="163"/>
  <c r="B1433" i="163" s="1"/>
  <c r="B1434" i="163" s="1"/>
  <c r="B1435" i="163" s="1"/>
  <c r="D1257" i="163"/>
  <c r="AZ1256" i="163"/>
  <c r="BD1094" i="163"/>
  <c r="BA1263" i="163"/>
  <c r="D1375" i="163"/>
  <c r="D1339" i="163"/>
  <c r="D1454" i="163"/>
  <c r="AZ1453" i="163"/>
  <c r="D1426" i="163"/>
  <c r="AZ1425" i="163"/>
  <c r="BE1270" i="163"/>
  <c r="BF1270" i="163" s="1"/>
  <c r="BG1270" i="163"/>
  <c r="BH1270" i="163" s="1"/>
  <c r="BB1560" i="163"/>
  <c r="BB1452" i="163"/>
  <c r="D1439" i="163"/>
  <c r="AZ1438" i="163"/>
  <c r="D1525" i="163"/>
  <c r="AZ1524" i="163"/>
  <c r="B1534" i="163"/>
  <c r="B1535" i="163" s="1"/>
  <c r="B1536" i="163" s="1"/>
  <c r="B1537" i="163" s="1"/>
  <c r="B1538" i="163" s="1"/>
  <c r="B1539" i="163" s="1"/>
  <c r="BA1532" i="163"/>
  <c r="B1532" i="163"/>
  <c r="B1540" i="163"/>
  <c r="B1513" i="163"/>
  <c r="B1507" i="163"/>
  <c r="B1508" i="163" s="1"/>
  <c r="B1509" i="163" s="1"/>
  <c r="B1510" i="163" s="1"/>
  <c r="B1511" i="163" s="1"/>
  <c r="B1512" i="163" s="1"/>
  <c r="BA1505" i="163"/>
  <c r="B1505" i="163"/>
  <c r="BB1394" i="163"/>
  <c r="AZ1400" i="163" s="1"/>
  <c r="BB1376" i="163"/>
  <c r="AZ1382" i="163" s="1"/>
  <c r="D1489" i="163"/>
  <c r="AZ1488" i="163"/>
  <c r="D1307" i="163"/>
  <c r="AZ1306" i="163"/>
  <c r="D1579" i="163"/>
  <c r="AZ1578" i="163"/>
  <c r="B1567" i="163"/>
  <c r="B1561" i="163"/>
  <c r="B1562" i="163" s="1"/>
  <c r="B1563" i="163" s="1"/>
  <c r="B1564" i="163" s="1"/>
  <c r="B1565" i="163" s="1"/>
  <c r="B1566" i="163" s="1"/>
  <c r="BA1559" i="163"/>
  <c r="B1559" i="163"/>
  <c r="D1498" i="163"/>
  <c r="AZ1497" i="163"/>
  <c r="D1432" i="163"/>
  <c r="AZ1431" i="163"/>
  <c r="D1251" i="163"/>
  <c r="AZ1250" i="163"/>
  <c r="B1489" i="163"/>
  <c r="B1490" i="163" s="1"/>
  <c r="B1491" i="163" s="1"/>
  <c r="B1492" i="163" s="1"/>
  <c r="B1493" i="163" s="1"/>
  <c r="B1494" i="163" s="1"/>
  <c r="B1495" i="163"/>
  <c r="B1487" i="163"/>
  <c r="BA1487" i="163"/>
  <c r="D1385" i="163"/>
  <c r="AZ1384" i="163"/>
  <c r="BC1446" i="163"/>
  <c r="BC1570" i="163"/>
  <c r="BC1552" i="163"/>
  <c r="B1468" i="163"/>
  <c r="BA1460" i="163"/>
  <c r="B1460" i="163"/>
  <c r="B1462" i="163"/>
  <c r="B1463" i="163" s="1"/>
  <c r="B1464" i="163" s="1"/>
  <c r="B1465" i="163" s="1"/>
  <c r="B1466" i="163" s="1"/>
  <c r="B1467" i="163" s="1"/>
  <c r="D1418" i="163"/>
  <c r="AZ1417" i="163"/>
  <c r="BG1560" i="163"/>
  <c r="BG1452" i="163"/>
  <c r="D1534" i="163"/>
  <c r="AZ1533" i="163"/>
  <c r="D1543" i="163"/>
  <c r="AZ1542" i="163"/>
  <c r="D1332" i="163"/>
  <c r="AZ1331" i="163"/>
  <c r="D1279" i="163"/>
  <c r="AZ1278" i="163"/>
  <c r="D1585" i="163"/>
  <c r="BB1579" i="163" s="1"/>
  <c r="AZ1585" i="163" s="1"/>
  <c r="D1558" i="163"/>
  <c r="D1495" i="163"/>
  <c r="BB1489" i="163" s="1"/>
  <c r="AZ1495" i="163" s="1"/>
  <c r="D1459" i="163"/>
  <c r="D1531" i="163"/>
  <c r="BB1525" i="163" s="1"/>
  <c r="AZ1531" i="163" s="1"/>
  <c r="D1522" i="163"/>
  <c r="BB1516" i="163" s="1"/>
  <c r="AZ1522" i="163" s="1"/>
  <c r="D1513" i="163"/>
  <c r="BB1507" i="163" s="1"/>
  <c r="AZ1513" i="163" s="1"/>
  <c r="D1486" i="163"/>
  <c r="BB1480" i="163" s="1"/>
  <c r="AZ1486" i="163" s="1"/>
  <c r="D1422" i="163"/>
  <c r="BB1418" i="163" s="1"/>
  <c r="AZ1422" i="163" s="1"/>
  <c r="D1450" i="163"/>
  <c r="BB1446" i="163" s="1"/>
  <c r="AZ1450" i="163" s="1"/>
  <c r="D1443" i="163"/>
  <c r="BB1439" i="163" s="1"/>
  <c r="AZ1443" i="163" s="1"/>
  <c r="D1549" i="163"/>
  <c r="BB1543" i="163" s="1"/>
  <c r="AZ1549" i="163" s="1"/>
  <c r="D1576" i="163"/>
  <c r="D1504" i="163"/>
  <c r="BB1498" i="163" s="1"/>
  <c r="AZ1504" i="163" s="1"/>
  <c r="D1477" i="163"/>
  <c r="BB1471" i="163" s="1"/>
  <c r="AZ1477" i="163" s="1"/>
  <c r="D1429" i="163"/>
  <c r="BB1425" i="163" s="1"/>
  <c r="AZ1429" i="163" s="1"/>
  <c r="D1436" i="163"/>
  <c r="BB1432" i="163" s="1"/>
  <c r="AZ1436" i="163" s="1"/>
  <c r="D1540" i="163"/>
  <c r="BB1534" i="163" s="1"/>
  <c r="AZ1540" i="163" s="1"/>
  <c r="D1468" i="163"/>
  <c r="BB1462" i="163" s="1"/>
  <c r="AZ1468" i="163" s="1"/>
  <c r="D1567" i="163"/>
  <c r="BC1525" i="163"/>
  <c r="B1558" i="163"/>
  <c r="BA1550" i="163"/>
  <c r="B1552" i="163"/>
  <c r="B1553" i="163" s="1"/>
  <c r="B1554" i="163" s="1"/>
  <c r="B1555" i="163" s="1"/>
  <c r="B1556" i="163" s="1"/>
  <c r="B1557" i="163" s="1"/>
  <c r="B1550" i="163"/>
  <c r="BE1560" i="163"/>
  <c r="BE1452" i="163"/>
  <c r="D1323" i="163"/>
  <c r="AZ1322" i="163"/>
  <c r="BF1453" i="163"/>
  <c r="BF1629" i="163" s="1"/>
  <c r="B1477" i="163"/>
  <c r="B1471" i="163"/>
  <c r="B1472" i="163" s="1"/>
  <c r="B1473" i="163" s="1"/>
  <c r="B1474" i="163" s="1"/>
  <c r="B1475" i="163" s="1"/>
  <c r="B1476" i="163" s="1"/>
  <c r="BA1469" i="163"/>
  <c r="B1469" i="163"/>
  <c r="B1437" i="163"/>
  <c r="B1439" i="163"/>
  <c r="B1440" i="163" s="1"/>
  <c r="B1441" i="163" s="1"/>
  <c r="B1442" i="163" s="1"/>
  <c r="B1443" i="163"/>
  <c r="BA1437" i="163"/>
  <c r="D1296" i="163"/>
  <c r="AZ1295" i="163"/>
  <c r="D1482" i="163"/>
  <c r="AZ1481" i="163"/>
  <c r="B1480" i="163"/>
  <c r="B1481" i="163" s="1"/>
  <c r="B1482" i="163" s="1"/>
  <c r="B1483" i="163" s="1"/>
  <c r="B1484" i="163" s="1"/>
  <c r="B1485" i="163" s="1"/>
  <c r="BA1478" i="163"/>
  <c r="B1478" i="163"/>
  <c r="B1486" i="163"/>
  <c r="BD1560" i="163"/>
  <c r="BD1452" i="163"/>
  <c r="BA1444" i="163"/>
  <c r="B1446" i="163"/>
  <c r="B1447" i="163" s="1"/>
  <c r="B1448" i="163" s="1"/>
  <c r="B1449" i="163" s="1"/>
  <c r="B1450" i="163"/>
  <c r="B1444" i="163"/>
  <c r="D1243" i="163"/>
  <c r="AZ1242" i="163"/>
  <c r="B1459" i="163"/>
  <c r="B1453" i="163"/>
  <c r="B1454" i="163" s="1"/>
  <c r="B1455" i="163" s="1"/>
  <c r="B1456" i="163" s="1"/>
  <c r="B1457" i="163" s="1"/>
  <c r="B1458" i="163" s="1"/>
  <c r="B1451" i="163"/>
  <c r="BA1451" i="163"/>
  <c r="D1264" i="163"/>
  <c r="AZ1263" i="163"/>
  <c r="D1446" i="163"/>
  <c r="AZ1445" i="163"/>
  <c r="D1359" i="163"/>
  <c r="AZ1358" i="163"/>
  <c r="D1570" i="163"/>
  <c r="AZ1569" i="163"/>
  <c r="BC1560" i="163"/>
  <c r="BC1452" i="163"/>
  <c r="D1463" i="163"/>
  <c r="AZ1462" i="163"/>
  <c r="D1404" i="163"/>
  <c r="AZ1403" i="163"/>
  <c r="D1288" i="163"/>
  <c r="AZ1287" i="163"/>
  <c r="BF1562" i="163"/>
  <c r="BF1738" i="163" s="1"/>
  <c r="B1429" i="163"/>
  <c r="B1425" i="163"/>
  <c r="B1426" i="163" s="1"/>
  <c r="B1427" i="163" s="1"/>
  <c r="B1428" i="163" s="1"/>
  <c r="B1423" i="163"/>
  <c r="BA1423" i="163"/>
  <c r="D1471" i="163"/>
  <c r="AZ1470" i="163"/>
  <c r="BD1218" i="163"/>
  <c r="BA1367" i="163"/>
  <c r="BD1155" i="163"/>
  <c r="BA1322" i="163"/>
  <c r="BC1137" i="163"/>
  <c r="BE1137" i="163" s="1"/>
  <c r="BF1137" i="163" s="1"/>
  <c r="BA1313" i="163"/>
  <c r="BG1507" i="163"/>
  <c r="BH1507" i="163" s="1"/>
  <c r="BE1507" i="163"/>
  <c r="BF1507" i="163" s="1"/>
  <c r="BC1164" i="163"/>
  <c r="BG1164" i="163" s="1"/>
  <c r="BH1164" i="163" s="1"/>
  <c r="BA1340" i="163"/>
  <c r="BG1358" i="163"/>
  <c r="BH1358" i="163" s="1"/>
  <c r="BE1358" i="163"/>
  <c r="BF1358" i="163" s="1"/>
  <c r="BC1534" i="163"/>
  <c r="BD1552" i="163"/>
  <c r="BD1534" i="163"/>
  <c r="BC1249" i="163"/>
  <c r="BA1425" i="163"/>
  <c r="BA1601" i="163" s="1"/>
  <c r="BC1601" i="163" s="1"/>
  <c r="BD1249" i="163"/>
  <c r="BE1418" i="163"/>
  <c r="BF1418" i="163" s="1"/>
  <c r="BD1418" i="163"/>
  <c r="BG1418" i="163"/>
  <c r="BH1418" i="163" s="1"/>
  <c r="BG1295" i="163"/>
  <c r="BH1295" i="163" s="1"/>
  <c r="BE1295" i="163"/>
  <c r="BF1295" i="163" s="1"/>
  <c r="BC1471" i="163"/>
  <c r="BD1471" i="163"/>
  <c r="BC1462" i="163"/>
  <c r="BE1286" i="163"/>
  <c r="BF1286" i="163" s="1"/>
  <c r="BG1286" i="163"/>
  <c r="BH1286" i="163" s="1"/>
  <c r="A1564" i="163"/>
  <c r="A1565" i="163" s="1"/>
  <c r="A1566" i="163" s="1"/>
  <c r="A1567" i="163" s="1"/>
  <c r="A1562" i="163"/>
  <c r="A1563" i="163" s="1"/>
  <c r="A1544" i="163"/>
  <c r="A1545" i="163" s="1"/>
  <c r="A1546" i="163"/>
  <c r="A1547" i="163" s="1"/>
  <c r="A1548" i="163" s="1"/>
  <c r="A1549" i="163" s="1"/>
  <c r="A1577" i="163"/>
  <c r="A1578" i="163" s="1"/>
  <c r="A1579" i="163" s="1"/>
  <c r="A1569" i="163"/>
  <c r="A1570" i="163" s="1"/>
  <c r="A1537" i="163"/>
  <c r="A1538" i="163" s="1"/>
  <c r="A1539" i="163" s="1"/>
  <c r="A1540" i="163" s="1"/>
  <c r="A1535" i="163"/>
  <c r="A1536" i="163" s="1"/>
  <c r="A1377" i="163"/>
  <c r="A1378" i="163" s="1"/>
  <c r="A1379" i="163"/>
  <c r="A1380" i="163" s="1"/>
  <c r="A1381" i="163" s="1"/>
  <c r="A1382" i="163" s="1"/>
  <c r="A1392" i="163"/>
  <c r="A1384" i="163"/>
  <c r="A1385" i="163" s="1"/>
  <c r="A1357" i="163"/>
  <c r="A1358" i="163" s="1"/>
  <c r="A1365" i="163"/>
  <c r="A1366" i="163" s="1"/>
  <c r="A1367" i="163" s="1"/>
  <c r="A1352" i="163"/>
  <c r="A1353" i="163" s="1"/>
  <c r="A1354" i="163" s="1"/>
  <c r="A1355" i="163" s="1"/>
  <c r="A1350" i="163"/>
  <c r="A1351" i="163" s="1"/>
  <c r="BG897" i="163"/>
  <c r="BH897" i="163" s="1"/>
  <c r="BE934" i="163"/>
  <c r="BF934" i="163" s="1"/>
  <c r="B1065" i="163"/>
  <c r="B1241" i="163" s="1"/>
  <c r="B888" i="163"/>
  <c r="BA888" i="163"/>
  <c r="B894" i="163"/>
  <c r="B890" i="163"/>
  <c r="B891" i="163" s="1"/>
  <c r="B892" i="163" s="1"/>
  <c r="B893" i="163" s="1"/>
  <c r="BC1146" i="163"/>
  <c r="BE1146" i="163" s="1"/>
  <c r="BF1146" i="163" s="1"/>
  <c r="BC1191" i="163"/>
  <c r="BG1191" i="163" s="1"/>
  <c r="BH1191" i="163" s="1"/>
  <c r="BD1191" i="163"/>
  <c r="BC1034" i="163"/>
  <c r="BC1210" i="163" s="1"/>
  <c r="BC1386" i="163" s="1"/>
  <c r="BD683" i="163"/>
  <c r="BD858" i="163"/>
  <c r="BH858" i="163" s="1"/>
  <c r="BE1034" i="163"/>
  <c r="BE1210" i="163" s="1"/>
  <c r="BE1386" i="163" s="1"/>
  <c r="BF1209" i="163"/>
  <c r="BF1211" i="163" s="1"/>
  <c r="BF1102" i="163"/>
  <c r="BG1182" i="163"/>
  <c r="BH1182" i="163" s="1"/>
  <c r="BE1182" i="163"/>
  <c r="BF1182" i="163" s="1"/>
  <c r="BE1066" i="163"/>
  <c r="BF1066" i="163" s="1"/>
  <c r="BD1066" i="163"/>
  <c r="BG1066" i="163"/>
  <c r="BH1066" i="163" s="1"/>
  <c r="BG1110" i="163"/>
  <c r="BH1110" i="163" s="1"/>
  <c r="BE1110" i="163"/>
  <c r="BF1110" i="163" s="1"/>
  <c r="BC1073" i="163"/>
  <c r="BD1073" i="163"/>
  <c r="BE600" i="163"/>
  <c r="BF600" i="163" s="1"/>
  <c r="BG600" i="163"/>
  <c r="BH600" i="163" s="1"/>
  <c r="BD1173" i="163"/>
  <c r="BD1164" i="163"/>
  <c r="BC1087" i="163"/>
  <c r="BG1155" i="163"/>
  <c r="BH1155" i="163" s="1"/>
  <c r="BE1155" i="163"/>
  <c r="BF1155" i="163" s="1"/>
  <c r="BB1200" i="163"/>
  <c r="AZ1206" i="163" s="1"/>
  <c r="BB1218" i="163"/>
  <c r="AZ1224" i="163" s="1"/>
  <c r="D1192" i="163"/>
  <c r="AZ1191" i="163"/>
  <c r="D1156" i="163"/>
  <c r="AZ1155" i="163"/>
  <c r="BA952" i="163"/>
  <c r="BD776" i="163"/>
  <c r="BC776" i="163"/>
  <c r="AZ1102" i="163"/>
  <c r="D1103" i="163"/>
  <c r="D1147" i="163"/>
  <c r="AZ1146" i="163"/>
  <c r="D1088" i="163"/>
  <c r="AZ1087" i="163"/>
  <c r="D1183" i="163"/>
  <c r="AZ1182" i="163"/>
  <c r="D1120" i="163"/>
  <c r="AZ1119" i="163"/>
  <c r="D1131" i="163"/>
  <c r="AZ1130" i="163"/>
  <c r="BG1119" i="163"/>
  <c r="BH1119" i="163" s="1"/>
  <c r="BE1119" i="163"/>
  <c r="BF1119" i="163" s="1"/>
  <c r="D1164" i="163"/>
  <c r="AZ1163" i="163"/>
  <c r="D1075" i="163"/>
  <c r="AZ1074" i="163"/>
  <c r="D1228" i="163"/>
  <c r="AZ1227" i="163"/>
  <c r="BC904" i="163"/>
  <c r="BG904" i="163" s="1"/>
  <c r="BH904" i="163" s="1"/>
  <c r="BA1080" i="163"/>
  <c r="BG1094" i="163"/>
  <c r="BH1094" i="163" s="1"/>
  <c r="BE1094" i="163"/>
  <c r="BF1094" i="163" s="1"/>
  <c r="BE1218" i="163"/>
  <c r="BF1218" i="163" s="1"/>
  <c r="BG1218" i="163"/>
  <c r="BH1218" i="163" s="1"/>
  <c r="D1200" i="163"/>
  <c r="AZ1199" i="163"/>
  <c r="D1174" i="163"/>
  <c r="AZ1173" i="163"/>
  <c r="D1112" i="163"/>
  <c r="AZ1111" i="163"/>
  <c r="D1067" i="163"/>
  <c r="AZ1066" i="163"/>
  <c r="D1138" i="163"/>
  <c r="AZ1137" i="163"/>
  <c r="D1219" i="163"/>
  <c r="AZ1218" i="163"/>
  <c r="BB1210" i="163"/>
  <c r="BB1386" i="163" s="1"/>
  <c r="D1081" i="163"/>
  <c r="AZ1080" i="163"/>
  <c r="BD1146" i="163"/>
  <c r="D1095" i="163"/>
  <c r="AZ1094" i="163"/>
  <c r="D1210" i="163"/>
  <c r="AZ1209" i="163"/>
  <c r="A1154" i="163"/>
  <c r="A1155" i="163" s="1"/>
  <c r="A1162" i="163"/>
  <c r="A1147" i="163"/>
  <c r="A1148" i="163" s="1"/>
  <c r="A1149" i="163"/>
  <c r="A1150" i="163" s="1"/>
  <c r="A1151" i="163" s="1"/>
  <c r="A1152" i="163" s="1"/>
  <c r="A1138" i="163"/>
  <c r="A1139" i="163" s="1"/>
  <c r="A1140" i="163"/>
  <c r="A1141" i="163" s="1"/>
  <c r="A1142" i="163" s="1"/>
  <c r="A1143" i="163" s="1"/>
  <c r="BH573" i="163"/>
  <c r="BD582" i="163" s="1"/>
  <c r="BD925" i="163"/>
  <c r="BD1033" i="163" s="1"/>
  <c r="BC925" i="163"/>
  <c r="BC1033" i="163" s="1"/>
  <c r="BE925" i="163"/>
  <c r="BE1033" i="163" s="1"/>
  <c r="BG728" i="163"/>
  <c r="BH728" i="163" s="1"/>
  <c r="BD997" i="163"/>
  <c r="BD988" i="163"/>
  <c r="BC988" i="163"/>
  <c r="BA1051" i="163"/>
  <c r="BA1227" i="163" s="1"/>
  <c r="BA1403" i="163" s="1"/>
  <c r="BA1579" i="163" s="1"/>
  <c r="BA1755" i="163" s="1"/>
  <c r="BD875" i="163"/>
  <c r="BC875" i="163"/>
  <c r="AZ876" i="163"/>
  <c r="D877" i="163"/>
  <c r="BG1034" i="163"/>
  <c r="BG1035" i="163" s="1"/>
  <c r="BE970" i="163"/>
  <c r="BF970" i="163" s="1"/>
  <c r="BG970" i="163"/>
  <c r="BH970" i="163" s="1"/>
  <c r="BD918" i="163"/>
  <c r="BC911" i="163"/>
  <c r="BE1006" i="163"/>
  <c r="BF1006" i="163" s="1"/>
  <c r="BG1006" i="163"/>
  <c r="BH1006" i="163" s="1"/>
  <c r="BB857" i="163"/>
  <c r="AZ755" i="163"/>
  <c r="BB750" i="163"/>
  <c r="BH749" i="163"/>
  <c r="D832" i="163"/>
  <c r="AZ831" i="163"/>
  <c r="D919" i="163"/>
  <c r="AZ918" i="163"/>
  <c r="BG1015" i="163"/>
  <c r="BH1015" i="163" s="1"/>
  <c r="BE1015" i="163"/>
  <c r="BF1015" i="163" s="1"/>
  <c r="D891" i="163"/>
  <c r="AZ890" i="163"/>
  <c r="BE857" i="163"/>
  <c r="BE859" i="163" s="1"/>
  <c r="BE750" i="163"/>
  <c r="D814" i="163"/>
  <c r="AZ813" i="163"/>
  <c r="D859" i="163"/>
  <c r="AZ858" i="163"/>
  <c r="BD750" i="163"/>
  <c r="BD857" i="163"/>
  <c r="D1052" i="163"/>
  <c r="AZ1051" i="163"/>
  <c r="BC857" i="163"/>
  <c r="BC859" i="163" s="1"/>
  <c r="BC750" i="163"/>
  <c r="D744" i="163"/>
  <c r="AZ743" i="163"/>
  <c r="BB1042" i="163"/>
  <c r="AZ1048" i="163" s="1"/>
  <c r="BB1024" i="163"/>
  <c r="AZ1030" i="163" s="1"/>
  <c r="BD728" i="163"/>
  <c r="D639" i="163"/>
  <c r="AZ638" i="163"/>
  <c r="D850" i="163"/>
  <c r="AZ849" i="163"/>
  <c r="BB925" i="163"/>
  <c r="BB1101" i="163" s="1"/>
  <c r="BB1277" i="163" s="1"/>
  <c r="BG735" i="163"/>
  <c r="BH735" i="163" s="1"/>
  <c r="BE735" i="163"/>
  <c r="BF735" i="163" s="1"/>
  <c r="BD735" i="163"/>
  <c r="D1043" i="163"/>
  <c r="AZ1042" i="163"/>
  <c r="D737" i="163"/>
  <c r="AZ736" i="163"/>
  <c r="D912" i="163"/>
  <c r="AZ911" i="163"/>
  <c r="D1007" i="163"/>
  <c r="AZ1006" i="163"/>
  <c r="D675" i="163"/>
  <c r="AZ674" i="163"/>
  <c r="BF1033" i="163"/>
  <c r="BF1035" i="163" s="1"/>
  <c r="BF926" i="163"/>
  <c r="D989" i="163"/>
  <c r="AZ988" i="163"/>
  <c r="D716" i="163"/>
  <c r="AZ715" i="163"/>
  <c r="AZ1033" i="163"/>
  <c r="D1034" i="163"/>
  <c r="BE961" i="163"/>
  <c r="BF961" i="163" s="1"/>
  <c r="BG961" i="163"/>
  <c r="BH961" i="163" s="1"/>
  <c r="AZ926" i="163"/>
  <c r="D927" i="163"/>
  <c r="AZ751" i="163"/>
  <c r="D752" i="163"/>
  <c r="D868" i="163"/>
  <c r="AZ867" i="163"/>
  <c r="AZ1024" i="163"/>
  <c r="D1025" i="163"/>
  <c r="AZ840" i="163"/>
  <c r="D841" i="163"/>
  <c r="D1016" i="163"/>
  <c r="AZ1015" i="163"/>
  <c r="D998" i="163"/>
  <c r="AZ997" i="163"/>
  <c r="D823" i="163"/>
  <c r="AZ822" i="163"/>
  <c r="AZ804" i="163"/>
  <c r="D805" i="163"/>
  <c r="AZ979" i="163"/>
  <c r="D980" i="163"/>
  <c r="D971" i="163"/>
  <c r="AZ970" i="163"/>
  <c r="AZ795" i="163"/>
  <c r="D796" i="163"/>
  <c r="D787" i="163"/>
  <c r="AZ786" i="163"/>
  <c r="D962" i="163"/>
  <c r="AZ961" i="163"/>
  <c r="D612" i="163"/>
  <c r="AZ611" i="163"/>
  <c r="D780" i="163"/>
  <c r="AZ779" i="163"/>
  <c r="D955" i="163"/>
  <c r="AZ954" i="163"/>
  <c r="D769" i="163"/>
  <c r="AZ768" i="163"/>
  <c r="D944" i="163"/>
  <c r="AZ943" i="163"/>
  <c r="D936" i="163"/>
  <c r="AZ935" i="163"/>
  <c r="D761" i="163"/>
  <c r="AZ760" i="163"/>
  <c r="AZ729" i="163"/>
  <c r="D730" i="163"/>
  <c r="D905" i="163"/>
  <c r="AZ904" i="163"/>
  <c r="D899" i="163"/>
  <c r="AZ898" i="163"/>
  <c r="AZ723" i="163"/>
  <c r="D724" i="163"/>
  <c r="AZ724" i="163" s="1"/>
  <c r="A953" i="163"/>
  <c r="A954" i="163" s="1"/>
  <c r="A955" i="163"/>
  <c r="A956" i="163" s="1"/>
  <c r="A957" i="163" s="1"/>
  <c r="A958" i="163" s="1"/>
  <c r="A968" i="163"/>
  <c r="A969" i="163" s="1"/>
  <c r="A970" i="163" s="1"/>
  <c r="A960" i="163"/>
  <c r="A961" i="163" s="1"/>
  <c r="A977" i="163"/>
  <c r="BE839" i="163"/>
  <c r="BF839" i="163" s="1"/>
  <c r="BG839" i="163"/>
  <c r="BH839" i="163" s="1"/>
  <c r="BG830" i="163"/>
  <c r="BH830" i="163" s="1"/>
  <c r="BE830" i="163"/>
  <c r="BF830" i="163" s="1"/>
  <c r="BC812" i="163"/>
  <c r="BD821" i="163"/>
  <c r="BD812" i="163"/>
  <c r="BG794" i="163"/>
  <c r="BH794" i="163" s="1"/>
  <c r="BE794" i="163"/>
  <c r="BF794" i="163" s="1"/>
  <c r="BG785" i="163"/>
  <c r="BH785" i="163" s="1"/>
  <c r="BE785" i="163"/>
  <c r="BF785" i="163" s="1"/>
  <c r="A783" i="163"/>
  <c r="A774" i="163"/>
  <c r="A775" i="163" s="1"/>
  <c r="A776" i="163" s="1"/>
  <c r="D500" i="163"/>
  <c r="AZ499" i="163"/>
  <c r="D393" i="163"/>
  <c r="AZ393" i="163" s="1"/>
  <c r="AZ392" i="163"/>
  <c r="D593" i="163"/>
  <c r="AZ592" i="163"/>
  <c r="D379" i="163"/>
  <c r="AZ379" i="163" s="1"/>
  <c r="AZ378" i="163"/>
  <c r="D568" i="163"/>
  <c r="AZ567" i="163"/>
  <c r="BE523" i="163"/>
  <c r="BF523" i="163" s="1"/>
  <c r="BG523" i="163"/>
  <c r="BH523" i="163" s="1"/>
  <c r="BE559" i="163"/>
  <c r="BF559" i="163" s="1"/>
  <c r="BD559" i="163"/>
  <c r="BG559" i="163"/>
  <c r="BH559" i="163" s="1"/>
  <c r="D481" i="163"/>
  <c r="AZ480" i="163"/>
  <c r="AZ342" i="163"/>
  <c r="D343" i="163"/>
  <c r="AZ343" i="163" s="1"/>
  <c r="BC636" i="163"/>
  <c r="BD636" i="163"/>
  <c r="BD645" i="163"/>
  <c r="BC699" i="163"/>
  <c r="BD699" i="163"/>
  <c r="D386" i="163"/>
  <c r="AZ386" i="163" s="1"/>
  <c r="AZ385" i="163"/>
  <c r="D418" i="163"/>
  <c r="AZ417" i="163"/>
  <c r="D540" i="163"/>
  <c r="AZ539" i="163"/>
  <c r="D365" i="163"/>
  <c r="AZ365" i="163" s="1"/>
  <c r="AZ364" i="163"/>
  <c r="D445" i="163"/>
  <c r="AZ444" i="163"/>
  <c r="D517" i="163"/>
  <c r="AZ516" i="163"/>
  <c r="D656" i="163"/>
  <c r="AZ655" i="163"/>
  <c r="D629" i="163"/>
  <c r="AZ628" i="163"/>
  <c r="BH574" i="163"/>
  <c r="BH681" i="163"/>
  <c r="BB683" i="163"/>
  <c r="BH683" i="163" s="1"/>
  <c r="AZ687" i="163"/>
  <c r="BG460" i="163"/>
  <c r="BH460" i="163" s="1"/>
  <c r="BE460" i="163"/>
  <c r="BF460" i="163" s="1"/>
  <c r="AZ553" i="163"/>
  <c r="D554" i="163"/>
  <c r="D454" i="163"/>
  <c r="AZ453" i="163"/>
  <c r="D620" i="163"/>
  <c r="AZ619" i="163"/>
  <c r="D692" i="163"/>
  <c r="AZ691" i="163"/>
  <c r="BE609" i="163"/>
  <c r="BF609" i="163" s="1"/>
  <c r="BG609" i="163"/>
  <c r="BH609" i="163" s="1"/>
  <c r="AZ525" i="163"/>
  <c r="D526" i="163"/>
  <c r="D701" i="163"/>
  <c r="AZ700" i="163"/>
  <c r="BG663" i="163"/>
  <c r="BH663" i="163" s="1"/>
  <c r="BE663" i="163"/>
  <c r="BF663" i="163" s="1"/>
  <c r="D561" i="163"/>
  <c r="AZ560" i="163"/>
  <c r="D647" i="163"/>
  <c r="AZ646" i="163"/>
  <c r="D472" i="163"/>
  <c r="AZ471" i="163"/>
  <c r="A583" i="163"/>
  <c r="A584" i="163" s="1"/>
  <c r="A585" i="163"/>
  <c r="A586" i="163" s="1"/>
  <c r="A587" i="163" s="1"/>
  <c r="A588" i="163" s="1"/>
  <c r="A592" i="163"/>
  <c r="A593" i="163" s="1"/>
  <c r="A594" i="163"/>
  <c r="A595" i="163" s="1"/>
  <c r="A596" i="163" s="1"/>
  <c r="A597" i="163" s="1"/>
  <c r="D577" i="163"/>
  <c r="AZ576" i="163"/>
  <c r="A418" i="163"/>
  <c r="A419" i="163" s="1"/>
  <c r="A420" i="163" s="1"/>
  <c r="A421" i="163" s="1"/>
  <c r="A416" i="163"/>
  <c r="A417" i="163" s="1"/>
  <c r="A409" i="163"/>
  <c r="A410" i="163" s="1"/>
  <c r="A411" i="163" s="1"/>
  <c r="A412" i="163" s="1"/>
  <c r="A407" i="163"/>
  <c r="A408" i="163" s="1"/>
  <c r="A79" i="163"/>
  <c r="A70" i="163"/>
  <c r="A71" i="163" s="1"/>
  <c r="A72" i="163" s="1"/>
  <c r="A231" i="163"/>
  <c r="A232" i="163" s="1"/>
  <c r="A233" i="163"/>
  <c r="A234" i="163" s="1"/>
  <c r="A235" i="163" s="1"/>
  <c r="A236" i="163" s="1"/>
  <c r="BG347" i="163"/>
  <c r="BH347" i="163" s="1"/>
  <c r="BE347" i="163"/>
  <c r="BF347" i="163" s="1"/>
  <c r="A242" i="163"/>
  <c r="A243" i="163" s="1"/>
  <c r="A244" i="163" s="1"/>
  <c r="A245" i="163" s="1"/>
  <c r="A240" i="163"/>
  <c r="A241" i="163" s="1"/>
  <c r="D262" i="163"/>
  <c r="AZ262" i="163" s="1"/>
  <c r="AZ261" i="163"/>
  <c r="BD1823" i="163" l="1"/>
  <c r="BE1601" i="163"/>
  <c r="BF1601" i="163" s="1"/>
  <c r="BG1601" i="163"/>
  <c r="BH1601" i="163" s="1"/>
  <c r="BF1737" i="163"/>
  <c r="BF1739" i="163" s="1"/>
  <c r="BF1630" i="163"/>
  <c r="D1806" i="163"/>
  <c r="AZ1805" i="163"/>
  <c r="B1798" i="163"/>
  <c r="B1799" i="163" s="1"/>
  <c r="B1800" i="163" s="1"/>
  <c r="B1801" i="163" s="1"/>
  <c r="BA1796" i="163"/>
  <c r="B1796" i="163"/>
  <c r="B1802" i="163"/>
  <c r="B1830" i="163"/>
  <c r="B1832" i="163"/>
  <c r="B1833" i="163" s="1"/>
  <c r="B1834" i="163" s="1"/>
  <c r="B1835" i="163" s="1"/>
  <c r="B1836" i="163" s="1"/>
  <c r="B1837" i="163" s="1"/>
  <c r="BA1830" i="163"/>
  <c r="B1838" i="163"/>
  <c r="D1648" i="163"/>
  <c r="AZ1647" i="163"/>
  <c r="D1720" i="163"/>
  <c r="AZ1719" i="163"/>
  <c r="D1886" i="163"/>
  <c r="AZ1885" i="163"/>
  <c r="B1820" i="163"/>
  <c r="B1812" i="163"/>
  <c r="B1814" i="163"/>
  <c r="B1815" i="163" s="1"/>
  <c r="B1816" i="163" s="1"/>
  <c r="B1817" i="163" s="1"/>
  <c r="B1818" i="163" s="1"/>
  <c r="B1819" i="163" s="1"/>
  <c r="BA1812" i="163"/>
  <c r="BE1622" i="163"/>
  <c r="BF1622" i="163" s="1"/>
  <c r="BG1622" i="163"/>
  <c r="BH1622" i="163" s="1"/>
  <c r="BE1683" i="163"/>
  <c r="BF1683" i="163" s="1"/>
  <c r="BG1683" i="163"/>
  <c r="BH1683" i="163" s="1"/>
  <c r="BE1638" i="163"/>
  <c r="BF1638" i="163" s="1"/>
  <c r="BG1638" i="163"/>
  <c r="BH1638" i="163" s="1"/>
  <c r="BF1914" i="163"/>
  <c r="D1815" i="163"/>
  <c r="AZ1814" i="163"/>
  <c r="D1784" i="163"/>
  <c r="AZ1783" i="163"/>
  <c r="B1913" i="163"/>
  <c r="B1914" i="163" s="1"/>
  <c r="B1915" i="163" s="1"/>
  <c r="B1916" i="163" s="1"/>
  <c r="B1917" i="163" s="1"/>
  <c r="B1918" i="163" s="1"/>
  <c r="B1911" i="163"/>
  <c r="BA1911" i="163"/>
  <c r="B1919" i="163"/>
  <c r="B1893" i="163"/>
  <c r="BA1893" i="163"/>
  <c r="B1895" i="163"/>
  <c r="B1896" i="163" s="1"/>
  <c r="B1897" i="163" s="1"/>
  <c r="B1898" i="163" s="1"/>
  <c r="B1899" i="163" s="1"/>
  <c r="B1900" i="163" s="1"/>
  <c r="B1901" i="163"/>
  <c r="D1603" i="163"/>
  <c r="AZ1602" i="163"/>
  <c r="B1782" i="163"/>
  <c r="B1788" i="163"/>
  <c r="B1784" i="163"/>
  <c r="B1785" i="163" s="1"/>
  <c r="B1786" i="163" s="1"/>
  <c r="B1787" i="163" s="1"/>
  <c r="BA1782" i="163"/>
  <c r="D1747" i="163"/>
  <c r="AZ1746" i="163"/>
  <c r="D1623" i="163"/>
  <c r="AZ1622" i="163"/>
  <c r="BD1912" i="163"/>
  <c r="BD1804" i="163"/>
  <c r="D1640" i="163"/>
  <c r="AZ1639" i="163"/>
  <c r="B1775" i="163"/>
  <c r="B1777" i="163"/>
  <c r="B1778" i="163" s="1"/>
  <c r="B1779" i="163" s="1"/>
  <c r="B1780" i="163" s="1"/>
  <c r="B1781" i="163"/>
  <c r="BA1775" i="163"/>
  <c r="D1937" i="163"/>
  <c r="BB1931" i="163" s="1"/>
  <c r="AZ1937" i="163" s="1"/>
  <c r="D1910" i="163"/>
  <c r="D1856" i="163"/>
  <c r="BB1850" i="163" s="1"/>
  <c r="AZ1856" i="163" s="1"/>
  <c r="D1820" i="163"/>
  <c r="BB1814" i="163" s="1"/>
  <c r="AZ1820" i="163" s="1"/>
  <c r="D1811" i="163"/>
  <c r="D1883" i="163"/>
  <c r="BB1877" i="163" s="1"/>
  <c r="AZ1883" i="163" s="1"/>
  <c r="D1901" i="163"/>
  <c r="BB1895" i="163" s="1"/>
  <c r="AZ1901" i="163" s="1"/>
  <c r="D1838" i="163"/>
  <c r="BB1832" i="163" s="1"/>
  <c r="AZ1838" i="163" s="1"/>
  <c r="D1802" i="163"/>
  <c r="BB1798" i="163" s="1"/>
  <c r="AZ1802" i="163" s="1"/>
  <c r="D1781" i="163"/>
  <c r="BB1777" i="163" s="1"/>
  <c r="AZ1781" i="163" s="1"/>
  <c r="D1874" i="163"/>
  <c r="BB1868" i="163" s="1"/>
  <c r="AZ1874" i="163" s="1"/>
  <c r="D1865" i="163"/>
  <c r="BB1859" i="163" s="1"/>
  <c r="AZ1865" i="163" s="1"/>
  <c r="D1829" i="163"/>
  <c r="BB1823" i="163" s="1"/>
  <c r="AZ1829" i="163" s="1"/>
  <c r="D1774" i="163"/>
  <c r="BB1770" i="163" s="1"/>
  <c r="AZ1774" i="163" s="1"/>
  <c r="D1788" i="163"/>
  <c r="BB1784" i="163" s="1"/>
  <c r="AZ1788" i="163" s="1"/>
  <c r="D1892" i="163"/>
  <c r="BB1886" i="163" s="1"/>
  <c r="AZ1892" i="163" s="1"/>
  <c r="D1919" i="163"/>
  <c r="D1928" i="163"/>
  <c r="D1795" i="163"/>
  <c r="BB1791" i="163" s="1"/>
  <c r="AZ1795" i="163" s="1"/>
  <c r="D1847" i="163"/>
  <c r="BB1841" i="163" s="1"/>
  <c r="AZ1847" i="163" s="1"/>
  <c r="D1895" i="163"/>
  <c r="AZ1894" i="163"/>
  <c r="D1770" i="163"/>
  <c r="AZ1769" i="163"/>
  <c r="BE1728" i="163"/>
  <c r="BF1728" i="163" s="1"/>
  <c r="BG1728" i="163"/>
  <c r="BH1728" i="163" s="1"/>
  <c r="BG1746" i="163"/>
  <c r="BH1746" i="163" s="1"/>
  <c r="BE1746" i="163"/>
  <c r="BF1746" i="163" s="1"/>
  <c r="BF1805" i="163"/>
  <c r="BE1912" i="163"/>
  <c r="BE1804" i="163"/>
  <c r="D1666" i="163"/>
  <c r="AZ1665" i="163"/>
  <c r="D1616" i="163"/>
  <c r="AZ1615" i="163"/>
  <c r="D1778" i="163"/>
  <c r="AZ1777" i="163"/>
  <c r="B1841" i="163"/>
  <c r="B1842" i="163" s="1"/>
  <c r="B1843" i="163" s="1"/>
  <c r="B1844" i="163" s="1"/>
  <c r="B1845" i="163" s="1"/>
  <c r="B1846" i="163" s="1"/>
  <c r="B1847" i="163"/>
  <c r="B1839" i="163"/>
  <c r="BA1839" i="163"/>
  <c r="D1684" i="163"/>
  <c r="AZ1683" i="163"/>
  <c r="D1798" i="163"/>
  <c r="AZ1797" i="163"/>
  <c r="BB1746" i="163"/>
  <c r="AZ1752" i="163" s="1"/>
  <c r="BB1728" i="163"/>
  <c r="AZ1734" i="163" s="1"/>
  <c r="D1595" i="163"/>
  <c r="AZ1594" i="163"/>
  <c r="BC1798" i="163"/>
  <c r="BC1922" i="163"/>
  <c r="BC1814" i="163"/>
  <c r="BC1823" i="163"/>
  <c r="BC1770" i="163"/>
  <c r="BC1886" i="163"/>
  <c r="BC1877" i="163"/>
  <c r="BC1859" i="163"/>
  <c r="BC1904" i="163"/>
  <c r="BE1647" i="163"/>
  <c r="BF1647" i="163" s="1"/>
  <c r="BG1647" i="163"/>
  <c r="BH1647" i="163" s="1"/>
  <c r="B1795" i="163"/>
  <c r="B1791" i="163"/>
  <c r="B1792" i="163" s="1"/>
  <c r="B1793" i="163" s="1"/>
  <c r="B1794" i="163" s="1"/>
  <c r="BA1789" i="163"/>
  <c r="B1789" i="163"/>
  <c r="D1841" i="163"/>
  <c r="AZ1840" i="163"/>
  <c r="B1884" i="163"/>
  <c r="B1886" i="163"/>
  <c r="B1887" i="163" s="1"/>
  <c r="B1888" i="163" s="1"/>
  <c r="B1889" i="163" s="1"/>
  <c r="B1890" i="163" s="1"/>
  <c r="B1891" i="163" s="1"/>
  <c r="BA1884" i="163"/>
  <c r="B1892" i="163"/>
  <c r="D1702" i="163"/>
  <c r="AZ1701" i="163"/>
  <c r="AZ1790" i="163"/>
  <c r="D1791" i="163"/>
  <c r="AZ1833" i="163"/>
  <c r="D1834" i="163"/>
  <c r="D1609" i="163"/>
  <c r="AZ1608" i="163"/>
  <c r="D1675" i="163"/>
  <c r="AZ1674" i="163"/>
  <c r="D1756" i="163"/>
  <c r="AZ1755" i="163"/>
  <c r="BC1755" i="163"/>
  <c r="BA1931" i="163"/>
  <c r="BD1755" i="163"/>
  <c r="BA1777" i="163"/>
  <c r="BD1777" i="163" s="1"/>
  <c r="BD1601" i="163"/>
  <c r="BA1920" i="163"/>
  <c r="B1928" i="163"/>
  <c r="B1922" i="163"/>
  <c r="B1923" i="163" s="1"/>
  <c r="B1924" i="163" s="1"/>
  <c r="B1925" i="163" s="1"/>
  <c r="B1926" i="163" s="1"/>
  <c r="B1927" i="163" s="1"/>
  <c r="BC1912" i="163"/>
  <c r="BC1804" i="163"/>
  <c r="AZ1921" i="163"/>
  <c r="D1922" i="163"/>
  <c r="BA1803" i="163"/>
  <c r="B1805" i="163"/>
  <c r="B1806" i="163" s="1"/>
  <c r="B1807" i="163" s="1"/>
  <c r="B1808" i="163" s="1"/>
  <c r="B1809" i="163" s="1"/>
  <c r="B1810" i="163" s="1"/>
  <c r="B1803" i="163"/>
  <c r="B1811" i="163"/>
  <c r="AZ1630" i="163"/>
  <c r="D1631" i="163"/>
  <c r="D1823" i="163"/>
  <c r="AZ1822" i="163"/>
  <c r="D1711" i="163"/>
  <c r="AZ1710" i="163"/>
  <c r="BG1804" i="163"/>
  <c r="BG1912" i="163"/>
  <c r="BG1701" i="163"/>
  <c r="BH1701" i="163" s="1"/>
  <c r="BE1701" i="163"/>
  <c r="BF1701" i="163" s="1"/>
  <c r="BG1710" i="163"/>
  <c r="BH1710" i="163" s="1"/>
  <c r="BE1710" i="163"/>
  <c r="BF1710" i="163" s="1"/>
  <c r="BG1594" i="163"/>
  <c r="BH1594" i="163" s="1"/>
  <c r="BE1594" i="163"/>
  <c r="BF1594" i="163" s="1"/>
  <c r="BD1594" i="163"/>
  <c r="BD1904" i="163"/>
  <c r="D1659" i="163"/>
  <c r="AZ1658" i="163"/>
  <c r="B1823" i="163"/>
  <c r="B1824" i="163" s="1"/>
  <c r="B1825" i="163" s="1"/>
  <c r="B1826" i="163" s="1"/>
  <c r="B1827" i="163" s="1"/>
  <c r="B1828" i="163" s="1"/>
  <c r="BA1821" i="163"/>
  <c r="B1829" i="163"/>
  <c r="B1821" i="163"/>
  <c r="B1910" i="163"/>
  <c r="BA1902" i="163"/>
  <c r="B1902" i="163"/>
  <c r="B1904" i="163"/>
  <c r="B1905" i="163" s="1"/>
  <c r="B1906" i="163" s="1"/>
  <c r="B1907" i="163" s="1"/>
  <c r="B1908" i="163" s="1"/>
  <c r="B1909" i="163" s="1"/>
  <c r="B1857" i="163"/>
  <c r="B1859" i="163"/>
  <c r="B1860" i="163" s="1"/>
  <c r="B1861" i="163" s="1"/>
  <c r="B1862" i="163" s="1"/>
  <c r="B1863" i="163" s="1"/>
  <c r="B1864" i="163" s="1"/>
  <c r="BA1857" i="163"/>
  <c r="B1865" i="163"/>
  <c r="D1877" i="163"/>
  <c r="AZ1876" i="163"/>
  <c r="BB1912" i="163"/>
  <c r="BB1804" i="163"/>
  <c r="AZ1849" i="163"/>
  <c r="D1850" i="163"/>
  <c r="D1931" i="163"/>
  <c r="AZ1930" i="163"/>
  <c r="AZ1858" i="163"/>
  <c r="D1859" i="163"/>
  <c r="A1756" i="163"/>
  <c r="A1757" i="163" s="1"/>
  <c r="A1758" i="163"/>
  <c r="A1759" i="163" s="1"/>
  <c r="A1760" i="163" s="1"/>
  <c r="A1761" i="163" s="1"/>
  <c r="A1749" i="163"/>
  <c r="A1750" i="163" s="1"/>
  <c r="A1751" i="163" s="1"/>
  <c r="A1752" i="163" s="1"/>
  <c r="A1747" i="163"/>
  <c r="A1748" i="163" s="1"/>
  <c r="BG1137" i="163"/>
  <c r="BH1137" i="163" s="1"/>
  <c r="BB1385" i="163"/>
  <c r="AZ1283" i="163"/>
  <c r="BB1278" i="163"/>
  <c r="B1240" i="163"/>
  <c r="B1417" i="163"/>
  <c r="B1593" i="163" s="1"/>
  <c r="BA1240" i="163"/>
  <c r="B1242" i="163"/>
  <c r="B1243" i="163" s="1"/>
  <c r="B1244" i="163" s="1"/>
  <c r="B1245" i="163" s="1"/>
  <c r="B1246" i="163"/>
  <c r="D1472" i="163"/>
  <c r="AZ1471" i="163"/>
  <c r="D1324" i="163"/>
  <c r="AZ1323" i="163"/>
  <c r="D1333" i="163"/>
  <c r="AZ1332" i="163"/>
  <c r="D1535" i="163"/>
  <c r="AZ1534" i="163"/>
  <c r="D1419" i="163"/>
  <c r="AZ1418" i="163"/>
  <c r="D1433" i="163"/>
  <c r="AZ1432" i="163"/>
  <c r="BB1453" i="163"/>
  <c r="BB1629" i="163" s="1"/>
  <c r="D1551" i="163"/>
  <c r="D1736" i="163" s="1"/>
  <c r="D1515" i="163"/>
  <c r="D1340" i="163"/>
  <c r="AZ1339" i="163"/>
  <c r="D1396" i="163"/>
  <c r="AZ1395" i="163"/>
  <c r="D1351" i="163"/>
  <c r="AZ1350" i="163"/>
  <c r="D1272" i="163"/>
  <c r="AZ1271" i="163"/>
  <c r="AZ1404" i="163"/>
  <c r="D1405" i="163"/>
  <c r="BC1562" i="163"/>
  <c r="BC1738" i="163" s="1"/>
  <c r="D1360" i="163"/>
  <c r="AZ1359" i="163"/>
  <c r="D1265" i="163"/>
  <c r="AZ1264" i="163"/>
  <c r="D1297" i="163"/>
  <c r="AZ1296" i="163"/>
  <c r="BE1446" i="163"/>
  <c r="BF1446" i="163" s="1"/>
  <c r="BG1446" i="163"/>
  <c r="BH1446" i="163" s="1"/>
  <c r="D1580" i="163"/>
  <c r="AZ1579" i="163"/>
  <c r="D1490" i="163"/>
  <c r="AZ1489" i="163"/>
  <c r="D1526" i="163"/>
  <c r="AZ1525" i="163"/>
  <c r="BB1562" i="163"/>
  <c r="BB1738" i="163" s="1"/>
  <c r="D1427" i="163"/>
  <c r="AZ1426" i="163"/>
  <c r="D1376" i="163"/>
  <c r="D1560" i="163"/>
  <c r="AZ1375" i="163"/>
  <c r="D1258" i="163"/>
  <c r="AZ1257" i="163"/>
  <c r="BF1561" i="163"/>
  <c r="BF1563" i="163" s="1"/>
  <c r="BF1454" i="163"/>
  <c r="BE1562" i="163"/>
  <c r="BE1738" i="163" s="1"/>
  <c r="BB1570" i="163"/>
  <c r="AZ1576" i="163" s="1"/>
  <c r="BB1552" i="163"/>
  <c r="AZ1558" i="163" s="1"/>
  <c r="D1280" i="163"/>
  <c r="AZ1279" i="163"/>
  <c r="D1544" i="163"/>
  <c r="AZ1543" i="163"/>
  <c r="BG1552" i="163"/>
  <c r="BH1552" i="163" s="1"/>
  <c r="BE1552" i="163"/>
  <c r="BF1552" i="163" s="1"/>
  <c r="D1252" i="163"/>
  <c r="AZ1252" i="163" s="1"/>
  <c r="AZ1251" i="163"/>
  <c r="D1499" i="163"/>
  <c r="AZ1498" i="163"/>
  <c r="BD1270" i="163"/>
  <c r="BA1439" i="163"/>
  <c r="BA1615" i="163" s="1"/>
  <c r="BC1263" i="163"/>
  <c r="D1315" i="163"/>
  <c r="AZ1314" i="163"/>
  <c r="D1508" i="163"/>
  <c r="AZ1507" i="163"/>
  <c r="AZ1368" i="163"/>
  <c r="D1369" i="163"/>
  <c r="BC1579" i="163"/>
  <c r="BD1579" i="163"/>
  <c r="D1289" i="163"/>
  <c r="AZ1288" i="163"/>
  <c r="AZ1463" i="163"/>
  <c r="D1464" i="163"/>
  <c r="D1571" i="163"/>
  <c r="AZ1570" i="163"/>
  <c r="D1447" i="163"/>
  <c r="AZ1446" i="163"/>
  <c r="D1244" i="163"/>
  <c r="AZ1243" i="163"/>
  <c r="AZ1482" i="163"/>
  <c r="D1483" i="163"/>
  <c r="BG1525" i="163"/>
  <c r="BH1525" i="163" s="1"/>
  <c r="BE1525" i="163"/>
  <c r="BF1525" i="163" s="1"/>
  <c r="BG1570" i="163"/>
  <c r="BH1570" i="163" s="1"/>
  <c r="BE1570" i="163"/>
  <c r="BF1570" i="163" s="1"/>
  <c r="D1386" i="163"/>
  <c r="AZ1385" i="163"/>
  <c r="D1308" i="163"/>
  <c r="AZ1307" i="163"/>
  <c r="D1440" i="163"/>
  <c r="AZ1439" i="163"/>
  <c r="D1455" i="163"/>
  <c r="AZ1454" i="163"/>
  <c r="BA1543" i="163"/>
  <c r="BA1719" i="163" s="1"/>
  <c r="BC1367" i="163"/>
  <c r="BD1394" i="163"/>
  <c r="BD1367" i="163"/>
  <c r="BA1498" i="163"/>
  <c r="BA1674" i="163" s="1"/>
  <c r="BC1322" i="163"/>
  <c r="BD1331" i="163"/>
  <c r="BA1489" i="163"/>
  <c r="BA1665" i="163" s="1"/>
  <c r="BD1322" i="163"/>
  <c r="BC1313" i="163"/>
  <c r="BE1164" i="163"/>
  <c r="BF1164" i="163" s="1"/>
  <c r="BC1340" i="163"/>
  <c r="BA1516" i="163"/>
  <c r="BA1692" i="163" s="1"/>
  <c r="BD1340" i="163"/>
  <c r="BD1349" i="163"/>
  <c r="BE1534" i="163"/>
  <c r="BF1534" i="163" s="1"/>
  <c r="BG1534" i="163"/>
  <c r="BH1534" i="163" s="1"/>
  <c r="BC1425" i="163"/>
  <c r="BD1425" i="163"/>
  <c r="BE1249" i="163"/>
  <c r="BF1249" i="163" s="1"/>
  <c r="BG1249" i="163"/>
  <c r="BH1249" i="163" s="1"/>
  <c r="BE1471" i="163"/>
  <c r="BF1471" i="163" s="1"/>
  <c r="BG1471" i="163"/>
  <c r="BH1471" i="163" s="1"/>
  <c r="BG1462" i="163"/>
  <c r="BH1462" i="163" s="1"/>
  <c r="BE1462" i="163"/>
  <c r="BF1462" i="163" s="1"/>
  <c r="BC1080" i="163"/>
  <c r="BE1080" i="163" s="1"/>
  <c r="BF1080" i="163" s="1"/>
  <c r="BA1256" i="163"/>
  <c r="A1571" i="163"/>
  <c r="A1572" i="163" s="1"/>
  <c r="A1573" i="163"/>
  <c r="A1574" i="163" s="1"/>
  <c r="A1575" i="163" s="1"/>
  <c r="A1576" i="163" s="1"/>
  <c r="A1582" i="163"/>
  <c r="A1583" i="163" s="1"/>
  <c r="A1584" i="163" s="1"/>
  <c r="A1585" i="163" s="1"/>
  <c r="A1580" i="163"/>
  <c r="A1581" i="163" s="1"/>
  <c r="BC1403" i="163"/>
  <c r="BD1403" i="163"/>
  <c r="BB1387" i="163"/>
  <c r="A1388" i="163"/>
  <c r="A1389" i="163" s="1"/>
  <c r="A1390" i="163" s="1"/>
  <c r="A1391" i="163" s="1"/>
  <c r="A1386" i="163"/>
  <c r="A1387" i="163" s="1"/>
  <c r="A1401" i="163"/>
  <c r="A1402" i="163" s="1"/>
  <c r="A1403" i="163" s="1"/>
  <c r="A1393" i="163"/>
  <c r="A1394" i="163" s="1"/>
  <c r="A1368" i="163"/>
  <c r="A1369" i="163" s="1"/>
  <c r="A1370" i="163"/>
  <c r="A1371" i="163" s="1"/>
  <c r="A1372" i="163" s="1"/>
  <c r="A1373" i="163" s="1"/>
  <c r="A1361" i="163"/>
  <c r="A1362" i="163" s="1"/>
  <c r="A1363" i="163" s="1"/>
  <c r="A1364" i="163" s="1"/>
  <c r="A1359" i="163"/>
  <c r="A1360" i="163" s="1"/>
  <c r="BC1035" i="163"/>
  <c r="BG1146" i="163"/>
  <c r="BH1146" i="163" s="1"/>
  <c r="BE1191" i="163"/>
  <c r="BF1191" i="163" s="1"/>
  <c r="B1066" i="163"/>
  <c r="B1067" i="163" s="1"/>
  <c r="B1068" i="163" s="1"/>
  <c r="B1069" i="163" s="1"/>
  <c r="B1064" i="163"/>
  <c r="B1070" i="163"/>
  <c r="BA1064" i="163"/>
  <c r="BD904" i="163"/>
  <c r="BE904" i="163"/>
  <c r="BF904" i="163" s="1"/>
  <c r="BD1034" i="163"/>
  <c r="BD1210" i="163" s="1"/>
  <c r="BD1386" i="163" s="1"/>
  <c r="BD859" i="163"/>
  <c r="BE1035" i="163"/>
  <c r="BB1209" i="163"/>
  <c r="AZ1107" i="163"/>
  <c r="BB1102" i="163"/>
  <c r="BD926" i="163"/>
  <c r="D1211" i="163"/>
  <c r="AZ1210" i="163"/>
  <c r="D1132" i="163"/>
  <c r="AZ1131" i="163"/>
  <c r="D1184" i="163"/>
  <c r="AZ1183" i="163"/>
  <c r="D1148" i="163"/>
  <c r="AZ1147" i="163"/>
  <c r="D1104" i="163"/>
  <c r="AZ1103" i="163"/>
  <c r="BA1128" i="163"/>
  <c r="BA1304" i="163" s="1"/>
  <c r="BD952" i="163"/>
  <c r="BC952" i="163"/>
  <c r="BD961" i="163"/>
  <c r="AZ1192" i="163"/>
  <c r="D1193" i="163"/>
  <c r="BG1073" i="163"/>
  <c r="BH1073" i="163" s="1"/>
  <c r="BE1073" i="163"/>
  <c r="BF1073" i="163" s="1"/>
  <c r="D1220" i="163"/>
  <c r="AZ1219" i="163"/>
  <c r="D1068" i="163"/>
  <c r="AZ1067" i="163"/>
  <c r="D1175" i="163"/>
  <c r="AZ1174" i="163"/>
  <c r="D1229" i="163"/>
  <c r="AZ1228" i="163"/>
  <c r="BC1101" i="163"/>
  <c r="BC1277" i="163" s="1"/>
  <c r="D1096" i="163"/>
  <c r="AZ1095" i="163"/>
  <c r="D1082" i="163"/>
  <c r="AZ1081" i="163"/>
  <c r="D1165" i="163"/>
  <c r="AZ1164" i="163"/>
  <c r="D1121" i="163"/>
  <c r="AZ1120" i="163"/>
  <c r="AZ1088" i="163"/>
  <c r="D1089" i="163"/>
  <c r="BE776" i="163"/>
  <c r="BF776" i="163" s="1"/>
  <c r="BG776" i="163"/>
  <c r="BH776" i="163" s="1"/>
  <c r="D1157" i="163"/>
  <c r="AZ1156" i="163"/>
  <c r="BD1227" i="163"/>
  <c r="BC1227" i="163"/>
  <c r="BG1210" i="163"/>
  <c r="D1139" i="163"/>
  <c r="AZ1138" i="163"/>
  <c r="D1113" i="163"/>
  <c r="AZ1112" i="163"/>
  <c r="D1201" i="163"/>
  <c r="AZ1200" i="163"/>
  <c r="D1076" i="163"/>
  <c r="AZ1076" i="163" s="1"/>
  <c r="AZ1075" i="163"/>
  <c r="BD1101" i="163"/>
  <c r="BD1277" i="163" s="1"/>
  <c r="BG1087" i="163"/>
  <c r="BH1087" i="163" s="1"/>
  <c r="BD1087" i="163"/>
  <c r="BE1087" i="163"/>
  <c r="BF1087" i="163" s="1"/>
  <c r="BE1101" i="163"/>
  <c r="BE1277" i="163" s="1"/>
  <c r="A1171" i="163"/>
  <c r="A1198" i="163"/>
  <c r="A1163" i="163"/>
  <c r="A1164" i="163" s="1"/>
  <c r="A1158" i="163"/>
  <c r="A1159" i="163" s="1"/>
  <c r="A1160" i="163" s="1"/>
  <c r="A1161" i="163" s="1"/>
  <c r="A1156" i="163"/>
  <c r="A1157" i="163" s="1"/>
  <c r="BC926" i="163"/>
  <c r="BE926" i="163"/>
  <c r="D869" i="163"/>
  <c r="AZ868" i="163"/>
  <c r="D676" i="163"/>
  <c r="AZ675" i="163"/>
  <c r="D913" i="163"/>
  <c r="AZ912" i="163"/>
  <c r="D1044" i="163"/>
  <c r="AZ1043" i="163"/>
  <c r="BB1033" i="163"/>
  <c r="BH925" i="163"/>
  <c r="BD934" i="163" s="1"/>
  <c r="AZ931" i="163"/>
  <c r="BB926" i="163"/>
  <c r="D640" i="163"/>
  <c r="AZ639" i="163"/>
  <c r="D892" i="163"/>
  <c r="AZ891" i="163"/>
  <c r="AZ919" i="163"/>
  <c r="D920" i="163"/>
  <c r="BH750" i="163"/>
  <c r="BD758" i="163" s="1"/>
  <c r="D878" i="163"/>
  <c r="AZ877" i="163"/>
  <c r="BC1051" i="163"/>
  <c r="BD1051" i="163"/>
  <c r="D1026" i="163"/>
  <c r="AZ1025" i="163"/>
  <c r="D753" i="163"/>
  <c r="AZ752" i="163"/>
  <c r="D745" i="163"/>
  <c r="AZ745" i="163" s="1"/>
  <c r="AZ744" i="163"/>
  <c r="D1053" i="163"/>
  <c r="AZ1052" i="163"/>
  <c r="D860" i="163"/>
  <c r="AZ859" i="163"/>
  <c r="BG911" i="163"/>
  <c r="BH911" i="163" s="1"/>
  <c r="BE911" i="163"/>
  <c r="BF911" i="163" s="1"/>
  <c r="BD911" i="163"/>
  <c r="BE988" i="163"/>
  <c r="BF988" i="163" s="1"/>
  <c r="BG988" i="163"/>
  <c r="BH988" i="163" s="1"/>
  <c r="D717" i="163"/>
  <c r="AZ717" i="163" s="1"/>
  <c r="AZ716" i="163"/>
  <c r="AZ989" i="163"/>
  <c r="D990" i="163"/>
  <c r="D1008" i="163"/>
  <c r="AZ1007" i="163"/>
  <c r="D738" i="163"/>
  <c r="AZ738" i="163" s="1"/>
  <c r="AZ737" i="163"/>
  <c r="AZ850" i="163"/>
  <c r="D851" i="163"/>
  <c r="D833" i="163"/>
  <c r="AZ832" i="163"/>
  <c r="AZ863" i="163"/>
  <c r="BB859" i="163"/>
  <c r="BH857" i="163"/>
  <c r="BG875" i="163"/>
  <c r="BH875" i="163" s="1"/>
  <c r="BE875" i="163"/>
  <c r="BF875" i="163" s="1"/>
  <c r="AZ927" i="163"/>
  <c r="D928" i="163"/>
  <c r="D1035" i="163"/>
  <c r="AZ1034" i="163"/>
  <c r="AZ814" i="163"/>
  <c r="D815" i="163"/>
  <c r="D1017" i="163"/>
  <c r="AZ1016" i="163"/>
  <c r="D842" i="163"/>
  <c r="AZ841" i="163"/>
  <c r="D824" i="163"/>
  <c r="AZ823" i="163"/>
  <c r="AZ998" i="163"/>
  <c r="D999" i="163"/>
  <c r="D981" i="163"/>
  <c r="AZ980" i="163"/>
  <c r="D806" i="163"/>
  <c r="AZ805" i="163"/>
  <c r="D797" i="163"/>
  <c r="AZ796" i="163"/>
  <c r="D972" i="163"/>
  <c r="AZ971" i="163"/>
  <c r="D963" i="163"/>
  <c r="AZ962" i="163"/>
  <c r="D613" i="163"/>
  <c r="AZ612" i="163"/>
  <c r="D788" i="163"/>
  <c r="AZ787" i="163"/>
  <c r="D956" i="163"/>
  <c r="AZ955" i="163"/>
  <c r="D781" i="163"/>
  <c r="AZ781" i="163" s="1"/>
  <c r="AZ780" i="163"/>
  <c r="D945" i="163"/>
  <c r="AZ944" i="163"/>
  <c r="D770" i="163"/>
  <c r="AZ769" i="163"/>
  <c r="D762" i="163"/>
  <c r="AZ761" i="163"/>
  <c r="AZ936" i="163"/>
  <c r="D937" i="163"/>
  <c r="D906" i="163"/>
  <c r="AZ905" i="163"/>
  <c r="D731" i="163"/>
  <c r="AZ731" i="163" s="1"/>
  <c r="AZ730" i="163"/>
  <c r="D900" i="163"/>
  <c r="AZ900" i="163" s="1"/>
  <c r="AZ899" i="163"/>
  <c r="A962" i="163"/>
  <c r="A963" i="163" s="1"/>
  <c r="A964" i="163"/>
  <c r="A965" i="163" s="1"/>
  <c r="A966" i="163" s="1"/>
  <c r="A967" i="163" s="1"/>
  <c r="A973" i="163"/>
  <c r="A974" i="163" s="1"/>
  <c r="A975" i="163" s="1"/>
  <c r="A976" i="163" s="1"/>
  <c r="A971" i="163"/>
  <c r="A972" i="163" s="1"/>
  <c r="A978" i="163"/>
  <c r="A979" i="163" s="1"/>
  <c r="A986" i="163"/>
  <c r="BG812" i="163"/>
  <c r="BH812" i="163" s="1"/>
  <c r="BE812" i="163"/>
  <c r="BF812" i="163" s="1"/>
  <c r="A777" i="163"/>
  <c r="A778" i="163" s="1"/>
  <c r="A779" i="163"/>
  <c r="A780" i="163" s="1"/>
  <c r="A781" i="163" s="1"/>
  <c r="A782" i="163" s="1"/>
  <c r="A784" i="163"/>
  <c r="A785" i="163" s="1"/>
  <c r="A801" i="163"/>
  <c r="A792" i="163"/>
  <c r="A793" i="163" s="1"/>
  <c r="A794" i="163" s="1"/>
  <c r="D482" i="163"/>
  <c r="AZ481" i="163"/>
  <c r="D562" i="163"/>
  <c r="AZ562" i="163" s="1"/>
  <c r="AZ561" i="163"/>
  <c r="D702" i="163"/>
  <c r="AZ701" i="163"/>
  <c r="D657" i="163"/>
  <c r="AZ656" i="163"/>
  <c r="AZ526" i="163"/>
  <c r="D527" i="163"/>
  <c r="D555" i="163"/>
  <c r="AZ555" i="163" s="1"/>
  <c r="AZ554" i="163"/>
  <c r="BG636" i="163"/>
  <c r="BH636" i="163" s="1"/>
  <c r="BE636" i="163"/>
  <c r="BF636" i="163" s="1"/>
  <c r="D473" i="163"/>
  <c r="AZ472" i="163"/>
  <c r="D693" i="163"/>
  <c r="AZ692" i="163"/>
  <c r="D455" i="163"/>
  <c r="AZ454" i="163"/>
  <c r="D446" i="163"/>
  <c r="AZ445" i="163"/>
  <c r="AZ540" i="163"/>
  <c r="D541" i="163"/>
  <c r="AZ541" i="163" s="1"/>
  <c r="D648" i="163"/>
  <c r="AZ647" i="163"/>
  <c r="D621" i="163"/>
  <c r="AZ620" i="163"/>
  <c r="D630" i="163"/>
  <c r="AZ629" i="163"/>
  <c r="D518" i="163"/>
  <c r="AZ517" i="163"/>
  <c r="D419" i="163"/>
  <c r="AZ418" i="163"/>
  <c r="BG699" i="163"/>
  <c r="BH699" i="163" s="1"/>
  <c r="BE699" i="163"/>
  <c r="BF699" i="163" s="1"/>
  <c r="D569" i="163"/>
  <c r="AZ569" i="163" s="1"/>
  <c r="AZ568" i="163"/>
  <c r="AZ593" i="163"/>
  <c r="D594" i="163"/>
  <c r="D501" i="163"/>
  <c r="AZ501" i="163" s="1"/>
  <c r="AZ500" i="163"/>
  <c r="A598" i="163"/>
  <c r="A599" i="163" s="1"/>
  <c r="A600" i="163" s="1"/>
  <c r="A607" i="163"/>
  <c r="AZ577" i="163"/>
  <c r="D578" i="163"/>
  <c r="AZ578" i="163" s="1"/>
  <c r="A431" i="163"/>
  <c r="A422" i="163"/>
  <c r="A423" i="163" s="1"/>
  <c r="A424" i="163" s="1"/>
  <c r="A255" i="163"/>
  <c r="A246" i="163"/>
  <c r="A247" i="163" s="1"/>
  <c r="A248" i="163" s="1"/>
  <c r="A73" i="163"/>
  <c r="A74" i="163" s="1"/>
  <c r="A75" i="163"/>
  <c r="A76" i="163" s="1"/>
  <c r="A77" i="163" s="1"/>
  <c r="A78" i="163" s="1"/>
  <c r="A80" i="163"/>
  <c r="A81" i="163" s="1"/>
  <c r="A88" i="163"/>
  <c r="BH859" i="163" l="1"/>
  <c r="BB1737" i="163"/>
  <c r="AZ1635" i="163"/>
  <c r="BB1630" i="163"/>
  <c r="D1932" i="163"/>
  <c r="AZ1931" i="163"/>
  <c r="BB1914" i="163"/>
  <c r="D1660" i="163"/>
  <c r="AZ1659" i="163"/>
  <c r="D1632" i="163"/>
  <c r="AZ1631" i="163"/>
  <c r="AZ1756" i="163"/>
  <c r="D1757" i="163"/>
  <c r="D1610" i="163"/>
  <c r="AZ1609" i="163"/>
  <c r="AZ1841" i="163"/>
  <c r="D1842" i="163"/>
  <c r="BG1904" i="163"/>
  <c r="BH1904" i="163" s="1"/>
  <c r="BE1904" i="163"/>
  <c r="BF1904" i="163" s="1"/>
  <c r="BE1886" i="163"/>
  <c r="BF1886" i="163" s="1"/>
  <c r="BG1886" i="163"/>
  <c r="BH1886" i="163" s="1"/>
  <c r="BE1922" i="163"/>
  <c r="BF1922" i="163" s="1"/>
  <c r="BG1922" i="163"/>
  <c r="BH1922" i="163" s="1"/>
  <c r="D1779" i="163"/>
  <c r="AZ1778" i="163"/>
  <c r="BF1913" i="163"/>
  <c r="BF1915" i="163" s="1"/>
  <c r="BF1806" i="163"/>
  <c r="D1641" i="163"/>
  <c r="AZ1640" i="163"/>
  <c r="D1624" i="163"/>
  <c r="AZ1623" i="163"/>
  <c r="D1604" i="163"/>
  <c r="AZ1604" i="163" s="1"/>
  <c r="AZ1603" i="163"/>
  <c r="D1816" i="163"/>
  <c r="AZ1815" i="163"/>
  <c r="BA1868" i="163"/>
  <c r="BD1701" i="163"/>
  <c r="BD1692" i="163"/>
  <c r="BC1692" i="163"/>
  <c r="BA1850" i="163"/>
  <c r="BD1683" i="163"/>
  <c r="BC1674" i="163"/>
  <c r="BA1895" i="163"/>
  <c r="BD1746" i="163"/>
  <c r="BC1719" i="163"/>
  <c r="BD1719" i="163"/>
  <c r="D1727" i="163"/>
  <c r="D1691" i="163"/>
  <c r="AZ1859" i="163"/>
  <c r="D1860" i="163"/>
  <c r="D1851" i="163"/>
  <c r="AZ1850" i="163"/>
  <c r="D1712" i="163"/>
  <c r="AZ1711" i="163"/>
  <c r="BC1931" i="163"/>
  <c r="BD1931" i="163"/>
  <c r="D1835" i="163"/>
  <c r="AZ1834" i="163"/>
  <c r="BG1859" i="163"/>
  <c r="BH1859" i="163" s="1"/>
  <c r="BE1859" i="163"/>
  <c r="BF1859" i="163" s="1"/>
  <c r="BG1770" i="163"/>
  <c r="BH1770" i="163" s="1"/>
  <c r="BE1770" i="163"/>
  <c r="BF1770" i="163" s="1"/>
  <c r="BD1770" i="163"/>
  <c r="BG1823" i="163"/>
  <c r="BH1823" i="163" s="1"/>
  <c r="BE1823" i="163"/>
  <c r="BF1823" i="163" s="1"/>
  <c r="BE1798" i="163"/>
  <c r="BF1798" i="163" s="1"/>
  <c r="BG1798" i="163"/>
  <c r="BH1798" i="163" s="1"/>
  <c r="D1667" i="163"/>
  <c r="AZ1666" i="163"/>
  <c r="BB1922" i="163"/>
  <c r="AZ1928" i="163" s="1"/>
  <c r="BB1904" i="163"/>
  <c r="AZ1910" i="163" s="1"/>
  <c r="AZ1720" i="163"/>
  <c r="D1721" i="163"/>
  <c r="BD1674" i="163"/>
  <c r="BA1841" i="163"/>
  <c r="BC1665" i="163"/>
  <c r="AZ1736" i="163"/>
  <c r="D1737" i="163"/>
  <c r="D1878" i="163"/>
  <c r="AZ1877" i="163"/>
  <c r="BC1914" i="163"/>
  <c r="BE1755" i="163"/>
  <c r="BF1755" i="163" s="1"/>
  <c r="BG1755" i="163"/>
  <c r="BH1755" i="163" s="1"/>
  <c r="D1676" i="163"/>
  <c r="AZ1675" i="163"/>
  <c r="D1703" i="163"/>
  <c r="AZ1702" i="163"/>
  <c r="BC1777" i="163"/>
  <c r="D1596" i="163"/>
  <c r="AZ1595" i="163"/>
  <c r="D1685" i="163"/>
  <c r="AZ1684" i="163"/>
  <c r="D1896" i="163"/>
  <c r="AZ1895" i="163"/>
  <c r="D1748" i="163"/>
  <c r="AZ1747" i="163"/>
  <c r="D1785" i="163"/>
  <c r="AZ1784" i="163"/>
  <c r="AZ1806" i="163"/>
  <c r="D1807" i="163"/>
  <c r="BA1791" i="163"/>
  <c r="BD1622" i="163"/>
  <c r="BC1615" i="163"/>
  <c r="B1769" i="163"/>
  <c r="B1592" i="163"/>
  <c r="B1598" i="163"/>
  <c r="BA1592" i="163"/>
  <c r="B1594" i="163"/>
  <c r="B1595" i="163" s="1"/>
  <c r="B1596" i="163" s="1"/>
  <c r="B1597" i="163" s="1"/>
  <c r="BB1805" i="163"/>
  <c r="AZ1823" i="163"/>
  <c r="D1824" i="163"/>
  <c r="D1923" i="163"/>
  <c r="AZ1922" i="163"/>
  <c r="D1792" i="163"/>
  <c r="AZ1791" i="163"/>
  <c r="BG1877" i="163"/>
  <c r="BH1877" i="163" s="1"/>
  <c r="BE1877" i="163"/>
  <c r="BF1877" i="163" s="1"/>
  <c r="BG1814" i="163"/>
  <c r="BH1814" i="163" s="1"/>
  <c r="BE1814" i="163"/>
  <c r="BF1814" i="163" s="1"/>
  <c r="D1799" i="163"/>
  <c r="AZ1798" i="163"/>
  <c r="D1617" i="163"/>
  <c r="AZ1616" i="163"/>
  <c r="BE1914" i="163"/>
  <c r="D1771" i="163"/>
  <c r="AZ1770" i="163"/>
  <c r="D1887" i="163"/>
  <c r="AZ1886" i="163"/>
  <c r="D1649" i="163"/>
  <c r="AZ1648" i="163"/>
  <c r="BG1080" i="163"/>
  <c r="BH1080" i="163" s="1"/>
  <c r="BE1385" i="163"/>
  <c r="BE1387" i="163" s="1"/>
  <c r="BE1278" i="163"/>
  <c r="BD1385" i="163"/>
  <c r="BD1387" i="163" s="1"/>
  <c r="BD1278" i="163"/>
  <c r="D1370" i="163"/>
  <c r="AZ1369" i="163"/>
  <c r="D1561" i="163"/>
  <c r="AZ1560" i="163"/>
  <c r="D1491" i="163"/>
  <c r="AZ1490" i="163"/>
  <c r="BD1562" i="163"/>
  <c r="BD1738" i="163" s="1"/>
  <c r="BD1914" i="163" s="1"/>
  <c r="D1361" i="163"/>
  <c r="AZ1360" i="163"/>
  <c r="D1352" i="163"/>
  <c r="AZ1351" i="163"/>
  <c r="D1341" i="163"/>
  <c r="AZ1340" i="163"/>
  <c r="D1441" i="163"/>
  <c r="AZ1440" i="163"/>
  <c r="D1387" i="163"/>
  <c r="AZ1386" i="163"/>
  <c r="AZ1244" i="163"/>
  <c r="D1245" i="163"/>
  <c r="AZ1245" i="163" s="1"/>
  <c r="D1572" i="163"/>
  <c r="AZ1571" i="163"/>
  <c r="D1290" i="163"/>
  <c r="AZ1289" i="163"/>
  <c r="D1316" i="163"/>
  <c r="AZ1315" i="163"/>
  <c r="D1545" i="163"/>
  <c r="AZ1544" i="163"/>
  <c r="AZ1376" i="163"/>
  <c r="D1377" i="163"/>
  <c r="BE1453" i="163"/>
  <c r="BE1629" i="163" s="1"/>
  <c r="BE1805" i="163" s="1"/>
  <c r="D1516" i="163"/>
  <c r="AZ1515" i="163"/>
  <c r="D1434" i="163"/>
  <c r="AZ1433" i="163"/>
  <c r="D1536" i="163"/>
  <c r="AZ1535" i="163"/>
  <c r="D1325" i="163"/>
  <c r="AZ1324" i="163"/>
  <c r="AZ1472" i="163"/>
  <c r="D1473" i="163"/>
  <c r="BA1416" i="163"/>
  <c r="B1418" i="163"/>
  <c r="B1419" i="163" s="1"/>
  <c r="B1420" i="163" s="1"/>
  <c r="B1421" i="163" s="1"/>
  <c r="B1422" i="163"/>
  <c r="B1416" i="163"/>
  <c r="D1484" i="163"/>
  <c r="AZ1483" i="163"/>
  <c r="D1465" i="163"/>
  <c r="AZ1464" i="163"/>
  <c r="BG1263" i="163"/>
  <c r="BH1263" i="163" s="1"/>
  <c r="BE1263" i="163"/>
  <c r="BF1263" i="163" s="1"/>
  <c r="BD1263" i="163"/>
  <c r="D1500" i="163"/>
  <c r="AZ1499" i="163"/>
  <c r="D1259" i="163"/>
  <c r="AZ1259" i="163" s="1"/>
  <c r="AZ1258" i="163"/>
  <c r="D1527" i="163"/>
  <c r="AZ1526" i="163"/>
  <c r="D1581" i="163"/>
  <c r="AZ1580" i="163"/>
  <c r="D1266" i="163"/>
  <c r="AZ1266" i="163" s="1"/>
  <c r="AZ1265" i="163"/>
  <c r="D1406" i="163"/>
  <c r="AZ1405" i="163"/>
  <c r="D1273" i="163"/>
  <c r="AZ1273" i="163" s="1"/>
  <c r="AZ1272" i="163"/>
  <c r="AZ1396" i="163"/>
  <c r="D1397" i="163"/>
  <c r="D1552" i="163"/>
  <c r="AZ1551" i="163"/>
  <c r="BD1453" i="163"/>
  <c r="BD1629" i="163" s="1"/>
  <c r="AZ1391" i="163"/>
  <c r="BC1385" i="163"/>
  <c r="BC1387" i="163" s="1"/>
  <c r="BC1278" i="163"/>
  <c r="D1456" i="163"/>
  <c r="AZ1455" i="163"/>
  <c r="D1309" i="163"/>
  <c r="AZ1309" i="163" s="1"/>
  <c r="AZ1308" i="163"/>
  <c r="D1448" i="163"/>
  <c r="AZ1447" i="163"/>
  <c r="BG1579" i="163"/>
  <c r="BH1579" i="163" s="1"/>
  <c r="BE1579" i="163"/>
  <c r="BF1579" i="163" s="1"/>
  <c r="D1509" i="163"/>
  <c r="AZ1508" i="163"/>
  <c r="BD1446" i="163"/>
  <c r="BC1439" i="163"/>
  <c r="D1281" i="163"/>
  <c r="AZ1280" i="163"/>
  <c r="D1428" i="163"/>
  <c r="AZ1428" i="163" s="1"/>
  <c r="AZ1427" i="163"/>
  <c r="D1298" i="163"/>
  <c r="AZ1297" i="163"/>
  <c r="AZ1459" i="163"/>
  <c r="BB1561" i="163"/>
  <c r="BB1454" i="163"/>
  <c r="D1420" i="163"/>
  <c r="AZ1419" i="163"/>
  <c r="AZ1333" i="163"/>
  <c r="D1334" i="163"/>
  <c r="BC1453" i="163"/>
  <c r="BH1277" i="163"/>
  <c r="BD1286" i="163" s="1"/>
  <c r="BE1367" i="163"/>
  <c r="BF1367" i="163" s="1"/>
  <c r="BG1367" i="163"/>
  <c r="BH1367" i="163" s="1"/>
  <c r="BC1543" i="163"/>
  <c r="BD1570" i="163"/>
  <c r="BD1543" i="163"/>
  <c r="BE1322" i="163"/>
  <c r="BF1322" i="163" s="1"/>
  <c r="BG1322" i="163"/>
  <c r="BH1322" i="163" s="1"/>
  <c r="BC1498" i="163"/>
  <c r="BD1507" i="163"/>
  <c r="BG1313" i="163"/>
  <c r="BH1313" i="163" s="1"/>
  <c r="BE1313" i="163"/>
  <c r="BF1313" i="163" s="1"/>
  <c r="BC1489" i="163"/>
  <c r="BD1498" i="163"/>
  <c r="BD1516" i="163"/>
  <c r="BD1525" i="163"/>
  <c r="BC1516" i="163"/>
  <c r="BG1340" i="163"/>
  <c r="BH1340" i="163" s="1"/>
  <c r="BE1340" i="163"/>
  <c r="BF1340" i="163" s="1"/>
  <c r="BG1425" i="163"/>
  <c r="BH1425" i="163" s="1"/>
  <c r="BE1425" i="163"/>
  <c r="BF1425" i="163" s="1"/>
  <c r="BA1480" i="163"/>
  <c r="BA1656" i="163" s="1"/>
  <c r="BC1304" i="163"/>
  <c r="BD1313" i="163"/>
  <c r="BD1304" i="163"/>
  <c r="BD1080" i="163"/>
  <c r="BA1432" i="163"/>
  <c r="BC1256" i="163"/>
  <c r="BE1403" i="163"/>
  <c r="BF1403" i="163" s="1"/>
  <c r="BG1403" i="163"/>
  <c r="BH1403" i="163" s="1"/>
  <c r="BG1211" i="163"/>
  <c r="BG1386" i="163"/>
  <c r="A1395" i="163"/>
  <c r="A1396" i="163" s="1"/>
  <c r="A1397" i="163"/>
  <c r="A1398" i="163" s="1"/>
  <c r="A1399" i="163" s="1"/>
  <c r="A1400" i="163" s="1"/>
  <c r="A1406" i="163"/>
  <c r="A1407" i="163" s="1"/>
  <c r="A1408" i="163" s="1"/>
  <c r="A1409" i="163" s="1"/>
  <c r="A1404" i="163"/>
  <c r="A1405" i="163" s="1"/>
  <c r="BH1034" i="163"/>
  <c r="BD1035" i="163"/>
  <c r="D1114" i="163"/>
  <c r="AZ1113" i="163"/>
  <c r="D1158" i="163"/>
  <c r="AZ1157" i="163"/>
  <c r="D1166" i="163"/>
  <c r="AZ1165" i="163"/>
  <c r="BC1209" i="163"/>
  <c r="BC1211" i="163" s="1"/>
  <c r="BC1102" i="163"/>
  <c r="D1176" i="163"/>
  <c r="AZ1175" i="163"/>
  <c r="D1221" i="163"/>
  <c r="AZ1220" i="163"/>
  <c r="BD1137" i="163"/>
  <c r="BC1128" i="163"/>
  <c r="BD1128" i="163"/>
  <c r="D1149" i="163"/>
  <c r="AZ1148" i="163"/>
  <c r="D1133" i="163"/>
  <c r="AZ1133" i="163" s="1"/>
  <c r="AZ1132" i="163"/>
  <c r="BH926" i="163"/>
  <c r="BG1227" i="163"/>
  <c r="BH1227" i="163" s="1"/>
  <c r="BE1227" i="163"/>
  <c r="BF1227" i="163" s="1"/>
  <c r="D1083" i="163"/>
  <c r="AZ1083" i="163" s="1"/>
  <c r="AZ1082" i="163"/>
  <c r="BE1209" i="163"/>
  <c r="BE1211" i="163" s="1"/>
  <c r="BE1102" i="163"/>
  <c r="BD1209" i="163"/>
  <c r="BD1211" i="163" s="1"/>
  <c r="BD1102" i="163"/>
  <c r="D1202" i="163"/>
  <c r="AZ1201" i="163"/>
  <c r="D1140" i="163"/>
  <c r="AZ1139" i="163"/>
  <c r="D1122" i="163"/>
  <c r="AZ1121" i="163"/>
  <c r="D1230" i="163"/>
  <c r="AZ1229" i="163"/>
  <c r="D1069" i="163"/>
  <c r="AZ1069" i="163" s="1"/>
  <c r="AZ1068" i="163"/>
  <c r="BE952" i="163"/>
  <c r="BF952" i="163" s="1"/>
  <c r="BG952" i="163"/>
  <c r="BH952" i="163" s="1"/>
  <c r="D1105" i="163"/>
  <c r="AZ1104" i="163"/>
  <c r="D1185" i="163"/>
  <c r="AZ1184" i="163"/>
  <c r="D1212" i="163"/>
  <c r="AZ1211" i="163"/>
  <c r="BH1101" i="163"/>
  <c r="BD1110" i="163" s="1"/>
  <c r="BH1210" i="163"/>
  <c r="D1090" i="163"/>
  <c r="AZ1090" i="163" s="1"/>
  <c r="AZ1089" i="163"/>
  <c r="D1097" i="163"/>
  <c r="AZ1097" i="163" s="1"/>
  <c r="AZ1096" i="163"/>
  <c r="D1194" i="163"/>
  <c r="AZ1193" i="163"/>
  <c r="BB1211" i="163"/>
  <c r="AZ1215" i="163"/>
  <c r="A1167" i="163"/>
  <c r="A1168" i="163" s="1"/>
  <c r="A1169" i="163" s="1"/>
  <c r="A1170" i="163" s="1"/>
  <c r="A1165" i="163"/>
  <c r="A1166" i="163" s="1"/>
  <c r="A1207" i="163"/>
  <c r="A1199" i="163"/>
  <c r="A1200" i="163" s="1"/>
  <c r="A1172" i="163"/>
  <c r="A1173" i="163" s="1"/>
  <c r="A1180" i="163"/>
  <c r="D852" i="163"/>
  <c r="AZ851" i="163"/>
  <c r="D861" i="163"/>
  <c r="AZ860" i="163"/>
  <c r="D1027" i="163"/>
  <c r="AZ1026" i="163"/>
  <c r="AZ878" i="163"/>
  <c r="D879" i="163"/>
  <c r="AZ1008" i="163"/>
  <c r="D1009" i="163"/>
  <c r="D893" i="163"/>
  <c r="AZ893" i="163" s="1"/>
  <c r="AZ892" i="163"/>
  <c r="D1045" i="163"/>
  <c r="AZ1044" i="163"/>
  <c r="D677" i="163"/>
  <c r="AZ677" i="163" s="1"/>
  <c r="AZ676" i="163"/>
  <c r="D1036" i="163"/>
  <c r="AZ1035" i="163"/>
  <c r="AZ990" i="163"/>
  <c r="D991" i="163"/>
  <c r="AZ1053" i="163"/>
  <c r="D1054" i="163"/>
  <c r="AZ753" i="163"/>
  <c r="D754" i="163"/>
  <c r="AZ754" i="163" s="1"/>
  <c r="BG1051" i="163"/>
  <c r="BH1051" i="163" s="1"/>
  <c r="BE1051" i="163"/>
  <c r="BF1051" i="163" s="1"/>
  <c r="D921" i="163"/>
  <c r="AZ921" i="163" s="1"/>
  <c r="AZ920" i="163"/>
  <c r="D816" i="163"/>
  <c r="AZ815" i="163"/>
  <c r="D929" i="163"/>
  <c r="AZ928" i="163"/>
  <c r="D834" i="163"/>
  <c r="AZ833" i="163"/>
  <c r="D641" i="163"/>
  <c r="AZ641" i="163" s="1"/>
  <c r="AZ640" i="163"/>
  <c r="BB1035" i="163"/>
  <c r="AZ1039" i="163"/>
  <c r="BH1033" i="163"/>
  <c r="D914" i="163"/>
  <c r="AZ914" i="163" s="1"/>
  <c r="AZ913" i="163"/>
  <c r="AZ869" i="163"/>
  <c r="D870" i="163"/>
  <c r="D843" i="163"/>
  <c r="AZ842" i="163"/>
  <c r="D1018" i="163"/>
  <c r="AZ1017" i="163"/>
  <c r="D1000" i="163"/>
  <c r="AZ999" i="163"/>
  <c r="AZ824" i="163"/>
  <c r="D825" i="163"/>
  <c r="AZ806" i="163"/>
  <c r="D807" i="163"/>
  <c r="D982" i="163"/>
  <c r="AZ981" i="163"/>
  <c r="D973" i="163"/>
  <c r="AZ972" i="163"/>
  <c r="D798" i="163"/>
  <c r="AZ797" i="163"/>
  <c r="AZ613" i="163"/>
  <c r="D614" i="163"/>
  <c r="AZ614" i="163" s="1"/>
  <c r="D789" i="163"/>
  <c r="AZ788" i="163"/>
  <c r="AZ963" i="163"/>
  <c r="D964" i="163"/>
  <c r="D957" i="163"/>
  <c r="AZ957" i="163" s="1"/>
  <c r="AZ956" i="163"/>
  <c r="D771" i="163"/>
  <c r="AZ770" i="163"/>
  <c r="D946" i="163"/>
  <c r="AZ945" i="163"/>
  <c r="AZ937" i="163"/>
  <c r="D938" i="163"/>
  <c r="D763" i="163"/>
  <c r="AZ763" i="163" s="1"/>
  <c r="AZ762" i="163"/>
  <c r="D907" i="163"/>
  <c r="AZ907" i="163" s="1"/>
  <c r="AZ906" i="163"/>
  <c r="A995" i="163"/>
  <c r="A1022" i="163"/>
  <c r="A987" i="163"/>
  <c r="A988" i="163" s="1"/>
  <c r="A982" i="163"/>
  <c r="A983" i="163" s="1"/>
  <c r="A984" i="163" s="1"/>
  <c r="A985" i="163" s="1"/>
  <c r="A980" i="163"/>
  <c r="A981" i="163" s="1"/>
  <c r="A810" i="163"/>
  <c r="A802" i="163"/>
  <c r="A803" i="163" s="1"/>
  <c r="A788" i="163"/>
  <c r="A789" i="163" s="1"/>
  <c r="A790" i="163" s="1"/>
  <c r="A791" i="163" s="1"/>
  <c r="A786" i="163"/>
  <c r="A787" i="163" s="1"/>
  <c r="A797" i="163"/>
  <c r="A798" i="163" s="1"/>
  <c r="A799" i="163" s="1"/>
  <c r="A800" i="163" s="1"/>
  <c r="A795" i="163"/>
  <c r="A796" i="163" s="1"/>
  <c r="D595" i="163"/>
  <c r="AZ594" i="163"/>
  <c r="D622" i="163"/>
  <c r="AZ621" i="163"/>
  <c r="AZ455" i="163"/>
  <c r="D456" i="163"/>
  <c r="AZ456" i="163" s="1"/>
  <c r="D474" i="163"/>
  <c r="AZ474" i="163" s="1"/>
  <c r="AZ473" i="163"/>
  <c r="D528" i="163"/>
  <c r="AZ528" i="163" s="1"/>
  <c r="AZ527" i="163"/>
  <c r="D519" i="163"/>
  <c r="AZ519" i="163" s="1"/>
  <c r="AZ518" i="163"/>
  <c r="D658" i="163"/>
  <c r="AZ657" i="163"/>
  <c r="D420" i="163"/>
  <c r="AZ420" i="163" s="1"/>
  <c r="AZ419" i="163"/>
  <c r="D631" i="163"/>
  <c r="AZ630" i="163"/>
  <c r="AZ648" i="163"/>
  <c r="D649" i="163"/>
  <c r="D447" i="163"/>
  <c r="AZ447" i="163" s="1"/>
  <c r="AZ446" i="163"/>
  <c r="D694" i="163"/>
  <c r="AZ693" i="163"/>
  <c r="AZ702" i="163"/>
  <c r="D703" i="163"/>
  <c r="D483" i="163"/>
  <c r="AZ483" i="163" s="1"/>
  <c r="AZ482" i="163"/>
  <c r="A608" i="163"/>
  <c r="A609" i="163" s="1"/>
  <c r="A625" i="163"/>
  <c r="A616" i="163"/>
  <c r="A617" i="163" s="1"/>
  <c r="A618" i="163" s="1"/>
  <c r="A603" i="163"/>
  <c r="A604" i="163" s="1"/>
  <c r="A605" i="163" s="1"/>
  <c r="A606" i="163" s="1"/>
  <c r="A601" i="163"/>
  <c r="A602" i="163" s="1"/>
  <c r="A425" i="163"/>
  <c r="A426" i="163" s="1"/>
  <c r="A427" i="163"/>
  <c r="A428" i="163" s="1"/>
  <c r="A429" i="163" s="1"/>
  <c r="A430" i="163" s="1"/>
  <c r="A440" i="163"/>
  <c r="A441" i="163" s="1"/>
  <c r="A442" i="163" s="1"/>
  <c r="A432" i="163"/>
  <c r="A433" i="163" s="1"/>
  <c r="A449" i="163"/>
  <c r="A89" i="163"/>
  <c r="A90" i="163" s="1"/>
  <c r="A97" i="163"/>
  <c r="A98" i="163" s="1"/>
  <c r="A99" i="163" s="1"/>
  <c r="A249" i="163"/>
  <c r="A250" i="163" s="1"/>
  <c r="A251" i="163"/>
  <c r="A252" i="163" s="1"/>
  <c r="A253" i="163" s="1"/>
  <c r="A254" i="163" s="1"/>
  <c r="A84" i="163"/>
  <c r="A85" i="163" s="1"/>
  <c r="A86" i="163" s="1"/>
  <c r="A87" i="163" s="1"/>
  <c r="A82" i="163"/>
  <c r="A83" i="163" s="1"/>
  <c r="A264" i="163"/>
  <c r="A265" i="163" s="1"/>
  <c r="A266" i="163" s="1"/>
  <c r="A256" i="163"/>
  <c r="A257" i="163" s="1"/>
  <c r="A273" i="163"/>
  <c r="BE1913" i="163" l="1"/>
  <c r="BE1915" i="163" s="1"/>
  <c r="BE1806" i="163"/>
  <c r="BD1737" i="163"/>
  <c r="BD1739" i="163" s="1"/>
  <c r="BD1630" i="163"/>
  <c r="D1650" i="163"/>
  <c r="AZ1649" i="163"/>
  <c r="D1772" i="163"/>
  <c r="AZ1771" i="163"/>
  <c r="D1786" i="163"/>
  <c r="AZ1785" i="163"/>
  <c r="BG1665" i="163"/>
  <c r="BH1665" i="163" s="1"/>
  <c r="BE1665" i="163"/>
  <c r="BF1665" i="163" s="1"/>
  <c r="D1817" i="163"/>
  <c r="AZ1816" i="163"/>
  <c r="D1625" i="163"/>
  <c r="AZ1625" i="163" s="1"/>
  <c r="AZ1624" i="163"/>
  <c r="D1611" i="163"/>
  <c r="AZ1611" i="163" s="1"/>
  <c r="AZ1610" i="163"/>
  <c r="AZ1632" i="163"/>
  <c r="D1633" i="163"/>
  <c r="BD1665" i="163"/>
  <c r="BA1832" i="163"/>
  <c r="BC1656" i="163"/>
  <c r="BD1656" i="163"/>
  <c r="D1800" i="163"/>
  <c r="AZ1799" i="163"/>
  <c r="D1924" i="163"/>
  <c r="AZ1923" i="163"/>
  <c r="B1770" i="163"/>
  <c r="B1771" i="163" s="1"/>
  <c r="B1772" i="163" s="1"/>
  <c r="B1773" i="163" s="1"/>
  <c r="BA1768" i="163"/>
  <c r="B1768" i="163"/>
  <c r="B1774" i="163"/>
  <c r="D1808" i="163"/>
  <c r="AZ1807" i="163"/>
  <c r="D1897" i="163"/>
  <c r="AZ1896" i="163"/>
  <c r="D1704" i="163"/>
  <c r="AZ1703" i="163"/>
  <c r="D1879" i="163"/>
  <c r="AZ1878" i="163"/>
  <c r="BD1850" i="163"/>
  <c r="BC1841" i="163"/>
  <c r="BD1805" i="163"/>
  <c r="D1668" i="163"/>
  <c r="AZ1667" i="163"/>
  <c r="D1713" i="163"/>
  <c r="AZ1712" i="163"/>
  <c r="BE1719" i="163"/>
  <c r="BF1719" i="163" s="1"/>
  <c r="BG1719" i="163"/>
  <c r="BH1719" i="163" s="1"/>
  <c r="D1843" i="163"/>
  <c r="AZ1842" i="163"/>
  <c r="D1758" i="163"/>
  <c r="AZ1757" i="163"/>
  <c r="AZ1932" i="163"/>
  <c r="D1933" i="163"/>
  <c r="BB1739" i="163"/>
  <c r="AZ1743" i="163"/>
  <c r="BC1432" i="163"/>
  <c r="BE1432" i="163" s="1"/>
  <c r="BF1432" i="163" s="1"/>
  <c r="BA1608" i="163"/>
  <c r="AZ1811" i="163"/>
  <c r="BB1913" i="163"/>
  <c r="BB1806" i="163"/>
  <c r="BD1798" i="163"/>
  <c r="BC1791" i="163"/>
  <c r="D1686" i="163"/>
  <c r="AZ1685" i="163"/>
  <c r="D1836" i="163"/>
  <c r="AZ1835" i="163"/>
  <c r="D1861" i="163"/>
  <c r="AZ1860" i="163"/>
  <c r="BG1674" i="163"/>
  <c r="BH1674" i="163" s="1"/>
  <c r="BE1674" i="163"/>
  <c r="BF1674" i="163" s="1"/>
  <c r="BH1035" i="163"/>
  <c r="BH1278" i="163"/>
  <c r="D1888" i="163"/>
  <c r="AZ1887" i="163"/>
  <c r="D1825" i="163"/>
  <c r="AZ1824" i="163"/>
  <c r="BG1615" i="163"/>
  <c r="BH1615" i="163" s="1"/>
  <c r="BE1615" i="163"/>
  <c r="BF1615" i="163" s="1"/>
  <c r="BD1615" i="163"/>
  <c r="D1749" i="163"/>
  <c r="AZ1748" i="163"/>
  <c r="D1597" i="163"/>
  <c r="AZ1597" i="163" s="1"/>
  <c r="AZ1596" i="163"/>
  <c r="D1738" i="163"/>
  <c r="AZ1737" i="163"/>
  <c r="BE1931" i="163"/>
  <c r="BF1931" i="163" s="1"/>
  <c r="BG1931" i="163"/>
  <c r="BH1931" i="163" s="1"/>
  <c r="D1903" i="163"/>
  <c r="AZ1691" i="163"/>
  <c r="D1867" i="163"/>
  <c r="D1692" i="163"/>
  <c r="BD1859" i="163"/>
  <c r="BC1850" i="163"/>
  <c r="BD1877" i="163"/>
  <c r="BD1868" i="163"/>
  <c r="BC1868" i="163"/>
  <c r="D1642" i="163"/>
  <c r="AZ1641" i="163"/>
  <c r="D1780" i="163"/>
  <c r="AZ1780" i="163" s="1"/>
  <c r="AZ1779" i="163"/>
  <c r="D1661" i="163"/>
  <c r="AZ1661" i="163" s="1"/>
  <c r="AZ1660" i="163"/>
  <c r="BE1737" i="163"/>
  <c r="BE1739" i="163" s="1"/>
  <c r="BE1630" i="163"/>
  <c r="BH1453" i="163"/>
  <c r="BD1462" i="163" s="1"/>
  <c r="BC1629" i="163"/>
  <c r="D1618" i="163"/>
  <c r="AZ1618" i="163" s="1"/>
  <c r="AZ1617" i="163"/>
  <c r="D1793" i="163"/>
  <c r="AZ1792" i="163"/>
  <c r="BE1777" i="163"/>
  <c r="BF1777" i="163" s="1"/>
  <c r="BG1777" i="163"/>
  <c r="BH1777" i="163" s="1"/>
  <c r="D1677" i="163"/>
  <c r="AZ1676" i="163"/>
  <c r="D1722" i="163"/>
  <c r="AZ1721" i="163"/>
  <c r="AZ1851" i="163"/>
  <c r="D1852" i="163"/>
  <c r="D1912" i="163"/>
  <c r="D1728" i="163"/>
  <c r="AZ1727" i="163"/>
  <c r="BD1922" i="163"/>
  <c r="BC1895" i="163"/>
  <c r="BD1895" i="163"/>
  <c r="BE1692" i="163"/>
  <c r="BF1692" i="163" s="1"/>
  <c r="BG1692" i="163"/>
  <c r="BH1692" i="163" s="1"/>
  <c r="D1421" i="163"/>
  <c r="AZ1421" i="163" s="1"/>
  <c r="AZ1420" i="163"/>
  <c r="D1485" i="163"/>
  <c r="AZ1485" i="163" s="1"/>
  <c r="AZ1484" i="163"/>
  <c r="D1326" i="163"/>
  <c r="AZ1325" i="163"/>
  <c r="D1378" i="163"/>
  <c r="AZ1377" i="163"/>
  <c r="D1335" i="163"/>
  <c r="AZ1334" i="163"/>
  <c r="AZ1552" i="163"/>
  <c r="D1553" i="163"/>
  <c r="D1528" i="163"/>
  <c r="AZ1527" i="163"/>
  <c r="D1501" i="163"/>
  <c r="AZ1500" i="163"/>
  <c r="D1474" i="163"/>
  <c r="AZ1473" i="163"/>
  <c r="D1317" i="163"/>
  <c r="AZ1316" i="163"/>
  <c r="D1573" i="163"/>
  <c r="AZ1572" i="163"/>
  <c r="D1388" i="163"/>
  <c r="AZ1387" i="163"/>
  <c r="D1492" i="163"/>
  <c r="AZ1491" i="163"/>
  <c r="BG1387" i="163"/>
  <c r="BH1387" i="163" s="1"/>
  <c r="BG1562" i="163"/>
  <c r="BH1209" i="163"/>
  <c r="D1299" i="163"/>
  <c r="AZ1298" i="163"/>
  <c r="D1282" i="163"/>
  <c r="AZ1282" i="163" s="1"/>
  <c r="AZ1281" i="163"/>
  <c r="D1510" i="163"/>
  <c r="AZ1509" i="163"/>
  <c r="D1449" i="163"/>
  <c r="AZ1449" i="163" s="1"/>
  <c r="AZ1448" i="163"/>
  <c r="D1457" i="163"/>
  <c r="AZ1456" i="163"/>
  <c r="BH1385" i="163"/>
  <c r="D1398" i="163"/>
  <c r="AZ1397" i="163"/>
  <c r="D1466" i="163"/>
  <c r="AZ1465" i="163"/>
  <c r="D1537" i="163"/>
  <c r="AZ1536" i="163"/>
  <c r="D1517" i="163"/>
  <c r="AZ1516" i="163"/>
  <c r="D1342" i="163"/>
  <c r="AZ1341" i="163"/>
  <c r="D1362" i="163"/>
  <c r="AZ1361" i="163"/>
  <c r="D1371" i="163"/>
  <c r="AZ1370" i="163"/>
  <c r="BC1561" i="163"/>
  <c r="BC1563" i="163" s="1"/>
  <c r="BC1454" i="163"/>
  <c r="D1435" i="163"/>
  <c r="AZ1435" i="163" s="1"/>
  <c r="AZ1434" i="163"/>
  <c r="AZ1352" i="163"/>
  <c r="D1353" i="163"/>
  <c r="D1562" i="163"/>
  <c r="AZ1561" i="163"/>
  <c r="BB1563" i="163"/>
  <c r="AZ1567" i="163"/>
  <c r="BG1439" i="163"/>
  <c r="BH1439" i="163" s="1"/>
  <c r="BD1439" i="163"/>
  <c r="BE1439" i="163"/>
  <c r="BF1439" i="163" s="1"/>
  <c r="BD1561" i="163"/>
  <c r="BD1563" i="163" s="1"/>
  <c r="BD1454" i="163"/>
  <c r="AZ1406" i="163"/>
  <c r="D1407" i="163"/>
  <c r="AZ1581" i="163"/>
  <c r="D1582" i="163"/>
  <c r="BE1561" i="163"/>
  <c r="BE1563" i="163" s="1"/>
  <c r="BE1454" i="163"/>
  <c r="D1546" i="163"/>
  <c r="AZ1545" i="163"/>
  <c r="D1291" i="163"/>
  <c r="AZ1291" i="163" s="1"/>
  <c r="AZ1290" i="163"/>
  <c r="D1442" i="163"/>
  <c r="AZ1442" i="163" s="1"/>
  <c r="AZ1441" i="163"/>
  <c r="BG1543" i="163"/>
  <c r="BH1543" i="163" s="1"/>
  <c r="BE1543" i="163"/>
  <c r="BF1543" i="163" s="1"/>
  <c r="BE1498" i="163"/>
  <c r="BF1498" i="163" s="1"/>
  <c r="BG1498" i="163"/>
  <c r="BH1498" i="163" s="1"/>
  <c r="BE1489" i="163"/>
  <c r="BF1489" i="163" s="1"/>
  <c r="BG1489" i="163"/>
  <c r="BH1489" i="163" s="1"/>
  <c r="BG1516" i="163"/>
  <c r="BH1516" i="163" s="1"/>
  <c r="BE1516" i="163"/>
  <c r="BF1516" i="163" s="1"/>
  <c r="BG1304" i="163"/>
  <c r="BH1304" i="163" s="1"/>
  <c r="BE1304" i="163"/>
  <c r="BF1304" i="163" s="1"/>
  <c r="BD1489" i="163"/>
  <c r="BC1480" i="163"/>
  <c r="BD1480" i="163"/>
  <c r="BG1256" i="163"/>
  <c r="BH1256" i="163" s="1"/>
  <c r="BE1256" i="163"/>
  <c r="BF1256" i="163" s="1"/>
  <c r="BD1256" i="163"/>
  <c r="BD1432" i="163"/>
  <c r="BH1386" i="163"/>
  <c r="BH1211" i="163"/>
  <c r="D1150" i="163"/>
  <c r="AZ1149" i="163"/>
  <c r="BH1102" i="163"/>
  <c r="D1186" i="163"/>
  <c r="AZ1185" i="163"/>
  <c r="AZ1230" i="163"/>
  <c r="D1231" i="163"/>
  <c r="D1141" i="163"/>
  <c r="AZ1140" i="163"/>
  <c r="D1222" i="163"/>
  <c r="AZ1221" i="163"/>
  <c r="D1159" i="163"/>
  <c r="AZ1158" i="163"/>
  <c r="BG1128" i="163"/>
  <c r="BH1128" i="163" s="1"/>
  <c r="BE1128" i="163"/>
  <c r="BF1128" i="163" s="1"/>
  <c r="D1195" i="163"/>
  <c r="AZ1194" i="163"/>
  <c r="D1213" i="163"/>
  <c r="AZ1212" i="163"/>
  <c r="D1106" i="163"/>
  <c r="AZ1106" i="163" s="1"/>
  <c r="AZ1105" i="163"/>
  <c r="D1123" i="163"/>
  <c r="AZ1122" i="163"/>
  <c r="D1203" i="163"/>
  <c r="AZ1202" i="163"/>
  <c r="D1177" i="163"/>
  <c r="AZ1176" i="163"/>
  <c r="D1167" i="163"/>
  <c r="AZ1166" i="163"/>
  <c r="AZ1114" i="163"/>
  <c r="D1115" i="163"/>
  <c r="AZ1115" i="163" s="1"/>
  <c r="A1201" i="163"/>
  <c r="A1202" i="163" s="1"/>
  <c r="A1203" i="163"/>
  <c r="A1204" i="163" s="1"/>
  <c r="A1205" i="163" s="1"/>
  <c r="A1206" i="163" s="1"/>
  <c r="A1216" i="163"/>
  <c r="A1208" i="163"/>
  <c r="A1209" i="163" s="1"/>
  <c r="A1181" i="163"/>
  <c r="A1182" i="163" s="1"/>
  <c r="A1189" i="163"/>
  <c r="A1190" i="163" s="1"/>
  <c r="A1191" i="163" s="1"/>
  <c r="A1176" i="163"/>
  <c r="A1177" i="163" s="1"/>
  <c r="A1178" i="163" s="1"/>
  <c r="A1179" i="163" s="1"/>
  <c r="A1174" i="163"/>
  <c r="A1175" i="163" s="1"/>
  <c r="D992" i="163"/>
  <c r="AZ991" i="163"/>
  <c r="D880" i="163"/>
  <c r="AZ880" i="163" s="1"/>
  <c r="AZ879" i="163"/>
  <c r="AZ870" i="163"/>
  <c r="D871" i="163"/>
  <c r="AZ871" i="163" s="1"/>
  <c r="D930" i="163"/>
  <c r="AZ930" i="163" s="1"/>
  <c r="AZ929" i="163"/>
  <c r="AZ861" i="163"/>
  <c r="D862" i="163"/>
  <c r="AZ862" i="163" s="1"/>
  <c r="D1055" i="163"/>
  <c r="AZ1054" i="163"/>
  <c r="D1010" i="163"/>
  <c r="AZ1009" i="163"/>
  <c r="AZ834" i="163"/>
  <c r="D835" i="163"/>
  <c r="AZ835" i="163" s="1"/>
  <c r="D817" i="163"/>
  <c r="AZ817" i="163" s="1"/>
  <c r="AZ816" i="163"/>
  <c r="D1037" i="163"/>
  <c r="AZ1036" i="163"/>
  <c r="D1046" i="163"/>
  <c r="AZ1045" i="163"/>
  <c r="D1028" i="163"/>
  <c r="AZ1027" i="163"/>
  <c r="D853" i="163"/>
  <c r="AZ853" i="163" s="1"/>
  <c r="AZ852" i="163"/>
  <c r="AZ1018" i="163"/>
  <c r="D1019" i="163"/>
  <c r="AZ843" i="163"/>
  <c r="D844" i="163"/>
  <c r="AZ844" i="163" s="1"/>
  <c r="D826" i="163"/>
  <c r="AZ826" i="163" s="1"/>
  <c r="AZ825" i="163"/>
  <c r="D1001" i="163"/>
  <c r="AZ1000" i="163"/>
  <c r="D983" i="163"/>
  <c r="AZ982" i="163"/>
  <c r="D808" i="163"/>
  <c r="AZ808" i="163" s="1"/>
  <c r="AZ807" i="163"/>
  <c r="AZ798" i="163"/>
  <c r="D799" i="163"/>
  <c r="AZ799" i="163" s="1"/>
  <c r="AZ973" i="163"/>
  <c r="D974" i="163"/>
  <c r="D790" i="163"/>
  <c r="AZ790" i="163" s="1"/>
  <c r="AZ789" i="163"/>
  <c r="D965" i="163"/>
  <c r="AZ964" i="163"/>
  <c r="D947" i="163"/>
  <c r="AZ946" i="163"/>
  <c r="D772" i="163"/>
  <c r="AZ772" i="163" s="1"/>
  <c r="AZ771" i="163"/>
  <c r="AZ938" i="163"/>
  <c r="D939" i="163"/>
  <c r="AZ939" i="163" s="1"/>
  <c r="A989" i="163"/>
  <c r="A990" i="163" s="1"/>
  <c r="A991" i="163"/>
  <c r="A992" i="163" s="1"/>
  <c r="A993" i="163" s="1"/>
  <c r="A994" i="163" s="1"/>
  <c r="A1031" i="163"/>
  <c r="A1023" i="163"/>
  <c r="A1024" i="163" s="1"/>
  <c r="A1004" i="163"/>
  <c r="A996" i="163"/>
  <c r="A997" i="163" s="1"/>
  <c r="A804" i="163"/>
  <c r="A805" i="163" s="1"/>
  <c r="A806" i="163"/>
  <c r="A807" i="163" s="1"/>
  <c r="A808" i="163" s="1"/>
  <c r="A809" i="163" s="1"/>
  <c r="A819" i="163"/>
  <c r="A846" i="163"/>
  <c r="A811" i="163"/>
  <c r="A812" i="163" s="1"/>
  <c r="AZ694" i="163"/>
  <c r="D695" i="163"/>
  <c r="AZ695" i="163" s="1"/>
  <c r="D623" i="163"/>
  <c r="AZ623" i="163" s="1"/>
  <c r="AZ622" i="163"/>
  <c r="D650" i="163"/>
  <c r="AZ650" i="163" s="1"/>
  <c r="AZ649" i="163"/>
  <c r="AZ703" i="163"/>
  <c r="D704" i="163"/>
  <c r="AZ704" i="163" s="1"/>
  <c r="D632" i="163"/>
  <c r="AZ632" i="163" s="1"/>
  <c r="AZ631" i="163"/>
  <c r="AZ658" i="163"/>
  <c r="D659" i="163"/>
  <c r="AZ659" i="163" s="1"/>
  <c r="D596" i="163"/>
  <c r="AZ596" i="163" s="1"/>
  <c r="AZ595" i="163"/>
  <c r="A619" i="163"/>
  <c r="A620" i="163" s="1"/>
  <c r="A621" i="163"/>
  <c r="A622" i="163" s="1"/>
  <c r="A623" i="163" s="1"/>
  <c r="A624" i="163" s="1"/>
  <c r="A634" i="163"/>
  <c r="A626" i="163"/>
  <c r="A627" i="163" s="1"/>
  <c r="A612" i="163"/>
  <c r="A613" i="163" s="1"/>
  <c r="A614" i="163" s="1"/>
  <c r="A615" i="163" s="1"/>
  <c r="A610" i="163"/>
  <c r="A611" i="163" s="1"/>
  <c r="A434" i="163"/>
  <c r="A435" i="163" s="1"/>
  <c r="A436" i="163"/>
  <c r="A437" i="163" s="1"/>
  <c r="A438" i="163" s="1"/>
  <c r="A439" i="163" s="1"/>
  <c r="A445" i="163"/>
  <c r="A446" i="163" s="1"/>
  <c r="A447" i="163" s="1"/>
  <c r="A448" i="163" s="1"/>
  <c r="A443" i="163"/>
  <c r="A444" i="163" s="1"/>
  <c r="A450" i="163"/>
  <c r="A451" i="163" s="1"/>
  <c r="A458" i="163"/>
  <c r="A258" i="163"/>
  <c r="A259" i="163" s="1"/>
  <c r="A260" i="163"/>
  <c r="A261" i="163" s="1"/>
  <c r="A262" i="163" s="1"/>
  <c r="A263" i="163" s="1"/>
  <c r="A269" i="163"/>
  <c r="A270" i="163" s="1"/>
  <c r="A271" i="163" s="1"/>
  <c r="A272" i="163" s="1"/>
  <c r="A267" i="163"/>
  <c r="A268" i="163" s="1"/>
  <c r="A102" i="163"/>
  <c r="A103" i="163" s="1"/>
  <c r="A104" i="163" s="1"/>
  <c r="A105" i="163" s="1"/>
  <c r="A106" i="163" s="1"/>
  <c r="A107" i="163" s="1"/>
  <c r="A108" i="163" s="1"/>
  <c r="A100" i="163"/>
  <c r="A101" i="163" s="1"/>
  <c r="A274" i="163"/>
  <c r="A275" i="163" s="1"/>
  <c r="A282" i="163"/>
  <c r="A93" i="163"/>
  <c r="A94" i="163" s="1"/>
  <c r="A95" i="163" s="1"/>
  <c r="A96" i="163" s="1"/>
  <c r="A91" i="163"/>
  <c r="A92" i="163" s="1"/>
  <c r="BG1432" i="163" l="1"/>
  <c r="BH1432" i="163" s="1"/>
  <c r="D1853" i="163"/>
  <c r="AZ1852" i="163"/>
  <c r="BC1737" i="163"/>
  <c r="BC1630" i="163"/>
  <c r="BH1630" i="163" s="1"/>
  <c r="BC1805" i="163"/>
  <c r="BH1629" i="163"/>
  <c r="BD1638" i="163" s="1"/>
  <c r="BE1868" i="163"/>
  <c r="BF1868" i="163" s="1"/>
  <c r="BG1868" i="163"/>
  <c r="BH1868" i="163" s="1"/>
  <c r="AZ1903" i="163"/>
  <c r="D1904" i="163"/>
  <c r="D1739" i="163"/>
  <c r="AZ1738" i="163"/>
  <c r="D1750" i="163"/>
  <c r="AZ1749" i="163"/>
  <c r="BC1608" i="163"/>
  <c r="BA1784" i="163"/>
  <c r="BC1784" i="163" s="1"/>
  <c r="D1759" i="163"/>
  <c r="AZ1758" i="163"/>
  <c r="AZ1668" i="163"/>
  <c r="D1669" i="163"/>
  <c r="D1634" i="163"/>
  <c r="AZ1634" i="163" s="1"/>
  <c r="AZ1633" i="163"/>
  <c r="BH1454" i="163"/>
  <c r="D1678" i="163"/>
  <c r="AZ1677" i="163"/>
  <c r="D1794" i="163"/>
  <c r="AZ1794" i="163" s="1"/>
  <c r="AZ1793" i="163"/>
  <c r="D1693" i="163"/>
  <c r="AZ1692" i="163"/>
  <c r="D1826" i="163"/>
  <c r="AZ1825" i="163"/>
  <c r="AZ1861" i="163"/>
  <c r="D1862" i="163"/>
  <c r="D1687" i="163"/>
  <c r="AZ1686" i="163"/>
  <c r="D1934" i="163"/>
  <c r="AZ1933" i="163"/>
  <c r="BD1913" i="163"/>
  <c r="BD1915" i="163" s="1"/>
  <c r="BD1806" i="163"/>
  <c r="D1880" i="163"/>
  <c r="AZ1879" i="163"/>
  <c r="D1898" i="163"/>
  <c r="AZ1897" i="163"/>
  <c r="D1925" i="163"/>
  <c r="AZ1924" i="163"/>
  <c r="BE1656" i="163"/>
  <c r="BF1656" i="163" s="1"/>
  <c r="BG1656" i="163"/>
  <c r="BH1656" i="163" s="1"/>
  <c r="D1773" i="163"/>
  <c r="AZ1773" i="163" s="1"/>
  <c r="AZ1772" i="163"/>
  <c r="BG1563" i="163"/>
  <c r="BG1738" i="163"/>
  <c r="BH1562" i="163"/>
  <c r="AZ1728" i="163"/>
  <c r="D1729" i="163"/>
  <c r="D1868" i="163"/>
  <c r="AZ1867" i="163"/>
  <c r="BD1791" i="163"/>
  <c r="BG1791" i="163"/>
  <c r="BH1791" i="163" s="1"/>
  <c r="BE1791" i="163"/>
  <c r="BF1791" i="163" s="1"/>
  <c r="BB1915" i="163"/>
  <c r="AZ1919" i="163"/>
  <c r="AZ1843" i="163"/>
  <c r="D1844" i="163"/>
  <c r="D1714" i="163"/>
  <c r="AZ1713" i="163"/>
  <c r="BE1841" i="163"/>
  <c r="BF1841" i="163" s="1"/>
  <c r="BG1841" i="163"/>
  <c r="BH1841" i="163" s="1"/>
  <c r="BD1841" i="163"/>
  <c r="BC1832" i="163"/>
  <c r="BD1832" i="163"/>
  <c r="BE1895" i="163"/>
  <c r="BF1895" i="163" s="1"/>
  <c r="BG1895" i="163"/>
  <c r="BH1895" i="163" s="1"/>
  <c r="D1913" i="163"/>
  <c r="AZ1912" i="163"/>
  <c r="D1723" i="163"/>
  <c r="AZ1722" i="163"/>
  <c r="AZ1642" i="163"/>
  <c r="D1643" i="163"/>
  <c r="AZ1643" i="163" s="1"/>
  <c r="BG1850" i="163"/>
  <c r="BH1850" i="163" s="1"/>
  <c r="BE1850" i="163"/>
  <c r="BF1850" i="163" s="1"/>
  <c r="D1889" i="163"/>
  <c r="AZ1888" i="163"/>
  <c r="D1837" i="163"/>
  <c r="AZ1837" i="163" s="1"/>
  <c r="AZ1836" i="163"/>
  <c r="AZ1704" i="163"/>
  <c r="D1705" i="163"/>
  <c r="D1809" i="163"/>
  <c r="AZ1808" i="163"/>
  <c r="AZ1800" i="163"/>
  <c r="D1801" i="163"/>
  <c r="AZ1801" i="163" s="1"/>
  <c r="D1818" i="163"/>
  <c r="AZ1817" i="163"/>
  <c r="D1787" i="163"/>
  <c r="AZ1787" i="163" s="1"/>
  <c r="AZ1786" i="163"/>
  <c r="D1651" i="163"/>
  <c r="AZ1650" i="163"/>
  <c r="D1547" i="163"/>
  <c r="AZ1546" i="163"/>
  <c r="BH1561" i="163"/>
  <c r="D1563" i="163"/>
  <c r="AZ1562" i="163"/>
  <c r="D1372" i="163"/>
  <c r="AZ1372" i="163" s="1"/>
  <c r="AZ1371" i="163"/>
  <c r="D1343" i="163"/>
  <c r="AZ1342" i="163"/>
  <c r="D1538" i="163"/>
  <c r="AZ1537" i="163"/>
  <c r="D1399" i="163"/>
  <c r="AZ1399" i="163" s="1"/>
  <c r="AZ1398" i="163"/>
  <c r="D1493" i="163"/>
  <c r="AZ1492" i="163"/>
  <c r="D1574" i="163"/>
  <c r="AZ1573" i="163"/>
  <c r="AZ1474" i="163"/>
  <c r="D1475" i="163"/>
  <c r="D1529" i="163"/>
  <c r="AZ1528" i="163"/>
  <c r="D1583" i="163"/>
  <c r="AZ1582" i="163"/>
  <c r="AZ1510" i="163"/>
  <c r="D1511" i="163"/>
  <c r="D1408" i="163"/>
  <c r="AZ1408" i="163" s="1"/>
  <c r="AZ1407" i="163"/>
  <c r="AZ1353" i="163"/>
  <c r="D1354" i="163"/>
  <c r="AZ1354" i="163" s="1"/>
  <c r="D1554" i="163"/>
  <c r="AZ1553" i="163"/>
  <c r="D1336" i="163"/>
  <c r="AZ1336" i="163" s="1"/>
  <c r="AZ1335" i="163"/>
  <c r="D1327" i="163"/>
  <c r="AZ1327" i="163" s="1"/>
  <c r="AZ1326" i="163"/>
  <c r="D1458" i="163"/>
  <c r="AZ1458" i="163" s="1"/>
  <c r="AZ1457" i="163"/>
  <c r="D1300" i="163"/>
  <c r="AZ1300" i="163" s="1"/>
  <c r="AZ1299" i="163"/>
  <c r="D1379" i="163"/>
  <c r="AZ1378" i="163"/>
  <c r="BH1563" i="163"/>
  <c r="AZ1362" i="163"/>
  <c r="D1363" i="163"/>
  <c r="AZ1363" i="163" s="1"/>
  <c r="D1518" i="163"/>
  <c r="AZ1517" i="163"/>
  <c r="D1467" i="163"/>
  <c r="AZ1467" i="163" s="1"/>
  <c r="AZ1466" i="163"/>
  <c r="D1389" i="163"/>
  <c r="AZ1388" i="163"/>
  <c r="AZ1317" i="163"/>
  <c r="D1318" i="163"/>
  <c r="AZ1318" i="163" s="1"/>
  <c r="D1502" i="163"/>
  <c r="AZ1501" i="163"/>
  <c r="BG1480" i="163"/>
  <c r="BH1480" i="163" s="1"/>
  <c r="BE1480" i="163"/>
  <c r="BF1480" i="163" s="1"/>
  <c r="D1168" i="163"/>
  <c r="AZ1167" i="163"/>
  <c r="D1204" i="163"/>
  <c r="AZ1203" i="163"/>
  <c r="D1196" i="163"/>
  <c r="AZ1196" i="163" s="1"/>
  <c r="AZ1195" i="163"/>
  <c r="D1160" i="163"/>
  <c r="AZ1160" i="163" s="1"/>
  <c r="AZ1159" i="163"/>
  <c r="D1142" i="163"/>
  <c r="AZ1142" i="163" s="1"/>
  <c r="AZ1141" i="163"/>
  <c r="AZ1186" i="163"/>
  <c r="D1187" i="163"/>
  <c r="AZ1187" i="163" s="1"/>
  <c r="AZ1231" i="163"/>
  <c r="D1232" i="163"/>
  <c r="AZ1232" i="163" s="1"/>
  <c r="D1178" i="163"/>
  <c r="AZ1178" i="163" s="1"/>
  <c r="AZ1177" i="163"/>
  <c r="D1124" i="163"/>
  <c r="AZ1124" i="163" s="1"/>
  <c r="AZ1123" i="163"/>
  <c r="D1214" i="163"/>
  <c r="AZ1214" i="163" s="1"/>
  <c r="AZ1213" i="163"/>
  <c r="D1223" i="163"/>
  <c r="AZ1223" i="163" s="1"/>
  <c r="AZ1222" i="163"/>
  <c r="D1151" i="163"/>
  <c r="AZ1151" i="163" s="1"/>
  <c r="AZ1150" i="163"/>
  <c r="A1212" i="163"/>
  <c r="A1213" i="163" s="1"/>
  <c r="A1214" i="163" s="1"/>
  <c r="A1215" i="163" s="1"/>
  <c r="A1210" i="163"/>
  <c r="A1211" i="163" s="1"/>
  <c r="A1225" i="163"/>
  <c r="A1226" i="163" s="1"/>
  <c r="A1227" i="163" s="1"/>
  <c r="A1217" i="163"/>
  <c r="A1218" i="163" s="1"/>
  <c r="A1192" i="163"/>
  <c r="A1193" i="163" s="1"/>
  <c r="A1194" i="163"/>
  <c r="A1195" i="163" s="1"/>
  <c r="A1196" i="163" s="1"/>
  <c r="A1197" i="163" s="1"/>
  <c r="A1185" i="163"/>
  <c r="A1186" i="163" s="1"/>
  <c r="A1187" i="163" s="1"/>
  <c r="A1188" i="163" s="1"/>
  <c r="A1183" i="163"/>
  <c r="A1184" i="163" s="1"/>
  <c r="D1029" i="163"/>
  <c r="AZ1029" i="163" s="1"/>
  <c r="AZ1028" i="163"/>
  <c r="D1038" i="163"/>
  <c r="AZ1038" i="163" s="1"/>
  <c r="AZ1037" i="163"/>
  <c r="D1056" i="163"/>
  <c r="AZ1056" i="163" s="1"/>
  <c r="AZ1055" i="163"/>
  <c r="D1047" i="163"/>
  <c r="AZ1047" i="163" s="1"/>
  <c r="AZ1046" i="163"/>
  <c r="D1011" i="163"/>
  <c r="AZ1011" i="163" s="1"/>
  <c r="AZ1010" i="163"/>
  <c r="AZ992" i="163"/>
  <c r="D993" i="163"/>
  <c r="AZ993" i="163" s="1"/>
  <c r="D1020" i="163"/>
  <c r="AZ1020" i="163" s="1"/>
  <c r="AZ1019" i="163"/>
  <c r="D1002" i="163"/>
  <c r="AZ1002" i="163" s="1"/>
  <c r="AZ1001" i="163"/>
  <c r="D984" i="163"/>
  <c r="AZ984" i="163" s="1"/>
  <c r="AZ983" i="163"/>
  <c r="D975" i="163"/>
  <c r="AZ975" i="163" s="1"/>
  <c r="AZ974" i="163"/>
  <c r="D966" i="163"/>
  <c r="AZ966" i="163" s="1"/>
  <c r="AZ965" i="163"/>
  <c r="D948" i="163"/>
  <c r="AZ948" i="163" s="1"/>
  <c r="AZ947" i="163"/>
  <c r="A1025" i="163"/>
  <c r="A1026" i="163" s="1"/>
  <c r="A1027" i="163"/>
  <c r="A1028" i="163" s="1"/>
  <c r="A1029" i="163" s="1"/>
  <c r="A1030" i="163" s="1"/>
  <c r="A1040" i="163"/>
  <c r="A1032" i="163"/>
  <c r="A1033" i="163" s="1"/>
  <c r="A998" i="163"/>
  <c r="A999" i="163" s="1"/>
  <c r="A1000" i="163"/>
  <c r="A1001" i="163" s="1"/>
  <c r="A1002" i="163" s="1"/>
  <c r="A1003" i="163" s="1"/>
  <c r="A1013" i="163"/>
  <c r="A1014" i="163" s="1"/>
  <c r="A1015" i="163" s="1"/>
  <c r="A1005" i="163"/>
  <c r="A1006" i="163" s="1"/>
  <c r="A855" i="163"/>
  <c r="A847" i="163"/>
  <c r="A848" i="163" s="1"/>
  <c r="A820" i="163"/>
  <c r="A821" i="163" s="1"/>
  <c r="A828" i="163"/>
  <c r="A813" i="163"/>
  <c r="A814" i="163" s="1"/>
  <c r="A815" i="163"/>
  <c r="A816" i="163" s="1"/>
  <c r="A817" i="163" s="1"/>
  <c r="A818" i="163" s="1"/>
  <c r="A628" i="163"/>
  <c r="A629" i="163" s="1"/>
  <c r="A630" i="163"/>
  <c r="A631" i="163" s="1"/>
  <c r="A632" i="163" s="1"/>
  <c r="A633" i="163" s="1"/>
  <c r="A643" i="163"/>
  <c r="A670" i="163"/>
  <c r="A635" i="163"/>
  <c r="A636" i="163" s="1"/>
  <c r="A467" i="163"/>
  <c r="A494" i="163"/>
  <c r="A459" i="163"/>
  <c r="A460" i="163" s="1"/>
  <c r="A454" i="163"/>
  <c r="A455" i="163" s="1"/>
  <c r="A456" i="163" s="1"/>
  <c r="A457" i="163" s="1"/>
  <c r="A452" i="163"/>
  <c r="A453" i="163" s="1"/>
  <c r="A291" i="163"/>
  <c r="A318" i="163"/>
  <c r="A283" i="163"/>
  <c r="A284" i="163" s="1"/>
  <c r="A278" i="163"/>
  <c r="A279" i="163" s="1"/>
  <c r="A280" i="163" s="1"/>
  <c r="A281" i="163" s="1"/>
  <c r="A276" i="163"/>
  <c r="A277" i="163" s="1"/>
  <c r="A111" i="163"/>
  <c r="A112" i="163" s="1"/>
  <c r="A113" i="163" s="1"/>
  <c r="A114" i="163" s="1"/>
  <c r="A109" i="163"/>
  <c r="A110" i="163" s="1"/>
  <c r="D1869" i="163" l="1"/>
  <c r="AZ1868" i="163"/>
  <c r="BG1739" i="163"/>
  <c r="BG1914" i="163"/>
  <c r="BH1738" i="163"/>
  <c r="BE1608" i="163"/>
  <c r="BF1608" i="163" s="1"/>
  <c r="BD1608" i="163"/>
  <c r="BG1608" i="163"/>
  <c r="BH1608" i="163" s="1"/>
  <c r="D1890" i="163"/>
  <c r="AZ1889" i="163"/>
  <c r="D1914" i="163"/>
  <c r="AZ1913" i="163"/>
  <c r="BE1832" i="163"/>
  <c r="BF1832" i="163" s="1"/>
  <c r="BG1832" i="163"/>
  <c r="BH1832" i="163" s="1"/>
  <c r="D1730" i="163"/>
  <c r="AZ1729" i="163"/>
  <c r="D1899" i="163"/>
  <c r="AZ1898" i="163"/>
  <c r="D1688" i="163"/>
  <c r="AZ1688" i="163" s="1"/>
  <c r="AZ1687" i="163"/>
  <c r="D1827" i="163"/>
  <c r="AZ1826" i="163"/>
  <c r="D1740" i="163"/>
  <c r="AZ1739" i="163"/>
  <c r="BC1739" i="163"/>
  <c r="BH1737" i="163"/>
  <c r="D1652" i="163"/>
  <c r="AZ1652" i="163" s="1"/>
  <c r="AZ1651" i="163"/>
  <c r="AZ1818" i="163"/>
  <c r="D1819" i="163"/>
  <c r="AZ1819" i="163" s="1"/>
  <c r="D1810" i="163"/>
  <c r="AZ1810" i="163" s="1"/>
  <c r="AZ1809" i="163"/>
  <c r="AZ1714" i="163"/>
  <c r="D1715" i="163"/>
  <c r="AZ1715" i="163" s="1"/>
  <c r="D1863" i="163"/>
  <c r="AZ1862" i="163"/>
  <c r="D1760" i="163"/>
  <c r="AZ1760" i="163" s="1"/>
  <c r="AZ1759" i="163"/>
  <c r="D1905" i="163"/>
  <c r="AZ1904" i="163"/>
  <c r="D1706" i="163"/>
  <c r="AZ1706" i="163" s="1"/>
  <c r="AZ1705" i="163"/>
  <c r="D1724" i="163"/>
  <c r="AZ1724" i="163" s="1"/>
  <c r="AZ1723" i="163"/>
  <c r="D1845" i="163"/>
  <c r="AZ1844" i="163"/>
  <c r="AZ1925" i="163"/>
  <c r="D1926" i="163"/>
  <c r="D1881" i="163"/>
  <c r="AZ1880" i="163"/>
  <c r="D1935" i="163"/>
  <c r="AZ1934" i="163"/>
  <c r="D1694" i="163"/>
  <c r="AZ1693" i="163"/>
  <c r="D1679" i="163"/>
  <c r="AZ1679" i="163" s="1"/>
  <c r="AZ1678" i="163"/>
  <c r="D1670" i="163"/>
  <c r="AZ1670" i="163" s="1"/>
  <c r="AZ1669" i="163"/>
  <c r="BG1784" i="163"/>
  <c r="BH1784" i="163" s="1"/>
  <c r="BE1784" i="163"/>
  <c r="BF1784" i="163" s="1"/>
  <c r="BD1784" i="163"/>
  <c r="D1751" i="163"/>
  <c r="AZ1751" i="163" s="1"/>
  <c r="AZ1750" i="163"/>
  <c r="BC1913" i="163"/>
  <c r="BC1806" i="163"/>
  <c r="BH1806" i="163" s="1"/>
  <c r="BH1805" i="163"/>
  <c r="BD1814" i="163" s="1"/>
  <c r="D1854" i="163"/>
  <c r="AZ1853" i="163"/>
  <c r="D1476" i="163"/>
  <c r="AZ1476" i="163" s="1"/>
  <c r="AZ1475" i="163"/>
  <c r="AZ1379" i="163"/>
  <c r="D1380" i="163"/>
  <c r="D1530" i="163"/>
  <c r="AZ1530" i="163" s="1"/>
  <c r="AZ1529" i="163"/>
  <c r="AZ1343" i="163"/>
  <c r="D1344" i="163"/>
  <c r="D1555" i="163"/>
  <c r="AZ1554" i="163"/>
  <c r="D1584" i="163"/>
  <c r="AZ1584" i="163" s="1"/>
  <c r="AZ1583" i="163"/>
  <c r="D1494" i="163"/>
  <c r="AZ1494" i="163" s="1"/>
  <c r="AZ1493" i="163"/>
  <c r="D1539" i="163"/>
  <c r="AZ1539" i="163" s="1"/>
  <c r="AZ1538" i="163"/>
  <c r="D1575" i="163"/>
  <c r="AZ1575" i="163" s="1"/>
  <c r="AZ1574" i="163"/>
  <c r="D1564" i="163"/>
  <c r="AZ1563" i="163"/>
  <c r="AZ1502" i="163"/>
  <c r="D1503" i="163"/>
  <c r="AZ1503" i="163" s="1"/>
  <c r="D1390" i="163"/>
  <c r="AZ1390" i="163" s="1"/>
  <c r="AZ1389" i="163"/>
  <c r="D1519" i="163"/>
  <c r="AZ1518" i="163"/>
  <c r="AZ1511" i="163"/>
  <c r="D1512" i="163"/>
  <c r="AZ1512" i="163" s="1"/>
  <c r="D1548" i="163"/>
  <c r="AZ1548" i="163" s="1"/>
  <c r="AZ1547" i="163"/>
  <c r="D1205" i="163"/>
  <c r="AZ1205" i="163" s="1"/>
  <c r="AZ1204" i="163"/>
  <c r="D1169" i="163"/>
  <c r="AZ1169" i="163" s="1"/>
  <c r="AZ1168" i="163"/>
  <c r="A1219" i="163"/>
  <c r="A1220" i="163" s="1"/>
  <c r="A1221" i="163"/>
  <c r="A1222" i="163" s="1"/>
  <c r="A1223" i="163" s="1"/>
  <c r="A1224" i="163" s="1"/>
  <c r="A1230" i="163"/>
  <c r="A1231" i="163" s="1"/>
  <c r="A1232" i="163" s="1"/>
  <c r="A1233" i="163" s="1"/>
  <c r="A1228" i="163"/>
  <c r="A1229" i="163" s="1"/>
  <c r="A1007" i="163"/>
  <c r="A1008" i="163" s="1"/>
  <c r="A1009" i="163"/>
  <c r="A1010" i="163" s="1"/>
  <c r="A1011" i="163" s="1"/>
  <c r="A1012" i="163" s="1"/>
  <c r="A1036" i="163"/>
  <c r="A1037" i="163" s="1"/>
  <c r="A1038" i="163" s="1"/>
  <c r="A1039" i="163" s="1"/>
  <c r="A1034" i="163"/>
  <c r="A1035" i="163" s="1"/>
  <c r="A1018" i="163"/>
  <c r="A1019" i="163" s="1"/>
  <c r="A1020" i="163" s="1"/>
  <c r="A1021" i="163" s="1"/>
  <c r="A1016" i="163"/>
  <c r="A1017" i="163" s="1"/>
  <c r="A1049" i="163"/>
  <c r="A1050" i="163" s="1"/>
  <c r="A1051" i="163" s="1"/>
  <c r="A1041" i="163"/>
  <c r="A1042" i="163" s="1"/>
  <c r="A824" i="163"/>
  <c r="A825" i="163" s="1"/>
  <c r="A826" i="163" s="1"/>
  <c r="A827" i="163" s="1"/>
  <c r="A822" i="163"/>
  <c r="A823" i="163" s="1"/>
  <c r="A849" i="163"/>
  <c r="A850" i="163" s="1"/>
  <c r="A851" i="163"/>
  <c r="A852" i="163" s="1"/>
  <c r="A853" i="163" s="1"/>
  <c r="A854" i="163" s="1"/>
  <c r="A829" i="163"/>
  <c r="A830" i="163" s="1"/>
  <c r="A837" i="163"/>
  <c r="A838" i="163" s="1"/>
  <c r="A839" i="163" s="1"/>
  <c r="A864" i="163"/>
  <c r="A856" i="163"/>
  <c r="A857" i="163" s="1"/>
  <c r="A679" i="163"/>
  <c r="A671" i="163"/>
  <c r="A672" i="163" s="1"/>
  <c r="A644" i="163"/>
  <c r="A645" i="163" s="1"/>
  <c r="A652" i="163"/>
  <c r="A639" i="163"/>
  <c r="A640" i="163" s="1"/>
  <c r="A641" i="163" s="1"/>
  <c r="A642" i="163" s="1"/>
  <c r="A637" i="163"/>
  <c r="A638" i="163" s="1"/>
  <c r="A461" i="163"/>
  <c r="A462" i="163" s="1"/>
  <c r="A463" i="163"/>
  <c r="A464" i="163" s="1"/>
  <c r="A465" i="163" s="1"/>
  <c r="A466" i="163" s="1"/>
  <c r="A503" i="163"/>
  <c r="A495" i="163"/>
  <c r="A496" i="163" s="1"/>
  <c r="A468" i="163"/>
  <c r="A469" i="163" s="1"/>
  <c r="A476" i="163"/>
  <c r="A285" i="163"/>
  <c r="A286" i="163" s="1"/>
  <c r="A287" i="163"/>
  <c r="A288" i="163" s="1"/>
  <c r="A289" i="163" s="1"/>
  <c r="A290" i="163" s="1"/>
  <c r="A142" i="163"/>
  <c r="A143" i="163" s="1"/>
  <c r="A144" i="163" s="1"/>
  <c r="A115" i="163"/>
  <c r="A116" i="163" s="1"/>
  <c r="A117" i="163" s="1"/>
  <c r="A327" i="163"/>
  <c r="A319" i="163"/>
  <c r="A320" i="163" s="1"/>
  <c r="A300" i="163"/>
  <c r="A292" i="163"/>
  <c r="A293" i="163" s="1"/>
  <c r="BH1739" i="163" l="1"/>
  <c r="D1855" i="163"/>
  <c r="AZ1855" i="163" s="1"/>
  <c r="AZ1854" i="163"/>
  <c r="AZ1935" i="163"/>
  <c r="D1936" i="163"/>
  <c r="AZ1936" i="163" s="1"/>
  <c r="BG1915" i="163"/>
  <c r="BH1914" i="163"/>
  <c r="D1906" i="163"/>
  <c r="AZ1905" i="163"/>
  <c r="AZ1863" i="163"/>
  <c r="D1864" i="163"/>
  <c r="AZ1864" i="163" s="1"/>
  <c r="D1741" i="163"/>
  <c r="AZ1740" i="163"/>
  <c r="D1731" i="163"/>
  <c r="AZ1730" i="163"/>
  <c r="AZ1914" i="163"/>
  <c r="D1915" i="163"/>
  <c r="D1695" i="163"/>
  <c r="AZ1694" i="163"/>
  <c r="D1882" i="163"/>
  <c r="AZ1882" i="163" s="1"/>
  <c r="AZ1881" i="163"/>
  <c r="BC1915" i="163"/>
  <c r="BH1915" i="163" s="1"/>
  <c r="BH1913" i="163"/>
  <c r="D1927" i="163"/>
  <c r="AZ1927" i="163" s="1"/>
  <c r="AZ1926" i="163"/>
  <c r="D1846" i="163"/>
  <c r="AZ1846" i="163" s="1"/>
  <c r="AZ1845" i="163"/>
  <c r="D1828" i="163"/>
  <c r="AZ1828" i="163" s="1"/>
  <c r="AZ1827" i="163"/>
  <c r="D1900" i="163"/>
  <c r="AZ1900" i="163" s="1"/>
  <c r="AZ1899" i="163"/>
  <c r="D1891" i="163"/>
  <c r="AZ1891" i="163" s="1"/>
  <c r="AZ1890" i="163"/>
  <c r="D1870" i="163"/>
  <c r="AZ1869" i="163"/>
  <c r="D1345" i="163"/>
  <c r="AZ1345" i="163" s="1"/>
  <c r="AZ1344" i="163"/>
  <c r="D1381" i="163"/>
  <c r="AZ1381" i="163" s="1"/>
  <c r="AZ1380" i="163"/>
  <c r="D1565" i="163"/>
  <c r="AZ1564" i="163"/>
  <c r="D1520" i="163"/>
  <c r="AZ1519" i="163"/>
  <c r="D1556" i="163"/>
  <c r="AZ1555" i="163"/>
  <c r="A1043" i="163"/>
  <c r="A1044" i="163" s="1"/>
  <c r="A1045" i="163"/>
  <c r="A1046" i="163" s="1"/>
  <c r="A1047" i="163" s="1"/>
  <c r="A1048" i="163" s="1"/>
  <c r="A1054" i="163"/>
  <c r="A1055" i="163" s="1"/>
  <c r="A1056" i="163" s="1"/>
  <c r="A1057" i="163" s="1"/>
  <c r="A1052" i="163"/>
  <c r="A1053" i="163" s="1"/>
  <c r="A873" i="163"/>
  <c r="A874" i="163" s="1"/>
  <c r="A875" i="163" s="1"/>
  <c r="A865" i="163"/>
  <c r="A866" i="163" s="1"/>
  <c r="A860" i="163"/>
  <c r="A861" i="163" s="1"/>
  <c r="A862" i="163" s="1"/>
  <c r="A863" i="163" s="1"/>
  <c r="A858" i="163"/>
  <c r="A859" i="163" s="1"/>
  <c r="A840" i="163"/>
  <c r="A841" i="163" s="1"/>
  <c r="A842" i="163"/>
  <c r="A843" i="163" s="1"/>
  <c r="A844" i="163" s="1"/>
  <c r="A845" i="163" s="1"/>
  <c r="A833" i="163"/>
  <c r="A834" i="163" s="1"/>
  <c r="A835" i="163" s="1"/>
  <c r="A836" i="163" s="1"/>
  <c r="A831" i="163"/>
  <c r="A832" i="163" s="1"/>
  <c r="A653" i="163"/>
  <c r="A654" i="163" s="1"/>
  <c r="A661" i="163"/>
  <c r="A662" i="163" s="1"/>
  <c r="A663" i="163" s="1"/>
  <c r="A648" i="163"/>
  <c r="A649" i="163" s="1"/>
  <c r="A650" i="163" s="1"/>
  <c r="A651" i="163" s="1"/>
  <c r="A646" i="163"/>
  <c r="A647" i="163" s="1"/>
  <c r="A673" i="163"/>
  <c r="A674" i="163" s="1"/>
  <c r="A675" i="163"/>
  <c r="A676" i="163" s="1"/>
  <c r="A677" i="163" s="1"/>
  <c r="A678" i="163" s="1"/>
  <c r="A688" i="163"/>
  <c r="A680" i="163"/>
  <c r="A681" i="163" s="1"/>
  <c r="A497" i="163"/>
  <c r="A498" i="163" s="1"/>
  <c r="A499" i="163"/>
  <c r="A500" i="163" s="1"/>
  <c r="A501" i="163" s="1"/>
  <c r="A502" i="163" s="1"/>
  <c r="A512" i="163"/>
  <c r="A504" i="163"/>
  <c r="A505" i="163" s="1"/>
  <c r="A477" i="163"/>
  <c r="A478" i="163" s="1"/>
  <c r="A485" i="163"/>
  <c r="A486" i="163" s="1"/>
  <c r="A487" i="163" s="1"/>
  <c r="A472" i="163"/>
  <c r="A473" i="163" s="1"/>
  <c r="A474" i="163" s="1"/>
  <c r="A475" i="163" s="1"/>
  <c r="A470" i="163"/>
  <c r="A471" i="163" s="1"/>
  <c r="A294" i="163"/>
  <c r="A295" i="163" s="1"/>
  <c r="A296" i="163"/>
  <c r="A297" i="163" s="1"/>
  <c r="A298" i="163" s="1"/>
  <c r="A299" i="163" s="1"/>
  <c r="A120" i="163"/>
  <c r="A121" i="163" s="1"/>
  <c r="A122" i="163" s="1"/>
  <c r="A123" i="163" s="1"/>
  <c r="A124" i="163" s="1"/>
  <c r="A125" i="163" s="1"/>
  <c r="A126" i="163" s="1"/>
  <c r="A118" i="163"/>
  <c r="A119" i="163" s="1"/>
  <c r="A301" i="163"/>
  <c r="A302" i="163" s="1"/>
  <c r="A309" i="163"/>
  <c r="A310" i="163" s="1"/>
  <c r="A311" i="163" s="1"/>
  <c r="A147" i="163"/>
  <c r="A148" i="163" s="1"/>
  <c r="A149" i="163" s="1"/>
  <c r="A150" i="163" s="1"/>
  <c r="A151" i="163" s="1"/>
  <c r="A145" i="163"/>
  <c r="A146" i="163" s="1"/>
  <c r="A321" i="163"/>
  <c r="A322" i="163" s="1"/>
  <c r="A323" i="163"/>
  <c r="A324" i="163" s="1"/>
  <c r="A325" i="163" s="1"/>
  <c r="A326" i="163" s="1"/>
  <c r="A336" i="163"/>
  <c r="A328" i="163"/>
  <c r="A329" i="163" s="1"/>
  <c r="D1916" i="163" l="1"/>
  <c r="AZ1915" i="163"/>
  <c r="AZ1741" i="163"/>
  <c r="D1742" i="163"/>
  <c r="AZ1742" i="163" s="1"/>
  <c r="D1907" i="163"/>
  <c r="AZ1906" i="163"/>
  <c r="D1871" i="163"/>
  <c r="AZ1870" i="163"/>
  <c r="D1696" i="163"/>
  <c r="AZ1695" i="163"/>
  <c r="D1732" i="163"/>
  <c r="AZ1731" i="163"/>
  <c r="D1521" i="163"/>
  <c r="AZ1521" i="163" s="1"/>
  <c r="AZ1520" i="163"/>
  <c r="D1557" i="163"/>
  <c r="AZ1557" i="163" s="1"/>
  <c r="AZ1556" i="163"/>
  <c r="D1566" i="163"/>
  <c r="AZ1566" i="163" s="1"/>
  <c r="AZ1565" i="163"/>
  <c r="A867" i="163"/>
  <c r="A868" i="163" s="1"/>
  <c r="A869" i="163"/>
  <c r="A870" i="163" s="1"/>
  <c r="A871" i="163" s="1"/>
  <c r="A872" i="163" s="1"/>
  <c r="A878" i="163"/>
  <c r="A879" i="163" s="1"/>
  <c r="A880" i="163" s="1"/>
  <c r="A881" i="163" s="1"/>
  <c r="A876" i="163"/>
  <c r="A877" i="163" s="1"/>
  <c r="A684" i="163"/>
  <c r="A685" i="163" s="1"/>
  <c r="A686" i="163" s="1"/>
  <c r="A687" i="163" s="1"/>
  <c r="A682" i="163"/>
  <c r="A683" i="163" s="1"/>
  <c r="A697" i="163"/>
  <c r="A698" i="163" s="1"/>
  <c r="A699" i="163" s="1"/>
  <c r="A689" i="163"/>
  <c r="A690" i="163" s="1"/>
  <c r="A664" i="163"/>
  <c r="A665" i="163" s="1"/>
  <c r="A666" i="163"/>
  <c r="A667" i="163" s="1"/>
  <c r="A668" i="163" s="1"/>
  <c r="A669" i="163" s="1"/>
  <c r="A657" i="163"/>
  <c r="A658" i="163" s="1"/>
  <c r="A659" i="163" s="1"/>
  <c r="A660" i="163" s="1"/>
  <c r="A655" i="163"/>
  <c r="A656" i="163" s="1"/>
  <c r="A508" i="163"/>
  <c r="A509" i="163" s="1"/>
  <c r="A510" i="163" s="1"/>
  <c r="A511" i="163" s="1"/>
  <c r="A506" i="163"/>
  <c r="A507" i="163" s="1"/>
  <c r="A521" i="163"/>
  <c r="A522" i="163" s="1"/>
  <c r="A523" i="163" s="1"/>
  <c r="A513" i="163"/>
  <c r="A514" i="163" s="1"/>
  <c r="A488" i="163"/>
  <c r="A489" i="163" s="1"/>
  <c r="A490" i="163"/>
  <c r="A491" i="163" s="1"/>
  <c r="A492" i="163" s="1"/>
  <c r="A493" i="163" s="1"/>
  <c r="A481" i="163"/>
  <c r="A482" i="163" s="1"/>
  <c r="A483" i="163" s="1"/>
  <c r="A484" i="163" s="1"/>
  <c r="A479" i="163"/>
  <c r="A480" i="163" s="1"/>
  <c r="A332" i="163"/>
  <c r="A333" i="163" s="1"/>
  <c r="A334" i="163" s="1"/>
  <c r="A335" i="163" s="1"/>
  <c r="A330" i="163"/>
  <c r="A331" i="163" s="1"/>
  <c r="A345" i="163"/>
  <c r="A346" i="163" s="1"/>
  <c r="A347" i="163" s="1"/>
  <c r="A337" i="163"/>
  <c r="A338" i="163" s="1"/>
  <c r="A152" i="163"/>
  <c r="A153" i="163" s="1"/>
  <c r="A160" i="163"/>
  <c r="A129" i="163"/>
  <c r="A130" i="163" s="1"/>
  <c r="A131" i="163" s="1"/>
  <c r="A132" i="163" s="1"/>
  <c r="A133" i="163" s="1"/>
  <c r="A134" i="163" s="1"/>
  <c r="A135" i="163" s="1"/>
  <c r="A127" i="163"/>
  <c r="A128" i="163" s="1"/>
  <c r="A312" i="163"/>
  <c r="A313" i="163" s="1"/>
  <c r="A314" i="163"/>
  <c r="A315" i="163" s="1"/>
  <c r="A316" i="163" s="1"/>
  <c r="A317" i="163" s="1"/>
  <c r="A305" i="163"/>
  <c r="A306" i="163" s="1"/>
  <c r="A307" i="163" s="1"/>
  <c r="A308" i="163" s="1"/>
  <c r="A303" i="163"/>
  <c r="A304" i="163" s="1"/>
  <c r="D1733" i="163" l="1"/>
  <c r="AZ1733" i="163" s="1"/>
  <c r="AZ1732" i="163"/>
  <c r="D1872" i="163"/>
  <c r="AZ1871" i="163"/>
  <c r="D1697" i="163"/>
  <c r="AZ1697" i="163" s="1"/>
  <c r="AZ1696" i="163"/>
  <c r="D1908" i="163"/>
  <c r="AZ1907" i="163"/>
  <c r="AZ1916" i="163"/>
  <c r="D1917" i="163"/>
  <c r="A691" i="163"/>
  <c r="A692" i="163" s="1"/>
  <c r="A693" i="163"/>
  <c r="A694" i="163" s="1"/>
  <c r="A695" i="163" s="1"/>
  <c r="A696" i="163" s="1"/>
  <c r="A702" i="163"/>
  <c r="A703" i="163" s="1"/>
  <c r="A704" i="163" s="1"/>
  <c r="A705" i="163" s="1"/>
  <c r="A700" i="163"/>
  <c r="A701" i="163" s="1"/>
  <c r="A515" i="163"/>
  <c r="A516" i="163" s="1"/>
  <c r="A517" i="163"/>
  <c r="A518" i="163" s="1"/>
  <c r="A519" i="163" s="1"/>
  <c r="A520" i="163" s="1"/>
  <c r="A526" i="163"/>
  <c r="A527" i="163" s="1"/>
  <c r="A528" i="163" s="1"/>
  <c r="A529" i="163" s="1"/>
  <c r="A524" i="163"/>
  <c r="A525" i="163" s="1"/>
  <c r="A339" i="163"/>
  <c r="A340" i="163" s="1"/>
  <c r="A341" i="163"/>
  <c r="A342" i="163" s="1"/>
  <c r="A343" i="163" s="1"/>
  <c r="A344" i="163" s="1"/>
  <c r="A138" i="163"/>
  <c r="A139" i="163" s="1"/>
  <c r="A140" i="163" s="1"/>
  <c r="A141" i="163" s="1"/>
  <c r="A136" i="163"/>
  <c r="A137" i="163" s="1"/>
  <c r="A350" i="163"/>
  <c r="A351" i="163" s="1"/>
  <c r="A352" i="163" s="1"/>
  <c r="A353" i="163" s="1"/>
  <c r="A348" i="163"/>
  <c r="A349" i="163" s="1"/>
  <c r="A161" i="163"/>
  <c r="A162" i="163" s="1"/>
  <c r="A169" i="163"/>
  <c r="A170" i="163" s="1"/>
  <c r="A171" i="163" s="1"/>
  <c r="A154" i="163"/>
  <c r="A155" i="163" s="1"/>
  <c r="A156" i="163"/>
  <c r="A157" i="163" s="1"/>
  <c r="A158" i="163" s="1"/>
  <c r="A159" i="163" s="1"/>
  <c r="D1909" i="163" l="1"/>
  <c r="AZ1909" i="163" s="1"/>
  <c r="AZ1908" i="163"/>
  <c r="D1873" i="163"/>
  <c r="AZ1873" i="163" s="1"/>
  <c r="AZ1872" i="163"/>
  <c r="D1918" i="163"/>
  <c r="AZ1918" i="163" s="1"/>
  <c r="AZ1917" i="163"/>
  <c r="A174" i="163"/>
  <c r="A175" i="163" s="1"/>
  <c r="A176" i="163" s="1"/>
  <c r="A177" i="163" s="1"/>
  <c r="A172" i="163"/>
  <c r="A173" i="163" s="1"/>
  <c r="A165" i="163"/>
  <c r="A166" i="163" s="1"/>
  <c r="A167" i="163" s="1"/>
  <c r="A168" i="163" s="1"/>
  <c r="A163" i="163"/>
  <c r="A164" i="163" s="1"/>
</calcChain>
</file>

<file path=xl/sharedStrings.xml><?xml version="1.0" encoding="utf-8"?>
<sst xmlns="http://schemas.openxmlformats.org/spreadsheetml/2006/main" count="3557" uniqueCount="404">
  <si>
    <t>Punterez</t>
  </si>
  <si>
    <t>Tela Yapıştırma</t>
  </si>
  <si>
    <t>AHMET AYGIN</t>
  </si>
  <si>
    <t>Yaka Dikim</t>
  </si>
  <si>
    <t>Yaka Tıktık</t>
  </si>
  <si>
    <t>ALİYE PINAR</t>
  </si>
  <si>
    <t>Etek Man. Dik.</t>
  </si>
  <si>
    <t>Kol Man. Dik.</t>
  </si>
  <si>
    <t>AYŞE ADADA</t>
  </si>
  <si>
    <t>Yaka Takma</t>
  </si>
  <si>
    <t>Ense Biye</t>
  </si>
  <si>
    <t>AYŞENUR YETER</t>
  </si>
  <si>
    <t>Kol Reçme</t>
  </si>
  <si>
    <t>Etiket Takma</t>
  </si>
  <si>
    <t>BAİSE KURTULDU</t>
  </si>
  <si>
    <t>Omuz Çatma</t>
  </si>
  <si>
    <t>BENGİ ÖZTÜRK</t>
  </si>
  <si>
    <t>Yaka Biye</t>
  </si>
  <si>
    <t>2. Omuz</t>
  </si>
  <si>
    <t>Yaka Basma</t>
  </si>
  <si>
    <t>Yaka Punterez</t>
  </si>
  <si>
    <t>Kol Takma</t>
  </si>
  <si>
    <t>DERYA KESKİN</t>
  </si>
  <si>
    <t>Yan Kapama</t>
  </si>
  <si>
    <t>EBRU CANSU</t>
  </si>
  <si>
    <t>Yıkama Takma</t>
  </si>
  <si>
    <t>Etek Reçme</t>
  </si>
  <si>
    <t>Çevirme</t>
  </si>
  <si>
    <t>EMİNE GAPAYLAR</t>
  </si>
  <si>
    <t>Ütü</t>
  </si>
  <si>
    <t>Kalite</t>
  </si>
  <si>
    <t>ESRA DURSUN</t>
  </si>
  <si>
    <t>Kol Man. Takma</t>
  </si>
  <si>
    <t>Etek Man. Takma</t>
  </si>
  <si>
    <t>FADİME SAATÇİ</t>
  </si>
  <si>
    <t>Kol. Man. Çevir.</t>
  </si>
  <si>
    <t>FARUK BİÇER</t>
  </si>
  <si>
    <t>Etek Man.Çevir.</t>
  </si>
  <si>
    <t>FATMA BALCI</t>
  </si>
  <si>
    <t>Yaka Çıma</t>
  </si>
  <si>
    <t>FATMA KIZILTAN</t>
  </si>
  <si>
    <t>Kol Çıma</t>
  </si>
  <si>
    <t>FUNDA ECE KARABULUT</t>
  </si>
  <si>
    <t>Etek Çıma</t>
  </si>
  <si>
    <t>GÜLCAN MUHTANCI</t>
  </si>
  <si>
    <t>Süs Etiketi</t>
  </si>
  <si>
    <t>GÜLER SAĞCAN</t>
  </si>
  <si>
    <t>Yıkama Hazırlama</t>
  </si>
  <si>
    <t>HANİFE BOZKURT</t>
  </si>
  <si>
    <t>Yaka İç Dikiş</t>
  </si>
  <si>
    <t>Kol İç Dikiş</t>
  </si>
  <si>
    <t>Yaka Karyoka</t>
  </si>
  <si>
    <t>HATİCE ÖZDİL</t>
  </si>
  <si>
    <t>Kol Karyoka</t>
  </si>
  <si>
    <t>HAVA SUBAŞI</t>
  </si>
  <si>
    <t>Kol Tıktık</t>
  </si>
  <si>
    <t>HAZİME AVCİ</t>
  </si>
  <si>
    <t>Tela Tıktık</t>
  </si>
  <si>
    <t>Lastik Kesme</t>
  </si>
  <si>
    <t>Lastik Dikme</t>
  </si>
  <si>
    <t>KADER ÖNLÜ</t>
  </si>
  <si>
    <t>İç Ağ Birleştirme</t>
  </si>
  <si>
    <t>LEYLA ERDOĞAN</t>
  </si>
  <si>
    <t>Paça Reçme</t>
  </si>
  <si>
    <t>MEHMET SAĞ</t>
  </si>
  <si>
    <t>Ag Kapama</t>
  </si>
  <si>
    <t>MELAHAT EROL</t>
  </si>
  <si>
    <t>Lastik Takma</t>
  </si>
  <si>
    <t>MUSTAFA KARATAŞ</t>
  </si>
  <si>
    <t>Kemer Reçme</t>
  </si>
  <si>
    <t>MÜNEVER ÖZKAN</t>
  </si>
  <si>
    <t>İç Ağ Punterez</t>
  </si>
  <si>
    <t>NECLA KOÇ</t>
  </si>
  <si>
    <t>Paça Punterez</t>
  </si>
  <si>
    <t>NEDİME KÖSE</t>
  </si>
  <si>
    <t>Omuzdan Biye</t>
  </si>
  <si>
    <t>NERMİN SERT</t>
  </si>
  <si>
    <t>Biye Basma</t>
  </si>
  <si>
    <t>NEZAHAT ALTIN</t>
  </si>
  <si>
    <t>Kol Tutturma</t>
  </si>
  <si>
    <t>Kol Reçme Kısa</t>
  </si>
  <si>
    <t>Kol Reçme Uzun</t>
  </si>
  <si>
    <t>1. Yan Kapama</t>
  </si>
  <si>
    <t>SAFİYE ÇAKMAK</t>
  </si>
  <si>
    <t>2. Yan Kapama</t>
  </si>
  <si>
    <t>SELDA TAŞ</t>
  </si>
  <si>
    <t>Kol Evi Takip</t>
  </si>
  <si>
    <t>SEMRA ARAZ</t>
  </si>
  <si>
    <t>Yaka Biye Basma</t>
  </si>
  <si>
    <t>Kemer İç Dikiş</t>
  </si>
  <si>
    <t>SERPİL ÇİMEN</t>
  </si>
  <si>
    <t>Kemer Hazırlık</t>
  </si>
  <si>
    <t>SEVGİ APALAK</t>
  </si>
  <si>
    <t>Kemer Çıma</t>
  </si>
  <si>
    <t>SEVİNÇ KUNDAKÇI</t>
  </si>
  <si>
    <t>Ağ Kapama Tulum</t>
  </si>
  <si>
    <t>Kemer Takma</t>
  </si>
  <si>
    <t>SEZER BOZKURT</t>
  </si>
  <si>
    <t>Kol Ucu Punterez</t>
  </si>
  <si>
    <t>SONGÜL BARLAS</t>
  </si>
  <si>
    <t>Etiket Hazırlama</t>
  </si>
  <si>
    <t>Yaka Orta Takip</t>
  </si>
  <si>
    <t>ŞEFİKA KESKİN</t>
  </si>
  <si>
    <t>Kol Evi Orta Takip</t>
  </si>
  <si>
    <t>VERONICA ZAMBILOIU</t>
  </si>
  <si>
    <t>Kol Ucu Orta Takip</t>
  </si>
  <si>
    <t>ZAHİDE B. KARABULUT</t>
  </si>
  <si>
    <t>Etek Orta Takip</t>
  </si>
  <si>
    <t>Punterez Etek ve Yaka</t>
  </si>
  <si>
    <t>92 BEDEN</t>
  </si>
  <si>
    <t>Karton Etiket</t>
  </si>
  <si>
    <t>98/104 BEDEN</t>
  </si>
  <si>
    <t>Etiket Baskı</t>
  </si>
  <si>
    <t>104 BEDEN</t>
  </si>
  <si>
    <t>Kol Sürfle</t>
  </si>
  <si>
    <t>110/116 BEDEN</t>
  </si>
  <si>
    <t>Etek Sürfle</t>
  </si>
  <si>
    <t>122/128 BEDEN</t>
  </si>
  <si>
    <t>Brit Tutturma</t>
  </si>
  <si>
    <t>134/140 BEDEN</t>
  </si>
  <si>
    <t>Kart Takma</t>
  </si>
  <si>
    <t>146/152 BEDEN</t>
  </si>
  <si>
    <t>Alarm Takma</t>
  </si>
  <si>
    <t>Katlama</t>
  </si>
  <si>
    <t>Poşetleme</t>
  </si>
  <si>
    <t>Kart Hazırlama</t>
  </si>
  <si>
    <t>Ön Ağ Birleştirme</t>
  </si>
  <si>
    <t>Arka Ağ Birleştirme</t>
  </si>
  <si>
    <t>Lastik İşaret</t>
  </si>
  <si>
    <t>Paça Sürfle</t>
  </si>
  <si>
    <t>Kemer Tutturma</t>
  </si>
  <si>
    <t>Yaka Man. Çev.</t>
  </si>
  <si>
    <t>Yaka Tutturma</t>
  </si>
  <si>
    <t>Yaka Silikon</t>
  </si>
  <si>
    <t>Kol Silikon</t>
  </si>
  <si>
    <t>Etek Silikon</t>
  </si>
  <si>
    <t>Kitleme Dikişi</t>
  </si>
  <si>
    <t>Kol Altı Punterez</t>
  </si>
  <si>
    <t>Etek ve Yaka Punterez</t>
  </si>
  <si>
    <t>Ön Pile</t>
  </si>
  <si>
    <t>Arka Pens</t>
  </si>
  <si>
    <t>Cep Torbalama</t>
  </si>
  <si>
    <t>Cep Ağzı Tutturma</t>
  </si>
  <si>
    <t>Cep Ağzı Çıma</t>
  </si>
  <si>
    <t>Cep Torba Tutturma</t>
  </si>
  <si>
    <t>Ön Çıma</t>
  </si>
  <si>
    <t>İç Paça Birleştirme</t>
  </si>
  <si>
    <t>Ağ birleştirme</t>
  </si>
  <si>
    <t>İlik Açma</t>
  </si>
  <si>
    <t>Kordon Geçirme</t>
  </si>
  <si>
    <t>Kordon Ucu Punterez</t>
  </si>
  <si>
    <t>Kordon Tutturma</t>
  </si>
  <si>
    <t>Turuncu Kol Reçme</t>
  </si>
  <si>
    <t>Mavi Kol Reçme</t>
  </si>
  <si>
    <t>Turuncu Kol Takma</t>
  </si>
  <si>
    <t>Mavi Kol Takma</t>
  </si>
  <si>
    <t>Turuncu Yan Kapama</t>
  </si>
  <si>
    <t>Mavi Yan Kapama</t>
  </si>
  <si>
    <t>Beyaz Yan Kapama</t>
  </si>
  <si>
    <t>Fiyonk Takma 1</t>
  </si>
  <si>
    <t>Fiyonk Takma 2</t>
  </si>
  <si>
    <t>BANT GİRİŞ</t>
  </si>
  <si>
    <t>ÇEVİRME BEDEN</t>
  </si>
  <si>
    <t>TARİH</t>
  </si>
  <si>
    <t>OPERASYON</t>
  </si>
  <si>
    <t>PERSONEL</t>
  </si>
  <si>
    <t>SAATLİK HEDEF</t>
  </si>
  <si>
    <t>DETAYLAR</t>
  </si>
  <si>
    <t>Tarih</t>
  </si>
  <si>
    <t>Order</t>
  </si>
  <si>
    <t>Tamir</t>
  </si>
  <si>
    <t>Başka İş</t>
  </si>
  <si>
    <t>Bobin Kaçtı</t>
  </si>
  <si>
    <t>Model</t>
  </si>
  <si>
    <t>İğne Kırık</t>
  </si>
  <si>
    <t>İş Bekleme</t>
  </si>
  <si>
    <t>Sipariş Adedi</t>
  </si>
  <si>
    <t>İş Bozuk</t>
  </si>
  <si>
    <t>Mak.Tamir</t>
  </si>
  <si>
    <t>Dikim Hedefi</t>
  </si>
  <si>
    <t>Personel</t>
  </si>
  <si>
    <t>Hedef</t>
  </si>
  <si>
    <t>Toplam Dikilen İş</t>
  </si>
  <si>
    <t>Günlük Hedef</t>
  </si>
  <si>
    <t>Kalan İş</t>
  </si>
  <si>
    <t>Stok Sayısı</t>
  </si>
  <si>
    <t>Tahmini Saat</t>
  </si>
  <si>
    <t>Tahmini Gün</t>
  </si>
  <si>
    <t>Kalan Saat</t>
  </si>
  <si>
    <t>Kalan Gün</t>
  </si>
  <si>
    <t>TOPLAM</t>
  </si>
  <si>
    <t>SAYFANIN EN ÜST SAĞ KISMINA KESİLEN yada DİKİLECEK İŞLERİ BEDEN BEDEN GİRMELİZSİNZ</t>
  </si>
  <si>
    <t>GİRİŞ</t>
  </si>
  <si>
    <t>GİRİŞ KALAN</t>
  </si>
  <si>
    <t>GİRİŞ ADET</t>
  </si>
  <si>
    <t>BİTEN ADET</t>
  </si>
  <si>
    <t>FARK</t>
  </si>
  <si>
    <t>RENK</t>
  </si>
  <si>
    <t>Baskı</t>
  </si>
  <si>
    <t>Kordon Kesme</t>
  </si>
  <si>
    <t>Manşet İç Dikiş</t>
  </si>
  <si>
    <t>Manşet Çevirme</t>
  </si>
  <si>
    <t>Ağ tulum</t>
  </si>
  <si>
    <t>Manşet Takma</t>
  </si>
  <si>
    <t>Ağ punterez</t>
  </si>
  <si>
    <t>98 BEDEN</t>
  </si>
  <si>
    <t>110 BEDEN</t>
  </si>
  <si>
    <t>116 BEDEN</t>
  </si>
  <si>
    <t>122 BEDEN</t>
  </si>
  <si>
    <t>128 BEDEN</t>
  </si>
  <si>
    <t>134 BEDEN</t>
  </si>
  <si>
    <t>140 BEDEN</t>
  </si>
  <si>
    <t>NESRİN ALTUNSÖZ</t>
  </si>
  <si>
    <t>SAYI</t>
  </si>
  <si>
    <t>Yaka iç dikiş</t>
  </si>
  <si>
    <t>kol m.iç dikiş</t>
  </si>
  <si>
    <t>etek m.iç dikiş</t>
  </si>
  <si>
    <t>tela yapıştırma</t>
  </si>
  <si>
    <t>tela tıktık</t>
  </si>
  <si>
    <t>omuz çatma</t>
  </si>
  <si>
    <t>yaka takma</t>
  </si>
  <si>
    <t>ense biye</t>
  </si>
  <si>
    <t>yaka basma</t>
  </si>
  <si>
    <t>kol takma</t>
  </si>
  <si>
    <t>yan kapama</t>
  </si>
  <si>
    <t>yıkama takma</t>
  </si>
  <si>
    <t>kol manşet takma</t>
  </si>
  <si>
    <t>etek manşet takma</t>
  </si>
  <si>
    <t>hazime</t>
  </si>
  <si>
    <t>leyla</t>
  </si>
  <si>
    <t>münevver</t>
  </si>
  <si>
    <t>mehmet</t>
  </si>
  <si>
    <t>funda</t>
  </si>
  <si>
    <t>serpil</t>
  </si>
  <si>
    <t>sezen</t>
  </si>
  <si>
    <t>ilknur</t>
  </si>
  <si>
    <t>ayşenur</t>
  </si>
  <si>
    <t>fatma</t>
  </si>
  <si>
    <t>şefika</t>
  </si>
  <si>
    <t>fadime</t>
  </si>
  <si>
    <t>birsen</t>
  </si>
  <si>
    <t>selda</t>
  </si>
  <si>
    <t>ebru</t>
  </si>
  <si>
    <t>güler</t>
  </si>
  <si>
    <t>özdil</t>
  </si>
  <si>
    <t>hatice</t>
  </si>
  <si>
    <t>horasan</t>
  </si>
  <si>
    <t>songül</t>
  </si>
  <si>
    <t>hava</t>
  </si>
  <si>
    <t>sevgi</t>
  </si>
  <si>
    <t>gapaylar</t>
  </si>
  <si>
    <t>bahar</t>
  </si>
  <si>
    <t>arzu</t>
  </si>
  <si>
    <t>sevinç</t>
  </si>
  <si>
    <t>158/164 BEDEN</t>
  </si>
  <si>
    <t>170 BEDEN</t>
  </si>
  <si>
    <t>Yaka - Kol Punterez</t>
  </si>
  <si>
    <t>Ön Kalite</t>
  </si>
  <si>
    <t>Son Kalite</t>
  </si>
  <si>
    <t>BEGÜM DURMAZ</t>
  </si>
  <si>
    <t>Günlük Top.</t>
  </si>
  <si>
    <t>ORT.</t>
  </si>
  <si>
    <t>PERF.</t>
  </si>
  <si>
    <t>GÜNLÜK TOP.</t>
  </si>
  <si>
    <t>SEMA GEZGİNCİ</t>
  </si>
  <si>
    <t>SEZEN MANAS</t>
  </si>
  <si>
    <t>EMİNE BAYRAM</t>
  </si>
  <si>
    <t>Yaka Basma 2 Et.</t>
  </si>
  <si>
    <t>İp Temizleme</t>
  </si>
  <si>
    <t>Yaka Basma 1 Et.(Lisans)</t>
  </si>
  <si>
    <t>Yaka Basma 1 Et.(Beden)</t>
  </si>
  <si>
    <t>BEYZANUR ERTÜRK</t>
  </si>
  <si>
    <t>AYŞE ALTUN</t>
  </si>
  <si>
    <t>HAYAL ŞENER</t>
  </si>
  <si>
    <t>EKRU</t>
  </si>
  <si>
    <t>ŞEVKET SELMAN</t>
  </si>
  <si>
    <t>YELDA EKER</t>
  </si>
  <si>
    <t>DUYGU HAYDAR</t>
  </si>
  <si>
    <t>HÜLYA KAYA</t>
  </si>
  <si>
    <t>NUH YILMAZER</t>
  </si>
  <si>
    <t>PEMBE ADANIR</t>
  </si>
  <si>
    <t>ÖZLEM KAHRAMAN</t>
  </si>
  <si>
    <t>NURHAYAT OTÇEKEN</t>
  </si>
  <si>
    <t>H&amp;M MAN</t>
  </si>
  <si>
    <t>EMİNE PİŞKİN</t>
  </si>
  <si>
    <t>ARZU ÖZÇAĞLAYAN</t>
  </si>
  <si>
    <t>XS</t>
  </si>
  <si>
    <t>S</t>
  </si>
  <si>
    <t>M</t>
  </si>
  <si>
    <t>L</t>
  </si>
  <si>
    <t>XL</t>
  </si>
  <si>
    <t>XXL</t>
  </si>
  <si>
    <t>XXXL</t>
  </si>
  <si>
    <t>Departmans</t>
  </si>
  <si>
    <t>Firmalar</t>
  </si>
  <si>
    <t>Gorevlers</t>
  </si>
  <si>
    <t>Operation</t>
  </si>
  <si>
    <t>OrderOperation</t>
  </si>
  <si>
    <t>OrderPersonSizeOperation</t>
  </si>
  <si>
    <t>Orders</t>
  </si>
  <si>
    <t>OrderSizes</t>
  </si>
  <si>
    <t>Sizes</t>
  </si>
  <si>
    <t>CreateDate</t>
  </si>
  <si>
    <t>Quantity</t>
  </si>
  <si>
    <t>Id</t>
  </si>
  <si>
    <t>SiparisAdet</t>
  </si>
  <si>
    <t>GunlukHedef</t>
  </si>
  <si>
    <t>KesimOran</t>
  </si>
  <si>
    <t>FirmaId</t>
  </si>
  <si>
    <t>SiparisNumara</t>
  </si>
  <si>
    <t>SiparisName</t>
  </si>
  <si>
    <t>SiparisType</t>
  </si>
  <si>
    <t>SiaprisDate</t>
  </si>
  <si>
    <t>Thumbnail</t>
  </si>
  <si>
    <t>CreatedDate</t>
  </si>
  <si>
    <t>ModifiedDate</t>
  </si>
  <si>
    <t>IsDeleted</t>
  </si>
  <si>
    <t>IsActive</t>
  </si>
  <si>
    <t>CreatedByName</t>
  </si>
  <si>
    <t>ModifiedByName</t>
  </si>
  <si>
    <t>Note</t>
  </si>
  <si>
    <t>FirmalarsId (FK null) (Çok)</t>
  </si>
  <si>
    <t>OrderId (FK Çok)</t>
  </si>
  <si>
    <t>PersonId (FK Çok)</t>
  </si>
  <si>
    <t>SizeId (FK Çok)</t>
  </si>
  <si>
    <t>OperationId (FK Çok)</t>
  </si>
  <si>
    <t>SizeId (FK Tek)</t>
  </si>
  <si>
    <t>Name</t>
  </si>
  <si>
    <t>Description</t>
  </si>
  <si>
    <t>VergiNo</t>
  </si>
  <si>
    <t>Phone</t>
  </si>
  <si>
    <t>OperationName</t>
  </si>
  <si>
    <t>MakinaTipi</t>
  </si>
  <si>
    <t>Target</t>
  </si>
  <si>
    <t>OperationId (FK Tek)</t>
  </si>
  <si>
    <t>FirsName</t>
  </si>
  <si>
    <t>LastName</t>
  </si>
  <si>
    <t>DepartmanId (FK)</t>
  </si>
  <si>
    <t>GorevlerId (FK)</t>
  </si>
  <si>
    <t>SizeName</t>
  </si>
  <si>
    <t>Departman</t>
  </si>
  <si>
    <t>Menu</t>
  </si>
  <si>
    <t>Controller</t>
  </si>
  <si>
    <t>Action</t>
  </si>
  <si>
    <t>Index</t>
  </si>
  <si>
    <t>Departman +/-</t>
  </si>
  <si>
    <t>Firma +/-</t>
  </si>
  <si>
    <t>Operasyon Tanım +/-</t>
  </si>
  <si>
    <t>Beden +/-</t>
  </si>
  <si>
    <t>Size</t>
  </si>
  <si>
    <t>Personel +/-</t>
  </si>
  <si>
    <t>Gorev +/-</t>
  </si>
  <si>
    <t>Gorevler</t>
  </si>
  <si>
    <t>Siparis +/-</t>
  </si>
  <si>
    <t>Add</t>
  </si>
  <si>
    <t>Sip.Operasyon  +/-</t>
  </si>
  <si>
    <t>Mevcut Siparisler</t>
  </si>
  <si>
    <t>Biten Siparisler</t>
  </si>
  <si>
    <t>Sip.Bazında Liste</t>
  </si>
  <si>
    <t>OrdPersSizeOpr</t>
  </si>
  <si>
    <t>Personel iş Raporu</t>
  </si>
  <si>
    <t>Operasyon Raporu</t>
  </si>
  <si>
    <t>Operasyon Grafik</t>
  </si>
  <si>
    <t>GrafikPersonel2/GrafikPersonel</t>
  </si>
  <si>
    <t>GetAllOperationRapor</t>
  </si>
  <si>
    <t>GrafikOperation</t>
  </si>
  <si>
    <t>FirmalarListDto</t>
  </si>
  <si>
    <t>GetAllFirmalars</t>
  </si>
  <si>
    <t>DTO</t>
  </si>
  <si>
    <t>Controller-Action</t>
  </si>
  <si>
    <t>Delete</t>
  </si>
  <si>
    <t>Update</t>
  </si>
  <si>
    <t>DeletedFirmalars</t>
  </si>
  <si>
    <t>DepartmanListDto</t>
  </si>
  <si>
    <t>GetAllDepartmans</t>
  </si>
  <si>
    <t>DeletedDepartmans</t>
  </si>
  <si>
    <t>GetAllOperations</t>
  </si>
  <si>
    <t>GetAllSizes</t>
  </si>
  <si>
    <t>DeletedOperations</t>
  </si>
  <si>
    <t>DeletedSizes</t>
  </si>
  <si>
    <t>DeletedPersonels</t>
  </si>
  <si>
    <t>DeletedGorevlers</t>
  </si>
  <si>
    <t>DeletedOrders</t>
  </si>
  <si>
    <t>GetAllPersonels</t>
  </si>
  <si>
    <t>GetAllGorevs</t>
  </si>
  <si>
    <t>GetAllOrders</t>
  </si>
  <si>
    <t>OrderPersonSizeOperationListDto</t>
  </si>
  <si>
    <t>Index-GetAllByNonDeletedAsync</t>
  </si>
  <si>
    <t>ManagerSınıfları</t>
  </si>
  <si>
    <t>_DepartmanAddPartial</t>
  </si>
  <si>
    <t>Partiallar</t>
  </si>
  <si>
    <t>Update-GetDepartmanUpdateDtoAsync</t>
  </si>
  <si>
    <t>_DepartmanUpdatePartial</t>
  </si>
  <si>
    <t>Update-UpdateAsync</t>
  </si>
  <si>
    <t>Delete-DeleteAsync</t>
  </si>
  <si>
    <t>GetAllDeletedDepartmans</t>
  </si>
  <si>
    <t>_FirmalarAddPartial</t>
  </si>
  <si>
    <t>Add-AddAsync</t>
  </si>
  <si>
    <t>update-GetFirmalarUpdateDtoAsync</t>
  </si>
  <si>
    <t>_FirmalarUpdatePartial</t>
  </si>
  <si>
    <t>HardDelete-HardDeleteAsync</t>
  </si>
  <si>
    <t>_GorevlerAddPartial</t>
  </si>
  <si>
    <t>_GorevlerUpdatePartial</t>
  </si>
  <si>
    <t>Update-GetGorevlerUpdateDtoAsync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</si>
</sst>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₺&quot;* #,##0.00_-;\-&quot;₺&quot;* #,##0.00_-;_-&quot;₺&quot;* &quot;-&quot;??_-;_-@_-"/>
    <numFmt numFmtId="164" formatCode="_-* #,##0.00\ _₺_-;\-* #,##0.00\ _₺_-;_-* &quot;-&quot;??\ _₺_-;_-@_-"/>
    <numFmt numFmtId="165" formatCode="[$-41F]d\ mmmm\ yy;@"/>
    <numFmt numFmtId="166" formatCode="hh:mm;@"/>
    <numFmt numFmtId="167" formatCode="_(* #,##0.00_);_(* \(#,##0.00\);_(* &quot;-&quot;??_);_(@_)"/>
    <numFmt numFmtId="168" formatCode="_-* #,##0.00\ _Y_T_L_-;\-* #,##0.00\ _Y_T_L_-;_-* &quot;-&quot;??\ _Y_T_L_-;_-@_-"/>
    <numFmt numFmtId="169" formatCode="_-* #,##0.00\ &quot;YTL&quot;_-;\-* #,##0.00\ &quot;YTL&quot;_-;_-* &quot;-&quot;??\ &quot;YTL&quot;_-;_-@_-"/>
    <numFmt numFmtId="170" formatCode="_-* #,##0.00\ &quot;TL&quot;_-;\-* #,##0.00\ &quot;TL&quot;_-;_-* &quot;-&quot;??\ &quot;TL&quot;_-;_-@_-"/>
    <numFmt numFmtId="171" formatCode="_-* #,##0.00\ _T_L_-;\-* #,##0.00\ _T_L_-;_-* &quot;-&quot;??\ _T_L_-;_-@_-"/>
    <numFmt numFmtId="172" formatCode="_-&quot;?&quot;* #,##0.00_-;\-&quot;?&quot;* #,##0.00_-;_-&quot;?&quot;* &quot;-&quot;??_-;_-@_-"/>
    <numFmt numFmtId="173" formatCode="_-* #,##0.00\ _?_-;\-* #,##0.00\ _?_-;_-* &quot;-&quot;??\ _?_-;_-@_-"/>
  </numFmts>
  <fonts count="9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9"/>
      <name val="Arial"/>
      <family val="2"/>
      <charset val="162"/>
    </font>
    <font>
      <b/>
      <sz val="8"/>
      <name val="Arial"/>
      <family val="2"/>
      <charset val="162"/>
    </font>
    <font>
      <b/>
      <sz val="8"/>
      <color rgb="FFFF0000"/>
      <name val="Arial"/>
      <family val="2"/>
      <charset val="162"/>
    </font>
    <font>
      <b/>
      <sz val="16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4"/>
      <color rgb="FFFF0000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8"/>
      <color indexed="10"/>
      <name val="Tahoma"/>
      <family val="2"/>
      <charset val="162"/>
    </font>
    <font>
      <sz val="11"/>
      <color indexed="8"/>
      <name val="Calibri"/>
      <family val="2"/>
      <charset val="162"/>
    </font>
    <font>
      <sz val="11"/>
      <color indexed="9"/>
      <name val="Calibri"/>
      <family val="2"/>
      <charset val="162"/>
    </font>
    <font>
      <i/>
      <sz val="11"/>
      <color indexed="23"/>
      <name val="Calibri"/>
      <family val="2"/>
      <charset val="162"/>
    </font>
    <font>
      <b/>
      <sz val="18"/>
      <color indexed="56"/>
      <name val="Cambria"/>
      <family val="2"/>
      <charset val="162"/>
    </font>
    <font>
      <sz val="11"/>
      <color indexed="52"/>
      <name val="Calibri"/>
      <family val="2"/>
      <charset val="162"/>
    </font>
    <font>
      <b/>
      <sz val="15"/>
      <color indexed="56"/>
      <name val="Calibri"/>
      <family val="2"/>
      <charset val="162"/>
    </font>
    <font>
      <b/>
      <sz val="13"/>
      <color indexed="56"/>
      <name val="Calibri"/>
      <family val="2"/>
      <charset val="162"/>
    </font>
    <font>
      <b/>
      <sz val="11"/>
      <color indexed="56"/>
      <name val="Calibri"/>
      <family val="2"/>
      <charset val="162"/>
    </font>
    <font>
      <b/>
      <sz val="11"/>
      <color indexed="63"/>
      <name val="Calibri"/>
      <family val="2"/>
      <charset val="162"/>
    </font>
    <font>
      <sz val="11"/>
      <color indexed="62"/>
      <name val="Calibri"/>
      <family val="2"/>
      <charset val="162"/>
    </font>
    <font>
      <b/>
      <sz val="11"/>
      <color indexed="52"/>
      <name val="Calibri"/>
      <family val="2"/>
      <charset val="162"/>
    </font>
    <font>
      <b/>
      <sz val="11"/>
      <color indexed="9"/>
      <name val="Calibri"/>
      <family val="2"/>
      <charset val="162"/>
    </font>
    <font>
      <sz val="11"/>
      <color indexed="17"/>
      <name val="Calibri"/>
      <family val="2"/>
      <charset val="162"/>
    </font>
    <font>
      <sz val="11"/>
      <color indexed="20"/>
      <name val="Calibri"/>
      <family val="2"/>
      <charset val="162"/>
    </font>
    <font>
      <sz val="11"/>
      <color indexed="60"/>
      <name val="Calibri"/>
      <family val="2"/>
      <charset val="162"/>
    </font>
    <font>
      <b/>
      <sz val="11"/>
      <color indexed="8"/>
      <name val="Calibri"/>
      <family val="2"/>
      <charset val="162"/>
    </font>
    <font>
      <sz val="11"/>
      <color indexed="10"/>
      <name val="Calibri"/>
      <family val="2"/>
      <charset val="162"/>
    </font>
    <font>
      <sz val="10"/>
      <name val="Arial"/>
      <family val="2"/>
      <charset val="162"/>
    </font>
    <font>
      <sz val="10"/>
      <name val="Arial Tur"/>
      <charset val="16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u/>
      <sz val="11"/>
      <color indexed="12"/>
      <name val="Calibri"/>
      <family val="2"/>
      <charset val="162"/>
    </font>
    <font>
      <sz val="8"/>
      <color indexed="11"/>
      <name val="Tahoma"/>
      <family val="2"/>
      <charset val="162"/>
    </font>
    <font>
      <b/>
      <sz val="12"/>
      <color theme="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  <font>
      <b/>
      <sz val="9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1"/>
      <name val="Calibri"/>
      <family val="2"/>
      <charset val="162"/>
    </font>
    <font>
      <sz val="11"/>
      <color indexed="13"/>
      <name val="Calibri"/>
      <family val="2"/>
      <charset val="162"/>
      <scheme val="minor"/>
    </font>
    <font>
      <b/>
      <sz val="11"/>
      <color indexed="13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</fonts>
  <fills count="7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80EEAD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13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73">
    <xf numFmtId="0" fontId="0" fillId="0" borderId="0"/>
    <xf numFmtId="0" fontId="32" fillId="0" borderId="0" applyNumberFormat="0" applyFill="0" applyBorder="0" applyAlignment="0" applyProtection="0"/>
    <xf numFmtId="0" fontId="33" fillId="0" borderId="40" applyNumberFormat="0" applyFill="0" applyAlignment="0" applyProtection="0"/>
    <xf numFmtId="0" fontId="34" fillId="0" borderId="41" applyNumberFormat="0" applyFill="0" applyAlignment="0" applyProtection="0"/>
    <xf numFmtId="0" fontId="35" fillId="0" borderId="42" applyNumberFormat="0" applyFill="0" applyAlignment="0" applyProtection="0"/>
    <xf numFmtId="0" fontId="35" fillId="0" borderId="0" applyNumberFormat="0" applyFill="0" applyBorder="0" applyAlignment="0" applyProtection="0"/>
    <xf numFmtId="0" fontId="36" fillId="16" borderId="0" applyNumberFormat="0" applyBorder="0" applyAlignment="0" applyProtection="0"/>
    <xf numFmtId="0" fontId="37" fillId="17" borderId="0" applyNumberFormat="0" applyBorder="0" applyAlignment="0" applyProtection="0"/>
    <xf numFmtId="0" fontId="38" fillId="18" borderId="0" applyNumberFormat="0" applyBorder="0" applyAlignment="0" applyProtection="0"/>
    <xf numFmtId="0" fontId="39" fillId="19" borderId="43" applyNumberFormat="0" applyAlignment="0" applyProtection="0"/>
    <xf numFmtId="0" fontId="40" fillId="20" borderId="44" applyNumberFormat="0" applyAlignment="0" applyProtection="0"/>
    <xf numFmtId="0" fontId="41" fillId="20" borderId="43" applyNumberFormat="0" applyAlignment="0" applyProtection="0"/>
    <xf numFmtId="0" fontId="42" fillId="0" borderId="45" applyNumberFormat="0" applyFill="0" applyAlignment="0" applyProtection="0"/>
    <xf numFmtId="0" fontId="43" fillId="21" borderId="46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4" fillId="0" borderId="48" applyNumberFormat="0" applyFill="0" applyAlignment="0" applyProtection="0"/>
    <xf numFmtId="0" fontId="46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13" fillId="28" borderId="0" applyNumberFormat="0" applyBorder="0" applyAlignment="0" applyProtection="0"/>
    <xf numFmtId="0" fontId="13" fillId="29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13" fillId="32" borderId="0" applyNumberFormat="0" applyBorder="0" applyAlignment="0" applyProtection="0"/>
    <xf numFmtId="0" fontId="13" fillId="33" borderId="0" applyNumberFormat="0" applyBorder="0" applyAlignment="0" applyProtection="0"/>
    <xf numFmtId="0" fontId="46" fillId="34" borderId="0" applyNumberFormat="0" applyBorder="0" applyAlignment="0" applyProtection="0"/>
    <xf numFmtId="0" fontId="46" fillId="35" borderId="0" applyNumberFormat="0" applyBorder="0" applyAlignment="0" applyProtection="0"/>
    <xf numFmtId="0" fontId="13" fillId="36" borderId="0" applyNumberFormat="0" applyBorder="0" applyAlignment="0" applyProtection="0"/>
    <xf numFmtId="0" fontId="13" fillId="37" borderId="0" applyNumberFormat="0" applyBorder="0" applyAlignment="0" applyProtection="0"/>
    <xf numFmtId="0" fontId="46" fillId="38" borderId="0" applyNumberFormat="0" applyBorder="0" applyAlignment="0" applyProtection="0"/>
    <xf numFmtId="0" fontId="46" fillId="39" borderId="0" applyNumberFormat="0" applyBorder="0" applyAlignment="0" applyProtection="0"/>
    <xf numFmtId="0" fontId="13" fillId="40" borderId="0" applyNumberFormat="0" applyBorder="0" applyAlignment="0" applyProtection="0"/>
    <xf numFmtId="0" fontId="13" fillId="41" borderId="0" applyNumberFormat="0" applyBorder="0" applyAlignment="0" applyProtection="0"/>
    <xf numFmtId="0" fontId="46" fillId="42" borderId="0" applyNumberFormat="0" applyBorder="0" applyAlignment="0" applyProtection="0"/>
    <xf numFmtId="0" fontId="46" fillId="43" borderId="0" applyNumberFormat="0" applyBorder="0" applyAlignment="0" applyProtection="0"/>
    <xf numFmtId="0" fontId="13" fillId="44" borderId="0" applyNumberFormat="0" applyBorder="0" applyAlignment="0" applyProtection="0"/>
    <xf numFmtId="0" fontId="13" fillId="45" borderId="0" applyNumberFormat="0" applyBorder="0" applyAlignment="0" applyProtection="0"/>
    <xf numFmtId="0" fontId="46" fillId="46" borderId="0" applyNumberFormat="0" applyBorder="0" applyAlignment="0" applyProtection="0"/>
    <xf numFmtId="0" fontId="47" fillId="0" borderId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50" fillId="47" borderId="0" applyNumberFormat="0" applyBorder="0" applyAlignment="0" applyProtection="0"/>
    <xf numFmtId="0" fontId="13" fillId="24" borderId="0" applyNumberFormat="0" applyBorder="0" applyAlignment="0" applyProtection="0"/>
    <xf numFmtId="0" fontId="13" fillId="24" borderId="0" applyNumberFormat="0" applyBorder="0" applyAlignment="0" applyProtection="0"/>
    <xf numFmtId="0" fontId="50" fillId="47" borderId="0" applyNumberFormat="0" applyBorder="0" applyAlignment="0" applyProtection="0"/>
    <xf numFmtId="0" fontId="13" fillId="28" borderId="0" applyNumberFormat="0" applyBorder="0" applyAlignment="0" applyProtection="0"/>
    <xf numFmtId="0" fontId="13" fillId="28" borderId="0" applyNumberFormat="0" applyBorder="0" applyAlignment="0" applyProtection="0"/>
    <xf numFmtId="0" fontId="50" fillId="48" borderId="0" applyNumberFormat="0" applyBorder="0" applyAlignment="0" applyProtection="0"/>
    <xf numFmtId="0" fontId="13" fillId="28" borderId="0" applyNumberFormat="0" applyBorder="0" applyAlignment="0" applyProtection="0"/>
    <xf numFmtId="0" fontId="13" fillId="28" borderId="0" applyNumberFormat="0" applyBorder="0" applyAlignment="0" applyProtection="0"/>
    <xf numFmtId="0" fontId="50" fillId="48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50" fillId="49" borderId="0" applyNumberFormat="0" applyBorder="0" applyAlignment="0" applyProtection="0"/>
    <xf numFmtId="0" fontId="13" fillId="32" borderId="0" applyNumberFormat="0" applyBorder="0" applyAlignment="0" applyProtection="0"/>
    <xf numFmtId="0" fontId="13" fillId="32" borderId="0" applyNumberFormat="0" applyBorder="0" applyAlignment="0" applyProtection="0"/>
    <xf numFmtId="0" fontId="50" fillId="49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50" fillId="50" borderId="0" applyNumberFormat="0" applyBorder="0" applyAlignment="0" applyProtection="0"/>
    <xf numFmtId="0" fontId="13" fillId="36" borderId="0" applyNumberFormat="0" applyBorder="0" applyAlignment="0" applyProtection="0"/>
    <xf numFmtId="0" fontId="13" fillId="36" borderId="0" applyNumberFormat="0" applyBorder="0" applyAlignment="0" applyProtection="0"/>
    <xf numFmtId="0" fontId="50" fillId="50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50" fillId="51" borderId="0" applyNumberFormat="0" applyBorder="0" applyAlignment="0" applyProtection="0"/>
    <xf numFmtId="0" fontId="13" fillId="40" borderId="0" applyNumberFormat="0" applyBorder="0" applyAlignment="0" applyProtection="0"/>
    <xf numFmtId="0" fontId="13" fillId="40" borderId="0" applyNumberFormat="0" applyBorder="0" applyAlignment="0" applyProtection="0"/>
    <xf numFmtId="0" fontId="50" fillId="51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50" fillId="52" borderId="0" applyNumberFormat="0" applyBorder="0" applyAlignment="0" applyProtection="0"/>
    <xf numFmtId="0" fontId="13" fillId="44" borderId="0" applyNumberFormat="0" applyBorder="0" applyAlignment="0" applyProtection="0"/>
    <xf numFmtId="0" fontId="13" fillId="44" borderId="0" applyNumberFormat="0" applyBorder="0" applyAlignment="0" applyProtection="0"/>
    <xf numFmtId="0" fontId="50" fillId="52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50" fillId="5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50" fillId="53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50" fillId="54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50" fillId="54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50" fillId="55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50" fillId="55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50" fillId="50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50" fillId="50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50" fillId="53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50" fillId="53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50" fillId="56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50" fillId="56" borderId="0" applyNumberFormat="0" applyBorder="0" applyAlignment="0" applyProtection="0"/>
    <xf numFmtId="0" fontId="51" fillId="57" borderId="0" applyNumberFormat="0" applyBorder="0" applyAlignment="0" applyProtection="0"/>
    <xf numFmtId="0" fontId="51" fillId="57" borderId="0" applyNumberFormat="0" applyBorder="0" applyAlignment="0" applyProtection="0"/>
    <xf numFmtId="0" fontId="51" fillId="54" borderId="0" applyNumberFormat="0" applyBorder="0" applyAlignment="0" applyProtection="0"/>
    <xf numFmtId="0" fontId="51" fillId="54" borderId="0" applyNumberFormat="0" applyBorder="0" applyAlignment="0" applyProtection="0"/>
    <xf numFmtId="0" fontId="51" fillId="55" borderId="0" applyNumberFormat="0" applyBorder="0" applyAlignment="0" applyProtection="0"/>
    <xf numFmtId="0" fontId="51" fillId="55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9" borderId="0" applyNumberFormat="0" applyBorder="0" applyAlignment="0" applyProtection="0"/>
    <xf numFmtId="0" fontId="51" fillId="59" borderId="0" applyNumberFormat="0" applyBorder="0" applyAlignment="0" applyProtection="0"/>
    <xf numFmtId="0" fontId="51" fillId="60" borderId="0" applyNumberFormat="0" applyBorder="0" applyAlignment="0" applyProtection="0"/>
    <xf numFmtId="0" fontId="51" fillId="60" borderId="0" applyNumberFormat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49" applyNumberFormat="0" applyFill="0" applyAlignment="0" applyProtection="0"/>
    <xf numFmtId="0" fontId="54" fillId="0" borderId="49" applyNumberFormat="0" applyFill="0" applyAlignment="0" applyProtection="0"/>
    <xf numFmtId="0" fontId="55" fillId="0" borderId="50" applyNumberFormat="0" applyFill="0" applyAlignment="0" applyProtection="0"/>
    <xf numFmtId="0" fontId="55" fillId="0" borderId="50" applyNumberFormat="0" applyFill="0" applyAlignment="0" applyProtection="0"/>
    <xf numFmtId="0" fontId="56" fillId="0" borderId="51" applyNumberFormat="0" applyFill="0" applyAlignment="0" applyProtection="0"/>
    <xf numFmtId="0" fontId="56" fillId="0" borderId="51" applyNumberFormat="0" applyFill="0" applyAlignment="0" applyProtection="0"/>
    <xf numFmtId="0" fontId="57" fillId="0" borderId="52" applyNumberFormat="0" applyFill="0" applyAlignment="0" applyProtection="0"/>
    <xf numFmtId="0" fontId="57" fillId="0" borderId="52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61" borderId="53" applyNumberFormat="0" applyAlignment="0" applyProtection="0"/>
    <xf numFmtId="0" fontId="58" fillId="61" borderId="53" applyNumberFormat="0" applyAlignment="0" applyProtection="0"/>
    <xf numFmtId="0" fontId="59" fillId="52" borderId="54" applyNumberFormat="0" applyAlignment="0" applyProtection="0"/>
    <xf numFmtId="0" fontId="59" fillId="52" borderId="54" applyNumberFormat="0" applyAlignment="0" applyProtection="0"/>
    <xf numFmtId="0" fontId="60" fillId="61" borderId="54" applyNumberFormat="0" applyAlignment="0" applyProtection="0"/>
    <xf numFmtId="0" fontId="60" fillId="61" borderId="54" applyNumberFormat="0" applyAlignment="0" applyProtection="0"/>
    <xf numFmtId="0" fontId="61" fillId="62" borderId="55" applyNumberFormat="0" applyAlignment="0" applyProtection="0"/>
    <xf numFmtId="0" fontId="61" fillId="62" borderId="55" applyNumberFormat="0" applyAlignment="0" applyProtection="0"/>
    <xf numFmtId="0" fontId="62" fillId="49" borderId="0" applyNumberFormat="0" applyBorder="0" applyAlignment="0" applyProtection="0"/>
    <xf numFmtId="0" fontId="62" fillId="49" borderId="0" applyNumberFormat="0" applyBorder="0" applyAlignment="0" applyProtection="0"/>
    <xf numFmtId="0" fontId="63" fillId="48" borderId="0" applyNumberFormat="0" applyBorder="0" applyAlignment="0" applyProtection="0"/>
    <xf numFmtId="0" fontId="63" fillId="48" borderId="0" applyNumberFormat="0" applyBorder="0" applyAlignment="0" applyProtection="0"/>
    <xf numFmtId="0" fontId="49" fillId="0" borderId="0" pivotButton="1"/>
    <xf numFmtId="0" fontId="49" fillId="0" borderId="0" pivotButton="1"/>
    <xf numFmtId="0" fontId="13" fillId="0" borderId="0"/>
    <xf numFmtId="0" fontId="68" fillId="0" borderId="0"/>
    <xf numFmtId="0" fontId="4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7" fillId="0" borderId="0"/>
    <xf numFmtId="0" fontId="48" fillId="0" borderId="0"/>
    <xf numFmtId="0" fontId="13" fillId="0" borderId="0"/>
    <xf numFmtId="0" fontId="67" fillId="0" borderId="0"/>
    <xf numFmtId="0" fontId="47" fillId="0" borderId="0"/>
    <xf numFmtId="0" fontId="48" fillId="0" borderId="0"/>
    <xf numFmtId="0" fontId="48" fillId="0" borderId="0"/>
    <xf numFmtId="0" fontId="69" fillId="0" borderId="0"/>
    <xf numFmtId="0" fontId="48" fillId="0" borderId="0"/>
    <xf numFmtId="0" fontId="48" fillId="0" borderId="0"/>
    <xf numFmtId="0" fontId="47" fillId="0" borderId="0"/>
    <xf numFmtId="0" fontId="13" fillId="0" borderId="0"/>
    <xf numFmtId="0" fontId="31" fillId="0" borderId="0"/>
    <xf numFmtId="0" fontId="48" fillId="0" borderId="0"/>
    <xf numFmtId="0" fontId="70" fillId="0" borderId="0"/>
    <xf numFmtId="0" fontId="67" fillId="0" borderId="0"/>
    <xf numFmtId="0" fontId="13" fillId="22" borderId="47" applyNumberFormat="0" applyFont="0" applyAlignment="0" applyProtection="0"/>
    <xf numFmtId="0" fontId="13" fillId="22" borderId="47" applyNumberFormat="0" applyFont="0" applyAlignment="0" applyProtection="0"/>
    <xf numFmtId="0" fontId="13" fillId="22" borderId="47" applyNumberFormat="0" applyFont="0" applyAlignment="0" applyProtection="0"/>
    <xf numFmtId="0" fontId="13" fillId="22" borderId="47" applyNumberFormat="0" applyFont="0" applyAlignment="0" applyProtection="0"/>
    <xf numFmtId="0" fontId="50" fillId="63" borderId="56" applyNumberFormat="0" applyFont="0" applyAlignment="0" applyProtection="0"/>
    <xf numFmtId="0" fontId="13" fillId="22" borderId="47" applyNumberFormat="0" applyFont="0" applyAlignment="0" applyProtection="0"/>
    <xf numFmtId="0" fontId="13" fillId="22" borderId="47" applyNumberFormat="0" applyFont="0" applyAlignment="0" applyProtection="0"/>
    <xf numFmtId="0" fontId="13" fillId="22" borderId="47" applyNumberFormat="0" applyFont="0" applyAlignment="0" applyProtection="0"/>
    <xf numFmtId="0" fontId="50" fillId="63" borderId="56" applyNumberFormat="0" applyFont="0" applyAlignment="0" applyProtection="0"/>
    <xf numFmtId="0" fontId="64" fillId="64" borderId="0" applyNumberFormat="0" applyBorder="0" applyAlignment="0" applyProtection="0"/>
    <xf numFmtId="0" fontId="64" fillId="64" borderId="0" applyNumberFormat="0" applyBorder="0" applyAlignment="0" applyProtection="0"/>
    <xf numFmtId="0" fontId="65" fillId="0" borderId="57" applyNumberFormat="0" applyFill="0" applyAlignment="0" applyProtection="0"/>
    <xf numFmtId="0" fontId="65" fillId="0" borderId="57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51" fillId="65" borderId="0" applyNumberFormat="0" applyBorder="0" applyAlignment="0" applyProtection="0"/>
    <xf numFmtId="0" fontId="51" fillId="65" borderId="0" applyNumberFormat="0" applyBorder="0" applyAlignment="0" applyProtection="0"/>
    <xf numFmtId="0" fontId="51" fillId="66" borderId="0" applyNumberFormat="0" applyBorder="0" applyAlignment="0" applyProtection="0"/>
    <xf numFmtId="0" fontId="51" fillId="66" borderId="0" applyNumberFormat="0" applyBorder="0" applyAlignment="0" applyProtection="0"/>
    <xf numFmtId="0" fontId="51" fillId="67" borderId="0" applyNumberFormat="0" applyBorder="0" applyAlignment="0" applyProtection="0"/>
    <xf numFmtId="0" fontId="51" fillId="67" borderId="0" applyNumberFormat="0" applyBorder="0" applyAlignment="0" applyProtection="0"/>
    <xf numFmtId="0" fontId="51" fillId="58" borderId="0" applyNumberFormat="0" applyBorder="0" applyAlignment="0" applyProtection="0"/>
    <xf numFmtId="0" fontId="51" fillId="58" borderId="0" applyNumberFormat="0" applyBorder="0" applyAlignment="0" applyProtection="0"/>
    <xf numFmtId="0" fontId="51" fillId="59" borderId="0" applyNumberFormat="0" applyBorder="0" applyAlignment="0" applyProtection="0"/>
    <xf numFmtId="0" fontId="51" fillId="59" borderId="0" applyNumberFormat="0" applyBorder="0" applyAlignment="0" applyProtection="0"/>
    <xf numFmtId="0" fontId="51" fillId="68" borderId="0" applyNumberFormat="0" applyBorder="0" applyAlignment="0" applyProtection="0"/>
    <xf numFmtId="0" fontId="51" fillId="68" borderId="0" applyNumberFormat="0" applyBorder="0" applyAlignment="0" applyProtection="0"/>
    <xf numFmtId="0" fontId="12" fillId="0" borderId="0"/>
    <xf numFmtId="0" fontId="71" fillId="0" borderId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2" fillId="0" borderId="0"/>
    <xf numFmtId="0" fontId="12" fillId="22" borderId="47" applyNumberFormat="0" applyFont="0" applyAlignment="0" applyProtection="0"/>
    <xf numFmtId="0" fontId="47" fillId="0" borderId="0"/>
    <xf numFmtId="0" fontId="71" fillId="0" borderId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71" fillId="0" borderId="0"/>
    <xf numFmtId="0" fontId="12" fillId="0" borderId="0"/>
    <xf numFmtId="0" fontId="72" fillId="0" borderId="0"/>
    <xf numFmtId="0" fontId="47" fillId="0" borderId="0"/>
    <xf numFmtId="0" fontId="47" fillId="0" borderId="0"/>
    <xf numFmtId="0" fontId="47" fillId="0" borderId="0"/>
    <xf numFmtId="0" fontId="71" fillId="0" borderId="0"/>
    <xf numFmtId="0" fontId="12" fillId="0" borderId="0"/>
    <xf numFmtId="0" fontId="47" fillId="0" borderId="0"/>
    <xf numFmtId="0" fontId="72" fillId="0" borderId="0"/>
    <xf numFmtId="0" fontId="12" fillId="22" borderId="47" applyNumberFormat="0" applyFont="0" applyAlignment="0" applyProtection="0"/>
    <xf numFmtId="0" fontId="12" fillId="22" borderId="47" applyNumberFormat="0" applyFont="0" applyAlignment="0" applyProtection="0"/>
    <xf numFmtId="0" fontId="12" fillId="22" borderId="47" applyNumberFormat="0" applyFont="0" applyAlignment="0" applyProtection="0"/>
    <xf numFmtId="0" fontId="12" fillId="22" borderId="47" applyNumberFormat="0" applyFont="0" applyAlignment="0" applyProtection="0"/>
    <xf numFmtId="0" fontId="12" fillId="22" borderId="47" applyNumberFormat="0" applyFont="0" applyAlignment="0" applyProtection="0"/>
    <xf numFmtId="0" fontId="12" fillId="22" borderId="47" applyNumberFormat="0" applyFont="0" applyAlignment="0" applyProtection="0"/>
    <xf numFmtId="167" fontId="71" fillId="0" borderId="0" applyFont="0" applyFill="0" applyBorder="0" applyAlignment="0" applyProtection="0"/>
    <xf numFmtId="0" fontId="12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7" fontId="47" fillId="0" borderId="0" applyFont="0" applyFill="0" applyBorder="0" applyAlignment="0" applyProtection="0"/>
    <xf numFmtId="0" fontId="71" fillId="0" borderId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22" borderId="47" applyNumberFormat="0" applyFont="0" applyAlignment="0" applyProtection="0"/>
    <xf numFmtId="0" fontId="10" fillId="22" borderId="47" applyNumberFormat="0" applyFont="0" applyAlignment="0" applyProtection="0"/>
    <xf numFmtId="0" fontId="10" fillId="22" borderId="47" applyNumberFormat="0" applyFont="0" applyAlignment="0" applyProtection="0"/>
    <xf numFmtId="0" fontId="10" fillId="22" borderId="47" applyNumberFormat="0" applyFont="0" applyAlignment="0" applyProtection="0"/>
    <xf numFmtId="0" fontId="10" fillId="22" borderId="47" applyNumberFormat="0" applyFont="0" applyAlignment="0" applyProtection="0"/>
    <xf numFmtId="0" fontId="10" fillId="22" borderId="47" applyNumberFormat="0" applyFont="0" applyAlignment="0" applyProtection="0"/>
    <xf numFmtId="0" fontId="10" fillId="22" borderId="47" applyNumberFormat="0" applyFont="0" applyAlignment="0" applyProtection="0"/>
    <xf numFmtId="0" fontId="10" fillId="0" borderId="0"/>
    <xf numFmtId="0" fontId="47" fillId="0" borderId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6" borderId="0" applyNumberFormat="0" applyBorder="0" applyAlignment="0" applyProtection="0"/>
    <xf numFmtId="0" fontId="10" fillId="37" borderId="0" applyNumberFormat="0" applyBorder="0" applyAlignment="0" applyProtection="0"/>
    <xf numFmtId="0" fontId="10" fillId="40" borderId="0" applyNumberFormat="0" applyBorder="0" applyAlignment="0" applyProtection="0"/>
    <xf numFmtId="0" fontId="10" fillId="41" borderId="0" applyNumberFormat="0" applyBorder="0" applyAlignment="0" applyProtection="0"/>
    <xf numFmtId="0" fontId="10" fillId="44" borderId="0" applyNumberFormat="0" applyBorder="0" applyAlignment="0" applyProtection="0"/>
    <xf numFmtId="0" fontId="10" fillId="45" borderId="0" applyNumberFormat="0" applyBorder="0" applyAlignment="0" applyProtection="0"/>
    <xf numFmtId="0" fontId="10" fillId="0" borderId="0"/>
    <xf numFmtId="0" fontId="10" fillId="22" borderId="47" applyNumberFormat="0" applyFont="0" applyAlignment="0" applyProtection="0"/>
    <xf numFmtId="0" fontId="47" fillId="0" borderId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28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2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36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0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3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37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10" fillId="45" borderId="0" applyNumberFormat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47" fillId="0" borderId="0"/>
    <xf numFmtId="0" fontId="10" fillId="0" borderId="0"/>
    <xf numFmtId="0" fontId="47" fillId="0" borderId="0"/>
    <xf numFmtId="0" fontId="47" fillId="0" borderId="0"/>
    <xf numFmtId="0" fontId="10" fillId="0" borderId="0"/>
    <xf numFmtId="0" fontId="47" fillId="0" borderId="0"/>
    <xf numFmtId="0" fontId="10" fillId="22" borderId="47" applyNumberFormat="0" applyFont="0" applyAlignment="0" applyProtection="0"/>
    <xf numFmtId="0" fontId="10" fillId="22" borderId="47" applyNumberFormat="0" applyFont="0" applyAlignment="0" applyProtection="0"/>
    <xf numFmtId="0" fontId="10" fillId="22" borderId="47" applyNumberFormat="0" applyFont="0" applyAlignment="0" applyProtection="0"/>
    <xf numFmtId="0" fontId="10" fillId="22" borderId="47" applyNumberFormat="0" applyFont="0" applyAlignment="0" applyProtection="0"/>
    <xf numFmtId="0" fontId="10" fillId="22" borderId="47" applyNumberFormat="0" applyFont="0" applyAlignment="0" applyProtection="0"/>
    <xf numFmtId="0" fontId="10" fillId="22" borderId="47" applyNumberFormat="0" applyFont="0" applyAlignment="0" applyProtection="0"/>
    <xf numFmtId="167" fontId="47" fillId="0" borderId="0" applyFont="0" applyFill="0" applyBorder="0" applyAlignment="0" applyProtection="0"/>
    <xf numFmtId="0" fontId="10" fillId="0" borderId="0"/>
    <xf numFmtId="0" fontId="47" fillId="0" borderId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73" fillId="0" borderId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47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48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49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5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55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46" fillId="26" borderId="0" applyNumberFormat="0" applyBorder="0" applyAlignment="0" applyProtection="0"/>
    <xf numFmtId="0" fontId="46" fillId="30" borderId="0" applyNumberFormat="0" applyBorder="0" applyAlignment="0" applyProtection="0"/>
    <xf numFmtId="0" fontId="46" fillId="34" borderId="0" applyNumberFormat="0" applyBorder="0" applyAlignment="0" applyProtection="0"/>
    <xf numFmtId="0" fontId="46" fillId="55" borderId="0" applyNumberFormat="0" applyBorder="0" applyAlignment="0" applyProtection="0"/>
    <xf numFmtId="0" fontId="46" fillId="38" borderId="0" applyNumberFormat="0" applyBorder="0" applyAlignment="0" applyProtection="0"/>
    <xf numFmtId="0" fontId="46" fillId="58" borderId="0" applyNumberFormat="0" applyBorder="0" applyAlignment="0" applyProtection="0"/>
    <xf numFmtId="0" fontId="46" fillId="42" borderId="0" applyNumberFormat="0" applyBorder="0" applyAlignment="0" applyProtection="0"/>
    <xf numFmtId="0" fontId="46" fillId="46" borderId="0" applyNumberFormat="0" applyBorder="0" applyAlignment="0" applyProtection="0"/>
    <xf numFmtId="0" fontId="46" fillId="60" borderId="0" applyNumberFormat="0" applyBorder="0" applyAlignment="0" applyProtection="0"/>
    <xf numFmtId="0" fontId="4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2" fillId="0" borderId="45" applyNumberFormat="0" applyFill="0" applyAlignment="0" applyProtection="0"/>
    <xf numFmtId="0" fontId="33" fillId="0" borderId="40" applyNumberFormat="0" applyFill="0" applyAlignment="0" applyProtection="0"/>
    <xf numFmtId="0" fontId="34" fillId="0" borderId="41" applyNumberFormat="0" applyFill="0" applyAlignment="0" applyProtection="0"/>
    <xf numFmtId="0" fontId="35" fillId="0" borderId="42" applyNumberFormat="0" applyFill="0" applyAlignment="0" applyProtection="0"/>
    <xf numFmtId="0" fontId="35" fillId="0" borderId="0" applyNumberFormat="0" applyFill="0" applyBorder="0" applyAlignment="0" applyProtection="0"/>
    <xf numFmtId="0" fontId="40" fillId="20" borderId="44" applyNumberFormat="0" applyAlignment="0" applyProtection="0"/>
    <xf numFmtId="0" fontId="39" fillId="19" borderId="43" applyNumberFormat="0" applyAlignment="0" applyProtection="0"/>
    <xf numFmtId="0" fontId="41" fillId="20" borderId="43" applyNumberFormat="0" applyAlignment="0" applyProtection="0"/>
    <xf numFmtId="0" fontId="43" fillId="21" borderId="46" applyNumberFormat="0" applyAlignment="0" applyProtection="0"/>
    <xf numFmtId="0" fontId="36" fillId="16" borderId="0" applyNumberFormat="0" applyBorder="0" applyAlignment="0" applyProtection="0"/>
    <xf numFmtId="0" fontId="75" fillId="0" borderId="0" applyNumberFormat="0" applyFill="0" applyBorder="0" applyAlignment="0" applyProtection="0">
      <alignment vertical="top"/>
      <protection locked="0"/>
    </xf>
    <xf numFmtId="0" fontId="37" fillId="17" borderId="0" applyNumberFormat="0" applyBorder="0" applyAlignment="0" applyProtection="0"/>
    <xf numFmtId="0" fontId="47" fillId="0" borderId="0"/>
    <xf numFmtId="0" fontId="47" fillId="0" borderId="0"/>
    <xf numFmtId="0" fontId="9" fillId="0" borderId="0"/>
    <xf numFmtId="0" fontId="9" fillId="0" borderId="0"/>
    <xf numFmtId="0" fontId="47" fillId="0" borderId="0"/>
    <xf numFmtId="0" fontId="47" fillId="0" borderId="0"/>
    <xf numFmtId="0" fontId="9" fillId="0" borderId="0"/>
    <xf numFmtId="0" fontId="47" fillId="0" borderId="0"/>
    <xf numFmtId="0" fontId="76" fillId="0" borderId="0" pivotButton="1"/>
    <xf numFmtId="0" fontId="49" fillId="0" borderId="0" pivotButton="1"/>
    <xf numFmtId="0" fontId="9" fillId="0" borderId="0"/>
    <xf numFmtId="0" fontId="9" fillId="0" borderId="0"/>
    <xf numFmtId="0" fontId="9" fillId="0" borderId="0"/>
    <xf numFmtId="0" fontId="73" fillId="0" borderId="0"/>
    <xf numFmtId="0" fontId="73" fillId="0" borderId="0"/>
    <xf numFmtId="0" fontId="49" fillId="0" borderId="0" pivotButton="1"/>
    <xf numFmtId="0" fontId="49" fillId="0" borderId="0" pivotButton="1"/>
    <xf numFmtId="0" fontId="73" fillId="0" borderId="0"/>
    <xf numFmtId="0" fontId="49" fillId="0" borderId="0" pivotButton="1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3" fillId="0" borderId="0"/>
    <xf numFmtId="0" fontId="73" fillId="0" borderId="0"/>
    <xf numFmtId="0" fontId="9" fillId="0" borderId="0"/>
    <xf numFmtId="0" fontId="68" fillId="0" borderId="0"/>
    <xf numFmtId="0" fontId="9" fillId="0" borderId="0"/>
    <xf numFmtId="0" fontId="9" fillId="0" borderId="0"/>
    <xf numFmtId="0" fontId="74" fillId="0" borderId="0"/>
    <xf numFmtId="0" fontId="74" fillId="0" borderId="0"/>
    <xf numFmtId="0" fontId="73" fillId="0" borderId="0"/>
    <xf numFmtId="0" fontId="73" fillId="0" borderId="0"/>
    <xf numFmtId="0" fontId="73" fillId="0" borderId="0"/>
    <xf numFmtId="0" fontId="73" fillId="0" borderId="0"/>
    <xf numFmtId="0" fontId="9" fillId="0" borderId="0"/>
    <xf numFmtId="0" fontId="9" fillId="0" borderId="0"/>
    <xf numFmtId="0" fontId="74" fillId="0" borderId="0"/>
    <xf numFmtId="0" fontId="74" fillId="0" borderId="0"/>
    <xf numFmtId="0" fontId="9" fillId="22" borderId="47" applyNumberFormat="0" applyFont="0" applyAlignment="0" applyProtection="0"/>
    <xf numFmtId="0" fontId="9" fillId="22" borderId="47" applyNumberFormat="0" applyFont="0" applyAlignment="0" applyProtection="0"/>
    <xf numFmtId="0" fontId="9" fillId="22" borderId="47" applyNumberFormat="0" applyFont="0" applyAlignment="0" applyProtection="0"/>
    <xf numFmtId="0" fontId="9" fillId="22" borderId="47" applyNumberFormat="0" applyFont="0" applyAlignment="0" applyProtection="0"/>
    <xf numFmtId="0" fontId="9" fillId="22" borderId="47" applyNumberFormat="0" applyFont="0" applyAlignment="0" applyProtection="0"/>
    <xf numFmtId="0" fontId="9" fillId="22" borderId="47" applyNumberFormat="0" applyFont="0" applyAlignment="0" applyProtection="0"/>
    <xf numFmtId="0" fontId="9" fillId="22" borderId="47" applyNumberFormat="0" applyFont="0" applyAlignment="0" applyProtection="0"/>
    <xf numFmtId="0" fontId="9" fillId="22" borderId="47" applyNumberFormat="0" applyFont="0" applyAlignment="0" applyProtection="0"/>
    <xf numFmtId="0" fontId="9" fillId="22" borderId="47" applyNumberFormat="0" applyFont="0" applyAlignment="0" applyProtection="0"/>
    <xf numFmtId="0" fontId="9" fillId="22" borderId="47" applyNumberFormat="0" applyFont="0" applyAlignment="0" applyProtection="0"/>
    <xf numFmtId="0" fontId="9" fillId="22" borderId="47" applyNumberFormat="0" applyFont="0" applyAlignment="0" applyProtection="0"/>
    <xf numFmtId="0" fontId="9" fillId="22" borderId="47" applyNumberFormat="0" applyFont="0" applyAlignment="0" applyProtection="0"/>
    <xf numFmtId="0" fontId="9" fillId="22" borderId="47" applyNumberFormat="0" applyFont="0" applyAlignment="0" applyProtection="0"/>
    <xf numFmtId="0" fontId="9" fillId="22" borderId="47" applyNumberFormat="0" applyFont="0" applyAlignment="0" applyProtection="0"/>
    <xf numFmtId="0" fontId="50" fillId="22" borderId="47" applyNumberFormat="0" applyFont="0" applyAlignment="0" applyProtection="0"/>
    <xf numFmtId="0" fontId="38" fillId="18" borderId="0" applyNumberFormat="0" applyBorder="0" applyAlignment="0" applyProtection="0"/>
    <xf numFmtId="169" fontId="68" fillId="0" borderId="0" applyFont="0" applyFill="0" applyBorder="0" applyAlignment="0" applyProtection="0"/>
    <xf numFmtId="169" fontId="68" fillId="0" borderId="0" applyFont="0" applyFill="0" applyBorder="0" applyAlignment="0" applyProtection="0"/>
    <xf numFmtId="170" fontId="68" fillId="0" borderId="0" applyFont="0" applyFill="0" applyBorder="0" applyAlignment="0" applyProtection="0"/>
    <xf numFmtId="44" fontId="31" fillId="0" borderId="0" applyFont="0" applyFill="0" applyBorder="0" applyAlignment="0" applyProtection="0"/>
    <xf numFmtId="170" fontId="50" fillId="0" borderId="0" applyFont="0" applyFill="0" applyBorder="0" applyAlignment="0" applyProtection="0"/>
    <xf numFmtId="0" fontId="14" fillId="0" borderId="48" applyNumberFormat="0" applyFill="0" applyAlignment="0" applyProtection="0"/>
    <xf numFmtId="0" fontId="44" fillId="0" borderId="0" applyNumberFormat="0" applyFill="0" applyBorder="0" applyAlignment="0" applyProtection="0"/>
    <xf numFmtId="167" fontId="73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47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47" fillId="0" borderId="0" applyFont="0" applyFill="0" applyBorder="0" applyAlignment="0" applyProtection="0"/>
    <xf numFmtId="171" fontId="68" fillId="0" borderId="0" applyFont="0" applyFill="0" applyBorder="0" applyAlignment="0" applyProtection="0"/>
    <xf numFmtId="167" fontId="47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73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8" fontId="68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46" fillId="23" borderId="0" applyNumberFormat="0" applyBorder="0" applyAlignment="0" applyProtection="0"/>
    <xf numFmtId="0" fontId="46" fillId="27" borderId="0" applyNumberFormat="0" applyBorder="0" applyAlignment="0" applyProtection="0"/>
    <xf numFmtId="0" fontId="46" fillId="31" borderId="0" applyNumberFormat="0" applyBorder="0" applyAlignment="0" applyProtection="0"/>
    <xf numFmtId="0" fontId="46" fillId="35" borderId="0" applyNumberFormat="0" applyBorder="0" applyAlignment="0" applyProtection="0"/>
    <xf numFmtId="0" fontId="46" fillId="39" borderId="0" applyNumberFormat="0" applyBorder="0" applyAlignment="0" applyProtection="0"/>
    <xf numFmtId="0" fontId="46" fillId="4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0" borderId="0"/>
    <xf numFmtId="0" fontId="8" fillId="22" borderId="47" applyNumberFormat="0" applyFont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0" borderId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0" borderId="0"/>
    <xf numFmtId="0" fontId="8" fillId="22" borderId="47" applyNumberFormat="0" applyFont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47" fillId="0" borderId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4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48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32" borderId="0" applyNumberFormat="0" applyBorder="0" applyAlignment="0" applyProtection="0"/>
    <xf numFmtId="0" fontId="8" fillId="49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5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33" borderId="0" applyNumberFormat="0" applyBorder="0" applyAlignment="0" applyProtection="0"/>
    <xf numFmtId="0" fontId="8" fillId="55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0" fontId="47" fillId="0" borderId="0"/>
    <xf numFmtId="0" fontId="8" fillId="0" borderId="0"/>
    <xf numFmtId="0" fontId="8" fillId="0" borderId="0"/>
    <xf numFmtId="0" fontId="8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8" fillId="0" borderId="0"/>
    <xf numFmtId="0" fontId="8" fillId="0" borderId="0"/>
    <xf numFmtId="0" fontId="47" fillId="0" borderId="0"/>
    <xf numFmtId="0" fontId="47" fillId="0" borderId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0" fontId="8" fillId="22" borderId="47" applyNumberFormat="0" applyFont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47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7" fillId="0" borderId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4" borderId="0" applyNumberFormat="0" applyBorder="0" applyAlignment="0" applyProtection="0"/>
    <xf numFmtId="0" fontId="6" fillId="44" borderId="0" applyNumberFormat="0" applyBorder="0" applyAlignment="0" applyProtection="0"/>
    <xf numFmtId="0" fontId="6" fillId="44" borderId="0" applyNumberFormat="0" applyBorder="0" applyAlignment="0" applyProtection="0"/>
    <xf numFmtId="0" fontId="6" fillId="44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2" borderId="47" applyNumberFormat="0" applyFont="0" applyAlignment="0" applyProtection="0"/>
    <xf numFmtId="0" fontId="6" fillId="22" borderId="47" applyNumberFormat="0" applyFont="0" applyAlignment="0" applyProtection="0"/>
    <xf numFmtId="0" fontId="6" fillId="22" borderId="47" applyNumberFormat="0" applyFont="0" applyAlignment="0" applyProtection="0"/>
    <xf numFmtId="0" fontId="6" fillId="22" borderId="47" applyNumberFormat="0" applyFont="0" applyAlignment="0" applyProtection="0"/>
    <xf numFmtId="0" fontId="6" fillId="22" borderId="47" applyNumberFormat="0" applyFont="0" applyAlignment="0" applyProtection="0"/>
    <xf numFmtId="0" fontId="6" fillId="22" borderId="47" applyNumberFormat="0" applyFont="0" applyAlignment="0" applyProtection="0"/>
    <xf numFmtId="0" fontId="6" fillId="22" borderId="47" applyNumberFormat="0" applyFont="0" applyAlignment="0" applyProtection="0"/>
    <xf numFmtId="0" fontId="6" fillId="0" borderId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0" borderId="0"/>
    <xf numFmtId="0" fontId="6" fillId="22" borderId="47" applyNumberFormat="0" applyFont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4" borderId="0" applyNumberFormat="0" applyBorder="0" applyAlignment="0" applyProtection="0"/>
    <xf numFmtId="0" fontId="6" fillId="44" borderId="0" applyNumberFormat="0" applyBorder="0" applyAlignment="0" applyProtection="0"/>
    <xf numFmtId="0" fontId="6" fillId="44" borderId="0" applyNumberFormat="0" applyBorder="0" applyAlignment="0" applyProtection="0"/>
    <xf numFmtId="0" fontId="6" fillId="44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2" borderId="47" applyNumberFormat="0" applyFont="0" applyAlignment="0" applyProtection="0"/>
    <xf numFmtId="0" fontId="6" fillId="22" borderId="47" applyNumberFormat="0" applyFont="0" applyAlignment="0" applyProtection="0"/>
    <xf numFmtId="0" fontId="6" fillId="22" borderId="47" applyNumberFormat="0" applyFont="0" applyAlignment="0" applyProtection="0"/>
    <xf numFmtId="0" fontId="6" fillId="22" borderId="47" applyNumberFormat="0" applyFont="0" applyAlignment="0" applyProtection="0"/>
    <xf numFmtId="0" fontId="6" fillId="22" borderId="47" applyNumberFormat="0" applyFont="0" applyAlignment="0" applyProtection="0"/>
    <xf numFmtId="0" fontId="6" fillId="22" borderId="47" applyNumberFormat="0" applyFont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4" borderId="0" applyNumberFormat="0" applyBorder="0" applyAlignment="0" applyProtection="0"/>
    <xf numFmtId="0" fontId="6" fillId="44" borderId="0" applyNumberFormat="0" applyBorder="0" applyAlignment="0" applyProtection="0"/>
    <xf numFmtId="0" fontId="6" fillId="44" borderId="0" applyNumberFormat="0" applyBorder="0" applyAlignment="0" applyProtection="0"/>
    <xf numFmtId="0" fontId="6" fillId="44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2" borderId="47" applyNumberFormat="0" applyFont="0" applyAlignment="0" applyProtection="0"/>
    <xf numFmtId="0" fontId="6" fillId="22" borderId="47" applyNumberFormat="0" applyFont="0" applyAlignment="0" applyProtection="0"/>
    <xf numFmtId="0" fontId="6" fillId="22" borderId="47" applyNumberFormat="0" applyFont="0" applyAlignment="0" applyProtection="0"/>
    <xf numFmtId="0" fontId="6" fillId="22" borderId="47" applyNumberFormat="0" applyFont="0" applyAlignment="0" applyProtection="0"/>
    <xf numFmtId="0" fontId="6" fillId="22" borderId="47" applyNumberFormat="0" applyFont="0" applyAlignment="0" applyProtection="0"/>
    <xf numFmtId="0" fontId="6" fillId="22" borderId="47" applyNumberFormat="0" applyFont="0" applyAlignment="0" applyProtection="0"/>
    <xf numFmtId="0" fontId="6" fillId="22" borderId="47" applyNumberFormat="0" applyFont="0" applyAlignment="0" applyProtection="0"/>
    <xf numFmtId="0" fontId="6" fillId="0" borderId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44" borderId="0" applyNumberFormat="0" applyBorder="0" applyAlignment="0" applyProtection="0"/>
    <xf numFmtId="0" fontId="6" fillId="45" borderId="0" applyNumberFormat="0" applyBorder="0" applyAlignment="0" applyProtection="0"/>
    <xf numFmtId="0" fontId="6" fillId="0" borderId="0"/>
    <xf numFmtId="0" fontId="6" fillId="22" borderId="47" applyNumberFormat="0" applyFont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0" borderId="0" applyNumberFormat="0" applyBorder="0" applyAlignment="0" applyProtection="0"/>
    <xf numFmtId="0" fontId="6" fillId="44" borderId="0" applyNumberFormat="0" applyBorder="0" applyAlignment="0" applyProtection="0"/>
    <xf numFmtId="0" fontId="6" fillId="44" borderId="0" applyNumberFormat="0" applyBorder="0" applyAlignment="0" applyProtection="0"/>
    <xf numFmtId="0" fontId="6" fillId="44" borderId="0" applyNumberFormat="0" applyBorder="0" applyAlignment="0" applyProtection="0"/>
    <xf numFmtId="0" fontId="6" fillId="44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5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29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3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37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1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45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2" borderId="47" applyNumberFormat="0" applyFont="0" applyAlignment="0" applyProtection="0"/>
    <xf numFmtId="0" fontId="6" fillId="22" borderId="47" applyNumberFormat="0" applyFont="0" applyAlignment="0" applyProtection="0"/>
    <xf numFmtId="0" fontId="6" fillId="22" borderId="47" applyNumberFormat="0" applyFont="0" applyAlignment="0" applyProtection="0"/>
    <xf numFmtId="0" fontId="6" fillId="22" borderId="47" applyNumberFormat="0" applyFont="0" applyAlignment="0" applyProtection="0"/>
    <xf numFmtId="0" fontId="6" fillId="22" borderId="47" applyNumberFormat="0" applyFont="0" applyAlignment="0" applyProtection="0"/>
    <xf numFmtId="0" fontId="6" fillId="22" borderId="47" applyNumberFormat="0" applyFont="0" applyAlignment="0" applyProtection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78" fillId="0" borderId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2" borderId="0" applyNumberFormat="0" applyBorder="0" applyAlignment="0" applyProtection="0"/>
    <xf numFmtId="0" fontId="5" fillId="36" borderId="0" applyNumberFormat="0" applyBorder="0" applyAlignment="0" applyProtection="0"/>
    <xf numFmtId="0" fontId="5" fillId="36" borderId="0" applyNumberFormat="0" applyBorder="0" applyAlignment="0" applyProtection="0"/>
    <xf numFmtId="0" fontId="5" fillId="36" borderId="0" applyNumberFormat="0" applyBorder="0" applyAlignment="0" applyProtection="0"/>
    <xf numFmtId="0" fontId="5" fillId="36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0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44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3" borderId="0" applyNumberFormat="0" applyBorder="0" applyAlignment="0" applyProtection="0"/>
    <xf numFmtId="0" fontId="5" fillId="33" borderId="0" applyNumberFormat="0" applyBorder="0" applyAlignment="0" applyProtection="0"/>
    <xf numFmtId="0" fontId="5" fillId="33" borderId="0" applyNumberFormat="0" applyBorder="0" applyAlignment="0" applyProtection="0"/>
    <xf numFmtId="0" fontId="5" fillId="33" borderId="0" applyNumberFormat="0" applyBorder="0" applyAlignment="0" applyProtection="0"/>
    <xf numFmtId="0" fontId="5" fillId="37" borderId="0" applyNumberFormat="0" applyBorder="0" applyAlignment="0" applyProtection="0"/>
    <xf numFmtId="0" fontId="5" fillId="37" borderId="0" applyNumberFormat="0" applyBorder="0" applyAlignment="0" applyProtection="0"/>
    <xf numFmtId="0" fontId="5" fillId="37" borderId="0" applyNumberFormat="0" applyBorder="0" applyAlignment="0" applyProtection="0"/>
    <xf numFmtId="0" fontId="5" fillId="37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1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45" borderId="0" applyNumberFormat="0" applyBorder="0" applyAlignment="0" applyProtection="0"/>
    <xf numFmtId="0" fontId="5" fillId="0" borderId="0"/>
    <xf numFmtId="0" fontId="7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8" fillId="0" borderId="0"/>
    <xf numFmtId="0" fontId="5" fillId="0" borderId="0"/>
    <xf numFmtId="0" fontId="79" fillId="0" borderId="0"/>
    <xf numFmtId="0" fontId="78" fillId="0" borderId="0"/>
    <xf numFmtId="0" fontId="78" fillId="0" borderId="0"/>
    <xf numFmtId="0" fontId="5" fillId="0" borderId="0"/>
    <xf numFmtId="0" fontId="79" fillId="0" borderId="0"/>
    <xf numFmtId="0" fontId="5" fillId="22" borderId="47" applyNumberFormat="0" applyFont="0" applyAlignment="0" applyProtection="0"/>
    <xf numFmtId="0" fontId="5" fillId="22" borderId="47" applyNumberFormat="0" applyFont="0" applyAlignment="0" applyProtection="0"/>
    <xf numFmtId="0" fontId="5" fillId="22" borderId="47" applyNumberFormat="0" applyFont="0" applyAlignment="0" applyProtection="0"/>
    <xf numFmtId="0" fontId="5" fillId="22" borderId="47" applyNumberFormat="0" applyFont="0" applyAlignment="0" applyProtection="0"/>
    <xf numFmtId="0" fontId="5" fillId="22" borderId="47" applyNumberFormat="0" applyFont="0" applyAlignment="0" applyProtection="0"/>
    <xf numFmtId="0" fontId="5" fillId="22" borderId="47" applyNumberFormat="0" applyFont="0" applyAlignment="0" applyProtection="0"/>
    <xf numFmtId="0" fontId="5" fillId="22" borderId="47" applyNumberFormat="0" applyFont="0" applyAlignment="0" applyProtection="0"/>
    <xf numFmtId="167" fontId="78" fillId="0" borderId="0" applyFont="0" applyFill="0" applyBorder="0" applyAlignment="0" applyProtection="0"/>
    <xf numFmtId="167" fontId="78" fillId="0" borderId="0" applyFont="0" applyFill="0" applyBorder="0" applyAlignment="0" applyProtection="0"/>
    <xf numFmtId="0" fontId="4" fillId="0" borderId="0"/>
    <xf numFmtId="0" fontId="4" fillId="0" borderId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47" borderId="0" applyNumberFormat="0" applyBorder="0" applyAlignment="0" applyProtection="0"/>
    <xf numFmtId="0" fontId="3" fillId="47" borderId="0" applyNumberFormat="0" applyBorder="0" applyAlignment="0" applyProtection="0"/>
    <xf numFmtId="0" fontId="3" fillId="47" borderId="0" applyNumberFormat="0" applyBorder="0" applyAlignment="0" applyProtection="0"/>
    <xf numFmtId="0" fontId="3" fillId="47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48" borderId="0" applyNumberFormat="0" applyBorder="0" applyAlignment="0" applyProtection="0"/>
    <xf numFmtId="0" fontId="3" fillId="48" borderId="0" applyNumberFormat="0" applyBorder="0" applyAlignment="0" applyProtection="0"/>
    <xf numFmtId="0" fontId="3" fillId="48" borderId="0" applyNumberFormat="0" applyBorder="0" applyAlignment="0" applyProtection="0"/>
    <xf numFmtId="0" fontId="3" fillId="48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49" borderId="0" applyNumberFormat="0" applyBorder="0" applyAlignment="0" applyProtection="0"/>
    <xf numFmtId="0" fontId="3" fillId="49" borderId="0" applyNumberFormat="0" applyBorder="0" applyAlignment="0" applyProtection="0"/>
    <xf numFmtId="0" fontId="3" fillId="49" borderId="0" applyNumberFormat="0" applyBorder="0" applyAlignment="0" applyProtection="0"/>
    <xf numFmtId="0" fontId="3" fillId="49" borderId="0" applyNumberFormat="0" applyBorder="0" applyAlignment="0" applyProtection="0"/>
    <xf numFmtId="0" fontId="3" fillId="32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61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36" borderId="0" applyNumberFormat="0" applyBorder="0" applyAlignment="0" applyProtection="0"/>
    <xf numFmtId="0" fontId="3" fillId="61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50" fillId="61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50" fillId="61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55" borderId="0" applyNumberFormat="0" applyBorder="0" applyAlignment="0" applyProtection="0"/>
    <xf numFmtId="0" fontId="3" fillId="55" borderId="0" applyNumberFormat="0" applyBorder="0" applyAlignment="0" applyProtection="0"/>
    <xf numFmtId="0" fontId="3" fillId="55" borderId="0" applyNumberFormat="0" applyBorder="0" applyAlignment="0" applyProtection="0"/>
    <xf numFmtId="0" fontId="3" fillId="55" borderId="0" applyNumberFormat="0" applyBorder="0" applyAlignment="0" applyProtection="0"/>
    <xf numFmtId="0" fontId="3" fillId="33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83" fillId="0" borderId="64" applyNumberFormat="0" applyFill="0" applyAlignment="0" applyProtection="0"/>
    <xf numFmtId="0" fontId="83" fillId="0" borderId="64" applyNumberFormat="0" applyFill="0" applyAlignment="0" applyProtection="0"/>
    <xf numFmtId="0" fontId="59" fillId="61" borderId="54" applyNumberFormat="0" applyAlignment="0" applyProtection="0"/>
    <xf numFmtId="0" fontId="59" fillId="61" borderId="54" applyNumberFormat="0" applyAlignment="0" applyProtection="0"/>
    <xf numFmtId="0" fontId="84" fillId="20" borderId="43" applyNumberFormat="0" applyAlignment="0" applyProtection="0"/>
    <xf numFmtId="0" fontId="84" fillId="20" borderId="43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8" fillId="0" borderId="0"/>
    <xf numFmtId="0" fontId="79" fillId="0" borderId="0"/>
    <xf numFmtId="0" fontId="7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8" fillId="0" borderId="0"/>
    <xf numFmtId="0" fontId="79" fillId="0" borderId="0"/>
    <xf numFmtId="0" fontId="79" fillId="0" borderId="0"/>
    <xf numFmtId="0" fontId="78" fillId="0" borderId="0"/>
    <xf numFmtId="0" fontId="79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8" fillId="0" borderId="0"/>
    <xf numFmtId="0" fontId="79" fillId="0" borderId="0"/>
    <xf numFmtId="0" fontId="7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9" fillId="0" borderId="0"/>
    <xf numFmtId="0" fontId="82" fillId="0" borderId="0"/>
    <xf numFmtId="0" fontId="78" fillId="0" borderId="0"/>
    <xf numFmtId="0" fontId="79" fillId="0" borderId="0"/>
    <xf numFmtId="0" fontId="79" fillId="0" borderId="0"/>
    <xf numFmtId="0" fontId="78" fillId="0" borderId="0"/>
    <xf numFmtId="0" fontId="79" fillId="0" borderId="0"/>
    <xf numFmtId="0" fontId="7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0" fillId="0" borderId="0"/>
    <xf numFmtId="0" fontId="79" fillId="0" borderId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3" fillId="22" borderId="47" applyNumberFormat="0" applyFont="0" applyAlignment="0" applyProtection="0"/>
    <xf numFmtId="0" fontId="50" fillId="22" borderId="47" applyNumberFormat="0" applyFont="0" applyAlignment="0" applyProtection="0"/>
    <xf numFmtId="0" fontId="50" fillId="22" borderId="47" applyNumberFormat="0" applyFont="0" applyAlignment="0" applyProtection="0"/>
    <xf numFmtId="172" fontId="50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3" fontId="50" fillId="0" borderId="0" applyFont="0" applyFill="0" applyBorder="0" applyAlignment="0" applyProtection="0"/>
    <xf numFmtId="164" fontId="3" fillId="0" borderId="0" applyFont="0" applyFill="0" applyBorder="0" applyAlignment="0" applyProtection="0"/>
    <xf numFmtId="173" fontId="50" fillId="0" borderId="0" applyFont="0" applyFill="0" applyBorder="0" applyAlignment="0" applyProtection="0"/>
    <xf numFmtId="164" fontId="3" fillId="0" borderId="0" applyFont="0" applyFill="0" applyBorder="0" applyAlignment="0" applyProtection="0"/>
    <xf numFmtId="173" fontId="50" fillId="0" borderId="0" applyFont="0" applyFill="0" applyBorder="0" applyAlignment="0" applyProtection="0"/>
    <xf numFmtId="173" fontId="50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9" fillId="0" borderId="0" applyFont="0" applyFill="0" applyBorder="0" applyAlignment="0" applyProtection="0"/>
    <xf numFmtId="167" fontId="79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73" fontId="50" fillId="0" borderId="0" applyFont="0" applyFill="0" applyBorder="0" applyAlignment="0" applyProtection="0"/>
    <xf numFmtId="164" fontId="3" fillId="0" borderId="0" applyFont="0" applyFill="0" applyBorder="0" applyAlignment="0" applyProtection="0"/>
    <xf numFmtId="173" fontId="50" fillId="0" borderId="0" applyFont="0" applyFill="0" applyBorder="0" applyAlignment="0" applyProtection="0"/>
    <xf numFmtId="164" fontId="3" fillId="0" borderId="0" applyFont="0" applyFill="0" applyBorder="0" applyAlignment="0" applyProtection="0"/>
    <xf numFmtId="173" fontId="50" fillId="0" borderId="0" applyFont="0" applyFill="0" applyBorder="0" applyAlignment="0" applyProtection="0"/>
    <xf numFmtId="173" fontId="50" fillId="0" borderId="0" applyFont="0" applyFill="0" applyBorder="0" applyAlignment="0" applyProtection="0"/>
    <xf numFmtId="167" fontId="78" fillId="0" borderId="0" applyFont="0" applyFill="0" applyBorder="0" applyAlignment="0" applyProtection="0"/>
    <xf numFmtId="167" fontId="79" fillId="0" borderId="0" applyFont="0" applyFill="0" applyBorder="0" applyAlignment="0" applyProtection="0"/>
    <xf numFmtId="0" fontId="46" fillId="54" borderId="0" applyNumberFormat="0" applyBorder="0" applyAlignment="0" applyProtection="0"/>
    <xf numFmtId="0" fontId="46" fillId="54" borderId="0" applyNumberFormat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47" fillId="0" borderId="0"/>
    <xf numFmtId="0" fontId="47" fillId="0" borderId="0"/>
    <xf numFmtId="0" fontId="47" fillId="0" borderId="0"/>
    <xf numFmtId="167" fontId="47" fillId="0" borderId="0" applyFont="0" applyFill="0" applyBorder="0" applyAlignment="0" applyProtection="0"/>
    <xf numFmtId="0" fontId="3" fillId="0" borderId="0"/>
    <xf numFmtId="0" fontId="47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167" fontId="47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0" borderId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47" fillId="0" borderId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4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0" borderId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6" borderId="0" applyNumberFormat="0" applyBorder="0" applyAlignment="0" applyProtection="0"/>
    <xf numFmtId="0" fontId="3" fillId="37" borderId="0" applyNumberFormat="0" applyBorder="0" applyAlignment="0" applyProtection="0"/>
    <xf numFmtId="0" fontId="3" fillId="40" borderId="0" applyNumberFormat="0" applyBorder="0" applyAlignment="0" applyProtection="0"/>
    <xf numFmtId="0" fontId="3" fillId="41" borderId="0" applyNumberFormat="0" applyBorder="0" applyAlignment="0" applyProtection="0"/>
    <xf numFmtId="0" fontId="3" fillId="44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22" borderId="47" applyNumberFormat="0" applyFont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36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0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44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29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3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37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1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4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22" borderId="47" applyNumberFormat="0" applyFont="0" applyAlignment="0" applyProtection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49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36" borderId="0" applyNumberFormat="0" applyBorder="0" applyAlignment="0" applyProtection="0"/>
    <xf numFmtId="0" fontId="2" fillId="61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33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0" fontId="2" fillId="22" borderId="47" applyNumberFormat="0" applyFont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0" borderId="0"/>
  </cellStyleXfs>
  <cellXfs count="161">
    <xf numFmtId="0" fontId="0" fillId="0" borderId="0" xfId="0"/>
    <xf numFmtId="0" fontId="15" fillId="6" borderId="0" xfId="0" applyFont="1" applyFill="1" applyAlignment="1">
      <alignment horizontal="left"/>
    </xf>
    <xf numFmtId="0" fontId="23" fillId="3" borderId="26" xfId="0" applyFont="1" applyFill="1" applyBorder="1" applyAlignment="1">
      <alignment horizontal="center"/>
    </xf>
    <xf numFmtId="0" fontId="23" fillId="3" borderId="27" xfId="0" applyFont="1" applyFill="1" applyBorder="1" applyAlignment="1">
      <alignment horizontal="center"/>
    </xf>
    <xf numFmtId="0" fontId="23" fillId="3" borderId="10" xfId="0" applyFont="1" applyFill="1" applyBorder="1" applyAlignment="1">
      <alignment horizontal="center"/>
    </xf>
    <xf numFmtId="0" fontId="23" fillId="3" borderId="28" xfId="0" applyFont="1" applyFill="1" applyBorder="1" applyAlignment="1">
      <alignment horizontal="center"/>
    </xf>
    <xf numFmtId="0" fontId="23" fillId="3" borderId="4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3" fillId="2" borderId="27" xfId="0" applyFont="1" applyFill="1" applyBorder="1" applyAlignment="1">
      <alignment horizontal="center"/>
    </xf>
    <xf numFmtId="0" fontId="0" fillId="0" borderId="0" xfId="0"/>
    <xf numFmtId="0" fontId="19" fillId="11" borderId="8" xfId="0" applyFont="1" applyFill="1" applyBorder="1" applyAlignment="1">
      <alignment horizontal="center"/>
    </xf>
    <xf numFmtId="0" fontId="21" fillId="2" borderId="8" xfId="0" applyFont="1" applyFill="1" applyBorder="1" applyAlignment="1">
      <alignment horizontal="center"/>
    </xf>
    <xf numFmtId="0" fontId="17" fillId="2" borderId="26" xfId="0" applyFont="1" applyFill="1" applyBorder="1" applyAlignment="1">
      <alignment horizontal="center"/>
    </xf>
    <xf numFmtId="0" fontId="17" fillId="2" borderId="10" xfId="0" applyFont="1" applyFill="1" applyBorder="1" applyAlignment="1">
      <alignment horizontal="center"/>
    </xf>
    <xf numFmtId="0" fontId="17" fillId="2" borderId="28" xfId="0" applyFont="1" applyFill="1" applyBorder="1" applyAlignment="1">
      <alignment horizontal="center"/>
    </xf>
    <xf numFmtId="0" fontId="17" fillId="2" borderId="11" xfId="0" applyFont="1" applyFill="1" applyBorder="1" applyAlignment="1">
      <alignment horizontal="center"/>
    </xf>
    <xf numFmtId="0" fontId="0" fillId="0" borderId="0" xfId="0"/>
    <xf numFmtId="0" fontId="0" fillId="0" borderId="0" xfId="0"/>
    <xf numFmtId="0" fontId="15" fillId="6" borderId="0" xfId="0" applyFont="1" applyFill="1" applyAlignment="1">
      <alignment horizontal="left"/>
    </xf>
    <xf numFmtId="0" fontId="14" fillId="7" borderId="14" xfId="0" applyFont="1" applyFill="1" applyBorder="1" applyAlignment="1">
      <alignment horizontal="center"/>
    </xf>
    <xf numFmtId="0" fontId="19" fillId="3" borderId="4" xfId="0" applyFont="1" applyFill="1" applyBorder="1" applyAlignment="1">
      <alignment horizontal="center"/>
    </xf>
    <xf numFmtId="0" fontId="19" fillId="4" borderId="4" xfId="0" applyFont="1" applyFill="1" applyBorder="1" applyAlignment="1">
      <alignment horizontal="center"/>
    </xf>
    <xf numFmtId="0" fontId="20" fillId="5" borderId="4" xfId="0" applyFont="1" applyFill="1" applyBorder="1" applyAlignment="1">
      <alignment horizontal="center"/>
    </xf>
    <xf numFmtId="0" fontId="21" fillId="2" borderId="4" xfId="0" applyFont="1" applyFill="1" applyBorder="1" applyAlignment="1">
      <alignment horizontal="center"/>
    </xf>
    <xf numFmtId="14" fontId="24" fillId="0" borderId="4" xfId="0" applyNumberFormat="1" applyFont="1" applyBorder="1" applyAlignment="1">
      <alignment horizontal="center"/>
    </xf>
    <xf numFmtId="3" fontId="24" fillId="0" borderId="4" xfId="0" applyNumberFormat="1" applyFont="1" applyBorder="1" applyAlignment="1">
      <alignment horizontal="center"/>
    </xf>
    <xf numFmtId="0" fontId="20" fillId="10" borderId="4" xfId="0" applyFont="1" applyFill="1" applyBorder="1" applyAlignment="1">
      <alignment horizontal="center"/>
    </xf>
    <xf numFmtId="0" fontId="19" fillId="11" borderId="4" xfId="0" applyFont="1" applyFill="1" applyBorder="1" applyAlignment="1">
      <alignment horizontal="center"/>
    </xf>
    <xf numFmtId="0" fontId="14" fillId="7" borderId="27" xfId="0" applyFont="1" applyFill="1" applyBorder="1" applyAlignment="1">
      <alignment horizontal="center"/>
    </xf>
    <xf numFmtId="0" fontId="14" fillId="7" borderId="10" xfId="0" applyFont="1" applyFill="1" applyBorder="1" applyAlignment="1">
      <alignment horizontal="center"/>
    </xf>
    <xf numFmtId="9" fontId="18" fillId="0" borderId="11" xfId="0" applyNumberFormat="1" applyFont="1" applyBorder="1" applyAlignment="1">
      <alignment horizontal="center" vertical="center"/>
    </xf>
    <xf numFmtId="1" fontId="25" fillId="0" borderId="11" xfId="0" applyNumberFormat="1" applyFont="1" applyBorder="1" applyAlignment="1">
      <alignment horizontal="center" vertical="center"/>
    </xf>
    <xf numFmtId="0" fontId="19" fillId="8" borderId="4" xfId="0" applyFont="1" applyFill="1" applyBorder="1" applyAlignment="1">
      <alignment horizontal="center"/>
    </xf>
    <xf numFmtId="0" fontId="18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9" borderId="4" xfId="0" applyFont="1" applyFill="1" applyBorder="1" applyAlignment="1">
      <alignment horizontal="center"/>
    </xf>
    <xf numFmtId="0" fontId="14" fillId="9" borderId="8" xfId="0" applyFont="1" applyFill="1" applyBorder="1" applyAlignment="1">
      <alignment horizontal="center"/>
    </xf>
    <xf numFmtId="0" fontId="17" fillId="0" borderId="28" xfId="0" applyFont="1" applyFill="1" applyBorder="1" applyAlignment="1">
      <alignment horizontal="center"/>
    </xf>
    <xf numFmtId="0" fontId="18" fillId="6" borderId="27" xfId="0" applyFont="1" applyFill="1" applyBorder="1" applyAlignment="1">
      <alignment horizontal="center" vertical="center"/>
    </xf>
    <xf numFmtId="0" fontId="18" fillId="6" borderId="9" xfId="0" applyFont="1" applyFill="1" applyBorder="1" applyAlignment="1">
      <alignment horizontal="center"/>
    </xf>
    <xf numFmtId="0" fontId="18" fillId="13" borderId="6" xfId="0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5" fontId="14" fillId="6" borderId="26" xfId="0" applyNumberFormat="1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1" fontId="25" fillId="0" borderId="30" xfId="0" applyNumberFormat="1" applyFont="1" applyBorder="1" applyAlignment="1">
      <alignment horizontal="center" vertical="center"/>
    </xf>
    <xf numFmtId="9" fontId="18" fillId="0" borderId="30" xfId="0" applyNumberFormat="1" applyFont="1" applyBorder="1" applyAlignment="1">
      <alignment horizontal="center" vertical="center"/>
    </xf>
    <xf numFmtId="9" fontId="26" fillId="0" borderId="3" xfId="0" applyNumberFormat="1" applyFont="1" applyBorder="1" applyAlignment="1">
      <alignment horizontal="center" vertical="center"/>
    </xf>
    <xf numFmtId="0" fontId="16" fillId="14" borderId="0" xfId="0" applyFont="1" applyFill="1" applyAlignment="1">
      <alignment horizontal="center" vertical="center" wrapText="1" shrinkToFit="1"/>
    </xf>
    <xf numFmtId="166" fontId="29" fillId="6" borderId="14" xfId="0" applyNumberFormat="1" applyFont="1" applyFill="1" applyBorder="1" applyAlignment="1">
      <alignment wrapText="1"/>
    </xf>
    <xf numFmtId="166" fontId="29" fillId="6" borderId="15" xfId="0" applyNumberFormat="1" applyFont="1" applyFill="1" applyBorder="1" applyAlignment="1">
      <alignment wrapText="1"/>
    </xf>
    <xf numFmtId="166" fontId="29" fillId="6" borderId="16" xfId="0" applyNumberFormat="1" applyFont="1" applyFill="1" applyBorder="1" applyAlignment="1">
      <alignment wrapText="1"/>
    </xf>
    <xf numFmtId="166" fontId="29" fillId="6" borderId="6" xfId="0" applyNumberFormat="1" applyFont="1" applyFill="1" applyBorder="1" applyAlignment="1">
      <alignment wrapText="1"/>
    </xf>
    <xf numFmtId="0" fontId="23" fillId="0" borderId="4" xfId="0" applyFont="1" applyFill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3" fillId="0" borderId="27" xfId="0" applyFont="1" applyFill="1" applyBorder="1" applyAlignment="1">
      <alignment horizontal="center"/>
    </xf>
    <xf numFmtId="0" fontId="23" fillId="0" borderId="10" xfId="0" applyFont="1" applyFill="1" applyBorder="1" applyAlignment="1">
      <alignment horizontal="center"/>
    </xf>
    <xf numFmtId="0" fontId="23" fillId="0" borderId="28" xfId="0" applyFont="1" applyFill="1" applyBorder="1" applyAlignment="1">
      <alignment horizontal="center"/>
    </xf>
    <xf numFmtId="0" fontId="23" fillId="0" borderId="11" xfId="0" applyFont="1" applyFill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3" xfId="0" applyFont="1" applyFill="1" applyBorder="1" applyAlignment="1">
      <alignment horizontal="center"/>
    </xf>
    <xf numFmtId="0" fontId="23" fillId="0" borderId="29" xfId="0" applyFont="1" applyFill="1" applyBorder="1" applyAlignment="1">
      <alignment horizontal="center"/>
    </xf>
    <xf numFmtId="0" fontId="23" fillId="0" borderId="26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4" fillId="7" borderId="20" xfId="0" applyFont="1" applyFill="1" applyBorder="1" applyAlignment="1">
      <alignment horizontal="center"/>
    </xf>
    <xf numFmtId="0" fontId="14" fillId="12" borderId="6" xfId="0" applyFont="1" applyFill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0" fillId="15" borderId="0" xfId="0" applyFill="1" applyAlignment="1">
      <alignment horizontal="center"/>
    </xf>
    <xf numFmtId="0" fontId="19" fillId="15" borderId="0" xfId="0" applyFont="1" applyFill="1" applyBorder="1" applyAlignment="1">
      <alignment horizontal="center"/>
    </xf>
    <xf numFmtId="0" fontId="0" fillId="15" borderId="0" xfId="0" applyFill="1" applyBorder="1" applyAlignment="1">
      <alignment horizontal="center"/>
    </xf>
    <xf numFmtId="3" fontId="0" fillId="15" borderId="0" xfId="0" applyNumberFormat="1" applyFill="1" applyAlignment="1">
      <alignment horizontal="center"/>
    </xf>
    <xf numFmtId="3" fontId="0" fillId="0" borderId="0" xfId="0" applyNumberFormat="1" applyAlignment="1">
      <alignment horizontal="center"/>
    </xf>
    <xf numFmtId="0" fontId="30" fillId="0" borderId="4" xfId="0" applyFont="1" applyBorder="1" applyAlignment="1">
      <alignment horizontal="center"/>
    </xf>
    <xf numFmtId="0" fontId="23" fillId="0" borderId="5" xfId="0" applyFont="1" applyFill="1" applyBorder="1" applyAlignment="1">
      <alignment horizontal="center"/>
    </xf>
    <xf numFmtId="0" fontId="23" fillId="0" borderId="34" xfId="0" applyFont="1" applyFill="1" applyBorder="1" applyAlignment="1">
      <alignment horizontal="center"/>
    </xf>
    <xf numFmtId="0" fontId="23" fillId="0" borderId="7" xfId="0" applyFont="1" applyFill="1" applyBorder="1" applyAlignment="1">
      <alignment horizontal="center"/>
    </xf>
    <xf numFmtId="0" fontId="23" fillId="0" borderId="35" xfId="0" applyFont="1" applyBorder="1" applyAlignment="1">
      <alignment horizontal="center"/>
    </xf>
    <xf numFmtId="166" fontId="29" fillId="6" borderId="36" xfId="0" applyNumberFormat="1" applyFont="1" applyFill="1" applyBorder="1" applyAlignment="1">
      <alignment wrapText="1"/>
    </xf>
    <xf numFmtId="166" fontId="29" fillId="6" borderId="37" xfId="0" applyNumberFormat="1" applyFont="1" applyFill="1" applyBorder="1" applyAlignment="1">
      <alignment wrapText="1"/>
    </xf>
    <xf numFmtId="166" fontId="29" fillId="6" borderId="38" xfId="0" applyNumberFormat="1" applyFont="1" applyFill="1" applyBorder="1" applyAlignment="1">
      <alignment wrapText="1"/>
    </xf>
    <xf numFmtId="166" fontId="29" fillId="6" borderId="39" xfId="0" applyNumberFormat="1" applyFont="1" applyFill="1" applyBorder="1" applyAlignment="1">
      <alignment wrapText="1"/>
    </xf>
    <xf numFmtId="0" fontId="23" fillId="2" borderId="10" xfId="0" applyFont="1" applyFill="1" applyBorder="1" applyAlignment="1">
      <alignment horizontal="center"/>
    </xf>
    <xf numFmtId="0" fontId="18" fillId="70" borderId="14" xfId="0" applyFont="1" applyFill="1" applyBorder="1" applyAlignment="1">
      <alignment horizontal="center"/>
    </xf>
    <xf numFmtId="1" fontId="30" fillId="70" borderId="16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/>
    </xf>
    <xf numFmtId="3" fontId="14" fillId="2" borderId="13" xfId="0" applyNumberFormat="1" applyFont="1" applyFill="1" applyBorder="1" applyAlignment="1">
      <alignment horizontal="center"/>
    </xf>
    <xf numFmtId="0" fontId="14" fillId="2" borderId="13" xfId="0" applyFont="1" applyFill="1" applyBorder="1" applyAlignment="1">
      <alignment horizontal="center"/>
    </xf>
    <xf numFmtId="3" fontId="14" fillId="2" borderId="29" xfId="0" applyNumberFormat="1" applyFont="1" applyFill="1" applyBorder="1" applyAlignment="1">
      <alignment horizontal="center"/>
    </xf>
    <xf numFmtId="0" fontId="16" fillId="7" borderId="14" xfId="0" applyFont="1" applyFill="1" applyBorder="1" applyAlignment="1">
      <alignment horizontal="center"/>
    </xf>
    <xf numFmtId="1" fontId="17" fillId="8" borderId="17" xfId="0" applyNumberFormat="1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3" fontId="17" fillId="8" borderId="18" xfId="0" applyNumberFormat="1" applyFont="1" applyFill="1" applyBorder="1" applyAlignment="1">
      <alignment horizontal="center" vertical="center"/>
    </xf>
    <xf numFmtId="2" fontId="17" fillId="8" borderId="19" xfId="0" applyNumberFormat="1" applyFont="1" applyFill="1" applyBorder="1" applyAlignment="1">
      <alignment horizontal="center" vertical="center"/>
    </xf>
    <xf numFmtId="2" fontId="17" fillId="8" borderId="18" xfId="0" applyNumberFormat="1" applyFont="1" applyFill="1" applyBorder="1" applyAlignment="1">
      <alignment horizontal="center" vertical="center"/>
    </xf>
    <xf numFmtId="1" fontId="17" fillId="8" borderId="19" xfId="0" applyNumberFormat="1" applyFont="1" applyFill="1" applyBorder="1" applyAlignment="1">
      <alignment horizontal="center" vertical="center"/>
    </xf>
    <xf numFmtId="0" fontId="16" fillId="7" borderId="15" xfId="0" applyFont="1" applyFill="1" applyBorder="1" applyAlignment="1">
      <alignment horizontal="center" vertical="center" wrapText="1"/>
    </xf>
    <xf numFmtId="3" fontId="16" fillId="7" borderId="15" xfId="0" applyNumberFormat="1" applyFont="1" applyFill="1" applyBorder="1" applyAlignment="1">
      <alignment horizontal="center" vertical="center" wrapText="1"/>
    </xf>
    <xf numFmtId="0" fontId="16" fillId="7" borderId="16" xfId="0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0" fontId="80" fillId="7" borderId="14" xfId="0" applyFont="1" applyFill="1" applyBorder="1" applyAlignment="1">
      <alignment horizontal="center" vertical="center" wrapText="1"/>
    </xf>
    <xf numFmtId="0" fontId="80" fillId="7" borderId="14" xfId="0" applyFont="1" applyFill="1" applyBorder="1" applyAlignment="1">
      <alignment horizontal="center" vertical="center"/>
    </xf>
    <xf numFmtId="1" fontId="14" fillId="8" borderId="17" xfId="0" applyNumberFormat="1" applyFont="1" applyFill="1" applyBorder="1" applyAlignment="1">
      <alignment horizontal="center" vertical="center"/>
    </xf>
    <xf numFmtId="0" fontId="81" fillId="69" borderId="10" xfId="0" applyFont="1" applyFill="1" applyBorder="1" applyAlignment="1">
      <alignment horizontal="center"/>
    </xf>
    <xf numFmtId="0" fontId="17" fillId="14" borderId="0" xfId="0" applyFont="1" applyFill="1" applyAlignment="1">
      <alignment horizontal="center" vertical="center" shrinkToFit="1"/>
    </xf>
    <xf numFmtId="0" fontId="0" fillId="2" borderId="0" xfId="0" applyFill="1" applyAlignment="1">
      <alignment horizontal="center"/>
    </xf>
    <xf numFmtId="3" fontId="0" fillId="2" borderId="0" xfId="0" applyNumberFormat="1" applyFill="1" applyAlignment="1">
      <alignment horizontal="center"/>
    </xf>
    <xf numFmtId="0" fontId="22" fillId="14" borderId="0" xfId="0" applyFont="1" applyFill="1" applyAlignment="1">
      <alignment horizontal="center" vertical="center" shrinkToFit="1"/>
    </xf>
    <xf numFmtId="0" fontId="85" fillId="69" borderId="27" xfId="0" applyFont="1" applyFill="1" applyBorder="1" applyAlignment="1">
      <alignment horizontal="center"/>
    </xf>
    <xf numFmtId="0" fontId="18" fillId="6" borderId="20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/>
    </xf>
    <xf numFmtId="165" fontId="14" fillId="6" borderId="22" xfId="0" applyNumberFormat="1" applyFont="1" applyFill="1" applyBorder="1" applyAlignment="1">
      <alignment horizontal="center" vertical="center"/>
    </xf>
    <xf numFmtId="165" fontId="0" fillId="0" borderId="65" xfId="0" applyNumberFormat="1" applyBorder="1" applyAlignment="1">
      <alignment horizontal="center"/>
    </xf>
    <xf numFmtId="165" fontId="0" fillId="0" borderId="66" xfId="0" applyNumberFormat="1" applyBorder="1" applyAlignment="1">
      <alignment horizontal="center"/>
    </xf>
    <xf numFmtId="0" fontId="23" fillId="2" borderId="26" xfId="0" applyFont="1" applyFill="1" applyBorder="1" applyAlignment="1">
      <alignment horizontal="center"/>
    </xf>
    <xf numFmtId="0" fontId="86" fillId="0" borderId="0" xfId="0" applyFont="1"/>
    <xf numFmtId="0" fontId="0" fillId="2" borderId="0" xfId="0" applyFill="1"/>
    <xf numFmtId="0" fontId="87" fillId="0" borderId="0" xfId="0" applyFont="1"/>
    <xf numFmtId="0" fontId="88" fillId="0" borderId="0" xfId="0" applyFont="1"/>
    <xf numFmtId="0" fontId="0" fillId="4" borderId="0" xfId="0" applyFill="1"/>
    <xf numFmtId="0" fontId="89" fillId="0" borderId="0" xfId="0" applyFont="1" applyAlignment="1">
      <alignment horizontal="center" vertical="center"/>
    </xf>
    <xf numFmtId="0" fontId="0" fillId="0" borderId="4" xfId="0" applyBorder="1"/>
    <xf numFmtId="0" fontId="89" fillId="0" borderId="4" xfId="0" applyFont="1" applyBorder="1" applyAlignment="1">
      <alignment horizontal="center" vertical="center"/>
    </xf>
    <xf numFmtId="0" fontId="0" fillId="0" borderId="5" xfId="0" applyBorder="1"/>
    <xf numFmtId="0" fontId="0" fillId="0" borderId="26" xfId="0" applyBorder="1"/>
    <xf numFmtId="0" fontId="0" fillId="0" borderId="27" xfId="0" applyBorder="1"/>
    <xf numFmtId="0" fontId="0" fillId="0" borderId="10" xfId="0" applyBorder="1"/>
    <xf numFmtId="0" fontId="0" fillId="0" borderId="28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9" xfId="0" applyBorder="1"/>
    <xf numFmtId="0" fontId="14" fillId="6" borderId="1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/>
    </xf>
    <xf numFmtId="0" fontId="14" fillId="6" borderId="3" xfId="0" applyFont="1" applyFill="1" applyBorder="1" applyAlignment="1">
      <alignment horizontal="center"/>
    </xf>
    <xf numFmtId="0" fontId="27" fillId="12" borderId="1" xfId="0" applyFont="1" applyFill="1" applyBorder="1" applyAlignment="1">
      <alignment horizontal="center"/>
    </xf>
    <xf numFmtId="0" fontId="27" fillId="12" borderId="3" xfId="0" applyFont="1" applyFill="1" applyBorder="1" applyAlignment="1">
      <alignment horizontal="center"/>
    </xf>
    <xf numFmtId="0" fontId="18" fillId="12" borderId="60" xfId="0" applyFont="1" applyFill="1" applyBorder="1" applyAlignment="1">
      <alignment horizontal="center"/>
    </xf>
    <xf numFmtId="0" fontId="18" fillId="12" borderId="58" xfId="0" applyFont="1" applyFill="1" applyBorder="1" applyAlignment="1">
      <alignment horizontal="center"/>
    </xf>
    <xf numFmtId="0" fontId="18" fillId="12" borderId="59" xfId="0" applyFont="1" applyFill="1" applyBorder="1" applyAlignment="1">
      <alignment horizontal="center"/>
    </xf>
    <xf numFmtId="0" fontId="18" fillId="12" borderId="61" xfId="0" applyFont="1" applyFill="1" applyBorder="1" applyAlignment="1">
      <alignment horizontal="center"/>
    </xf>
    <xf numFmtId="0" fontId="18" fillId="12" borderId="0" xfId="0" applyFont="1" applyFill="1" applyBorder="1" applyAlignment="1">
      <alignment horizontal="center"/>
    </xf>
    <xf numFmtId="0" fontId="18" fillId="12" borderId="62" xfId="0" applyFont="1" applyFill="1" applyBorder="1" applyAlignment="1">
      <alignment horizontal="center"/>
    </xf>
    <xf numFmtId="0" fontId="18" fillId="12" borderId="1" xfId="0" applyFont="1" applyFill="1" applyBorder="1" applyAlignment="1">
      <alignment horizontal="center"/>
    </xf>
    <xf numFmtId="0" fontId="18" fillId="12" borderId="2" xfId="0" applyFont="1" applyFill="1" applyBorder="1" applyAlignment="1">
      <alignment horizontal="center"/>
    </xf>
    <xf numFmtId="0" fontId="18" fillId="12" borderId="3" xfId="0" applyFont="1" applyFill="1" applyBorder="1" applyAlignment="1">
      <alignment horizontal="center"/>
    </xf>
    <xf numFmtId="0" fontId="27" fillId="12" borderId="2" xfId="0" applyFont="1" applyFill="1" applyBorder="1" applyAlignment="1">
      <alignment horizontal="center"/>
    </xf>
    <xf numFmtId="0" fontId="18" fillId="12" borderId="31" xfId="0" applyFont="1" applyFill="1" applyBorder="1" applyAlignment="1">
      <alignment horizontal="center"/>
    </xf>
    <xf numFmtId="0" fontId="18" fillId="12" borderId="32" xfId="0" applyFont="1" applyFill="1" applyBorder="1" applyAlignment="1">
      <alignment horizontal="center"/>
    </xf>
    <xf numFmtId="0" fontId="18" fillId="12" borderId="33" xfId="0" applyFont="1" applyFill="1" applyBorder="1" applyAlignment="1">
      <alignment horizontal="center"/>
    </xf>
    <xf numFmtId="0" fontId="77" fillId="3" borderId="63" xfId="0" applyFont="1" applyFill="1" applyBorder="1" applyAlignment="1">
      <alignment horizontal="center"/>
    </xf>
    <xf numFmtId="0" fontId="77" fillId="3" borderId="0" xfId="0" applyFont="1" applyFill="1" applyBorder="1" applyAlignment="1">
      <alignment horizontal="center"/>
    </xf>
    <xf numFmtId="0" fontId="22" fillId="14" borderId="0" xfId="0" applyFont="1" applyFill="1" applyAlignment="1">
      <alignment horizontal="center" vertical="center" shrinkToFit="1"/>
    </xf>
    <xf numFmtId="0" fontId="28" fillId="14" borderId="0" xfId="0" applyFont="1" applyFill="1" applyAlignment="1">
      <alignment horizontal="center" vertical="center" shrinkToFit="1"/>
    </xf>
    <xf numFmtId="0" fontId="89" fillId="0" borderId="67" xfId="0" applyFont="1" applyBorder="1" applyAlignment="1">
      <alignment horizontal="center"/>
    </xf>
    <xf numFmtId="0" fontId="89" fillId="0" borderId="8" xfId="0" applyFont="1" applyBorder="1" applyAlignment="1">
      <alignment horizontal="center"/>
    </xf>
    <xf numFmtId="0" fontId="0" fillId="71" borderId="0" xfId="0" applyFill="1"/>
  </cellXfs>
  <cellStyles count="4373">
    <cellStyle name="%20 - Vurgu1" xfId="18" builtinId="30" customBuiltin="1"/>
    <cellStyle name="%20 - Vurgu1 10" xfId="707"/>
    <cellStyle name="%20 - Vurgu1 10 2" xfId="1591"/>
    <cellStyle name="%20 - Vurgu1 10 3" xfId="3270"/>
    <cellStyle name="%20 - Vurgu1 11" xfId="1197"/>
    <cellStyle name="%20 - Vurgu1 11 2" xfId="1592"/>
    <cellStyle name="%20 - Vurgu1 11 3" xfId="3271"/>
    <cellStyle name="%20 - Vurgu1 12" xfId="1505"/>
    <cellStyle name="%20 - Vurgu1 12 2" xfId="1593"/>
    <cellStyle name="%20 - Vurgu1 12 3" xfId="3272"/>
    <cellStyle name="%20 - Vurgu1 13" xfId="1590"/>
    <cellStyle name="%20 - Vurgu1 14" xfId="3269"/>
    <cellStyle name="%20 - Vurgu1 2" xfId="42"/>
    <cellStyle name="%20 - Vurgu1 2 10" xfId="1594"/>
    <cellStyle name="%20 - Vurgu1 2 11" xfId="3273"/>
    <cellStyle name="%20 - Vurgu1 2 2" xfId="43"/>
    <cellStyle name="%20 - Vurgu1 2 2 2" xfId="225"/>
    <cellStyle name="%20 - Vurgu1 2 2 2 2" xfId="397"/>
    <cellStyle name="%20 - Vurgu1 2 2 2 2 2" xfId="951"/>
    <cellStyle name="%20 - Vurgu1 2 2 2 2 2 2" xfId="2902"/>
    <cellStyle name="%20 - Vurgu1 2 2 2 2 3" xfId="1441"/>
    <cellStyle name="%20 - Vurgu1 2 2 2 2 3 2" xfId="3202"/>
    <cellStyle name="%20 - Vurgu1 2 2 2 2 4" xfId="1597"/>
    <cellStyle name="%20 - Vurgu1 2 2 2 2 5" xfId="3276"/>
    <cellStyle name="%20 - Vurgu1 2 2 2 3" xfId="471"/>
    <cellStyle name="%20 - Vurgu1 2 2 2 3 2" xfId="1019"/>
    <cellStyle name="%20 - Vurgu1 2 2 2 3 2 2" xfId="2959"/>
    <cellStyle name="%20 - Vurgu1 2 2 2 3 3" xfId="1598"/>
    <cellStyle name="%20 - Vurgu1 2 2 2 3 4" xfId="3277"/>
    <cellStyle name="%20 - Vurgu1 2 2 2 4" xfId="797"/>
    <cellStyle name="%20 - Vurgu1 2 2 2 4 2" xfId="1599"/>
    <cellStyle name="%20 - Vurgu1 2 2 2 4 3" xfId="3278"/>
    <cellStyle name="%20 - Vurgu1 2 2 2 5" xfId="1287"/>
    <cellStyle name="%20 - Vurgu1 2 2 2 5 2" xfId="1600"/>
    <cellStyle name="%20 - Vurgu1 2 2 2 5 3" xfId="3279"/>
    <cellStyle name="%20 - Vurgu1 2 2 2 6" xfId="1601"/>
    <cellStyle name="%20 - Vurgu1 2 2 2 6 2" xfId="3280"/>
    <cellStyle name="%20 - Vurgu1 2 2 2 7" xfId="1596"/>
    <cellStyle name="%20 - Vurgu1 2 2 2 8" xfId="3275"/>
    <cellStyle name="%20 - Vurgu1 2 2 3" xfId="318"/>
    <cellStyle name="%20 - Vurgu1 2 2 3 2" xfId="874"/>
    <cellStyle name="%20 - Vurgu1 2 2 3 2 2" xfId="2852"/>
    <cellStyle name="%20 - Vurgu1 2 2 3 3" xfId="1364"/>
    <cellStyle name="%20 - Vurgu1 2 2 3 3 2" xfId="3125"/>
    <cellStyle name="%20 - Vurgu1 2 2 3 4" xfId="1602"/>
    <cellStyle name="%20 - Vurgu1 2 2 3 5" xfId="3281"/>
    <cellStyle name="%20 - Vurgu1 2 2 4" xfId="470"/>
    <cellStyle name="%20 - Vurgu1 2 2 4 2" xfId="1018"/>
    <cellStyle name="%20 - Vurgu1 2 2 4 2 2" xfId="2958"/>
    <cellStyle name="%20 - Vurgu1 2 2 4 3" xfId="1603"/>
    <cellStyle name="%20 - Vurgu1 2 2 4 4" xfId="3282"/>
    <cellStyle name="%20 - Vurgu1 2 2 5" xfId="720"/>
    <cellStyle name="%20 - Vurgu1 2 2 5 2" xfId="1604"/>
    <cellStyle name="%20 - Vurgu1 2 2 5 3" xfId="3283"/>
    <cellStyle name="%20 - Vurgu1 2 2 6" xfId="1210"/>
    <cellStyle name="%20 - Vurgu1 2 2 6 2" xfId="1605"/>
    <cellStyle name="%20 - Vurgu1 2 2 6 3" xfId="3284"/>
    <cellStyle name="%20 - Vurgu1 2 2 7" xfId="1519"/>
    <cellStyle name="%20 - Vurgu1 2 2 7 2" xfId="1606"/>
    <cellStyle name="%20 - Vurgu1 2 2 7 3" xfId="3285"/>
    <cellStyle name="%20 - Vurgu1 2 2 8" xfId="1595"/>
    <cellStyle name="%20 - Vurgu1 2 2 9" xfId="3274"/>
    <cellStyle name="%20 - Vurgu1 2 3" xfId="44"/>
    <cellStyle name="%20 - Vurgu1 2 4" xfId="224"/>
    <cellStyle name="%20 - Vurgu1 2 4 2" xfId="396"/>
    <cellStyle name="%20 - Vurgu1 2 4 2 2" xfId="950"/>
    <cellStyle name="%20 - Vurgu1 2 4 2 2 2" xfId="1609"/>
    <cellStyle name="%20 - Vurgu1 2 4 2 2 3" xfId="3288"/>
    <cellStyle name="%20 - Vurgu1 2 4 2 3" xfId="1440"/>
    <cellStyle name="%20 - Vurgu1 2 4 2 3 2" xfId="3201"/>
    <cellStyle name="%20 - Vurgu1 2 4 2 4" xfId="1608"/>
    <cellStyle name="%20 - Vurgu1 2 4 2 5" xfId="3287"/>
    <cellStyle name="%20 - Vurgu1 2 4 3" xfId="472"/>
    <cellStyle name="%20 - Vurgu1 2 4 3 2" xfId="1020"/>
    <cellStyle name="%20 - Vurgu1 2 4 3 2 2" xfId="2960"/>
    <cellStyle name="%20 - Vurgu1 2 4 3 3" xfId="1610"/>
    <cellStyle name="%20 - Vurgu1 2 4 3 4" xfId="3289"/>
    <cellStyle name="%20 - Vurgu1 2 4 4" xfId="796"/>
    <cellStyle name="%20 - Vurgu1 2 4 4 2" xfId="1611"/>
    <cellStyle name="%20 - Vurgu1 2 4 4 3" xfId="3290"/>
    <cellStyle name="%20 - Vurgu1 2 4 5" xfId="1286"/>
    <cellStyle name="%20 - Vurgu1 2 4 5 2" xfId="1612"/>
    <cellStyle name="%20 - Vurgu1 2 4 5 3" xfId="3291"/>
    <cellStyle name="%20 - Vurgu1 2 4 6" xfId="1613"/>
    <cellStyle name="%20 - Vurgu1 2 4 6 2" xfId="3292"/>
    <cellStyle name="%20 - Vurgu1 2 4 7" xfId="1614"/>
    <cellStyle name="%20 - Vurgu1 2 4 7 2" xfId="3293"/>
    <cellStyle name="%20 - Vurgu1 2 4 8" xfId="1607"/>
    <cellStyle name="%20 - Vurgu1 2 4 9" xfId="3286"/>
    <cellStyle name="%20 - Vurgu1 2 5" xfId="317"/>
    <cellStyle name="%20 - Vurgu1 2 5 2" xfId="873"/>
    <cellStyle name="%20 - Vurgu1 2 5 2 2" xfId="1616"/>
    <cellStyle name="%20 - Vurgu1 2 5 2 3" xfId="3295"/>
    <cellStyle name="%20 - Vurgu1 2 5 3" xfId="1363"/>
    <cellStyle name="%20 - Vurgu1 2 5 3 2" xfId="3124"/>
    <cellStyle name="%20 - Vurgu1 2 5 4" xfId="1615"/>
    <cellStyle name="%20 - Vurgu1 2 5 5" xfId="3294"/>
    <cellStyle name="%20 - Vurgu1 2 6" xfId="469"/>
    <cellStyle name="%20 - Vurgu1 2 6 2" xfId="1017"/>
    <cellStyle name="%20 - Vurgu1 2 6 2 2" xfId="2957"/>
    <cellStyle name="%20 - Vurgu1 2 6 3" xfId="1617"/>
    <cellStyle name="%20 - Vurgu1 2 6 4" xfId="3296"/>
    <cellStyle name="%20 - Vurgu1 2 7" xfId="719"/>
    <cellStyle name="%20 - Vurgu1 2 7 2" xfId="1618"/>
    <cellStyle name="%20 - Vurgu1 2 7 3" xfId="3297"/>
    <cellStyle name="%20 - Vurgu1 2 8" xfId="1209"/>
    <cellStyle name="%20 - Vurgu1 2 8 2" xfId="1619"/>
    <cellStyle name="%20 - Vurgu1 2 8 3" xfId="3298"/>
    <cellStyle name="%20 - Vurgu1 2 9" xfId="1518"/>
    <cellStyle name="%20 - Vurgu1 2 9 2" xfId="1620"/>
    <cellStyle name="%20 - Vurgu1 2 9 3" xfId="3299"/>
    <cellStyle name="%20 - Vurgu1 3" xfId="45"/>
    <cellStyle name="%20 - Vurgu1 3 2" xfId="226"/>
    <cellStyle name="%20 - Vurgu1 3 2 2" xfId="398"/>
    <cellStyle name="%20 - Vurgu1 3 2 2 2" xfId="952"/>
    <cellStyle name="%20 - Vurgu1 3 2 2 2 2" xfId="2903"/>
    <cellStyle name="%20 - Vurgu1 3 2 2 3" xfId="1442"/>
    <cellStyle name="%20 - Vurgu1 3 2 2 3 2" xfId="3203"/>
    <cellStyle name="%20 - Vurgu1 3 2 2 4" xfId="1623"/>
    <cellStyle name="%20 - Vurgu1 3 2 2 5" xfId="3302"/>
    <cellStyle name="%20 - Vurgu1 3 2 3" xfId="474"/>
    <cellStyle name="%20 - Vurgu1 3 2 3 2" xfId="1022"/>
    <cellStyle name="%20 - Vurgu1 3 2 3 2 2" xfId="2962"/>
    <cellStyle name="%20 - Vurgu1 3 2 3 3" xfId="1624"/>
    <cellStyle name="%20 - Vurgu1 3 2 3 4" xfId="3303"/>
    <cellStyle name="%20 - Vurgu1 3 2 4" xfId="798"/>
    <cellStyle name="%20 - Vurgu1 3 2 4 2" xfId="1625"/>
    <cellStyle name="%20 - Vurgu1 3 2 4 3" xfId="3304"/>
    <cellStyle name="%20 - Vurgu1 3 2 5" xfId="1288"/>
    <cellStyle name="%20 - Vurgu1 3 2 5 2" xfId="1626"/>
    <cellStyle name="%20 - Vurgu1 3 2 5 3" xfId="3305"/>
    <cellStyle name="%20 - Vurgu1 3 2 6" xfId="1627"/>
    <cellStyle name="%20 - Vurgu1 3 2 6 2" xfId="3306"/>
    <cellStyle name="%20 - Vurgu1 3 2 7" xfId="1622"/>
    <cellStyle name="%20 - Vurgu1 3 2 8" xfId="3301"/>
    <cellStyle name="%20 - Vurgu1 3 3" xfId="319"/>
    <cellStyle name="%20 - Vurgu1 3 3 2" xfId="875"/>
    <cellStyle name="%20 - Vurgu1 3 3 2 2" xfId="2853"/>
    <cellStyle name="%20 - Vurgu1 3 3 3" xfId="1365"/>
    <cellStyle name="%20 - Vurgu1 3 3 3 2" xfId="3126"/>
    <cellStyle name="%20 - Vurgu1 3 3 4" xfId="1628"/>
    <cellStyle name="%20 - Vurgu1 3 3 5" xfId="3307"/>
    <cellStyle name="%20 - Vurgu1 3 4" xfId="473"/>
    <cellStyle name="%20 - Vurgu1 3 4 2" xfId="1021"/>
    <cellStyle name="%20 - Vurgu1 3 4 2 2" xfId="2961"/>
    <cellStyle name="%20 - Vurgu1 3 4 3" xfId="1629"/>
    <cellStyle name="%20 - Vurgu1 3 4 4" xfId="3308"/>
    <cellStyle name="%20 - Vurgu1 3 5" xfId="721"/>
    <cellStyle name="%20 - Vurgu1 3 5 2" xfId="1630"/>
    <cellStyle name="%20 - Vurgu1 3 5 3" xfId="3309"/>
    <cellStyle name="%20 - Vurgu1 3 6" xfId="1211"/>
    <cellStyle name="%20 - Vurgu1 3 6 2" xfId="1631"/>
    <cellStyle name="%20 - Vurgu1 3 6 3" xfId="3310"/>
    <cellStyle name="%20 - Vurgu1 3 7" xfId="1520"/>
    <cellStyle name="%20 - Vurgu1 3 7 2" xfId="1632"/>
    <cellStyle name="%20 - Vurgu1 3 7 3" xfId="3311"/>
    <cellStyle name="%20 - Vurgu1 3 8" xfId="1621"/>
    <cellStyle name="%20 - Vurgu1 3 9" xfId="3300"/>
    <cellStyle name="%20 - Vurgu1 4" xfId="46"/>
    <cellStyle name="%20 - Vurgu1 4 2" xfId="227"/>
    <cellStyle name="%20 - Vurgu1 4 2 2" xfId="399"/>
    <cellStyle name="%20 - Vurgu1 4 2 2 2" xfId="953"/>
    <cellStyle name="%20 - Vurgu1 4 2 2 2 2" xfId="2904"/>
    <cellStyle name="%20 - Vurgu1 4 2 2 3" xfId="1443"/>
    <cellStyle name="%20 - Vurgu1 4 2 2 3 2" xfId="3204"/>
    <cellStyle name="%20 - Vurgu1 4 2 2 4" xfId="1635"/>
    <cellStyle name="%20 - Vurgu1 4 2 2 5" xfId="3314"/>
    <cellStyle name="%20 - Vurgu1 4 2 3" xfId="476"/>
    <cellStyle name="%20 - Vurgu1 4 2 3 2" xfId="1024"/>
    <cellStyle name="%20 - Vurgu1 4 2 3 2 2" xfId="2964"/>
    <cellStyle name="%20 - Vurgu1 4 2 3 3" xfId="1636"/>
    <cellStyle name="%20 - Vurgu1 4 2 3 4" xfId="3315"/>
    <cellStyle name="%20 - Vurgu1 4 2 4" xfId="799"/>
    <cellStyle name="%20 - Vurgu1 4 2 4 2" xfId="1637"/>
    <cellStyle name="%20 - Vurgu1 4 2 4 3" xfId="3316"/>
    <cellStyle name="%20 - Vurgu1 4 2 5" xfId="1289"/>
    <cellStyle name="%20 - Vurgu1 4 2 5 2" xfId="1638"/>
    <cellStyle name="%20 - Vurgu1 4 2 5 3" xfId="3317"/>
    <cellStyle name="%20 - Vurgu1 4 2 6" xfId="1639"/>
    <cellStyle name="%20 - Vurgu1 4 2 6 2" xfId="3318"/>
    <cellStyle name="%20 - Vurgu1 4 2 7" xfId="1634"/>
    <cellStyle name="%20 - Vurgu1 4 2 8" xfId="3313"/>
    <cellStyle name="%20 - Vurgu1 4 3" xfId="320"/>
    <cellStyle name="%20 - Vurgu1 4 3 2" xfId="876"/>
    <cellStyle name="%20 - Vurgu1 4 3 2 2" xfId="2854"/>
    <cellStyle name="%20 - Vurgu1 4 3 3" xfId="1366"/>
    <cellStyle name="%20 - Vurgu1 4 3 3 2" xfId="3127"/>
    <cellStyle name="%20 - Vurgu1 4 3 4" xfId="1640"/>
    <cellStyle name="%20 - Vurgu1 4 3 5" xfId="3319"/>
    <cellStyle name="%20 - Vurgu1 4 4" xfId="475"/>
    <cellStyle name="%20 - Vurgu1 4 4 2" xfId="1023"/>
    <cellStyle name="%20 - Vurgu1 4 4 2 2" xfId="2963"/>
    <cellStyle name="%20 - Vurgu1 4 4 3" xfId="1641"/>
    <cellStyle name="%20 - Vurgu1 4 4 4" xfId="3320"/>
    <cellStyle name="%20 - Vurgu1 4 5" xfId="722"/>
    <cellStyle name="%20 - Vurgu1 4 5 2" xfId="1642"/>
    <cellStyle name="%20 - Vurgu1 4 5 3" xfId="3321"/>
    <cellStyle name="%20 - Vurgu1 4 6" xfId="1212"/>
    <cellStyle name="%20 - Vurgu1 4 6 2" xfId="1643"/>
    <cellStyle name="%20 - Vurgu1 4 6 3" xfId="3322"/>
    <cellStyle name="%20 - Vurgu1 4 7" xfId="1521"/>
    <cellStyle name="%20 - Vurgu1 4 7 2" xfId="1644"/>
    <cellStyle name="%20 - Vurgu1 4 7 3" xfId="3323"/>
    <cellStyle name="%20 - Vurgu1 4 8" xfId="1633"/>
    <cellStyle name="%20 - Vurgu1 4 9" xfId="3312"/>
    <cellStyle name="%20 - Vurgu1 5" xfId="47"/>
    <cellStyle name="%20 - Vurgu1 6" xfId="208"/>
    <cellStyle name="%20 - Vurgu1 6 2" xfId="381"/>
    <cellStyle name="%20 - Vurgu1 6 2 2" xfId="936"/>
    <cellStyle name="%20 - Vurgu1 6 2 2 2" xfId="1647"/>
    <cellStyle name="%20 - Vurgu1 6 2 2 3" xfId="3326"/>
    <cellStyle name="%20 - Vurgu1 6 2 3" xfId="1426"/>
    <cellStyle name="%20 - Vurgu1 6 2 3 2" xfId="3187"/>
    <cellStyle name="%20 - Vurgu1 6 2 4" xfId="1646"/>
    <cellStyle name="%20 - Vurgu1 6 2 5" xfId="3325"/>
    <cellStyle name="%20 - Vurgu1 6 3" xfId="477"/>
    <cellStyle name="%20 - Vurgu1 6 3 2" xfId="1025"/>
    <cellStyle name="%20 - Vurgu1 6 3 2 2" xfId="2965"/>
    <cellStyle name="%20 - Vurgu1 6 3 3" xfId="1648"/>
    <cellStyle name="%20 - Vurgu1 6 3 4" xfId="3327"/>
    <cellStyle name="%20 - Vurgu1 6 4" xfId="782"/>
    <cellStyle name="%20 - Vurgu1 6 4 2" xfId="1649"/>
    <cellStyle name="%20 - Vurgu1 6 4 3" xfId="3328"/>
    <cellStyle name="%20 - Vurgu1 6 5" xfId="1272"/>
    <cellStyle name="%20 - Vurgu1 6 5 2" xfId="1650"/>
    <cellStyle name="%20 - Vurgu1 6 5 3" xfId="3329"/>
    <cellStyle name="%20 - Vurgu1 6 6" xfId="1651"/>
    <cellStyle name="%20 - Vurgu1 6 6 2" xfId="3330"/>
    <cellStyle name="%20 - Vurgu1 6 7" xfId="1652"/>
    <cellStyle name="%20 - Vurgu1 6 7 2" xfId="3331"/>
    <cellStyle name="%20 - Vurgu1 6 8" xfId="1645"/>
    <cellStyle name="%20 - Vurgu1 6 9" xfId="3324"/>
    <cellStyle name="%20 - Vurgu1 7" xfId="305"/>
    <cellStyle name="%20 - Vurgu1 7 2" xfId="478"/>
    <cellStyle name="%20 - Vurgu1 7 2 2" xfId="1026"/>
    <cellStyle name="%20 - Vurgu1 7 2 2 2" xfId="2966"/>
    <cellStyle name="%20 - Vurgu1 7 2 3" xfId="1654"/>
    <cellStyle name="%20 - Vurgu1 7 2 4" xfId="3333"/>
    <cellStyle name="%20 - Vurgu1 7 3" xfId="861"/>
    <cellStyle name="%20 - Vurgu1 7 3 2" xfId="1655"/>
    <cellStyle name="%20 - Vurgu1 7 3 3" xfId="3334"/>
    <cellStyle name="%20 - Vurgu1 7 4" xfId="1351"/>
    <cellStyle name="%20 - Vurgu1 7 4 2" xfId="1656"/>
    <cellStyle name="%20 - Vurgu1 7 4 3" xfId="3335"/>
    <cellStyle name="%20 - Vurgu1 7 5" xfId="1657"/>
    <cellStyle name="%20 - Vurgu1 7 5 2" xfId="3336"/>
    <cellStyle name="%20 - Vurgu1 7 6" xfId="1658"/>
    <cellStyle name="%20 - Vurgu1 7 6 2" xfId="3337"/>
    <cellStyle name="%20 - Vurgu1 7 7" xfId="1653"/>
    <cellStyle name="%20 - Vurgu1 7 8" xfId="3332"/>
    <cellStyle name="%20 - Vurgu1 8" xfId="479"/>
    <cellStyle name="%20 - Vurgu1 8 2" xfId="1027"/>
    <cellStyle name="%20 - Vurgu1 8 2 2" xfId="1660"/>
    <cellStyle name="%20 - Vurgu1 8 2 3" xfId="3339"/>
    <cellStyle name="%20 - Vurgu1 8 3" xfId="1661"/>
    <cellStyle name="%20 - Vurgu1 8 3 2" xfId="3340"/>
    <cellStyle name="%20 - Vurgu1 8 4" xfId="1662"/>
    <cellStyle name="%20 - Vurgu1 8 4 2" xfId="3341"/>
    <cellStyle name="%20 - Vurgu1 8 5" xfId="1659"/>
    <cellStyle name="%20 - Vurgu1 8 6" xfId="3338"/>
    <cellStyle name="%20 - Vurgu1 9" xfId="468"/>
    <cellStyle name="%20 - Vurgu1 9 2" xfId="1016"/>
    <cellStyle name="%20 - Vurgu1 9 2 2" xfId="2956"/>
    <cellStyle name="%20 - Vurgu1 9 3" xfId="1663"/>
    <cellStyle name="%20 - Vurgu1 9 4" xfId="3342"/>
    <cellStyle name="%20 - Vurgu2" xfId="22" builtinId="34" customBuiltin="1"/>
    <cellStyle name="%20 - Vurgu2 10" xfId="709"/>
    <cellStyle name="%20 - Vurgu2 10 2" xfId="1665"/>
    <cellStyle name="%20 - Vurgu2 10 3" xfId="3344"/>
    <cellStyle name="%20 - Vurgu2 11" xfId="1199"/>
    <cellStyle name="%20 - Vurgu2 11 2" xfId="1666"/>
    <cellStyle name="%20 - Vurgu2 11 3" xfId="3345"/>
    <cellStyle name="%20 - Vurgu2 12" xfId="1507"/>
    <cellStyle name="%20 - Vurgu2 12 2" xfId="1667"/>
    <cellStyle name="%20 - Vurgu2 12 3" xfId="3346"/>
    <cellStyle name="%20 - Vurgu2 13" xfId="1664"/>
    <cellStyle name="%20 - Vurgu2 14" xfId="3343"/>
    <cellStyle name="%20 - Vurgu2 2" xfId="48"/>
    <cellStyle name="%20 - Vurgu2 2 10" xfId="1668"/>
    <cellStyle name="%20 - Vurgu2 2 11" xfId="3347"/>
    <cellStyle name="%20 - Vurgu2 2 2" xfId="49"/>
    <cellStyle name="%20 - Vurgu2 2 2 2" xfId="229"/>
    <cellStyle name="%20 - Vurgu2 2 2 2 2" xfId="401"/>
    <cellStyle name="%20 - Vurgu2 2 2 2 2 2" xfId="955"/>
    <cellStyle name="%20 - Vurgu2 2 2 2 2 2 2" xfId="2905"/>
    <cellStyle name="%20 - Vurgu2 2 2 2 2 3" xfId="1445"/>
    <cellStyle name="%20 - Vurgu2 2 2 2 2 3 2" xfId="3206"/>
    <cellStyle name="%20 - Vurgu2 2 2 2 2 4" xfId="1671"/>
    <cellStyle name="%20 - Vurgu2 2 2 2 2 5" xfId="3350"/>
    <cellStyle name="%20 - Vurgu2 2 2 2 3" xfId="483"/>
    <cellStyle name="%20 - Vurgu2 2 2 2 3 2" xfId="1031"/>
    <cellStyle name="%20 - Vurgu2 2 2 2 3 2 2" xfId="2970"/>
    <cellStyle name="%20 - Vurgu2 2 2 2 3 3" xfId="1672"/>
    <cellStyle name="%20 - Vurgu2 2 2 2 3 4" xfId="3351"/>
    <cellStyle name="%20 - Vurgu2 2 2 2 4" xfId="801"/>
    <cellStyle name="%20 - Vurgu2 2 2 2 4 2" xfId="1673"/>
    <cellStyle name="%20 - Vurgu2 2 2 2 4 3" xfId="3352"/>
    <cellStyle name="%20 - Vurgu2 2 2 2 5" xfId="1291"/>
    <cellStyle name="%20 - Vurgu2 2 2 2 5 2" xfId="1674"/>
    <cellStyle name="%20 - Vurgu2 2 2 2 5 3" xfId="3353"/>
    <cellStyle name="%20 - Vurgu2 2 2 2 6" xfId="1675"/>
    <cellStyle name="%20 - Vurgu2 2 2 2 6 2" xfId="3354"/>
    <cellStyle name="%20 - Vurgu2 2 2 2 7" xfId="1670"/>
    <cellStyle name="%20 - Vurgu2 2 2 2 8" xfId="3349"/>
    <cellStyle name="%20 - Vurgu2 2 2 3" xfId="322"/>
    <cellStyle name="%20 - Vurgu2 2 2 3 2" xfId="878"/>
    <cellStyle name="%20 - Vurgu2 2 2 3 2 2" xfId="2855"/>
    <cellStyle name="%20 - Vurgu2 2 2 3 3" xfId="1368"/>
    <cellStyle name="%20 - Vurgu2 2 2 3 3 2" xfId="3129"/>
    <cellStyle name="%20 - Vurgu2 2 2 3 4" xfId="1676"/>
    <cellStyle name="%20 - Vurgu2 2 2 3 5" xfId="3355"/>
    <cellStyle name="%20 - Vurgu2 2 2 4" xfId="482"/>
    <cellStyle name="%20 - Vurgu2 2 2 4 2" xfId="1030"/>
    <cellStyle name="%20 - Vurgu2 2 2 4 2 2" xfId="2969"/>
    <cellStyle name="%20 - Vurgu2 2 2 4 3" xfId="1677"/>
    <cellStyle name="%20 - Vurgu2 2 2 4 4" xfId="3356"/>
    <cellStyle name="%20 - Vurgu2 2 2 5" xfId="724"/>
    <cellStyle name="%20 - Vurgu2 2 2 5 2" xfId="1678"/>
    <cellStyle name="%20 - Vurgu2 2 2 5 3" xfId="3357"/>
    <cellStyle name="%20 - Vurgu2 2 2 6" xfId="1214"/>
    <cellStyle name="%20 - Vurgu2 2 2 6 2" xfId="1679"/>
    <cellStyle name="%20 - Vurgu2 2 2 6 3" xfId="3358"/>
    <cellStyle name="%20 - Vurgu2 2 2 7" xfId="1523"/>
    <cellStyle name="%20 - Vurgu2 2 2 7 2" xfId="1680"/>
    <cellStyle name="%20 - Vurgu2 2 2 7 3" xfId="3359"/>
    <cellStyle name="%20 - Vurgu2 2 2 8" xfId="1669"/>
    <cellStyle name="%20 - Vurgu2 2 2 9" xfId="3348"/>
    <cellStyle name="%20 - Vurgu2 2 3" xfId="50"/>
    <cellStyle name="%20 - Vurgu2 2 4" xfId="228"/>
    <cellStyle name="%20 - Vurgu2 2 4 2" xfId="400"/>
    <cellStyle name="%20 - Vurgu2 2 4 2 2" xfId="954"/>
    <cellStyle name="%20 - Vurgu2 2 4 2 2 2" xfId="1683"/>
    <cellStyle name="%20 - Vurgu2 2 4 2 2 3" xfId="3362"/>
    <cellStyle name="%20 - Vurgu2 2 4 2 3" xfId="1444"/>
    <cellStyle name="%20 - Vurgu2 2 4 2 3 2" xfId="3205"/>
    <cellStyle name="%20 - Vurgu2 2 4 2 4" xfId="1682"/>
    <cellStyle name="%20 - Vurgu2 2 4 2 5" xfId="3361"/>
    <cellStyle name="%20 - Vurgu2 2 4 3" xfId="484"/>
    <cellStyle name="%20 - Vurgu2 2 4 3 2" xfId="1032"/>
    <cellStyle name="%20 - Vurgu2 2 4 3 2 2" xfId="2971"/>
    <cellStyle name="%20 - Vurgu2 2 4 3 3" xfId="1684"/>
    <cellStyle name="%20 - Vurgu2 2 4 3 4" xfId="3363"/>
    <cellStyle name="%20 - Vurgu2 2 4 4" xfId="800"/>
    <cellStyle name="%20 - Vurgu2 2 4 4 2" xfId="1685"/>
    <cellStyle name="%20 - Vurgu2 2 4 4 3" xfId="3364"/>
    <cellStyle name="%20 - Vurgu2 2 4 5" xfId="1290"/>
    <cellStyle name="%20 - Vurgu2 2 4 5 2" xfId="1686"/>
    <cellStyle name="%20 - Vurgu2 2 4 5 3" xfId="3365"/>
    <cellStyle name="%20 - Vurgu2 2 4 6" xfId="1687"/>
    <cellStyle name="%20 - Vurgu2 2 4 6 2" xfId="3366"/>
    <cellStyle name="%20 - Vurgu2 2 4 7" xfId="1688"/>
    <cellStyle name="%20 - Vurgu2 2 4 7 2" xfId="3367"/>
    <cellStyle name="%20 - Vurgu2 2 4 8" xfId="1681"/>
    <cellStyle name="%20 - Vurgu2 2 4 9" xfId="3360"/>
    <cellStyle name="%20 - Vurgu2 2 5" xfId="321"/>
    <cellStyle name="%20 - Vurgu2 2 5 2" xfId="877"/>
    <cellStyle name="%20 - Vurgu2 2 5 2 2" xfId="1690"/>
    <cellStyle name="%20 - Vurgu2 2 5 2 3" xfId="3369"/>
    <cellStyle name="%20 - Vurgu2 2 5 3" xfId="1367"/>
    <cellStyle name="%20 - Vurgu2 2 5 3 2" xfId="3128"/>
    <cellStyle name="%20 - Vurgu2 2 5 4" xfId="1689"/>
    <cellStyle name="%20 - Vurgu2 2 5 5" xfId="3368"/>
    <cellStyle name="%20 - Vurgu2 2 6" xfId="481"/>
    <cellStyle name="%20 - Vurgu2 2 6 2" xfId="1029"/>
    <cellStyle name="%20 - Vurgu2 2 6 2 2" xfId="2968"/>
    <cellStyle name="%20 - Vurgu2 2 6 3" xfId="1691"/>
    <cellStyle name="%20 - Vurgu2 2 6 4" xfId="3370"/>
    <cellStyle name="%20 - Vurgu2 2 7" xfId="723"/>
    <cellStyle name="%20 - Vurgu2 2 7 2" xfId="1692"/>
    <cellStyle name="%20 - Vurgu2 2 7 3" xfId="3371"/>
    <cellStyle name="%20 - Vurgu2 2 8" xfId="1213"/>
    <cellStyle name="%20 - Vurgu2 2 8 2" xfId="1693"/>
    <cellStyle name="%20 - Vurgu2 2 8 3" xfId="3372"/>
    <cellStyle name="%20 - Vurgu2 2 9" xfId="1522"/>
    <cellStyle name="%20 - Vurgu2 2 9 2" xfId="1694"/>
    <cellStyle name="%20 - Vurgu2 2 9 3" xfId="3373"/>
    <cellStyle name="%20 - Vurgu2 3" xfId="51"/>
    <cellStyle name="%20 - Vurgu2 3 2" xfId="230"/>
    <cellStyle name="%20 - Vurgu2 3 2 2" xfId="402"/>
    <cellStyle name="%20 - Vurgu2 3 2 2 2" xfId="956"/>
    <cellStyle name="%20 - Vurgu2 3 2 2 2 2" xfId="2906"/>
    <cellStyle name="%20 - Vurgu2 3 2 2 3" xfId="1446"/>
    <cellStyle name="%20 - Vurgu2 3 2 2 3 2" xfId="3207"/>
    <cellStyle name="%20 - Vurgu2 3 2 2 4" xfId="1697"/>
    <cellStyle name="%20 - Vurgu2 3 2 2 5" xfId="3376"/>
    <cellStyle name="%20 - Vurgu2 3 2 3" xfId="486"/>
    <cellStyle name="%20 - Vurgu2 3 2 3 2" xfId="1034"/>
    <cellStyle name="%20 - Vurgu2 3 2 3 2 2" xfId="2973"/>
    <cellStyle name="%20 - Vurgu2 3 2 3 3" xfId="1698"/>
    <cellStyle name="%20 - Vurgu2 3 2 3 4" xfId="3377"/>
    <cellStyle name="%20 - Vurgu2 3 2 4" xfId="802"/>
    <cellStyle name="%20 - Vurgu2 3 2 4 2" xfId="1699"/>
    <cellStyle name="%20 - Vurgu2 3 2 4 3" xfId="3378"/>
    <cellStyle name="%20 - Vurgu2 3 2 5" xfId="1292"/>
    <cellStyle name="%20 - Vurgu2 3 2 5 2" xfId="1700"/>
    <cellStyle name="%20 - Vurgu2 3 2 5 3" xfId="3379"/>
    <cellStyle name="%20 - Vurgu2 3 2 6" xfId="1701"/>
    <cellStyle name="%20 - Vurgu2 3 2 6 2" xfId="3380"/>
    <cellStyle name="%20 - Vurgu2 3 2 7" xfId="1696"/>
    <cellStyle name="%20 - Vurgu2 3 2 8" xfId="3375"/>
    <cellStyle name="%20 - Vurgu2 3 3" xfId="323"/>
    <cellStyle name="%20 - Vurgu2 3 3 2" xfId="879"/>
    <cellStyle name="%20 - Vurgu2 3 3 2 2" xfId="2856"/>
    <cellStyle name="%20 - Vurgu2 3 3 3" xfId="1369"/>
    <cellStyle name="%20 - Vurgu2 3 3 3 2" xfId="3130"/>
    <cellStyle name="%20 - Vurgu2 3 3 4" xfId="1702"/>
    <cellStyle name="%20 - Vurgu2 3 3 5" xfId="3381"/>
    <cellStyle name="%20 - Vurgu2 3 4" xfId="485"/>
    <cellStyle name="%20 - Vurgu2 3 4 2" xfId="1033"/>
    <cellStyle name="%20 - Vurgu2 3 4 2 2" xfId="2972"/>
    <cellStyle name="%20 - Vurgu2 3 4 3" xfId="1703"/>
    <cellStyle name="%20 - Vurgu2 3 4 4" xfId="3382"/>
    <cellStyle name="%20 - Vurgu2 3 5" xfId="725"/>
    <cellStyle name="%20 - Vurgu2 3 5 2" xfId="1704"/>
    <cellStyle name="%20 - Vurgu2 3 5 3" xfId="3383"/>
    <cellStyle name="%20 - Vurgu2 3 6" xfId="1215"/>
    <cellStyle name="%20 - Vurgu2 3 6 2" xfId="1705"/>
    <cellStyle name="%20 - Vurgu2 3 6 3" xfId="3384"/>
    <cellStyle name="%20 - Vurgu2 3 7" xfId="1524"/>
    <cellStyle name="%20 - Vurgu2 3 7 2" xfId="1706"/>
    <cellStyle name="%20 - Vurgu2 3 7 3" xfId="3385"/>
    <cellStyle name="%20 - Vurgu2 3 8" xfId="1695"/>
    <cellStyle name="%20 - Vurgu2 3 9" xfId="3374"/>
    <cellStyle name="%20 - Vurgu2 4" xfId="52"/>
    <cellStyle name="%20 - Vurgu2 4 2" xfId="231"/>
    <cellStyle name="%20 - Vurgu2 4 2 2" xfId="403"/>
    <cellStyle name="%20 - Vurgu2 4 2 2 2" xfId="957"/>
    <cellStyle name="%20 - Vurgu2 4 2 2 2 2" xfId="2907"/>
    <cellStyle name="%20 - Vurgu2 4 2 2 3" xfId="1447"/>
    <cellStyle name="%20 - Vurgu2 4 2 2 3 2" xfId="3208"/>
    <cellStyle name="%20 - Vurgu2 4 2 2 4" xfId="1709"/>
    <cellStyle name="%20 - Vurgu2 4 2 2 5" xfId="3388"/>
    <cellStyle name="%20 - Vurgu2 4 2 3" xfId="488"/>
    <cellStyle name="%20 - Vurgu2 4 2 3 2" xfId="1036"/>
    <cellStyle name="%20 - Vurgu2 4 2 3 2 2" xfId="2975"/>
    <cellStyle name="%20 - Vurgu2 4 2 3 3" xfId="1710"/>
    <cellStyle name="%20 - Vurgu2 4 2 3 4" xfId="3389"/>
    <cellStyle name="%20 - Vurgu2 4 2 4" xfId="803"/>
    <cellStyle name="%20 - Vurgu2 4 2 4 2" xfId="1711"/>
    <cellStyle name="%20 - Vurgu2 4 2 4 3" xfId="3390"/>
    <cellStyle name="%20 - Vurgu2 4 2 5" xfId="1293"/>
    <cellStyle name="%20 - Vurgu2 4 2 5 2" xfId="1712"/>
    <cellStyle name="%20 - Vurgu2 4 2 5 3" xfId="3391"/>
    <cellStyle name="%20 - Vurgu2 4 2 6" xfId="1713"/>
    <cellStyle name="%20 - Vurgu2 4 2 6 2" xfId="3392"/>
    <cellStyle name="%20 - Vurgu2 4 2 7" xfId="1708"/>
    <cellStyle name="%20 - Vurgu2 4 2 8" xfId="3387"/>
    <cellStyle name="%20 - Vurgu2 4 3" xfId="324"/>
    <cellStyle name="%20 - Vurgu2 4 3 2" xfId="880"/>
    <cellStyle name="%20 - Vurgu2 4 3 2 2" xfId="2857"/>
    <cellStyle name="%20 - Vurgu2 4 3 3" xfId="1370"/>
    <cellStyle name="%20 - Vurgu2 4 3 3 2" xfId="3131"/>
    <cellStyle name="%20 - Vurgu2 4 3 4" xfId="1714"/>
    <cellStyle name="%20 - Vurgu2 4 3 5" xfId="3393"/>
    <cellStyle name="%20 - Vurgu2 4 4" xfId="487"/>
    <cellStyle name="%20 - Vurgu2 4 4 2" xfId="1035"/>
    <cellStyle name="%20 - Vurgu2 4 4 2 2" xfId="2974"/>
    <cellStyle name="%20 - Vurgu2 4 4 3" xfId="1715"/>
    <cellStyle name="%20 - Vurgu2 4 4 4" xfId="3394"/>
    <cellStyle name="%20 - Vurgu2 4 5" xfId="726"/>
    <cellStyle name="%20 - Vurgu2 4 5 2" xfId="1716"/>
    <cellStyle name="%20 - Vurgu2 4 5 3" xfId="3395"/>
    <cellStyle name="%20 - Vurgu2 4 6" xfId="1216"/>
    <cellStyle name="%20 - Vurgu2 4 6 2" xfId="1717"/>
    <cellStyle name="%20 - Vurgu2 4 6 3" xfId="3396"/>
    <cellStyle name="%20 - Vurgu2 4 7" xfId="1525"/>
    <cellStyle name="%20 - Vurgu2 4 7 2" xfId="1718"/>
    <cellStyle name="%20 - Vurgu2 4 7 3" xfId="3397"/>
    <cellStyle name="%20 - Vurgu2 4 8" xfId="1707"/>
    <cellStyle name="%20 - Vurgu2 4 9" xfId="3386"/>
    <cellStyle name="%20 - Vurgu2 5" xfId="53"/>
    <cellStyle name="%20 - Vurgu2 6" xfId="210"/>
    <cellStyle name="%20 - Vurgu2 6 2" xfId="383"/>
    <cellStyle name="%20 - Vurgu2 6 2 2" xfId="938"/>
    <cellStyle name="%20 - Vurgu2 6 2 2 2" xfId="1721"/>
    <cellStyle name="%20 - Vurgu2 6 2 2 3" xfId="3400"/>
    <cellStyle name="%20 - Vurgu2 6 2 3" xfId="1428"/>
    <cellStyle name="%20 - Vurgu2 6 2 3 2" xfId="3189"/>
    <cellStyle name="%20 - Vurgu2 6 2 4" xfId="1720"/>
    <cellStyle name="%20 - Vurgu2 6 2 5" xfId="3399"/>
    <cellStyle name="%20 - Vurgu2 6 3" xfId="489"/>
    <cellStyle name="%20 - Vurgu2 6 3 2" xfId="1037"/>
    <cellStyle name="%20 - Vurgu2 6 3 2 2" xfId="2976"/>
    <cellStyle name="%20 - Vurgu2 6 3 3" xfId="1722"/>
    <cellStyle name="%20 - Vurgu2 6 3 4" xfId="3401"/>
    <cellStyle name="%20 - Vurgu2 6 4" xfId="784"/>
    <cellStyle name="%20 - Vurgu2 6 4 2" xfId="1723"/>
    <cellStyle name="%20 - Vurgu2 6 4 3" xfId="3402"/>
    <cellStyle name="%20 - Vurgu2 6 5" xfId="1274"/>
    <cellStyle name="%20 - Vurgu2 6 5 2" xfId="1724"/>
    <cellStyle name="%20 - Vurgu2 6 5 3" xfId="3403"/>
    <cellStyle name="%20 - Vurgu2 6 6" xfId="1725"/>
    <cellStyle name="%20 - Vurgu2 6 6 2" xfId="3404"/>
    <cellStyle name="%20 - Vurgu2 6 7" xfId="1726"/>
    <cellStyle name="%20 - Vurgu2 6 7 2" xfId="3405"/>
    <cellStyle name="%20 - Vurgu2 6 8" xfId="1719"/>
    <cellStyle name="%20 - Vurgu2 6 9" xfId="3398"/>
    <cellStyle name="%20 - Vurgu2 7" xfId="307"/>
    <cellStyle name="%20 - Vurgu2 7 2" xfId="490"/>
    <cellStyle name="%20 - Vurgu2 7 2 2" xfId="1038"/>
    <cellStyle name="%20 - Vurgu2 7 2 2 2" xfId="2977"/>
    <cellStyle name="%20 - Vurgu2 7 2 3" xfId="1728"/>
    <cellStyle name="%20 - Vurgu2 7 2 4" xfId="3407"/>
    <cellStyle name="%20 - Vurgu2 7 3" xfId="863"/>
    <cellStyle name="%20 - Vurgu2 7 3 2" xfId="1729"/>
    <cellStyle name="%20 - Vurgu2 7 3 3" xfId="3408"/>
    <cellStyle name="%20 - Vurgu2 7 4" xfId="1353"/>
    <cellStyle name="%20 - Vurgu2 7 4 2" xfId="1730"/>
    <cellStyle name="%20 - Vurgu2 7 4 3" xfId="3409"/>
    <cellStyle name="%20 - Vurgu2 7 5" xfId="1731"/>
    <cellStyle name="%20 - Vurgu2 7 5 2" xfId="3410"/>
    <cellStyle name="%20 - Vurgu2 7 6" xfId="1732"/>
    <cellStyle name="%20 - Vurgu2 7 6 2" xfId="3411"/>
    <cellStyle name="%20 - Vurgu2 7 7" xfId="1727"/>
    <cellStyle name="%20 - Vurgu2 7 8" xfId="3406"/>
    <cellStyle name="%20 - Vurgu2 8" xfId="491"/>
    <cellStyle name="%20 - Vurgu2 8 2" xfId="1039"/>
    <cellStyle name="%20 - Vurgu2 8 2 2" xfId="1734"/>
    <cellStyle name="%20 - Vurgu2 8 2 3" xfId="3413"/>
    <cellStyle name="%20 - Vurgu2 8 3" xfId="1735"/>
    <cellStyle name="%20 - Vurgu2 8 3 2" xfId="3414"/>
    <cellStyle name="%20 - Vurgu2 8 4" xfId="1736"/>
    <cellStyle name="%20 - Vurgu2 8 4 2" xfId="3415"/>
    <cellStyle name="%20 - Vurgu2 8 5" xfId="1733"/>
    <cellStyle name="%20 - Vurgu2 8 6" xfId="3412"/>
    <cellStyle name="%20 - Vurgu2 9" xfId="480"/>
    <cellStyle name="%20 - Vurgu2 9 2" xfId="1028"/>
    <cellStyle name="%20 - Vurgu2 9 2 2" xfId="2967"/>
    <cellStyle name="%20 - Vurgu2 9 3" xfId="1737"/>
    <cellStyle name="%20 - Vurgu2 9 4" xfId="3416"/>
    <cellStyle name="%20 - Vurgu3" xfId="26" builtinId="38" customBuiltin="1"/>
    <cellStyle name="%20 - Vurgu3 10" xfId="711"/>
    <cellStyle name="%20 - Vurgu3 10 2" xfId="1739"/>
    <cellStyle name="%20 - Vurgu3 10 3" xfId="3418"/>
    <cellStyle name="%20 - Vurgu3 11" xfId="1201"/>
    <cellStyle name="%20 - Vurgu3 11 2" xfId="1740"/>
    <cellStyle name="%20 - Vurgu3 11 3" xfId="3419"/>
    <cellStyle name="%20 - Vurgu3 12" xfId="1509"/>
    <cellStyle name="%20 - Vurgu3 12 2" xfId="1741"/>
    <cellStyle name="%20 - Vurgu3 12 3" xfId="3420"/>
    <cellStyle name="%20 - Vurgu3 13" xfId="1738"/>
    <cellStyle name="%20 - Vurgu3 14" xfId="3417"/>
    <cellStyle name="%20 - Vurgu3 2" xfId="54"/>
    <cellStyle name="%20 - Vurgu3 2 10" xfId="1742"/>
    <cellStyle name="%20 - Vurgu3 2 11" xfId="3421"/>
    <cellStyle name="%20 - Vurgu3 2 2" xfId="55"/>
    <cellStyle name="%20 - Vurgu3 2 2 2" xfId="233"/>
    <cellStyle name="%20 - Vurgu3 2 2 2 2" xfId="405"/>
    <cellStyle name="%20 - Vurgu3 2 2 2 2 2" xfId="959"/>
    <cellStyle name="%20 - Vurgu3 2 2 2 2 2 2" xfId="2908"/>
    <cellStyle name="%20 - Vurgu3 2 2 2 2 3" xfId="1449"/>
    <cellStyle name="%20 - Vurgu3 2 2 2 2 3 2" xfId="3210"/>
    <cellStyle name="%20 - Vurgu3 2 2 2 2 4" xfId="1745"/>
    <cellStyle name="%20 - Vurgu3 2 2 2 2 5" xfId="3424"/>
    <cellStyle name="%20 - Vurgu3 2 2 2 3" xfId="495"/>
    <cellStyle name="%20 - Vurgu3 2 2 2 3 2" xfId="1043"/>
    <cellStyle name="%20 - Vurgu3 2 2 2 3 2 2" xfId="2981"/>
    <cellStyle name="%20 - Vurgu3 2 2 2 3 3" xfId="1746"/>
    <cellStyle name="%20 - Vurgu3 2 2 2 3 4" xfId="3425"/>
    <cellStyle name="%20 - Vurgu3 2 2 2 4" xfId="805"/>
    <cellStyle name="%20 - Vurgu3 2 2 2 4 2" xfId="1747"/>
    <cellStyle name="%20 - Vurgu3 2 2 2 4 3" xfId="3426"/>
    <cellStyle name="%20 - Vurgu3 2 2 2 5" xfId="1295"/>
    <cellStyle name="%20 - Vurgu3 2 2 2 5 2" xfId="1748"/>
    <cellStyle name="%20 - Vurgu3 2 2 2 5 3" xfId="3427"/>
    <cellStyle name="%20 - Vurgu3 2 2 2 6" xfId="1749"/>
    <cellStyle name="%20 - Vurgu3 2 2 2 6 2" xfId="3428"/>
    <cellStyle name="%20 - Vurgu3 2 2 2 7" xfId="1744"/>
    <cellStyle name="%20 - Vurgu3 2 2 2 8" xfId="3423"/>
    <cellStyle name="%20 - Vurgu3 2 2 3" xfId="326"/>
    <cellStyle name="%20 - Vurgu3 2 2 3 2" xfId="882"/>
    <cellStyle name="%20 - Vurgu3 2 2 3 2 2" xfId="2858"/>
    <cellStyle name="%20 - Vurgu3 2 2 3 3" xfId="1372"/>
    <cellStyle name="%20 - Vurgu3 2 2 3 3 2" xfId="3133"/>
    <cellStyle name="%20 - Vurgu3 2 2 3 4" xfId="1750"/>
    <cellStyle name="%20 - Vurgu3 2 2 3 5" xfId="3429"/>
    <cellStyle name="%20 - Vurgu3 2 2 4" xfId="494"/>
    <cellStyle name="%20 - Vurgu3 2 2 4 2" xfId="1042"/>
    <cellStyle name="%20 - Vurgu3 2 2 4 2 2" xfId="2980"/>
    <cellStyle name="%20 - Vurgu3 2 2 4 3" xfId="1751"/>
    <cellStyle name="%20 - Vurgu3 2 2 4 4" xfId="3430"/>
    <cellStyle name="%20 - Vurgu3 2 2 5" xfId="728"/>
    <cellStyle name="%20 - Vurgu3 2 2 5 2" xfId="1752"/>
    <cellStyle name="%20 - Vurgu3 2 2 5 3" xfId="3431"/>
    <cellStyle name="%20 - Vurgu3 2 2 6" xfId="1218"/>
    <cellStyle name="%20 - Vurgu3 2 2 6 2" xfId="1753"/>
    <cellStyle name="%20 - Vurgu3 2 2 6 3" xfId="3432"/>
    <cellStyle name="%20 - Vurgu3 2 2 7" xfId="1527"/>
    <cellStyle name="%20 - Vurgu3 2 2 7 2" xfId="1754"/>
    <cellStyle name="%20 - Vurgu3 2 2 7 3" xfId="3433"/>
    <cellStyle name="%20 - Vurgu3 2 2 8" xfId="1743"/>
    <cellStyle name="%20 - Vurgu3 2 2 9" xfId="3422"/>
    <cellStyle name="%20 - Vurgu3 2 3" xfId="56"/>
    <cellStyle name="%20 - Vurgu3 2 4" xfId="232"/>
    <cellStyle name="%20 - Vurgu3 2 4 2" xfId="404"/>
    <cellStyle name="%20 - Vurgu3 2 4 2 2" xfId="958"/>
    <cellStyle name="%20 - Vurgu3 2 4 2 2 2" xfId="1757"/>
    <cellStyle name="%20 - Vurgu3 2 4 2 2 3" xfId="3436"/>
    <cellStyle name="%20 - Vurgu3 2 4 2 3" xfId="1448"/>
    <cellStyle name="%20 - Vurgu3 2 4 2 3 2" xfId="3209"/>
    <cellStyle name="%20 - Vurgu3 2 4 2 4" xfId="1756"/>
    <cellStyle name="%20 - Vurgu3 2 4 2 5" xfId="3435"/>
    <cellStyle name="%20 - Vurgu3 2 4 3" xfId="496"/>
    <cellStyle name="%20 - Vurgu3 2 4 3 2" xfId="1044"/>
    <cellStyle name="%20 - Vurgu3 2 4 3 2 2" xfId="2982"/>
    <cellStyle name="%20 - Vurgu3 2 4 3 3" xfId="1758"/>
    <cellStyle name="%20 - Vurgu3 2 4 3 4" xfId="3437"/>
    <cellStyle name="%20 - Vurgu3 2 4 4" xfId="804"/>
    <cellStyle name="%20 - Vurgu3 2 4 4 2" xfId="1759"/>
    <cellStyle name="%20 - Vurgu3 2 4 4 3" xfId="3438"/>
    <cellStyle name="%20 - Vurgu3 2 4 5" xfId="1294"/>
    <cellStyle name="%20 - Vurgu3 2 4 5 2" xfId="1760"/>
    <cellStyle name="%20 - Vurgu3 2 4 5 3" xfId="3439"/>
    <cellStyle name="%20 - Vurgu3 2 4 6" xfId="1761"/>
    <cellStyle name="%20 - Vurgu3 2 4 6 2" xfId="3440"/>
    <cellStyle name="%20 - Vurgu3 2 4 7" xfId="1762"/>
    <cellStyle name="%20 - Vurgu3 2 4 7 2" xfId="3441"/>
    <cellStyle name="%20 - Vurgu3 2 4 8" xfId="1755"/>
    <cellStyle name="%20 - Vurgu3 2 4 9" xfId="3434"/>
    <cellStyle name="%20 - Vurgu3 2 5" xfId="325"/>
    <cellStyle name="%20 - Vurgu3 2 5 2" xfId="881"/>
    <cellStyle name="%20 - Vurgu3 2 5 2 2" xfId="1764"/>
    <cellStyle name="%20 - Vurgu3 2 5 2 3" xfId="3443"/>
    <cellStyle name="%20 - Vurgu3 2 5 3" xfId="1371"/>
    <cellStyle name="%20 - Vurgu3 2 5 3 2" xfId="3132"/>
    <cellStyle name="%20 - Vurgu3 2 5 4" xfId="1763"/>
    <cellStyle name="%20 - Vurgu3 2 5 5" xfId="3442"/>
    <cellStyle name="%20 - Vurgu3 2 6" xfId="493"/>
    <cellStyle name="%20 - Vurgu3 2 6 2" xfId="1041"/>
    <cellStyle name="%20 - Vurgu3 2 6 2 2" xfId="2979"/>
    <cellStyle name="%20 - Vurgu3 2 6 3" xfId="1765"/>
    <cellStyle name="%20 - Vurgu3 2 6 4" xfId="3444"/>
    <cellStyle name="%20 - Vurgu3 2 7" xfId="727"/>
    <cellStyle name="%20 - Vurgu3 2 7 2" xfId="1766"/>
    <cellStyle name="%20 - Vurgu3 2 7 3" xfId="3445"/>
    <cellStyle name="%20 - Vurgu3 2 8" xfId="1217"/>
    <cellStyle name="%20 - Vurgu3 2 8 2" xfId="1767"/>
    <cellStyle name="%20 - Vurgu3 2 8 3" xfId="3446"/>
    <cellStyle name="%20 - Vurgu3 2 9" xfId="1526"/>
    <cellStyle name="%20 - Vurgu3 2 9 2" xfId="1768"/>
    <cellStyle name="%20 - Vurgu3 2 9 3" xfId="3447"/>
    <cellStyle name="%20 - Vurgu3 3" xfId="57"/>
    <cellStyle name="%20 - Vurgu3 3 2" xfId="234"/>
    <cellStyle name="%20 - Vurgu3 3 2 2" xfId="406"/>
    <cellStyle name="%20 - Vurgu3 3 2 2 2" xfId="960"/>
    <cellStyle name="%20 - Vurgu3 3 2 2 2 2" xfId="2909"/>
    <cellStyle name="%20 - Vurgu3 3 2 2 3" xfId="1450"/>
    <cellStyle name="%20 - Vurgu3 3 2 2 3 2" xfId="3211"/>
    <cellStyle name="%20 - Vurgu3 3 2 2 4" xfId="1771"/>
    <cellStyle name="%20 - Vurgu3 3 2 2 5" xfId="3450"/>
    <cellStyle name="%20 - Vurgu3 3 2 3" xfId="498"/>
    <cellStyle name="%20 - Vurgu3 3 2 3 2" xfId="1046"/>
    <cellStyle name="%20 - Vurgu3 3 2 3 2 2" xfId="2984"/>
    <cellStyle name="%20 - Vurgu3 3 2 3 3" xfId="1772"/>
    <cellStyle name="%20 - Vurgu3 3 2 3 4" xfId="3451"/>
    <cellStyle name="%20 - Vurgu3 3 2 4" xfId="806"/>
    <cellStyle name="%20 - Vurgu3 3 2 4 2" xfId="1773"/>
    <cellStyle name="%20 - Vurgu3 3 2 4 3" xfId="3452"/>
    <cellStyle name="%20 - Vurgu3 3 2 5" xfId="1296"/>
    <cellStyle name="%20 - Vurgu3 3 2 5 2" xfId="1774"/>
    <cellStyle name="%20 - Vurgu3 3 2 5 3" xfId="3453"/>
    <cellStyle name="%20 - Vurgu3 3 2 6" xfId="1775"/>
    <cellStyle name="%20 - Vurgu3 3 2 6 2" xfId="3454"/>
    <cellStyle name="%20 - Vurgu3 3 2 7" xfId="1770"/>
    <cellStyle name="%20 - Vurgu3 3 2 8" xfId="3449"/>
    <cellStyle name="%20 - Vurgu3 3 3" xfId="327"/>
    <cellStyle name="%20 - Vurgu3 3 3 2" xfId="883"/>
    <cellStyle name="%20 - Vurgu3 3 3 2 2" xfId="2859"/>
    <cellStyle name="%20 - Vurgu3 3 3 3" xfId="1373"/>
    <cellStyle name="%20 - Vurgu3 3 3 3 2" xfId="3134"/>
    <cellStyle name="%20 - Vurgu3 3 3 4" xfId="1776"/>
    <cellStyle name="%20 - Vurgu3 3 3 5" xfId="3455"/>
    <cellStyle name="%20 - Vurgu3 3 4" xfId="497"/>
    <cellStyle name="%20 - Vurgu3 3 4 2" xfId="1045"/>
    <cellStyle name="%20 - Vurgu3 3 4 2 2" xfId="2983"/>
    <cellStyle name="%20 - Vurgu3 3 4 3" xfId="1777"/>
    <cellStyle name="%20 - Vurgu3 3 4 4" xfId="3456"/>
    <cellStyle name="%20 - Vurgu3 3 5" xfId="729"/>
    <cellStyle name="%20 - Vurgu3 3 5 2" xfId="1778"/>
    <cellStyle name="%20 - Vurgu3 3 5 3" xfId="3457"/>
    <cellStyle name="%20 - Vurgu3 3 6" xfId="1219"/>
    <cellStyle name="%20 - Vurgu3 3 6 2" xfId="1779"/>
    <cellStyle name="%20 - Vurgu3 3 6 3" xfId="3458"/>
    <cellStyle name="%20 - Vurgu3 3 7" xfId="1528"/>
    <cellStyle name="%20 - Vurgu3 3 7 2" xfId="1780"/>
    <cellStyle name="%20 - Vurgu3 3 7 3" xfId="3459"/>
    <cellStyle name="%20 - Vurgu3 3 8" xfId="1769"/>
    <cellStyle name="%20 - Vurgu3 3 9" xfId="3448"/>
    <cellStyle name="%20 - Vurgu3 4" xfId="58"/>
    <cellStyle name="%20 - Vurgu3 4 2" xfId="235"/>
    <cellStyle name="%20 - Vurgu3 4 2 2" xfId="407"/>
    <cellStyle name="%20 - Vurgu3 4 2 2 2" xfId="961"/>
    <cellStyle name="%20 - Vurgu3 4 2 2 2 2" xfId="2910"/>
    <cellStyle name="%20 - Vurgu3 4 2 2 3" xfId="1451"/>
    <cellStyle name="%20 - Vurgu3 4 2 2 3 2" xfId="3212"/>
    <cellStyle name="%20 - Vurgu3 4 2 2 4" xfId="1783"/>
    <cellStyle name="%20 - Vurgu3 4 2 2 5" xfId="3462"/>
    <cellStyle name="%20 - Vurgu3 4 2 3" xfId="500"/>
    <cellStyle name="%20 - Vurgu3 4 2 3 2" xfId="1048"/>
    <cellStyle name="%20 - Vurgu3 4 2 3 2 2" xfId="2986"/>
    <cellStyle name="%20 - Vurgu3 4 2 3 3" xfId="1784"/>
    <cellStyle name="%20 - Vurgu3 4 2 3 4" xfId="3463"/>
    <cellStyle name="%20 - Vurgu3 4 2 4" xfId="807"/>
    <cellStyle name="%20 - Vurgu3 4 2 4 2" xfId="1785"/>
    <cellStyle name="%20 - Vurgu3 4 2 4 3" xfId="3464"/>
    <cellStyle name="%20 - Vurgu3 4 2 5" xfId="1297"/>
    <cellStyle name="%20 - Vurgu3 4 2 5 2" xfId="1786"/>
    <cellStyle name="%20 - Vurgu3 4 2 5 3" xfId="3465"/>
    <cellStyle name="%20 - Vurgu3 4 2 6" xfId="1787"/>
    <cellStyle name="%20 - Vurgu3 4 2 6 2" xfId="3466"/>
    <cellStyle name="%20 - Vurgu3 4 2 7" xfId="1782"/>
    <cellStyle name="%20 - Vurgu3 4 2 8" xfId="3461"/>
    <cellStyle name="%20 - Vurgu3 4 3" xfId="328"/>
    <cellStyle name="%20 - Vurgu3 4 3 2" xfId="884"/>
    <cellStyle name="%20 - Vurgu3 4 3 2 2" xfId="2860"/>
    <cellStyle name="%20 - Vurgu3 4 3 3" xfId="1374"/>
    <cellStyle name="%20 - Vurgu3 4 3 3 2" xfId="3135"/>
    <cellStyle name="%20 - Vurgu3 4 3 4" xfId="1788"/>
    <cellStyle name="%20 - Vurgu3 4 3 5" xfId="3467"/>
    <cellStyle name="%20 - Vurgu3 4 4" xfId="499"/>
    <cellStyle name="%20 - Vurgu3 4 4 2" xfId="1047"/>
    <cellStyle name="%20 - Vurgu3 4 4 2 2" xfId="2985"/>
    <cellStyle name="%20 - Vurgu3 4 4 3" xfId="1789"/>
    <cellStyle name="%20 - Vurgu3 4 4 4" xfId="3468"/>
    <cellStyle name="%20 - Vurgu3 4 5" xfId="730"/>
    <cellStyle name="%20 - Vurgu3 4 5 2" xfId="1790"/>
    <cellStyle name="%20 - Vurgu3 4 5 3" xfId="3469"/>
    <cellStyle name="%20 - Vurgu3 4 6" xfId="1220"/>
    <cellStyle name="%20 - Vurgu3 4 6 2" xfId="1791"/>
    <cellStyle name="%20 - Vurgu3 4 6 3" xfId="3470"/>
    <cellStyle name="%20 - Vurgu3 4 7" xfId="1529"/>
    <cellStyle name="%20 - Vurgu3 4 7 2" xfId="1792"/>
    <cellStyle name="%20 - Vurgu3 4 7 3" xfId="3471"/>
    <cellStyle name="%20 - Vurgu3 4 8" xfId="1781"/>
    <cellStyle name="%20 - Vurgu3 4 9" xfId="3460"/>
    <cellStyle name="%20 - Vurgu3 5" xfId="59"/>
    <cellStyle name="%20 - Vurgu3 6" xfId="212"/>
    <cellStyle name="%20 - Vurgu3 6 2" xfId="385"/>
    <cellStyle name="%20 - Vurgu3 6 2 2" xfId="940"/>
    <cellStyle name="%20 - Vurgu3 6 2 2 2" xfId="1795"/>
    <cellStyle name="%20 - Vurgu3 6 2 2 3" xfId="3474"/>
    <cellStyle name="%20 - Vurgu3 6 2 3" xfId="1430"/>
    <cellStyle name="%20 - Vurgu3 6 2 3 2" xfId="3191"/>
    <cellStyle name="%20 - Vurgu3 6 2 4" xfId="1794"/>
    <cellStyle name="%20 - Vurgu3 6 2 5" xfId="3473"/>
    <cellStyle name="%20 - Vurgu3 6 3" xfId="501"/>
    <cellStyle name="%20 - Vurgu3 6 3 2" xfId="1049"/>
    <cellStyle name="%20 - Vurgu3 6 3 2 2" xfId="2987"/>
    <cellStyle name="%20 - Vurgu3 6 3 3" xfId="1796"/>
    <cellStyle name="%20 - Vurgu3 6 3 4" xfId="3475"/>
    <cellStyle name="%20 - Vurgu3 6 4" xfId="786"/>
    <cellStyle name="%20 - Vurgu3 6 4 2" xfId="1797"/>
    <cellStyle name="%20 - Vurgu3 6 4 3" xfId="3476"/>
    <cellStyle name="%20 - Vurgu3 6 5" xfId="1276"/>
    <cellStyle name="%20 - Vurgu3 6 5 2" xfId="1798"/>
    <cellStyle name="%20 - Vurgu3 6 5 3" xfId="3477"/>
    <cellStyle name="%20 - Vurgu3 6 6" xfId="1799"/>
    <cellStyle name="%20 - Vurgu3 6 6 2" xfId="3478"/>
    <cellStyle name="%20 - Vurgu3 6 7" xfId="1800"/>
    <cellStyle name="%20 - Vurgu3 6 7 2" xfId="3479"/>
    <cellStyle name="%20 - Vurgu3 6 8" xfId="1793"/>
    <cellStyle name="%20 - Vurgu3 6 9" xfId="3472"/>
    <cellStyle name="%20 - Vurgu3 7" xfId="309"/>
    <cellStyle name="%20 - Vurgu3 7 2" xfId="502"/>
    <cellStyle name="%20 - Vurgu3 7 2 2" xfId="1050"/>
    <cellStyle name="%20 - Vurgu3 7 2 2 2" xfId="2988"/>
    <cellStyle name="%20 - Vurgu3 7 2 3" xfId="1802"/>
    <cellStyle name="%20 - Vurgu3 7 2 4" xfId="3481"/>
    <cellStyle name="%20 - Vurgu3 7 3" xfId="865"/>
    <cellStyle name="%20 - Vurgu3 7 3 2" xfId="1803"/>
    <cellStyle name="%20 - Vurgu3 7 3 3" xfId="3482"/>
    <cellStyle name="%20 - Vurgu3 7 4" xfId="1355"/>
    <cellStyle name="%20 - Vurgu3 7 4 2" xfId="1804"/>
    <cellStyle name="%20 - Vurgu3 7 4 3" xfId="3483"/>
    <cellStyle name="%20 - Vurgu3 7 5" xfId="1805"/>
    <cellStyle name="%20 - Vurgu3 7 5 2" xfId="3484"/>
    <cellStyle name="%20 - Vurgu3 7 6" xfId="1806"/>
    <cellStyle name="%20 - Vurgu3 7 6 2" xfId="3485"/>
    <cellStyle name="%20 - Vurgu3 7 7" xfId="1801"/>
    <cellStyle name="%20 - Vurgu3 7 8" xfId="3480"/>
    <cellStyle name="%20 - Vurgu3 8" xfId="503"/>
    <cellStyle name="%20 - Vurgu3 8 2" xfId="1051"/>
    <cellStyle name="%20 - Vurgu3 8 2 2" xfId="1808"/>
    <cellStyle name="%20 - Vurgu3 8 2 3" xfId="3487"/>
    <cellStyle name="%20 - Vurgu3 8 3" xfId="1809"/>
    <cellStyle name="%20 - Vurgu3 8 3 2" xfId="3488"/>
    <cellStyle name="%20 - Vurgu3 8 4" xfId="1810"/>
    <cellStyle name="%20 - Vurgu3 8 4 2" xfId="3489"/>
    <cellStyle name="%20 - Vurgu3 8 5" xfId="1807"/>
    <cellStyle name="%20 - Vurgu3 8 6" xfId="3486"/>
    <cellStyle name="%20 - Vurgu3 9" xfId="492"/>
    <cellStyle name="%20 - Vurgu3 9 2" xfId="1040"/>
    <cellStyle name="%20 - Vurgu3 9 2 2" xfId="2978"/>
    <cellStyle name="%20 - Vurgu3 9 3" xfId="1811"/>
    <cellStyle name="%20 - Vurgu3 9 4" xfId="3490"/>
    <cellStyle name="%20 - Vurgu4" xfId="30" builtinId="42" customBuiltin="1"/>
    <cellStyle name="%20 - Vurgu4 10" xfId="713"/>
    <cellStyle name="%20 - Vurgu4 10 2" xfId="1814"/>
    <cellStyle name="%20 - Vurgu4 10 2 2" xfId="3493"/>
    <cellStyle name="%20 - Vurgu4 10 3" xfId="1813"/>
    <cellStyle name="%20 - Vurgu4 10 4" xfId="3492"/>
    <cellStyle name="%20 - Vurgu4 11" xfId="1203"/>
    <cellStyle name="%20 - Vurgu4 11 2" xfId="1816"/>
    <cellStyle name="%20 - Vurgu4 11 2 2" xfId="3495"/>
    <cellStyle name="%20 - Vurgu4 11 3" xfId="1815"/>
    <cellStyle name="%20 - Vurgu4 11 4" xfId="3494"/>
    <cellStyle name="%20 - Vurgu4 12" xfId="1511"/>
    <cellStyle name="%20 - Vurgu4 12 2" xfId="1818"/>
    <cellStyle name="%20 - Vurgu4 12 2 2" xfId="3497"/>
    <cellStyle name="%20 - Vurgu4 12 3" xfId="1817"/>
    <cellStyle name="%20 - Vurgu4 12 4" xfId="3496"/>
    <cellStyle name="%20 - Vurgu4 13" xfId="1819"/>
    <cellStyle name="%20 - Vurgu4 13 2" xfId="3498"/>
    <cellStyle name="%20 - Vurgu4 14" xfId="1812"/>
    <cellStyle name="%20 - Vurgu4 15" xfId="3491"/>
    <cellStyle name="%20 - Vurgu4 2" xfId="60"/>
    <cellStyle name="%20 - Vurgu4 2 10" xfId="1821"/>
    <cellStyle name="%20 - Vurgu4 2 10 2" xfId="3500"/>
    <cellStyle name="%20 - Vurgu4 2 11" xfId="1820"/>
    <cellStyle name="%20 - Vurgu4 2 12" xfId="3499"/>
    <cellStyle name="%20 - Vurgu4 2 2" xfId="61"/>
    <cellStyle name="%20 - Vurgu4 2 2 10" xfId="3501"/>
    <cellStyle name="%20 - Vurgu4 2 2 2" xfId="237"/>
    <cellStyle name="%20 - Vurgu4 2 2 2 2" xfId="409"/>
    <cellStyle name="%20 - Vurgu4 2 2 2 2 2" xfId="963"/>
    <cellStyle name="%20 - Vurgu4 2 2 2 2 2 2" xfId="2911"/>
    <cellStyle name="%20 - Vurgu4 2 2 2 2 2 3" xfId="1825"/>
    <cellStyle name="%20 - Vurgu4 2 2 2 2 2 4" xfId="3504"/>
    <cellStyle name="%20 - Vurgu4 2 2 2 2 3" xfId="1453"/>
    <cellStyle name="%20 - Vurgu4 2 2 2 2 3 2" xfId="3214"/>
    <cellStyle name="%20 - Vurgu4 2 2 2 2 4" xfId="1824"/>
    <cellStyle name="%20 - Vurgu4 2 2 2 2 5" xfId="3503"/>
    <cellStyle name="%20 - Vurgu4 2 2 2 3" xfId="507"/>
    <cellStyle name="%20 - Vurgu4 2 2 2 3 2" xfId="1055"/>
    <cellStyle name="%20 - Vurgu4 2 2 2 3 2 2" xfId="2992"/>
    <cellStyle name="%20 - Vurgu4 2 2 2 3 2 3" xfId="1827"/>
    <cellStyle name="%20 - Vurgu4 2 2 2 3 2 4" xfId="3506"/>
    <cellStyle name="%20 - Vurgu4 2 2 2 3 3" xfId="1826"/>
    <cellStyle name="%20 - Vurgu4 2 2 2 3 4" xfId="3505"/>
    <cellStyle name="%20 - Vurgu4 2 2 2 4" xfId="809"/>
    <cellStyle name="%20 - Vurgu4 2 2 2 4 2" xfId="1829"/>
    <cellStyle name="%20 - Vurgu4 2 2 2 4 2 2" xfId="3508"/>
    <cellStyle name="%20 - Vurgu4 2 2 2 4 3" xfId="1828"/>
    <cellStyle name="%20 - Vurgu4 2 2 2 4 4" xfId="3507"/>
    <cellStyle name="%20 - Vurgu4 2 2 2 5" xfId="1299"/>
    <cellStyle name="%20 - Vurgu4 2 2 2 5 2" xfId="1831"/>
    <cellStyle name="%20 - Vurgu4 2 2 2 5 2 2" xfId="3510"/>
    <cellStyle name="%20 - Vurgu4 2 2 2 5 3" xfId="1830"/>
    <cellStyle name="%20 - Vurgu4 2 2 2 5 4" xfId="3509"/>
    <cellStyle name="%20 - Vurgu4 2 2 2 6" xfId="1832"/>
    <cellStyle name="%20 - Vurgu4 2 2 2 6 2" xfId="1833"/>
    <cellStyle name="%20 - Vurgu4 2 2 2 6 2 2" xfId="3512"/>
    <cellStyle name="%20 - Vurgu4 2 2 2 6 3" xfId="3511"/>
    <cellStyle name="%20 - Vurgu4 2 2 2 7" xfId="1834"/>
    <cellStyle name="%20 - Vurgu4 2 2 2 7 2" xfId="3513"/>
    <cellStyle name="%20 - Vurgu4 2 2 2 8" xfId="1823"/>
    <cellStyle name="%20 - Vurgu4 2 2 2 9" xfId="3502"/>
    <cellStyle name="%20 - Vurgu4 2 2 3" xfId="330"/>
    <cellStyle name="%20 - Vurgu4 2 2 3 2" xfId="886"/>
    <cellStyle name="%20 - Vurgu4 2 2 3 2 2" xfId="2861"/>
    <cellStyle name="%20 - Vurgu4 2 2 3 2 3" xfId="1836"/>
    <cellStyle name="%20 - Vurgu4 2 2 3 2 4" xfId="3515"/>
    <cellStyle name="%20 - Vurgu4 2 2 3 3" xfId="1376"/>
    <cellStyle name="%20 - Vurgu4 2 2 3 3 2" xfId="3137"/>
    <cellStyle name="%20 - Vurgu4 2 2 3 4" xfId="1835"/>
    <cellStyle name="%20 - Vurgu4 2 2 3 5" xfId="3514"/>
    <cellStyle name="%20 - Vurgu4 2 2 4" xfId="506"/>
    <cellStyle name="%20 - Vurgu4 2 2 4 2" xfId="1054"/>
    <cellStyle name="%20 - Vurgu4 2 2 4 2 2" xfId="2991"/>
    <cellStyle name="%20 - Vurgu4 2 2 4 2 3" xfId="1838"/>
    <cellStyle name="%20 - Vurgu4 2 2 4 2 4" xfId="3517"/>
    <cellStyle name="%20 - Vurgu4 2 2 4 3" xfId="1837"/>
    <cellStyle name="%20 - Vurgu4 2 2 4 4" xfId="3516"/>
    <cellStyle name="%20 - Vurgu4 2 2 5" xfId="732"/>
    <cellStyle name="%20 - Vurgu4 2 2 5 2" xfId="1840"/>
    <cellStyle name="%20 - Vurgu4 2 2 5 2 2" xfId="3519"/>
    <cellStyle name="%20 - Vurgu4 2 2 5 3" xfId="1839"/>
    <cellStyle name="%20 - Vurgu4 2 2 5 4" xfId="3518"/>
    <cellStyle name="%20 - Vurgu4 2 2 6" xfId="1222"/>
    <cellStyle name="%20 - Vurgu4 2 2 6 2" xfId="1842"/>
    <cellStyle name="%20 - Vurgu4 2 2 6 2 2" xfId="3521"/>
    <cellStyle name="%20 - Vurgu4 2 2 6 3" xfId="1841"/>
    <cellStyle name="%20 - Vurgu4 2 2 6 4" xfId="3520"/>
    <cellStyle name="%20 - Vurgu4 2 2 7" xfId="1531"/>
    <cellStyle name="%20 - Vurgu4 2 2 7 2" xfId="1844"/>
    <cellStyle name="%20 - Vurgu4 2 2 7 2 2" xfId="3523"/>
    <cellStyle name="%20 - Vurgu4 2 2 7 3" xfId="1843"/>
    <cellStyle name="%20 - Vurgu4 2 2 7 4" xfId="3522"/>
    <cellStyle name="%20 - Vurgu4 2 2 8" xfId="1845"/>
    <cellStyle name="%20 - Vurgu4 2 2 8 2" xfId="3524"/>
    <cellStyle name="%20 - Vurgu4 2 2 9" xfId="1822"/>
    <cellStyle name="%20 - Vurgu4 2 3" xfId="62"/>
    <cellStyle name="%20 - Vurgu4 2 4" xfId="236"/>
    <cellStyle name="%20 - Vurgu4 2 4 10" xfId="3525"/>
    <cellStyle name="%20 - Vurgu4 2 4 2" xfId="408"/>
    <cellStyle name="%20 - Vurgu4 2 4 2 2" xfId="962"/>
    <cellStyle name="%20 - Vurgu4 2 4 2 2 2" xfId="1849"/>
    <cellStyle name="%20 - Vurgu4 2 4 2 2 2 2" xfId="3528"/>
    <cellStyle name="%20 - Vurgu4 2 4 2 2 3" xfId="1848"/>
    <cellStyle name="%20 - Vurgu4 2 4 2 2 4" xfId="3527"/>
    <cellStyle name="%20 - Vurgu4 2 4 2 3" xfId="1452"/>
    <cellStyle name="%20 - Vurgu4 2 4 2 3 2" xfId="3213"/>
    <cellStyle name="%20 - Vurgu4 2 4 2 3 3" xfId="1850"/>
    <cellStyle name="%20 - Vurgu4 2 4 2 3 4" xfId="3529"/>
    <cellStyle name="%20 - Vurgu4 2 4 2 4" xfId="1847"/>
    <cellStyle name="%20 - Vurgu4 2 4 2 5" xfId="3526"/>
    <cellStyle name="%20 - Vurgu4 2 4 3" xfId="508"/>
    <cellStyle name="%20 - Vurgu4 2 4 3 2" xfId="1056"/>
    <cellStyle name="%20 - Vurgu4 2 4 3 2 2" xfId="2993"/>
    <cellStyle name="%20 - Vurgu4 2 4 3 2 3" xfId="1852"/>
    <cellStyle name="%20 - Vurgu4 2 4 3 2 4" xfId="3531"/>
    <cellStyle name="%20 - Vurgu4 2 4 3 3" xfId="1851"/>
    <cellStyle name="%20 - Vurgu4 2 4 3 4" xfId="3530"/>
    <cellStyle name="%20 - Vurgu4 2 4 4" xfId="808"/>
    <cellStyle name="%20 - Vurgu4 2 4 4 2" xfId="1854"/>
    <cellStyle name="%20 - Vurgu4 2 4 4 2 2" xfId="3533"/>
    <cellStyle name="%20 - Vurgu4 2 4 4 3" xfId="1853"/>
    <cellStyle name="%20 - Vurgu4 2 4 4 4" xfId="3532"/>
    <cellStyle name="%20 - Vurgu4 2 4 5" xfId="1298"/>
    <cellStyle name="%20 - Vurgu4 2 4 5 2" xfId="1856"/>
    <cellStyle name="%20 - Vurgu4 2 4 5 2 2" xfId="3535"/>
    <cellStyle name="%20 - Vurgu4 2 4 5 3" xfId="1855"/>
    <cellStyle name="%20 - Vurgu4 2 4 5 4" xfId="3534"/>
    <cellStyle name="%20 - Vurgu4 2 4 6" xfId="1857"/>
    <cellStyle name="%20 - Vurgu4 2 4 6 2" xfId="1858"/>
    <cellStyle name="%20 - Vurgu4 2 4 6 2 2" xfId="3537"/>
    <cellStyle name="%20 - Vurgu4 2 4 6 3" xfId="3536"/>
    <cellStyle name="%20 - Vurgu4 2 4 7" xfId="1859"/>
    <cellStyle name="%20 - Vurgu4 2 4 7 2" xfId="1860"/>
    <cellStyle name="%20 - Vurgu4 2 4 7 2 2" xfId="3539"/>
    <cellStyle name="%20 - Vurgu4 2 4 7 3" xfId="3538"/>
    <cellStyle name="%20 - Vurgu4 2 4 8" xfId="1861"/>
    <cellStyle name="%20 - Vurgu4 2 4 8 2" xfId="3540"/>
    <cellStyle name="%20 - Vurgu4 2 4 9" xfId="1846"/>
    <cellStyle name="%20 - Vurgu4 2 5" xfId="329"/>
    <cellStyle name="%20 - Vurgu4 2 5 2" xfId="885"/>
    <cellStyle name="%20 - Vurgu4 2 5 2 2" xfId="1864"/>
    <cellStyle name="%20 - Vurgu4 2 5 2 2 2" xfId="3543"/>
    <cellStyle name="%20 - Vurgu4 2 5 2 3" xfId="1863"/>
    <cellStyle name="%20 - Vurgu4 2 5 2 4" xfId="3542"/>
    <cellStyle name="%20 - Vurgu4 2 5 3" xfId="1375"/>
    <cellStyle name="%20 - Vurgu4 2 5 3 2" xfId="3136"/>
    <cellStyle name="%20 - Vurgu4 2 5 3 3" xfId="1865"/>
    <cellStyle name="%20 - Vurgu4 2 5 3 4" xfId="3544"/>
    <cellStyle name="%20 - Vurgu4 2 5 4" xfId="1862"/>
    <cellStyle name="%20 - Vurgu4 2 5 5" xfId="3541"/>
    <cellStyle name="%20 - Vurgu4 2 6" xfId="505"/>
    <cellStyle name="%20 - Vurgu4 2 6 2" xfId="1053"/>
    <cellStyle name="%20 - Vurgu4 2 6 2 2" xfId="2990"/>
    <cellStyle name="%20 - Vurgu4 2 6 2 3" xfId="1867"/>
    <cellStyle name="%20 - Vurgu4 2 6 2 4" xfId="3546"/>
    <cellStyle name="%20 - Vurgu4 2 6 3" xfId="1866"/>
    <cellStyle name="%20 - Vurgu4 2 6 4" xfId="3545"/>
    <cellStyle name="%20 - Vurgu4 2 7" xfId="731"/>
    <cellStyle name="%20 - Vurgu4 2 7 2" xfId="1869"/>
    <cellStyle name="%20 - Vurgu4 2 7 2 2" xfId="3548"/>
    <cellStyle name="%20 - Vurgu4 2 7 3" xfId="1868"/>
    <cellStyle name="%20 - Vurgu4 2 7 4" xfId="3547"/>
    <cellStyle name="%20 - Vurgu4 2 8" xfId="1221"/>
    <cellStyle name="%20 - Vurgu4 2 8 2" xfId="1871"/>
    <cellStyle name="%20 - Vurgu4 2 8 2 2" xfId="3550"/>
    <cellStyle name="%20 - Vurgu4 2 8 3" xfId="1870"/>
    <cellStyle name="%20 - Vurgu4 2 8 4" xfId="3549"/>
    <cellStyle name="%20 - Vurgu4 2 9" xfId="1530"/>
    <cellStyle name="%20 - Vurgu4 2 9 2" xfId="1873"/>
    <cellStyle name="%20 - Vurgu4 2 9 2 2" xfId="3552"/>
    <cellStyle name="%20 - Vurgu4 2 9 3" xfId="1872"/>
    <cellStyle name="%20 - Vurgu4 2 9 4" xfId="3551"/>
    <cellStyle name="%20 - Vurgu4 3" xfId="63"/>
    <cellStyle name="%20 - Vurgu4 3 10" xfId="3553"/>
    <cellStyle name="%20 - Vurgu4 3 2" xfId="238"/>
    <cellStyle name="%20 - Vurgu4 3 2 2" xfId="410"/>
    <cellStyle name="%20 - Vurgu4 3 2 2 2" xfId="964"/>
    <cellStyle name="%20 - Vurgu4 3 2 2 2 2" xfId="2912"/>
    <cellStyle name="%20 - Vurgu4 3 2 2 2 3" xfId="1877"/>
    <cellStyle name="%20 - Vurgu4 3 2 2 2 4" xfId="3556"/>
    <cellStyle name="%20 - Vurgu4 3 2 2 3" xfId="1454"/>
    <cellStyle name="%20 - Vurgu4 3 2 2 3 2" xfId="3215"/>
    <cellStyle name="%20 - Vurgu4 3 2 2 4" xfId="1876"/>
    <cellStyle name="%20 - Vurgu4 3 2 2 5" xfId="3555"/>
    <cellStyle name="%20 - Vurgu4 3 2 3" xfId="510"/>
    <cellStyle name="%20 - Vurgu4 3 2 3 2" xfId="1058"/>
    <cellStyle name="%20 - Vurgu4 3 2 3 2 2" xfId="2995"/>
    <cellStyle name="%20 - Vurgu4 3 2 3 2 3" xfId="1879"/>
    <cellStyle name="%20 - Vurgu4 3 2 3 2 4" xfId="3558"/>
    <cellStyle name="%20 - Vurgu4 3 2 3 3" xfId="1878"/>
    <cellStyle name="%20 - Vurgu4 3 2 3 4" xfId="3557"/>
    <cellStyle name="%20 - Vurgu4 3 2 4" xfId="810"/>
    <cellStyle name="%20 - Vurgu4 3 2 4 2" xfId="1881"/>
    <cellStyle name="%20 - Vurgu4 3 2 4 2 2" xfId="3560"/>
    <cellStyle name="%20 - Vurgu4 3 2 4 3" xfId="1880"/>
    <cellStyle name="%20 - Vurgu4 3 2 4 4" xfId="3559"/>
    <cellStyle name="%20 - Vurgu4 3 2 5" xfId="1300"/>
    <cellStyle name="%20 - Vurgu4 3 2 5 2" xfId="1883"/>
    <cellStyle name="%20 - Vurgu4 3 2 5 2 2" xfId="3562"/>
    <cellStyle name="%20 - Vurgu4 3 2 5 3" xfId="1882"/>
    <cellStyle name="%20 - Vurgu4 3 2 5 4" xfId="3561"/>
    <cellStyle name="%20 - Vurgu4 3 2 6" xfId="1884"/>
    <cellStyle name="%20 - Vurgu4 3 2 6 2" xfId="1885"/>
    <cellStyle name="%20 - Vurgu4 3 2 6 2 2" xfId="3564"/>
    <cellStyle name="%20 - Vurgu4 3 2 6 3" xfId="3563"/>
    <cellStyle name="%20 - Vurgu4 3 2 7" xfId="1886"/>
    <cellStyle name="%20 - Vurgu4 3 2 7 2" xfId="3565"/>
    <cellStyle name="%20 - Vurgu4 3 2 8" xfId="1875"/>
    <cellStyle name="%20 - Vurgu4 3 2 9" xfId="3554"/>
    <cellStyle name="%20 - Vurgu4 3 3" xfId="331"/>
    <cellStyle name="%20 - Vurgu4 3 3 2" xfId="887"/>
    <cellStyle name="%20 - Vurgu4 3 3 2 2" xfId="2862"/>
    <cellStyle name="%20 - Vurgu4 3 3 2 3" xfId="1888"/>
    <cellStyle name="%20 - Vurgu4 3 3 2 4" xfId="3567"/>
    <cellStyle name="%20 - Vurgu4 3 3 3" xfId="1377"/>
    <cellStyle name="%20 - Vurgu4 3 3 3 2" xfId="3138"/>
    <cellStyle name="%20 - Vurgu4 3 3 4" xfId="1887"/>
    <cellStyle name="%20 - Vurgu4 3 3 5" xfId="3566"/>
    <cellStyle name="%20 - Vurgu4 3 4" xfId="509"/>
    <cellStyle name="%20 - Vurgu4 3 4 2" xfId="1057"/>
    <cellStyle name="%20 - Vurgu4 3 4 2 2" xfId="2994"/>
    <cellStyle name="%20 - Vurgu4 3 4 2 3" xfId="1890"/>
    <cellStyle name="%20 - Vurgu4 3 4 2 4" xfId="3569"/>
    <cellStyle name="%20 - Vurgu4 3 4 3" xfId="1889"/>
    <cellStyle name="%20 - Vurgu4 3 4 4" xfId="3568"/>
    <cellStyle name="%20 - Vurgu4 3 5" xfId="733"/>
    <cellStyle name="%20 - Vurgu4 3 5 2" xfId="1892"/>
    <cellStyle name="%20 - Vurgu4 3 5 2 2" xfId="3571"/>
    <cellStyle name="%20 - Vurgu4 3 5 3" xfId="1891"/>
    <cellStyle name="%20 - Vurgu4 3 5 4" xfId="3570"/>
    <cellStyle name="%20 - Vurgu4 3 6" xfId="1223"/>
    <cellStyle name="%20 - Vurgu4 3 6 2" xfId="1894"/>
    <cellStyle name="%20 - Vurgu4 3 6 2 2" xfId="3573"/>
    <cellStyle name="%20 - Vurgu4 3 6 3" xfId="1893"/>
    <cellStyle name="%20 - Vurgu4 3 6 4" xfId="3572"/>
    <cellStyle name="%20 - Vurgu4 3 7" xfId="1532"/>
    <cellStyle name="%20 - Vurgu4 3 7 2" xfId="1896"/>
    <cellStyle name="%20 - Vurgu4 3 7 2 2" xfId="3575"/>
    <cellStyle name="%20 - Vurgu4 3 7 3" xfId="1895"/>
    <cellStyle name="%20 - Vurgu4 3 7 4" xfId="3574"/>
    <cellStyle name="%20 - Vurgu4 3 8" xfId="1897"/>
    <cellStyle name="%20 - Vurgu4 3 8 2" xfId="3576"/>
    <cellStyle name="%20 - Vurgu4 3 9" xfId="1874"/>
    <cellStyle name="%20 - Vurgu4 4" xfId="64"/>
    <cellStyle name="%20 - Vurgu4 4 10" xfId="3577"/>
    <cellStyle name="%20 - Vurgu4 4 2" xfId="239"/>
    <cellStyle name="%20 - Vurgu4 4 2 2" xfId="411"/>
    <cellStyle name="%20 - Vurgu4 4 2 2 2" xfId="965"/>
    <cellStyle name="%20 - Vurgu4 4 2 2 2 2" xfId="2913"/>
    <cellStyle name="%20 - Vurgu4 4 2 2 2 3" xfId="1901"/>
    <cellStyle name="%20 - Vurgu4 4 2 2 2 4" xfId="3580"/>
    <cellStyle name="%20 - Vurgu4 4 2 2 3" xfId="1455"/>
    <cellStyle name="%20 - Vurgu4 4 2 2 3 2" xfId="3216"/>
    <cellStyle name="%20 - Vurgu4 4 2 2 4" xfId="1900"/>
    <cellStyle name="%20 - Vurgu4 4 2 2 5" xfId="3579"/>
    <cellStyle name="%20 - Vurgu4 4 2 3" xfId="512"/>
    <cellStyle name="%20 - Vurgu4 4 2 3 2" xfId="1060"/>
    <cellStyle name="%20 - Vurgu4 4 2 3 2 2" xfId="2997"/>
    <cellStyle name="%20 - Vurgu4 4 2 3 2 3" xfId="1903"/>
    <cellStyle name="%20 - Vurgu4 4 2 3 2 4" xfId="3582"/>
    <cellStyle name="%20 - Vurgu4 4 2 3 3" xfId="1902"/>
    <cellStyle name="%20 - Vurgu4 4 2 3 4" xfId="3581"/>
    <cellStyle name="%20 - Vurgu4 4 2 4" xfId="811"/>
    <cellStyle name="%20 - Vurgu4 4 2 4 2" xfId="1905"/>
    <cellStyle name="%20 - Vurgu4 4 2 4 2 2" xfId="3584"/>
    <cellStyle name="%20 - Vurgu4 4 2 4 3" xfId="1904"/>
    <cellStyle name="%20 - Vurgu4 4 2 4 4" xfId="3583"/>
    <cellStyle name="%20 - Vurgu4 4 2 5" xfId="1301"/>
    <cellStyle name="%20 - Vurgu4 4 2 5 2" xfId="1907"/>
    <cellStyle name="%20 - Vurgu4 4 2 5 2 2" xfId="3586"/>
    <cellStyle name="%20 - Vurgu4 4 2 5 3" xfId="1906"/>
    <cellStyle name="%20 - Vurgu4 4 2 5 4" xfId="3585"/>
    <cellStyle name="%20 - Vurgu4 4 2 6" xfId="1908"/>
    <cellStyle name="%20 - Vurgu4 4 2 6 2" xfId="1909"/>
    <cellStyle name="%20 - Vurgu4 4 2 6 2 2" xfId="3588"/>
    <cellStyle name="%20 - Vurgu4 4 2 6 3" xfId="3587"/>
    <cellStyle name="%20 - Vurgu4 4 2 7" xfId="1910"/>
    <cellStyle name="%20 - Vurgu4 4 2 7 2" xfId="3589"/>
    <cellStyle name="%20 - Vurgu4 4 2 8" xfId="1899"/>
    <cellStyle name="%20 - Vurgu4 4 2 9" xfId="3578"/>
    <cellStyle name="%20 - Vurgu4 4 3" xfId="332"/>
    <cellStyle name="%20 - Vurgu4 4 3 2" xfId="888"/>
    <cellStyle name="%20 - Vurgu4 4 3 2 2" xfId="2863"/>
    <cellStyle name="%20 - Vurgu4 4 3 2 3" xfId="1912"/>
    <cellStyle name="%20 - Vurgu4 4 3 2 4" xfId="3591"/>
    <cellStyle name="%20 - Vurgu4 4 3 3" xfId="1378"/>
    <cellStyle name="%20 - Vurgu4 4 3 3 2" xfId="3139"/>
    <cellStyle name="%20 - Vurgu4 4 3 4" xfId="1911"/>
    <cellStyle name="%20 - Vurgu4 4 3 5" xfId="3590"/>
    <cellStyle name="%20 - Vurgu4 4 4" xfId="511"/>
    <cellStyle name="%20 - Vurgu4 4 4 2" xfId="1059"/>
    <cellStyle name="%20 - Vurgu4 4 4 2 2" xfId="2996"/>
    <cellStyle name="%20 - Vurgu4 4 4 2 3" xfId="1914"/>
    <cellStyle name="%20 - Vurgu4 4 4 2 4" xfId="3593"/>
    <cellStyle name="%20 - Vurgu4 4 4 3" xfId="1913"/>
    <cellStyle name="%20 - Vurgu4 4 4 4" xfId="3592"/>
    <cellStyle name="%20 - Vurgu4 4 5" xfId="734"/>
    <cellStyle name="%20 - Vurgu4 4 5 2" xfId="1916"/>
    <cellStyle name="%20 - Vurgu4 4 5 2 2" xfId="3595"/>
    <cellStyle name="%20 - Vurgu4 4 5 3" xfId="1915"/>
    <cellStyle name="%20 - Vurgu4 4 5 4" xfId="3594"/>
    <cellStyle name="%20 - Vurgu4 4 6" xfId="1224"/>
    <cellStyle name="%20 - Vurgu4 4 6 2" xfId="1918"/>
    <cellStyle name="%20 - Vurgu4 4 6 2 2" xfId="3597"/>
    <cellStyle name="%20 - Vurgu4 4 6 3" xfId="1917"/>
    <cellStyle name="%20 - Vurgu4 4 6 4" xfId="3596"/>
    <cellStyle name="%20 - Vurgu4 4 7" xfId="1533"/>
    <cellStyle name="%20 - Vurgu4 4 7 2" xfId="1920"/>
    <cellStyle name="%20 - Vurgu4 4 7 2 2" xfId="3599"/>
    <cellStyle name="%20 - Vurgu4 4 7 3" xfId="1919"/>
    <cellStyle name="%20 - Vurgu4 4 7 4" xfId="3598"/>
    <cellStyle name="%20 - Vurgu4 4 8" xfId="1921"/>
    <cellStyle name="%20 - Vurgu4 4 8 2" xfId="3600"/>
    <cellStyle name="%20 - Vurgu4 4 9" xfId="1898"/>
    <cellStyle name="%20 - Vurgu4 5" xfId="65"/>
    <cellStyle name="%20 - Vurgu4 6" xfId="214"/>
    <cellStyle name="%20 - Vurgu4 6 10" xfId="3601"/>
    <cellStyle name="%20 - Vurgu4 6 2" xfId="387"/>
    <cellStyle name="%20 - Vurgu4 6 2 2" xfId="942"/>
    <cellStyle name="%20 - Vurgu4 6 2 2 2" xfId="1925"/>
    <cellStyle name="%20 - Vurgu4 6 2 2 2 2" xfId="3604"/>
    <cellStyle name="%20 - Vurgu4 6 2 2 3" xfId="1924"/>
    <cellStyle name="%20 - Vurgu4 6 2 2 4" xfId="3603"/>
    <cellStyle name="%20 - Vurgu4 6 2 3" xfId="1432"/>
    <cellStyle name="%20 - Vurgu4 6 2 3 2" xfId="3193"/>
    <cellStyle name="%20 - Vurgu4 6 2 3 3" xfId="1926"/>
    <cellStyle name="%20 - Vurgu4 6 2 3 4" xfId="3605"/>
    <cellStyle name="%20 - Vurgu4 6 2 4" xfId="1923"/>
    <cellStyle name="%20 - Vurgu4 6 2 5" xfId="3602"/>
    <cellStyle name="%20 - Vurgu4 6 3" xfId="513"/>
    <cellStyle name="%20 - Vurgu4 6 3 2" xfId="1061"/>
    <cellStyle name="%20 - Vurgu4 6 3 2 2" xfId="2998"/>
    <cellStyle name="%20 - Vurgu4 6 3 2 3" xfId="1928"/>
    <cellStyle name="%20 - Vurgu4 6 3 2 4" xfId="3607"/>
    <cellStyle name="%20 - Vurgu4 6 3 3" xfId="1927"/>
    <cellStyle name="%20 - Vurgu4 6 3 4" xfId="3606"/>
    <cellStyle name="%20 - Vurgu4 6 4" xfId="788"/>
    <cellStyle name="%20 - Vurgu4 6 4 2" xfId="1930"/>
    <cellStyle name="%20 - Vurgu4 6 4 2 2" xfId="3609"/>
    <cellStyle name="%20 - Vurgu4 6 4 3" xfId="1929"/>
    <cellStyle name="%20 - Vurgu4 6 4 4" xfId="3608"/>
    <cellStyle name="%20 - Vurgu4 6 5" xfId="1278"/>
    <cellStyle name="%20 - Vurgu4 6 5 2" xfId="1932"/>
    <cellStyle name="%20 - Vurgu4 6 5 2 2" xfId="3611"/>
    <cellStyle name="%20 - Vurgu4 6 5 3" xfId="1931"/>
    <cellStyle name="%20 - Vurgu4 6 5 4" xfId="3610"/>
    <cellStyle name="%20 - Vurgu4 6 6" xfId="1933"/>
    <cellStyle name="%20 - Vurgu4 6 6 2" xfId="1934"/>
    <cellStyle name="%20 - Vurgu4 6 6 2 2" xfId="3613"/>
    <cellStyle name="%20 - Vurgu4 6 6 3" xfId="3612"/>
    <cellStyle name="%20 - Vurgu4 6 7" xfId="1935"/>
    <cellStyle name="%20 - Vurgu4 6 7 2" xfId="1936"/>
    <cellStyle name="%20 - Vurgu4 6 7 2 2" xfId="3615"/>
    <cellStyle name="%20 - Vurgu4 6 7 3" xfId="3614"/>
    <cellStyle name="%20 - Vurgu4 6 8" xfId="1937"/>
    <cellStyle name="%20 - Vurgu4 6 8 2" xfId="3616"/>
    <cellStyle name="%20 - Vurgu4 6 9" xfId="1922"/>
    <cellStyle name="%20 - Vurgu4 7" xfId="311"/>
    <cellStyle name="%20 - Vurgu4 7 2" xfId="514"/>
    <cellStyle name="%20 - Vurgu4 7 2 2" xfId="1062"/>
    <cellStyle name="%20 - Vurgu4 7 2 2 2" xfId="2999"/>
    <cellStyle name="%20 - Vurgu4 7 2 2 3" xfId="1940"/>
    <cellStyle name="%20 - Vurgu4 7 2 2 4" xfId="3619"/>
    <cellStyle name="%20 - Vurgu4 7 2 3" xfId="1939"/>
    <cellStyle name="%20 - Vurgu4 7 2 4" xfId="3618"/>
    <cellStyle name="%20 - Vurgu4 7 3" xfId="867"/>
    <cellStyle name="%20 - Vurgu4 7 3 2" xfId="1942"/>
    <cellStyle name="%20 - Vurgu4 7 3 2 2" xfId="3621"/>
    <cellStyle name="%20 - Vurgu4 7 3 3" xfId="1941"/>
    <cellStyle name="%20 - Vurgu4 7 3 4" xfId="3620"/>
    <cellStyle name="%20 - Vurgu4 7 4" xfId="1357"/>
    <cellStyle name="%20 - Vurgu4 7 4 2" xfId="1944"/>
    <cellStyle name="%20 - Vurgu4 7 4 2 2" xfId="3623"/>
    <cellStyle name="%20 - Vurgu4 7 4 3" xfId="1943"/>
    <cellStyle name="%20 - Vurgu4 7 4 4" xfId="3622"/>
    <cellStyle name="%20 - Vurgu4 7 5" xfId="1945"/>
    <cellStyle name="%20 - Vurgu4 7 5 2" xfId="1946"/>
    <cellStyle name="%20 - Vurgu4 7 5 2 2" xfId="3625"/>
    <cellStyle name="%20 - Vurgu4 7 5 3" xfId="3624"/>
    <cellStyle name="%20 - Vurgu4 7 6" xfId="1947"/>
    <cellStyle name="%20 - Vurgu4 7 6 2" xfId="1948"/>
    <cellStyle name="%20 - Vurgu4 7 6 2 2" xfId="3627"/>
    <cellStyle name="%20 - Vurgu4 7 6 3" xfId="3626"/>
    <cellStyle name="%20 - Vurgu4 7 7" xfId="1949"/>
    <cellStyle name="%20 - Vurgu4 7 7 2" xfId="3628"/>
    <cellStyle name="%20 - Vurgu4 7 8" xfId="1938"/>
    <cellStyle name="%20 - Vurgu4 7 9" xfId="3617"/>
    <cellStyle name="%20 - Vurgu4 8" xfId="515"/>
    <cellStyle name="%20 - Vurgu4 8 2" xfId="1063"/>
    <cellStyle name="%20 - Vurgu4 8 2 2" xfId="1951"/>
    <cellStyle name="%20 - Vurgu4 8 2 3" xfId="3630"/>
    <cellStyle name="%20 - Vurgu4 8 3" xfId="1952"/>
    <cellStyle name="%20 - Vurgu4 8 3 2" xfId="3631"/>
    <cellStyle name="%20 - Vurgu4 8 4" xfId="1953"/>
    <cellStyle name="%20 - Vurgu4 8 4 2" xfId="3632"/>
    <cellStyle name="%20 - Vurgu4 8 5" xfId="1950"/>
    <cellStyle name="%20 - Vurgu4 8 6" xfId="3629"/>
    <cellStyle name="%20 - Vurgu4 9" xfId="504"/>
    <cellStyle name="%20 - Vurgu4 9 2" xfId="1052"/>
    <cellStyle name="%20 - Vurgu4 9 2 2" xfId="2989"/>
    <cellStyle name="%20 - Vurgu4 9 2 3" xfId="1955"/>
    <cellStyle name="%20 - Vurgu4 9 2 4" xfId="3634"/>
    <cellStyle name="%20 - Vurgu4 9 3" xfId="1954"/>
    <cellStyle name="%20 - Vurgu4 9 4" xfId="3633"/>
    <cellStyle name="%20 - Vurgu5" xfId="34" builtinId="46" customBuiltin="1"/>
    <cellStyle name="%20 - Vurgu5 10" xfId="1205"/>
    <cellStyle name="%20 - Vurgu5 10 2" xfId="1957"/>
    <cellStyle name="%20 - Vurgu5 10 3" xfId="3636"/>
    <cellStyle name="%20 - Vurgu5 11" xfId="1513"/>
    <cellStyle name="%20 - Vurgu5 11 2" xfId="1958"/>
    <cellStyle name="%20 - Vurgu5 11 3" xfId="3637"/>
    <cellStyle name="%20 - Vurgu5 12" xfId="1956"/>
    <cellStyle name="%20 - Vurgu5 13" xfId="3635"/>
    <cellStyle name="%20 - Vurgu5 2" xfId="66"/>
    <cellStyle name="%20 - Vurgu5 2 10" xfId="1959"/>
    <cellStyle name="%20 - Vurgu5 2 11" xfId="3638"/>
    <cellStyle name="%20 - Vurgu5 2 2" xfId="67"/>
    <cellStyle name="%20 - Vurgu5 2 2 2" xfId="241"/>
    <cellStyle name="%20 - Vurgu5 2 2 2 2" xfId="413"/>
    <cellStyle name="%20 - Vurgu5 2 2 2 2 2" xfId="967"/>
    <cellStyle name="%20 - Vurgu5 2 2 2 2 2 2" xfId="2914"/>
    <cellStyle name="%20 - Vurgu5 2 2 2 2 3" xfId="1457"/>
    <cellStyle name="%20 - Vurgu5 2 2 2 2 3 2" xfId="3218"/>
    <cellStyle name="%20 - Vurgu5 2 2 2 2 4" xfId="1962"/>
    <cellStyle name="%20 - Vurgu5 2 2 2 2 5" xfId="3641"/>
    <cellStyle name="%20 - Vurgu5 2 2 2 3" xfId="519"/>
    <cellStyle name="%20 - Vurgu5 2 2 2 3 2" xfId="1067"/>
    <cellStyle name="%20 - Vurgu5 2 2 2 3 2 2" xfId="3003"/>
    <cellStyle name="%20 - Vurgu5 2 2 2 3 3" xfId="1963"/>
    <cellStyle name="%20 - Vurgu5 2 2 2 3 4" xfId="3642"/>
    <cellStyle name="%20 - Vurgu5 2 2 2 4" xfId="813"/>
    <cellStyle name="%20 - Vurgu5 2 2 2 4 2" xfId="1964"/>
    <cellStyle name="%20 - Vurgu5 2 2 2 4 3" xfId="3643"/>
    <cellStyle name="%20 - Vurgu5 2 2 2 5" xfId="1303"/>
    <cellStyle name="%20 - Vurgu5 2 2 2 5 2" xfId="1965"/>
    <cellStyle name="%20 - Vurgu5 2 2 2 5 3" xfId="3644"/>
    <cellStyle name="%20 - Vurgu5 2 2 2 6" xfId="1966"/>
    <cellStyle name="%20 - Vurgu5 2 2 2 6 2" xfId="3645"/>
    <cellStyle name="%20 - Vurgu5 2 2 2 7" xfId="1961"/>
    <cellStyle name="%20 - Vurgu5 2 2 2 8" xfId="3640"/>
    <cellStyle name="%20 - Vurgu5 2 2 3" xfId="334"/>
    <cellStyle name="%20 - Vurgu5 2 2 3 2" xfId="890"/>
    <cellStyle name="%20 - Vurgu5 2 2 3 2 2" xfId="2864"/>
    <cellStyle name="%20 - Vurgu5 2 2 3 3" xfId="1380"/>
    <cellStyle name="%20 - Vurgu5 2 2 3 3 2" xfId="3141"/>
    <cellStyle name="%20 - Vurgu5 2 2 3 4" xfId="1967"/>
    <cellStyle name="%20 - Vurgu5 2 2 3 5" xfId="3646"/>
    <cellStyle name="%20 - Vurgu5 2 2 4" xfId="518"/>
    <cellStyle name="%20 - Vurgu5 2 2 4 2" xfId="1066"/>
    <cellStyle name="%20 - Vurgu5 2 2 4 2 2" xfId="3002"/>
    <cellStyle name="%20 - Vurgu5 2 2 4 3" xfId="1968"/>
    <cellStyle name="%20 - Vurgu5 2 2 4 4" xfId="3647"/>
    <cellStyle name="%20 - Vurgu5 2 2 5" xfId="736"/>
    <cellStyle name="%20 - Vurgu5 2 2 5 2" xfId="1969"/>
    <cellStyle name="%20 - Vurgu5 2 2 5 3" xfId="3648"/>
    <cellStyle name="%20 - Vurgu5 2 2 6" xfId="1226"/>
    <cellStyle name="%20 - Vurgu5 2 2 6 2" xfId="1970"/>
    <cellStyle name="%20 - Vurgu5 2 2 6 3" xfId="3649"/>
    <cellStyle name="%20 - Vurgu5 2 2 7" xfId="1535"/>
    <cellStyle name="%20 - Vurgu5 2 2 7 2" xfId="1971"/>
    <cellStyle name="%20 - Vurgu5 2 2 7 3" xfId="3650"/>
    <cellStyle name="%20 - Vurgu5 2 2 8" xfId="1960"/>
    <cellStyle name="%20 - Vurgu5 2 2 9" xfId="3639"/>
    <cellStyle name="%20 - Vurgu5 2 3" xfId="68"/>
    <cellStyle name="%20 - Vurgu5 2 4" xfId="240"/>
    <cellStyle name="%20 - Vurgu5 2 4 2" xfId="412"/>
    <cellStyle name="%20 - Vurgu5 2 4 2 2" xfId="966"/>
    <cellStyle name="%20 - Vurgu5 2 4 2 2 2" xfId="1974"/>
    <cellStyle name="%20 - Vurgu5 2 4 2 2 3" xfId="3653"/>
    <cellStyle name="%20 - Vurgu5 2 4 2 3" xfId="1456"/>
    <cellStyle name="%20 - Vurgu5 2 4 2 3 2" xfId="3217"/>
    <cellStyle name="%20 - Vurgu5 2 4 2 4" xfId="1973"/>
    <cellStyle name="%20 - Vurgu5 2 4 2 5" xfId="3652"/>
    <cellStyle name="%20 - Vurgu5 2 4 3" xfId="520"/>
    <cellStyle name="%20 - Vurgu5 2 4 3 2" xfId="1068"/>
    <cellStyle name="%20 - Vurgu5 2 4 3 2 2" xfId="3004"/>
    <cellStyle name="%20 - Vurgu5 2 4 3 3" xfId="1975"/>
    <cellStyle name="%20 - Vurgu5 2 4 3 4" xfId="3654"/>
    <cellStyle name="%20 - Vurgu5 2 4 4" xfId="812"/>
    <cellStyle name="%20 - Vurgu5 2 4 4 2" xfId="1976"/>
    <cellStyle name="%20 - Vurgu5 2 4 4 3" xfId="3655"/>
    <cellStyle name="%20 - Vurgu5 2 4 5" xfId="1302"/>
    <cellStyle name="%20 - Vurgu5 2 4 5 2" xfId="1977"/>
    <cellStyle name="%20 - Vurgu5 2 4 5 3" xfId="3656"/>
    <cellStyle name="%20 - Vurgu5 2 4 6" xfId="1978"/>
    <cellStyle name="%20 - Vurgu5 2 4 6 2" xfId="3657"/>
    <cellStyle name="%20 - Vurgu5 2 4 7" xfId="1979"/>
    <cellStyle name="%20 - Vurgu5 2 4 7 2" xfId="3658"/>
    <cellStyle name="%20 - Vurgu5 2 4 8" xfId="1972"/>
    <cellStyle name="%20 - Vurgu5 2 4 9" xfId="3651"/>
    <cellStyle name="%20 - Vurgu5 2 5" xfId="333"/>
    <cellStyle name="%20 - Vurgu5 2 5 2" xfId="889"/>
    <cellStyle name="%20 - Vurgu5 2 5 2 2" xfId="1981"/>
    <cellStyle name="%20 - Vurgu5 2 5 2 3" xfId="3660"/>
    <cellStyle name="%20 - Vurgu5 2 5 3" xfId="1379"/>
    <cellStyle name="%20 - Vurgu5 2 5 3 2" xfId="3140"/>
    <cellStyle name="%20 - Vurgu5 2 5 4" xfId="1980"/>
    <cellStyle name="%20 - Vurgu5 2 5 5" xfId="3659"/>
    <cellStyle name="%20 - Vurgu5 2 6" xfId="517"/>
    <cellStyle name="%20 - Vurgu5 2 6 2" xfId="1065"/>
    <cellStyle name="%20 - Vurgu5 2 6 2 2" xfId="3001"/>
    <cellStyle name="%20 - Vurgu5 2 6 3" xfId="1982"/>
    <cellStyle name="%20 - Vurgu5 2 6 4" xfId="3661"/>
    <cellStyle name="%20 - Vurgu5 2 7" xfId="735"/>
    <cellStyle name="%20 - Vurgu5 2 7 2" xfId="1983"/>
    <cellStyle name="%20 - Vurgu5 2 7 3" xfId="3662"/>
    <cellStyle name="%20 - Vurgu5 2 8" xfId="1225"/>
    <cellStyle name="%20 - Vurgu5 2 8 2" xfId="1984"/>
    <cellStyle name="%20 - Vurgu5 2 8 3" xfId="3663"/>
    <cellStyle name="%20 - Vurgu5 2 9" xfId="1534"/>
    <cellStyle name="%20 - Vurgu5 2 9 2" xfId="1985"/>
    <cellStyle name="%20 - Vurgu5 2 9 3" xfId="3664"/>
    <cellStyle name="%20 - Vurgu5 3" xfId="69"/>
    <cellStyle name="%20 - Vurgu5 3 2" xfId="242"/>
    <cellStyle name="%20 - Vurgu5 3 2 2" xfId="414"/>
    <cellStyle name="%20 - Vurgu5 3 2 2 2" xfId="968"/>
    <cellStyle name="%20 - Vurgu5 3 2 2 2 2" xfId="2915"/>
    <cellStyle name="%20 - Vurgu5 3 2 2 3" xfId="1458"/>
    <cellStyle name="%20 - Vurgu5 3 2 2 3 2" xfId="3219"/>
    <cellStyle name="%20 - Vurgu5 3 2 2 4" xfId="1988"/>
    <cellStyle name="%20 - Vurgu5 3 2 2 5" xfId="3667"/>
    <cellStyle name="%20 - Vurgu5 3 2 3" xfId="522"/>
    <cellStyle name="%20 - Vurgu5 3 2 3 2" xfId="1070"/>
    <cellStyle name="%20 - Vurgu5 3 2 3 2 2" xfId="3006"/>
    <cellStyle name="%20 - Vurgu5 3 2 3 3" xfId="1989"/>
    <cellStyle name="%20 - Vurgu5 3 2 3 4" xfId="3668"/>
    <cellStyle name="%20 - Vurgu5 3 2 4" xfId="814"/>
    <cellStyle name="%20 - Vurgu5 3 2 4 2" xfId="1990"/>
    <cellStyle name="%20 - Vurgu5 3 2 4 3" xfId="3669"/>
    <cellStyle name="%20 - Vurgu5 3 2 5" xfId="1304"/>
    <cellStyle name="%20 - Vurgu5 3 2 5 2" xfId="1991"/>
    <cellStyle name="%20 - Vurgu5 3 2 5 3" xfId="3670"/>
    <cellStyle name="%20 - Vurgu5 3 2 6" xfId="1992"/>
    <cellStyle name="%20 - Vurgu5 3 2 6 2" xfId="3671"/>
    <cellStyle name="%20 - Vurgu5 3 2 7" xfId="1987"/>
    <cellStyle name="%20 - Vurgu5 3 2 8" xfId="3666"/>
    <cellStyle name="%20 - Vurgu5 3 3" xfId="335"/>
    <cellStyle name="%20 - Vurgu5 3 3 2" xfId="891"/>
    <cellStyle name="%20 - Vurgu5 3 3 2 2" xfId="2865"/>
    <cellStyle name="%20 - Vurgu5 3 3 3" xfId="1381"/>
    <cellStyle name="%20 - Vurgu5 3 3 3 2" xfId="3142"/>
    <cellStyle name="%20 - Vurgu5 3 3 4" xfId="1993"/>
    <cellStyle name="%20 - Vurgu5 3 3 5" xfId="3672"/>
    <cellStyle name="%20 - Vurgu5 3 4" xfId="521"/>
    <cellStyle name="%20 - Vurgu5 3 4 2" xfId="1069"/>
    <cellStyle name="%20 - Vurgu5 3 4 2 2" xfId="3005"/>
    <cellStyle name="%20 - Vurgu5 3 4 3" xfId="1994"/>
    <cellStyle name="%20 - Vurgu5 3 4 4" xfId="3673"/>
    <cellStyle name="%20 - Vurgu5 3 5" xfId="737"/>
    <cellStyle name="%20 - Vurgu5 3 5 2" xfId="1995"/>
    <cellStyle name="%20 - Vurgu5 3 5 3" xfId="3674"/>
    <cellStyle name="%20 - Vurgu5 3 6" xfId="1227"/>
    <cellStyle name="%20 - Vurgu5 3 6 2" xfId="1996"/>
    <cellStyle name="%20 - Vurgu5 3 6 3" xfId="3675"/>
    <cellStyle name="%20 - Vurgu5 3 7" xfId="1536"/>
    <cellStyle name="%20 - Vurgu5 3 7 2" xfId="1997"/>
    <cellStyle name="%20 - Vurgu5 3 7 3" xfId="3676"/>
    <cellStyle name="%20 - Vurgu5 3 8" xfId="1986"/>
    <cellStyle name="%20 - Vurgu5 3 9" xfId="3665"/>
    <cellStyle name="%20 - Vurgu5 4" xfId="70"/>
    <cellStyle name="%20 - Vurgu5 4 2" xfId="243"/>
    <cellStyle name="%20 - Vurgu5 4 2 2" xfId="415"/>
    <cellStyle name="%20 - Vurgu5 4 2 2 2" xfId="969"/>
    <cellStyle name="%20 - Vurgu5 4 2 2 2 2" xfId="2916"/>
    <cellStyle name="%20 - Vurgu5 4 2 2 3" xfId="1459"/>
    <cellStyle name="%20 - Vurgu5 4 2 2 3 2" xfId="3220"/>
    <cellStyle name="%20 - Vurgu5 4 2 2 4" xfId="2000"/>
    <cellStyle name="%20 - Vurgu5 4 2 2 5" xfId="3679"/>
    <cellStyle name="%20 - Vurgu5 4 2 3" xfId="524"/>
    <cellStyle name="%20 - Vurgu5 4 2 3 2" xfId="1072"/>
    <cellStyle name="%20 - Vurgu5 4 2 3 2 2" xfId="3008"/>
    <cellStyle name="%20 - Vurgu5 4 2 3 3" xfId="2001"/>
    <cellStyle name="%20 - Vurgu5 4 2 3 4" xfId="3680"/>
    <cellStyle name="%20 - Vurgu5 4 2 4" xfId="815"/>
    <cellStyle name="%20 - Vurgu5 4 2 4 2" xfId="2002"/>
    <cellStyle name="%20 - Vurgu5 4 2 4 3" xfId="3681"/>
    <cellStyle name="%20 - Vurgu5 4 2 5" xfId="1305"/>
    <cellStyle name="%20 - Vurgu5 4 2 5 2" xfId="2003"/>
    <cellStyle name="%20 - Vurgu5 4 2 5 3" xfId="3682"/>
    <cellStyle name="%20 - Vurgu5 4 2 6" xfId="2004"/>
    <cellStyle name="%20 - Vurgu5 4 2 6 2" xfId="3683"/>
    <cellStyle name="%20 - Vurgu5 4 2 7" xfId="1999"/>
    <cellStyle name="%20 - Vurgu5 4 2 8" xfId="3678"/>
    <cellStyle name="%20 - Vurgu5 4 3" xfId="336"/>
    <cellStyle name="%20 - Vurgu5 4 3 2" xfId="892"/>
    <cellStyle name="%20 - Vurgu5 4 3 2 2" xfId="2866"/>
    <cellStyle name="%20 - Vurgu5 4 3 3" xfId="1382"/>
    <cellStyle name="%20 - Vurgu5 4 3 3 2" xfId="3143"/>
    <cellStyle name="%20 - Vurgu5 4 3 4" xfId="2005"/>
    <cellStyle name="%20 - Vurgu5 4 3 5" xfId="3684"/>
    <cellStyle name="%20 - Vurgu5 4 4" xfId="523"/>
    <cellStyle name="%20 - Vurgu5 4 4 2" xfId="1071"/>
    <cellStyle name="%20 - Vurgu5 4 4 2 2" xfId="3007"/>
    <cellStyle name="%20 - Vurgu5 4 4 3" xfId="2006"/>
    <cellStyle name="%20 - Vurgu5 4 4 4" xfId="3685"/>
    <cellStyle name="%20 - Vurgu5 4 5" xfId="738"/>
    <cellStyle name="%20 - Vurgu5 4 5 2" xfId="2007"/>
    <cellStyle name="%20 - Vurgu5 4 5 3" xfId="3686"/>
    <cellStyle name="%20 - Vurgu5 4 6" xfId="1228"/>
    <cellStyle name="%20 - Vurgu5 4 6 2" xfId="2008"/>
    <cellStyle name="%20 - Vurgu5 4 6 3" xfId="3687"/>
    <cellStyle name="%20 - Vurgu5 4 7" xfId="1537"/>
    <cellStyle name="%20 - Vurgu5 4 7 2" xfId="2009"/>
    <cellStyle name="%20 - Vurgu5 4 7 3" xfId="3688"/>
    <cellStyle name="%20 - Vurgu5 4 8" xfId="1998"/>
    <cellStyle name="%20 - Vurgu5 4 9" xfId="3677"/>
    <cellStyle name="%20 - Vurgu5 5" xfId="71"/>
    <cellStyle name="%20 - Vurgu5 6" xfId="216"/>
    <cellStyle name="%20 - Vurgu5 6 2" xfId="389"/>
    <cellStyle name="%20 - Vurgu5 6 2 2" xfId="944"/>
    <cellStyle name="%20 - Vurgu5 6 2 2 2" xfId="2012"/>
    <cellStyle name="%20 - Vurgu5 6 2 2 3" xfId="3691"/>
    <cellStyle name="%20 - Vurgu5 6 2 3" xfId="1434"/>
    <cellStyle name="%20 - Vurgu5 6 2 3 2" xfId="3195"/>
    <cellStyle name="%20 - Vurgu5 6 2 4" xfId="2011"/>
    <cellStyle name="%20 - Vurgu5 6 2 5" xfId="3690"/>
    <cellStyle name="%20 - Vurgu5 6 3" xfId="525"/>
    <cellStyle name="%20 - Vurgu5 6 3 2" xfId="1073"/>
    <cellStyle name="%20 - Vurgu5 6 3 2 2" xfId="3009"/>
    <cellStyle name="%20 - Vurgu5 6 3 3" xfId="2013"/>
    <cellStyle name="%20 - Vurgu5 6 3 4" xfId="3692"/>
    <cellStyle name="%20 - Vurgu5 6 4" xfId="790"/>
    <cellStyle name="%20 - Vurgu5 6 4 2" xfId="2014"/>
    <cellStyle name="%20 - Vurgu5 6 4 3" xfId="3693"/>
    <cellStyle name="%20 - Vurgu5 6 5" xfId="1280"/>
    <cellStyle name="%20 - Vurgu5 6 5 2" xfId="2015"/>
    <cellStyle name="%20 - Vurgu5 6 5 3" xfId="3694"/>
    <cellStyle name="%20 - Vurgu5 6 6" xfId="2016"/>
    <cellStyle name="%20 - Vurgu5 6 6 2" xfId="3695"/>
    <cellStyle name="%20 - Vurgu5 6 7" xfId="2017"/>
    <cellStyle name="%20 - Vurgu5 6 7 2" xfId="3696"/>
    <cellStyle name="%20 - Vurgu5 6 8" xfId="2010"/>
    <cellStyle name="%20 - Vurgu5 6 9" xfId="3689"/>
    <cellStyle name="%20 - Vurgu5 7" xfId="313"/>
    <cellStyle name="%20 - Vurgu5 7 2" xfId="869"/>
    <cellStyle name="%20 - Vurgu5 7 2 2" xfId="2019"/>
    <cellStyle name="%20 - Vurgu5 7 2 3" xfId="3698"/>
    <cellStyle name="%20 - Vurgu5 7 3" xfId="1359"/>
    <cellStyle name="%20 - Vurgu5 7 3 2" xfId="3120"/>
    <cellStyle name="%20 - Vurgu5 7 4" xfId="2018"/>
    <cellStyle name="%20 - Vurgu5 7 5" xfId="3697"/>
    <cellStyle name="%20 - Vurgu5 8" xfId="516"/>
    <cellStyle name="%20 - Vurgu5 8 2" xfId="1064"/>
    <cellStyle name="%20 - Vurgu5 8 2 2" xfId="3000"/>
    <cellStyle name="%20 - Vurgu5 8 3" xfId="2020"/>
    <cellStyle name="%20 - Vurgu5 8 4" xfId="3699"/>
    <cellStyle name="%20 - Vurgu5 9" xfId="715"/>
    <cellStyle name="%20 - Vurgu5 9 2" xfId="2021"/>
    <cellStyle name="%20 - Vurgu5 9 3" xfId="3700"/>
    <cellStyle name="%20 - Vurgu6" xfId="38" builtinId="50" customBuiltin="1"/>
    <cellStyle name="%20 - Vurgu6 10" xfId="1207"/>
    <cellStyle name="%20 - Vurgu6 10 2" xfId="2023"/>
    <cellStyle name="%20 - Vurgu6 10 3" xfId="3702"/>
    <cellStyle name="%20 - Vurgu6 11" xfId="1515"/>
    <cellStyle name="%20 - Vurgu6 11 2" xfId="2024"/>
    <cellStyle name="%20 - Vurgu6 11 3" xfId="3703"/>
    <cellStyle name="%20 - Vurgu6 12" xfId="2022"/>
    <cellStyle name="%20 - Vurgu6 13" xfId="3701"/>
    <cellStyle name="%20 - Vurgu6 2" xfId="72"/>
    <cellStyle name="%20 - Vurgu6 2 10" xfId="2025"/>
    <cellStyle name="%20 - Vurgu6 2 11" xfId="3704"/>
    <cellStyle name="%20 - Vurgu6 2 2" xfId="73"/>
    <cellStyle name="%20 - Vurgu6 2 2 2" xfId="245"/>
    <cellStyle name="%20 - Vurgu6 2 2 2 2" xfId="417"/>
    <cellStyle name="%20 - Vurgu6 2 2 2 2 2" xfId="971"/>
    <cellStyle name="%20 - Vurgu6 2 2 2 2 2 2" xfId="2917"/>
    <cellStyle name="%20 - Vurgu6 2 2 2 2 3" xfId="1461"/>
    <cellStyle name="%20 - Vurgu6 2 2 2 2 3 2" xfId="3222"/>
    <cellStyle name="%20 - Vurgu6 2 2 2 2 4" xfId="2028"/>
    <cellStyle name="%20 - Vurgu6 2 2 2 2 5" xfId="3707"/>
    <cellStyle name="%20 - Vurgu6 2 2 2 3" xfId="529"/>
    <cellStyle name="%20 - Vurgu6 2 2 2 3 2" xfId="1077"/>
    <cellStyle name="%20 - Vurgu6 2 2 2 3 2 2" xfId="3013"/>
    <cellStyle name="%20 - Vurgu6 2 2 2 3 3" xfId="2029"/>
    <cellStyle name="%20 - Vurgu6 2 2 2 3 4" xfId="3708"/>
    <cellStyle name="%20 - Vurgu6 2 2 2 4" xfId="817"/>
    <cellStyle name="%20 - Vurgu6 2 2 2 4 2" xfId="2030"/>
    <cellStyle name="%20 - Vurgu6 2 2 2 4 3" xfId="3709"/>
    <cellStyle name="%20 - Vurgu6 2 2 2 5" xfId="1307"/>
    <cellStyle name="%20 - Vurgu6 2 2 2 5 2" xfId="2031"/>
    <cellStyle name="%20 - Vurgu6 2 2 2 5 3" xfId="3710"/>
    <cellStyle name="%20 - Vurgu6 2 2 2 6" xfId="2032"/>
    <cellStyle name="%20 - Vurgu6 2 2 2 6 2" xfId="3711"/>
    <cellStyle name="%20 - Vurgu6 2 2 2 7" xfId="2027"/>
    <cellStyle name="%20 - Vurgu6 2 2 2 8" xfId="3706"/>
    <cellStyle name="%20 - Vurgu6 2 2 3" xfId="338"/>
    <cellStyle name="%20 - Vurgu6 2 2 3 2" xfId="894"/>
    <cellStyle name="%20 - Vurgu6 2 2 3 2 2" xfId="2867"/>
    <cellStyle name="%20 - Vurgu6 2 2 3 3" xfId="1384"/>
    <cellStyle name="%20 - Vurgu6 2 2 3 3 2" xfId="3145"/>
    <cellStyle name="%20 - Vurgu6 2 2 3 4" xfId="2033"/>
    <cellStyle name="%20 - Vurgu6 2 2 3 5" xfId="3712"/>
    <cellStyle name="%20 - Vurgu6 2 2 4" xfId="528"/>
    <cellStyle name="%20 - Vurgu6 2 2 4 2" xfId="1076"/>
    <cellStyle name="%20 - Vurgu6 2 2 4 2 2" xfId="3012"/>
    <cellStyle name="%20 - Vurgu6 2 2 4 3" xfId="2034"/>
    <cellStyle name="%20 - Vurgu6 2 2 4 4" xfId="3713"/>
    <cellStyle name="%20 - Vurgu6 2 2 5" xfId="740"/>
    <cellStyle name="%20 - Vurgu6 2 2 5 2" xfId="2035"/>
    <cellStyle name="%20 - Vurgu6 2 2 5 3" xfId="3714"/>
    <cellStyle name="%20 - Vurgu6 2 2 6" xfId="1230"/>
    <cellStyle name="%20 - Vurgu6 2 2 6 2" xfId="2036"/>
    <cellStyle name="%20 - Vurgu6 2 2 6 3" xfId="3715"/>
    <cellStyle name="%20 - Vurgu6 2 2 7" xfId="1539"/>
    <cellStyle name="%20 - Vurgu6 2 2 7 2" xfId="2037"/>
    <cellStyle name="%20 - Vurgu6 2 2 7 3" xfId="3716"/>
    <cellStyle name="%20 - Vurgu6 2 2 8" xfId="2026"/>
    <cellStyle name="%20 - Vurgu6 2 2 9" xfId="3705"/>
    <cellStyle name="%20 - Vurgu6 2 3" xfId="74"/>
    <cellStyle name="%20 - Vurgu6 2 3 2" xfId="2038"/>
    <cellStyle name="%20 - Vurgu6 2 4" xfId="244"/>
    <cellStyle name="%20 - Vurgu6 2 4 2" xfId="416"/>
    <cellStyle name="%20 - Vurgu6 2 4 2 2" xfId="970"/>
    <cellStyle name="%20 - Vurgu6 2 4 2 2 2" xfId="2041"/>
    <cellStyle name="%20 - Vurgu6 2 4 2 2 3" xfId="3719"/>
    <cellStyle name="%20 - Vurgu6 2 4 2 3" xfId="1460"/>
    <cellStyle name="%20 - Vurgu6 2 4 2 3 2" xfId="3221"/>
    <cellStyle name="%20 - Vurgu6 2 4 2 4" xfId="2040"/>
    <cellStyle name="%20 - Vurgu6 2 4 2 5" xfId="3718"/>
    <cellStyle name="%20 - Vurgu6 2 4 3" xfId="530"/>
    <cellStyle name="%20 - Vurgu6 2 4 3 2" xfId="1078"/>
    <cellStyle name="%20 - Vurgu6 2 4 3 2 2" xfId="3014"/>
    <cellStyle name="%20 - Vurgu6 2 4 3 3" xfId="2042"/>
    <cellStyle name="%20 - Vurgu6 2 4 3 4" xfId="3720"/>
    <cellStyle name="%20 - Vurgu6 2 4 4" xfId="816"/>
    <cellStyle name="%20 - Vurgu6 2 4 4 2" xfId="2043"/>
    <cellStyle name="%20 - Vurgu6 2 4 4 3" xfId="3721"/>
    <cellStyle name="%20 - Vurgu6 2 4 5" xfId="1306"/>
    <cellStyle name="%20 - Vurgu6 2 4 5 2" xfId="2044"/>
    <cellStyle name="%20 - Vurgu6 2 4 5 3" xfId="3722"/>
    <cellStyle name="%20 - Vurgu6 2 4 6" xfId="2045"/>
    <cellStyle name="%20 - Vurgu6 2 4 6 2" xfId="3723"/>
    <cellStyle name="%20 - Vurgu6 2 4 7" xfId="2046"/>
    <cellStyle name="%20 - Vurgu6 2 4 7 2" xfId="3724"/>
    <cellStyle name="%20 - Vurgu6 2 4 8" xfId="2039"/>
    <cellStyle name="%20 - Vurgu6 2 4 9" xfId="3717"/>
    <cellStyle name="%20 - Vurgu6 2 5" xfId="337"/>
    <cellStyle name="%20 - Vurgu6 2 5 2" xfId="893"/>
    <cellStyle name="%20 - Vurgu6 2 5 2 2" xfId="2048"/>
    <cellStyle name="%20 - Vurgu6 2 5 2 3" xfId="3726"/>
    <cellStyle name="%20 - Vurgu6 2 5 3" xfId="1383"/>
    <cellStyle name="%20 - Vurgu6 2 5 3 2" xfId="3144"/>
    <cellStyle name="%20 - Vurgu6 2 5 4" xfId="2047"/>
    <cellStyle name="%20 - Vurgu6 2 5 5" xfId="3725"/>
    <cellStyle name="%20 - Vurgu6 2 6" xfId="527"/>
    <cellStyle name="%20 - Vurgu6 2 6 2" xfId="1075"/>
    <cellStyle name="%20 - Vurgu6 2 6 2 2" xfId="3011"/>
    <cellStyle name="%20 - Vurgu6 2 6 3" xfId="2049"/>
    <cellStyle name="%20 - Vurgu6 2 6 4" xfId="3727"/>
    <cellStyle name="%20 - Vurgu6 2 7" xfId="739"/>
    <cellStyle name="%20 - Vurgu6 2 7 2" xfId="2050"/>
    <cellStyle name="%20 - Vurgu6 2 7 3" xfId="3728"/>
    <cellStyle name="%20 - Vurgu6 2 8" xfId="1229"/>
    <cellStyle name="%20 - Vurgu6 2 8 2" xfId="2051"/>
    <cellStyle name="%20 - Vurgu6 2 8 3" xfId="3729"/>
    <cellStyle name="%20 - Vurgu6 2 9" xfId="1538"/>
    <cellStyle name="%20 - Vurgu6 2 9 2" xfId="2052"/>
    <cellStyle name="%20 - Vurgu6 2 9 3" xfId="3730"/>
    <cellStyle name="%20 - Vurgu6 3" xfId="75"/>
    <cellStyle name="%20 - Vurgu6 3 2" xfId="246"/>
    <cellStyle name="%20 - Vurgu6 3 2 2" xfId="418"/>
    <cellStyle name="%20 - Vurgu6 3 2 2 2" xfId="972"/>
    <cellStyle name="%20 - Vurgu6 3 2 2 2 2" xfId="2918"/>
    <cellStyle name="%20 - Vurgu6 3 2 2 3" xfId="1462"/>
    <cellStyle name="%20 - Vurgu6 3 2 2 3 2" xfId="3223"/>
    <cellStyle name="%20 - Vurgu6 3 2 2 4" xfId="2055"/>
    <cellStyle name="%20 - Vurgu6 3 2 2 5" xfId="3733"/>
    <cellStyle name="%20 - Vurgu6 3 2 3" xfId="532"/>
    <cellStyle name="%20 - Vurgu6 3 2 3 2" xfId="1080"/>
    <cellStyle name="%20 - Vurgu6 3 2 3 2 2" xfId="3016"/>
    <cellStyle name="%20 - Vurgu6 3 2 3 3" xfId="2056"/>
    <cellStyle name="%20 - Vurgu6 3 2 3 4" xfId="3734"/>
    <cellStyle name="%20 - Vurgu6 3 2 4" xfId="818"/>
    <cellStyle name="%20 - Vurgu6 3 2 4 2" xfId="2057"/>
    <cellStyle name="%20 - Vurgu6 3 2 4 3" xfId="3735"/>
    <cellStyle name="%20 - Vurgu6 3 2 5" xfId="1308"/>
    <cellStyle name="%20 - Vurgu6 3 2 5 2" xfId="2058"/>
    <cellStyle name="%20 - Vurgu6 3 2 5 3" xfId="3736"/>
    <cellStyle name="%20 - Vurgu6 3 2 6" xfId="2059"/>
    <cellStyle name="%20 - Vurgu6 3 2 6 2" xfId="3737"/>
    <cellStyle name="%20 - Vurgu6 3 2 7" xfId="2054"/>
    <cellStyle name="%20 - Vurgu6 3 2 8" xfId="3732"/>
    <cellStyle name="%20 - Vurgu6 3 3" xfId="339"/>
    <cellStyle name="%20 - Vurgu6 3 3 2" xfId="895"/>
    <cellStyle name="%20 - Vurgu6 3 3 2 2" xfId="2868"/>
    <cellStyle name="%20 - Vurgu6 3 3 3" xfId="1385"/>
    <cellStyle name="%20 - Vurgu6 3 3 3 2" xfId="3146"/>
    <cellStyle name="%20 - Vurgu6 3 3 4" xfId="2060"/>
    <cellStyle name="%20 - Vurgu6 3 3 5" xfId="3738"/>
    <cellStyle name="%20 - Vurgu6 3 4" xfId="531"/>
    <cellStyle name="%20 - Vurgu6 3 4 2" xfId="1079"/>
    <cellStyle name="%20 - Vurgu6 3 4 2 2" xfId="3015"/>
    <cellStyle name="%20 - Vurgu6 3 4 3" xfId="2061"/>
    <cellStyle name="%20 - Vurgu6 3 4 4" xfId="3739"/>
    <cellStyle name="%20 - Vurgu6 3 5" xfId="741"/>
    <cellStyle name="%20 - Vurgu6 3 5 2" xfId="2062"/>
    <cellStyle name="%20 - Vurgu6 3 5 3" xfId="3740"/>
    <cellStyle name="%20 - Vurgu6 3 6" xfId="1231"/>
    <cellStyle name="%20 - Vurgu6 3 6 2" xfId="2063"/>
    <cellStyle name="%20 - Vurgu6 3 6 3" xfId="3741"/>
    <cellStyle name="%20 - Vurgu6 3 7" xfId="1540"/>
    <cellStyle name="%20 - Vurgu6 3 7 2" xfId="2064"/>
    <cellStyle name="%20 - Vurgu6 3 7 3" xfId="3742"/>
    <cellStyle name="%20 - Vurgu6 3 8" xfId="2053"/>
    <cellStyle name="%20 - Vurgu6 3 9" xfId="3731"/>
    <cellStyle name="%20 - Vurgu6 4" xfId="76"/>
    <cellStyle name="%20 - Vurgu6 4 2" xfId="247"/>
    <cellStyle name="%20 - Vurgu6 4 2 2" xfId="419"/>
    <cellStyle name="%20 - Vurgu6 4 2 2 2" xfId="973"/>
    <cellStyle name="%20 - Vurgu6 4 2 2 2 2" xfId="2919"/>
    <cellStyle name="%20 - Vurgu6 4 2 2 3" xfId="1463"/>
    <cellStyle name="%20 - Vurgu6 4 2 2 3 2" xfId="3224"/>
    <cellStyle name="%20 - Vurgu6 4 2 2 4" xfId="2067"/>
    <cellStyle name="%20 - Vurgu6 4 2 2 5" xfId="3745"/>
    <cellStyle name="%20 - Vurgu6 4 2 3" xfId="534"/>
    <cellStyle name="%20 - Vurgu6 4 2 3 2" xfId="1082"/>
    <cellStyle name="%20 - Vurgu6 4 2 3 2 2" xfId="3018"/>
    <cellStyle name="%20 - Vurgu6 4 2 3 3" xfId="2068"/>
    <cellStyle name="%20 - Vurgu6 4 2 3 4" xfId="3746"/>
    <cellStyle name="%20 - Vurgu6 4 2 4" xfId="819"/>
    <cellStyle name="%20 - Vurgu6 4 2 4 2" xfId="2069"/>
    <cellStyle name="%20 - Vurgu6 4 2 4 3" xfId="3747"/>
    <cellStyle name="%20 - Vurgu6 4 2 5" xfId="1309"/>
    <cellStyle name="%20 - Vurgu6 4 2 5 2" xfId="2070"/>
    <cellStyle name="%20 - Vurgu6 4 2 5 3" xfId="3748"/>
    <cellStyle name="%20 - Vurgu6 4 2 6" xfId="2071"/>
    <cellStyle name="%20 - Vurgu6 4 2 6 2" xfId="3749"/>
    <cellStyle name="%20 - Vurgu6 4 2 7" xfId="2066"/>
    <cellStyle name="%20 - Vurgu6 4 2 8" xfId="3744"/>
    <cellStyle name="%20 - Vurgu6 4 3" xfId="340"/>
    <cellStyle name="%20 - Vurgu6 4 3 2" xfId="896"/>
    <cellStyle name="%20 - Vurgu6 4 3 2 2" xfId="2869"/>
    <cellStyle name="%20 - Vurgu6 4 3 3" xfId="1386"/>
    <cellStyle name="%20 - Vurgu6 4 3 3 2" xfId="3147"/>
    <cellStyle name="%20 - Vurgu6 4 3 4" xfId="2072"/>
    <cellStyle name="%20 - Vurgu6 4 3 5" xfId="3750"/>
    <cellStyle name="%20 - Vurgu6 4 4" xfId="533"/>
    <cellStyle name="%20 - Vurgu6 4 4 2" xfId="1081"/>
    <cellStyle name="%20 - Vurgu6 4 4 2 2" xfId="3017"/>
    <cellStyle name="%20 - Vurgu6 4 4 3" xfId="2073"/>
    <cellStyle name="%20 - Vurgu6 4 4 4" xfId="3751"/>
    <cellStyle name="%20 - Vurgu6 4 5" xfId="742"/>
    <cellStyle name="%20 - Vurgu6 4 5 2" xfId="2074"/>
    <cellStyle name="%20 - Vurgu6 4 5 3" xfId="3752"/>
    <cellStyle name="%20 - Vurgu6 4 6" xfId="1232"/>
    <cellStyle name="%20 - Vurgu6 4 6 2" xfId="2075"/>
    <cellStyle name="%20 - Vurgu6 4 6 3" xfId="3753"/>
    <cellStyle name="%20 - Vurgu6 4 7" xfId="1541"/>
    <cellStyle name="%20 - Vurgu6 4 7 2" xfId="2076"/>
    <cellStyle name="%20 - Vurgu6 4 7 3" xfId="3754"/>
    <cellStyle name="%20 - Vurgu6 4 8" xfId="2065"/>
    <cellStyle name="%20 - Vurgu6 4 9" xfId="3743"/>
    <cellStyle name="%20 - Vurgu6 5" xfId="77"/>
    <cellStyle name="%20 - Vurgu6 5 2" xfId="2077"/>
    <cellStyle name="%20 - Vurgu6 6" xfId="218"/>
    <cellStyle name="%20 - Vurgu6 6 2" xfId="391"/>
    <cellStyle name="%20 - Vurgu6 6 2 2" xfId="946"/>
    <cellStyle name="%20 - Vurgu6 6 2 2 2" xfId="2080"/>
    <cellStyle name="%20 - Vurgu6 6 2 2 3" xfId="3757"/>
    <cellStyle name="%20 - Vurgu6 6 2 3" xfId="1436"/>
    <cellStyle name="%20 - Vurgu6 6 2 3 2" xfId="3197"/>
    <cellStyle name="%20 - Vurgu6 6 2 4" xfId="2079"/>
    <cellStyle name="%20 - Vurgu6 6 2 5" xfId="3756"/>
    <cellStyle name="%20 - Vurgu6 6 3" xfId="535"/>
    <cellStyle name="%20 - Vurgu6 6 3 2" xfId="1083"/>
    <cellStyle name="%20 - Vurgu6 6 3 2 2" xfId="3019"/>
    <cellStyle name="%20 - Vurgu6 6 3 3" xfId="2081"/>
    <cellStyle name="%20 - Vurgu6 6 3 4" xfId="3758"/>
    <cellStyle name="%20 - Vurgu6 6 4" xfId="792"/>
    <cellStyle name="%20 - Vurgu6 6 4 2" xfId="2082"/>
    <cellStyle name="%20 - Vurgu6 6 4 3" xfId="3759"/>
    <cellStyle name="%20 - Vurgu6 6 5" xfId="1282"/>
    <cellStyle name="%20 - Vurgu6 6 5 2" xfId="2083"/>
    <cellStyle name="%20 - Vurgu6 6 5 3" xfId="3760"/>
    <cellStyle name="%20 - Vurgu6 6 6" xfId="2084"/>
    <cellStyle name="%20 - Vurgu6 6 6 2" xfId="3761"/>
    <cellStyle name="%20 - Vurgu6 6 7" xfId="2085"/>
    <cellStyle name="%20 - Vurgu6 6 7 2" xfId="3762"/>
    <cellStyle name="%20 - Vurgu6 6 8" xfId="2078"/>
    <cellStyle name="%20 - Vurgu6 6 9" xfId="3755"/>
    <cellStyle name="%20 - Vurgu6 7" xfId="315"/>
    <cellStyle name="%20 - Vurgu6 7 2" xfId="871"/>
    <cellStyle name="%20 - Vurgu6 7 2 2" xfId="2087"/>
    <cellStyle name="%20 - Vurgu6 7 2 3" xfId="3764"/>
    <cellStyle name="%20 - Vurgu6 7 3" xfId="1361"/>
    <cellStyle name="%20 - Vurgu6 7 3 2" xfId="3122"/>
    <cellStyle name="%20 - Vurgu6 7 4" xfId="2086"/>
    <cellStyle name="%20 - Vurgu6 7 5" xfId="3763"/>
    <cellStyle name="%20 - Vurgu6 8" xfId="526"/>
    <cellStyle name="%20 - Vurgu6 8 2" xfId="1074"/>
    <cellStyle name="%20 - Vurgu6 8 2 2" xfId="3010"/>
    <cellStyle name="%20 - Vurgu6 8 3" xfId="2088"/>
    <cellStyle name="%20 - Vurgu6 8 4" xfId="3765"/>
    <cellStyle name="%20 - Vurgu6 9" xfId="717"/>
    <cellStyle name="%20 - Vurgu6 9 2" xfId="2089"/>
    <cellStyle name="%20 - Vurgu6 9 3" xfId="3766"/>
    <cellStyle name="%40 - Vurgu1" xfId="19" builtinId="31" customBuiltin="1"/>
    <cellStyle name="%40 - Vurgu1 10" xfId="1198"/>
    <cellStyle name="%40 - Vurgu1 10 2" xfId="2091"/>
    <cellStyle name="%40 - Vurgu1 10 3" xfId="3768"/>
    <cellStyle name="%40 - Vurgu1 11" xfId="1506"/>
    <cellStyle name="%40 - Vurgu1 11 2" xfId="2092"/>
    <cellStyle name="%40 - Vurgu1 11 3" xfId="3769"/>
    <cellStyle name="%40 - Vurgu1 12" xfId="2090"/>
    <cellStyle name="%40 - Vurgu1 13" xfId="3767"/>
    <cellStyle name="%40 - Vurgu1 2" xfId="78"/>
    <cellStyle name="%40 - Vurgu1 2 10" xfId="2093"/>
    <cellStyle name="%40 - Vurgu1 2 11" xfId="3770"/>
    <cellStyle name="%40 - Vurgu1 2 2" xfId="79"/>
    <cellStyle name="%40 - Vurgu1 2 2 2" xfId="249"/>
    <cellStyle name="%40 - Vurgu1 2 2 2 2" xfId="421"/>
    <cellStyle name="%40 - Vurgu1 2 2 2 2 2" xfId="975"/>
    <cellStyle name="%40 - Vurgu1 2 2 2 2 2 2" xfId="2920"/>
    <cellStyle name="%40 - Vurgu1 2 2 2 2 3" xfId="1465"/>
    <cellStyle name="%40 - Vurgu1 2 2 2 2 3 2" xfId="3226"/>
    <cellStyle name="%40 - Vurgu1 2 2 2 2 4" xfId="2096"/>
    <cellStyle name="%40 - Vurgu1 2 2 2 2 5" xfId="3773"/>
    <cellStyle name="%40 - Vurgu1 2 2 2 3" xfId="539"/>
    <cellStyle name="%40 - Vurgu1 2 2 2 3 2" xfId="1087"/>
    <cellStyle name="%40 - Vurgu1 2 2 2 3 2 2" xfId="3023"/>
    <cellStyle name="%40 - Vurgu1 2 2 2 3 3" xfId="2097"/>
    <cellStyle name="%40 - Vurgu1 2 2 2 3 4" xfId="3774"/>
    <cellStyle name="%40 - Vurgu1 2 2 2 4" xfId="821"/>
    <cellStyle name="%40 - Vurgu1 2 2 2 4 2" xfId="2098"/>
    <cellStyle name="%40 - Vurgu1 2 2 2 4 3" xfId="3775"/>
    <cellStyle name="%40 - Vurgu1 2 2 2 5" xfId="1311"/>
    <cellStyle name="%40 - Vurgu1 2 2 2 5 2" xfId="2099"/>
    <cellStyle name="%40 - Vurgu1 2 2 2 5 3" xfId="3776"/>
    <cellStyle name="%40 - Vurgu1 2 2 2 6" xfId="2100"/>
    <cellStyle name="%40 - Vurgu1 2 2 2 6 2" xfId="3777"/>
    <cellStyle name="%40 - Vurgu1 2 2 2 7" xfId="2095"/>
    <cellStyle name="%40 - Vurgu1 2 2 2 8" xfId="3772"/>
    <cellStyle name="%40 - Vurgu1 2 2 3" xfId="342"/>
    <cellStyle name="%40 - Vurgu1 2 2 3 2" xfId="898"/>
    <cellStyle name="%40 - Vurgu1 2 2 3 2 2" xfId="2870"/>
    <cellStyle name="%40 - Vurgu1 2 2 3 3" xfId="1388"/>
    <cellStyle name="%40 - Vurgu1 2 2 3 3 2" xfId="3149"/>
    <cellStyle name="%40 - Vurgu1 2 2 3 4" xfId="2101"/>
    <cellStyle name="%40 - Vurgu1 2 2 3 5" xfId="3778"/>
    <cellStyle name="%40 - Vurgu1 2 2 4" xfId="538"/>
    <cellStyle name="%40 - Vurgu1 2 2 4 2" xfId="1086"/>
    <cellStyle name="%40 - Vurgu1 2 2 4 2 2" xfId="3022"/>
    <cellStyle name="%40 - Vurgu1 2 2 4 3" xfId="2102"/>
    <cellStyle name="%40 - Vurgu1 2 2 4 4" xfId="3779"/>
    <cellStyle name="%40 - Vurgu1 2 2 5" xfId="744"/>
    <cellStyle name="%40 - Vurgu1 2 2 5 2" xfId="2103"/>
    <cellStyle name="%40 - Vurgu1 2 2 5 3" xfId="3780"/>
    <cellStyle name="%40 - Vurgu1 2 2 6" xfId="1234"/>
    <cellStyle name="%40 - Vurgu1 2 2 6 2" xfId="2104"/>
    <cellStyle name="%40 - Vurgu1 2 2 6 3" xfId="3781"/>
    <cellStyle name="%40 - Vurgu1 2 2 7" xfId="1543"/>
    <cellStyle name="%40 - Vurgu1 2 2 7 2" xfId="2105"/>
    <cellStyle name="%40 - Vurgu1 2 2 7 3" xfId="3782"/>
    <cellStyle name="%40 - Vurgu1 2 2 8" xfId="2094"/>
    <cellStyle name="%40 - Vurgu1 2 2 9" xfId="3771"/>
    <cellStyle name="%40 - Vurgu1 2 3" xfId="80"/>
    <cellStyle name="%40 - Vurgu1 2 4" xfId="248"/>
    <cellStyle name="%40 - Vurgu1 2 4 2" xfId="420"/>
    <cellStyle name="%40 - Vurgu1 2 4 2 2" xfId="974"/>
    <cellStyle name="%40 - Vurgu1 2 4 2 2 2" xfId="2108"/>
    <cellStyle name="%40 - Vurgu1 2 4 2 2 3" xfId="3785"/>
    <cellStyle name="%40 - Vurgu1 2 4 2 3" xfId="1464"/>
    <cellStyle name="%40 - Vurgu1 2 4 2 3 2" xfId="3225"/>
    <cellStyle name="%40 - Vurgu1 2 4 2 4" xfId="2107"/>
    <cellStyle name="%40 - Vurgu1 2 4 2 5" xfId="3784"/>
    <cellStyle name="%40 - Vurgu1 2 4 3" xfId="540"/>
    <cellStyle name="%40 - Vurgu1 2 4 3 2" xfId="1088"/>
    <cellStyle name="%40 - Vurgu1 2 4 3 2 2" xfId="3024"/>
    <cellStyle name="%40 - Vurgu1 2 4 3 3" xfId="2109"/>
    <cellStyle name="%40 - Vurgu1 2 4 3 4" xfId="3786"/>
    <cellStyle name="%40 - Vurgu1 2 4 4" xfId="820"/>
    <cellStyle name="%40 - Vurgu1 2 4 4 2" xfId="2110"/>
    <cellStyle name="%40 - Vurgu1 2 4 4 3" xfId="3787"/>
    <cellStyle name="%40 - Vurgu1 2 4 5" xfId="1310"/>
    <cellStyle name="%40 - Vurgu1 2 4 5 2" xfId="2111"/>
    <cellStyle name="%40 - Vurgu1 2 4 5 3" xfId="3788"/>
    <cellStyle name="%40 - Vurgu1 2 4 6" xfId="2112"/>
    <cellStyle name="%40 - Vurgu1 2 4 6 2" xfId="3789"/>
    <cellStyle name="%40 - Vurgu1 2 4 7" xfId="2113"/>
    <cellStyle name="%40 - Vurgu1 2 4 7 2" xfId="3790"/>
    <cellStyle name="%40 - Vurgu1 2 4 8" xfId="2106"/>
    <cellStyle name="%40 - Vurgu1 2 4 9" xfId="3783"/>
    <cellStyle name="%40 - Vurgu1 2 5" xfId="341"/>
    <cellStyle name="%40 - Vurgu1 2 5 2" xfId="897"/>
    <cellStyle name="%40 - Vurgu1 2 5 2 2" xfId="2115"/>
    <cellStyle name="%40 - Vurgu1 2 5 2 3" xfId="3792"/>
    <cellStyle name="%40 - Vurgu1 2 5 3" xfId="1387"/>
    <cellStyle name="%40 - Vurgu1 2 5 3 2" xfId="3148"/>
    <cellStyle name="%40 - Vurgu1 2 5 4" xfId="2114"/>
    <cellStyle name="%40 - Vurgu1 2 5 5" xfId="3791"/>
    <cellStyle name="%40 - Vurgu1 2 6" xfId="537"/>
    <cellStyle name="%40 - Vurgu1 2 6 2" xfId="1085"/>
    <cellStyle name="%40 - Vurgu1 2 6 2 2" xfId="3021"/>
    <cellStyle name="%40 - Vurgu1 2 6 3" xfId="2116"/>
    <cellStyle name="%40 - Vurgu1 2 6 4" xfId="3793"/>
    <cellStyle name="%40 - Vurgu1 2 7" xfId="743"/>
    <cellStyle name="%40 - Vurgu1 2 7 2" xfId="2117"/>
    <cellStyle name="%40 - Vurgu1 2 7 3" xfId="3794"/>
    <cellStyle name="%40 - Vurgu1 2 8" xfId="1233"/>
    <cellStyle name="%40 - Vurgu1 2 8 2" xfId="2118"/>
    <cellStyle name="%40 - Vurgu1 2 8 3" xfId="3795"/>
    <cellStyle name="%40 - Vurgu1 2 9" xfId="1542"/>
    <cellStyle name="%40 - Vurgu1 2 9 2" xfId="2119"/>
    <cellStyle name="%40 - Vurgu1 2 9 3" xfId="3796"/>
    <cellStyle name="%40 - Vurgu1 3" xfId="81"/>
    <cellStyle name="%40 - Vurgu1 3 2" xfId="250"/>
    <cellStyle name="%40 - Vurgu1 3 2 2" xfId="422"/>
    <cellStyle name="%40 - Vurgu1 3 2 2 2" xfId="976"/>
    <cellStyle name="%40 - Vurgu1 3 2 2 2 2" xfId="2921"/>
    <cellStyle name="%40 - Vurgu1 3 2 2 3" xfId="1466"/>
    <cellStyle name="%40 - Vurgu1 3 2 2 3 2" xfId="3227"/>
    <cellStyle name="%40 - Vurgu1 3 2 2 4" xfId="2122"/>
    <cellStyle name="%40 - Vurgu1 3 2 2 5" xfId="3799"/>
    <cellStyle name="%40 - Vurgu1 3 2 3" xfId="542"/>
    <cellStyle name="%40 - Vurgu1 3 2 3 2" xfId="1090"/>
    <cellStyle name="%40 - Vurgu1 3 2 3 2 2" xfId="3026"/>
    <cellStyle name="%40 - Vurgu1 3 2 3 3" xfId="2123"/>
    <cellStyle name="%40 - Vurgu1 3 2 3 4" xfId="3800"/>
    <cellStyle name="%40 - Vurgu1 3 2 4" xfId="822"/>
    <cellStyle name="%40 - Vurgu1 3 2 4 2" xfId="2124"/>
    <cellStyle name="%40 - Vurgu1 3 2 4 3" xfId="3801"/>
    <cellStyle name="%40 - Vurgu1 3 2 5" xfId="1312"/>
    <cellStyle name="%40 - Vurgu1 3 2 5 2" xfId="2125"/>
    <cellStyle name="%40 - Vurgu1 3 2 5 3" xfId="3802"/>
    <cellStyle name="%40 - Vurgu1 3 2 6" xfId="2126"/>
    <cellStyle name="%40 - Vurgu1 3 2 6 2" xfId="3803"/>
    <cellStyle name="%40 - Vurgu1 3 2 7" xfId="2121"/>
    <cellStyle name="%40 - Vurgu1 3 2 8" xfId="3798"/>
    <cellStyle name="%40 - Vurgu1 3 3" xfId="343"/>
    <cellStyle name="%40 - Vurgu1 3 3 2" xfId="899"/>
    <cellStyle name="%40 - Vurgu1 3 3 2 2" xfId="2871"/>
    <cellStyle name="%40 - Vurgu1 3 3 3" xfId="1389"/>
    <cellStyle name="%40 - Vurgu1 3 3 3 2" xfId="3150"/>
    <cellStyle name="%40 - Vurgu1 3 3 4" xfId="2127"/>
    <cellStyle name="%40 - Vurgu1 3 3 5" xfId="3804"/>
    <cellStyle name="%40 - Vurgu1 3 4" xfId="541"/>
    <cellStyle name="%40 - Vurgu1 3 4 2" xfId="1089"/>
    <cellStyle name="%40 - Vurgu1 3 4 2 2" xfId="3025"/>
    <cellStyle name="%40 - Vurgu1 3 4 3" xfId="2128"/>
    <cellStyle name="%40 - Vurgu1 3 4 4" xfId="3805"/>
    <cellStyle name="%40 - Vurgu1 3 5" xfId="745"/>
    <cellStyle name="%40 - Vurgu1 3 5 2" xfId="2129"/>
    <cellStyle name="%40 - Vurgu1 3 5 3" xfId="3806"/>
    <cellStyle name="%40 - Vurgu1 3 6" xfId="1235"/>
    <cellStyle name="%40 - Vurgu1 3 6 2" xfId="2130"/>
    <cellStyle name="%40 - Vurgu1 3 6 3" xfId="3807"/>
    <cellStyle name="%40 - Vurgu1 3 7" xfId="1544"/>
    <cellStyle name="%40 - Vurgu1 3 7 2" xfId="2131"/>
    <cellStyle name="%40 - Vurgu1 3 7 3" xfId="3808"/>
    <cellStyle name="%40 - Vurgu1 3 8" xfId="2120"/>
    <cellStyle name="%40 - Vurgu1 3 9" xfId="3797"/>
    <cellStyle name="%40 - Vurgu1 4" xfId="82"/>
    <cellStyle name="%40 - Vurgu1 4 2" xfId="251"/>
    <cellStyle name="%40 - Vurgu1 4 2 2" xfId="423"/>
    <cellStyle name="%40 - Vurgu1 4 2 2 2" xfId="977"/>
    <cellStyle name="%40 - Vurgu1 4 2 2 2 2" xfId="2922"/>
    <cellStyle name="%40 - Vurgu1 4 2 2 3" xfId="1467"/>
    <cellStyle name="%40 - Vurgu1 4 2 2 3 2" xfId="3228"/>
    <cellStyle name="%40 - Vurgu1 4 2 2 4" xfId="2134"/>
    <cellStyle name="%40 - Vurgu1 4 2 2 5" xfId="3811"/>
    <cellStyle name="%40 - Vurgu1 4 2 3" xfId="544"/>
    <cellStyle name="%40 - Vurgu1 4 2 3 2" xfId="1092"/>
    <cellStyle name="%40 - Vurgu1 4 2 3 2 2" xfId="3028"/>
    <cellStyle name="%40 - Vurgu1 4 2 3 3" xfId="2135"/>
    <cellStyle name="%40 - Vurgu1 4 2 3 4" xfId="3812"/>
    <cellStyle name="%40 - Vurgu1 4 2 4" xfId="823"/>
    <cellStyle name="%40 - Vurgu1 4 2 4 2" xfId="2136"/>
    <cellStyle name="%40 - Vurgu1 4 2 4 3" xfId="3813"/>
    <cellStyle name="%40 - Vurgu1 4 2 5" xfId="1313"/>
    <cellStyle name="%40 - Vurgu1 4 2 5 2" xfId="2137"/>
    <cellStyle name="%40 - Vurgu1 4 2 5 3" xfId="3814"/>
    <cellStyle name="%40 - Vurgu1 4 2 6" xfId="2138"/>
    <cellStyle name="%40 - Vurgu1 4 2 6 2" xfId="3815"/>
    <cellStyle name="%40 - Vurgu1 4 2 7" xfId="2133"/>
    <cellStyle name="%40 - Vurgu1 4 2 8" xfId="3810"/>
    <cellStyle name="%40 - Vurgu1 4 3" xfId="344"/>
    <cellStyle name="%40 - Vurgu1 4 3 2" xfId="900"/>
    <cellStyle name="%40 - Vurgu1 4 3 2 2" xfId="2872"/>
    <cellStyle name="%40 - Vurgu1 4 3 3" xfId="1390"/>
    <cellStyle name="%40 - Vurgu1 4 3 3 2" xfId="3151"/>
    <cellStyle name="%40 - Vurgu1 4 3 4" xfId="2139"/>
    <cellStyle name="%40 - Vurgu1 4 3 5" xfId="3816"/>
    <cellStyle name="%40 - Vurgu1 4 4" xfId="543"/>
    <cellStyle name="%40 - Vurgu1 4 4 2" xfId="1091"/>
    <cellStyle name="%40 - Vurgu1 4 4 2 2" xfId="3027"/>
    <cellStyle name="%40 - Vurgu1 4 4 3" xfId="2140"/>
    <cellStyle name="%40 - Vurgu1 4 4 4" xfId="3817"/>
    <cellStyle name="%40 - Vurgu1 4 5" xfId="746"/>
    <cellStyle name="%40 - Vurgu1 4 5 2" xfId="2141"/>
    <cellStyle name="%40 - Vurgu1 4 5 3" xfId="3818"/>
    <cellStyle name="%40 - Vurgu1 4 6" xfId="1236"/>
    <cellStyle name="%40 - Vurgu1 4 6 2" xfId="2142"/>
    <cellStyle name="%40 - Vurgu1 4 6 3" xfId="3819"/>
    <cellStyle name="%40 - Vurgu1 4 7" xfId="1545"/>
    <cellStyle name="%40 - Vurgu1 4 7 2" xfId="2143"/>
    <cellStyle name="%40 - Vurgu1 4 7 3" xfId="3820"/>
    <cellStyle name="%40 - Vurgu1 4 8" xfId="2132"/>
    <cellStyle name="%40 - Vurgu1 4 9" xfId="3809"/>
    <cellStyle name="%40 - Vurgu1 5" xfId="83"/>
    <cellStyle name="%40 - Vurgu1 6" xfId="209"/>
    <cellStyle name="%40 - Vurgu1 6 2" xfId="382"/>
    <cellStyle name="%40 - Vurgu1 6 2 2" xfId="937"/>
    <cellStyle name="%40 - Vurgu1 6 2 2 2" xfId="2146"/>
    <cellStyle name="%40 - Vurgu1 6 2 2 3" xfId="3823"/>
    <cellStyle name="%40 - Vurgu1 6 2 3" xfId="1427"/>
    <cellStyle name="%40 - Vurgu1 6 2 3 2" xfId="3188"/>
    <cellStyle name="%40 - Vurgu1 6 2 4" xfId="2145"/>
    <cellStyle name="%40 - Vurgu1 6 2 5" xfId="3822"/>
    <cellStyle name="%40 - Vurgu1 6 3" xfId="545"/>
    <cellStyle name="%40 - Vurgu1 6 3 2" xfId="1093"/>
    <cellStyle name="%40 - Vurgu1 6 3 2 2" xfId="3029"/>
    <cellStyle name="%40 - Vurgu1 6 3 3" xfId="2147"/>
    <cellStyle name="%40 - Vurgu1 6 3 4" xfId="3824"/>
    <cellStyle name="%40 - Vurgu1 6 4" xfId="783"/>
    <cellStyle name="%40 - Vurgu1 6 4 2" xfId="2148"/>
    <cellStyle name="%40 - Vurgu1 6 4 3" xfId="3825"/>
    <cellStyle name="%40 - Vurgu1 6 5" xfId="1273"/>
    <cellStyle name="%40 - Vurgu1 6 5 2" xfId="2149"/>
    <cellStyle name="%40 - Vurgu1 6 5 3" xfId="3826"/>
    <cellStyle name="%40 - Vurgu1 6 6" xfId="2150"/>
    <cellStyle name="%40 - Vurgu1 6 6 2" xfId="3827"/>
    <cellStyle name="%40 - Vurgu1 6 7" xfId="2151"/>
    <cellStyle name="%40 - Vurgu1 6 7 2" xfId="3828"/>
    <cellStyle name="%40 - Vurgu1 6 8" xfId="2144"/>
    <cellStyle name="%40 - Vurgu1 6 9" xfId="3821"/>
    <cellStyle name="%40 - Vurgu1 7" xfId="306"/>
    <cellStyle name="%40 - Vurgu1 7 2" xfId="862"/>
    <cellStyle name="%40 - Vurgu1 7 2 2" xfId="2153"/>
    <cellStyle name="%40 - Vurgu1 7 2 3" xfId="3830"/>
    <cellStyle name="%40 - Vurgu1 7 3" xfId="1352"/>
    <cellStyle name="%40 - Vurgu1 7 3 2" xfId="3117"/>
    <cellStyle name="%40 - Vurgu1 7 4" xfId="2152"/>
    <cellStyle name="%40 - Vurgu1 7 5" xfId="3829"/>
    <cellStyle name="%40 - Vurgu1 8" xfId="536"/>
    <cellStyle name="%40 - Vurgu1 8 2" xfId="1084"/>
    <cellStyle name="%40 - Vurgu1 8 2 2" xfId="3020"/>
    <cellStyle name="%40 - Vurgu1 8 3" xfId="2154"/>
    <cellStyle name="%40 - Vurgu1 8 4" xfId="3831"/>
    <cellStyle name="%40 - Vurgu1 9" xfId="708"/>
    <cellStyle name="%40 - Vurgu1 9 2" xfId="2155"/>
    <cellStyle name="%40 - Vurgu1 9 3" xfId="3832"/>
    <cellStyle name="%40 - Vurgu2" xfId="23" builtinId="35" customBuiltin="1"/>
    <cellStyle name="%40 - Vurgu2 10" xfId="1200"/>
    <cellStyle name="%40 - Vurgu2 10 2" xfId="2157"/>
    <cellStyle name="%40 - Vurgu2 10 3" xfId="3834"/>
    <cellStyle name="%40 - Vurgu2 11" xfId="1508"/>
    <cellStyle name="%40 - Vurgu2 11 2" xfId="2158"/>
    <cellStyle name="%40 - Vurgu2 11 3" xfId="3835"/>
    <cellStyle name="%40 - Vurgu2 12" xfId="2156"/>
    <cellStyle name="%40 - Vurgu2 13" xfId="3833"/>
    <cellStyle name="%40 - Vurgu2 2" xfId="84"/>
    <cellStyle name="%40 - Vurgu2 2 10" xfId="2159"/>
    <cellStyle name="%40 - Vurgu2 2 11" xfId="3836"/>
    <cellStyle name="%40 - Vurgu2 2 2" xfId="85"/>
    <cellStyle name="%40 - Vurgu2 2 2 2" xfId="253"/>
    <cellStyle name="%40 - Vurgu2 2 2 2 2" xfId="425"/>
    <cellStyle name="%40 - Vurgu2 2 2 2 2 2" xfId="979"/>
    <cellStyle name="%40 - Vurgu2 2 2 2 2 2 2" xfId="2923"/>
    <cellStyle name="%40 - Vurgu2 2 2 2 2 3" xfId="1469"/>
    <cellStyle name="%40 - Vurgu2 2 2 2 2 3 2" xfId="3230"/>
    <cellStyle name="%40 - Vurgu2 2 2 2 2 4" xfId="2162"/>
    <cellStyle name="%40 - Vurgu2 2 2 2 2 5" xfId="3839"/>
    <cellStyle name="%40 - Vurgu2 2 2 2 3" xfId="549"/>
    <cellStyle name="%40 - Vurgu2 2 2 2 3 2" xfId="1097"/>
    <cellStyle name="%40 - Vurgu2 2 2 2 3 2 2" xfId="3033"/>
    <cellStyle name="%40 - Vurgu2 2 2 2 3 3" xfId="2163"/>
    <cellStyle name="%40 - Vurgu2 2 2 2 3 4" xfId="3840"/>
    <cellStyle name="%40 - Vurgu2 2 2 2 4" xfId="825"/>
    <cellStyle name="%40 - Vurgu2 2 2 2 4 2" xfId="2164"/>
    <cellStyle name="%40 - Vurgu2 2 2 2 4 3" xfId="3841"/>
    <cellStyle name="%40 - Vurgu2 2 2 2 5" xfId="1315"/>
    <cellStyle name="%40 - Vurgu2 2 2 2 5 2" xfId="2165"/>
    <cellStyle name="%40 - Vurgu2 2 2 2 5 3" xfId="3842"/>
    <cellStyle name="%40 - Vurgu2 2 2 2 6" xfId="2166"/>
    <cellStyle name="%40 - Vurgu2 2 2 2 6 2" xfId="3843"/>
    <cellStyle name="%40 - Vurgu2 2 2 2 7" xfId="2161"/>
    <cellStyle name="%40 - Vurgu2 2 2 2 8" xfId="3838"/>
    <cellStyle name="%40 - Vurgu2 2 2 3" xfId="346"/>
    <cellStyle name="%40 - Vurgu2 2 2 3 2" xfId="902"/>
    <cellStyle name="%40 - Vurgu2 2 2 3 2 2" xfId="2873"/>
    <cellStyle name="%40 - Vurgu2 2 2 3 3" xfId="1392"/>
    <cellStyle name="%40 - Vurgu2 2 2 3 3 2" xfId="3153"/>
    <cellStyle name="%40 - Vurgu2 2 2 3 4" xfId="2167"/>
    <cellStyle name="%40 - Vurgu2 2 2 3 5" xfId="3844"/>
    <cellStyle name="%40 - Vurgu2 2 2 4" xfId="548"/>
    <cellStyle name="%40 - Vurgu2 2 2 4 2" xfId="1096"/>
    <cellStyle name="%40 - Vurgu2 2 2 4 2 2" xfId="3032"/>
    <cellStyle name="%40 - Vurgu2 2 2 4 3" xfId="2168"/>
    <cellStyle name="%40 - Vurgu2 2 2 4 4" xfId="3845"/>
    <cellStyle name="%40 - Vurgu2 2 2 5" xfId="748"/>
    <cellStyle name="%40 - Vurgu2 2 2 5 2" xfId="2169"/>
    <cellStyle name="%40 - Vurgu2 2 2 5 3" xfId="3846"/>
    <cellStyle name="%40 - Vurgu2 2 2 6" xfId="1238"/>
    <cellStyle name="%40 - Vurgu2 2 2 6 2" xfId="2170"/>
    <cellStyle name="%40 - Vurgu2 2 2 6 3" xfId="3847"/>
    <cellStyle name="%40 - Vurgu2 2 2 7" xfId="1547"/>
    <cellStyle name="%40 - Vurgu2 2 2 7 2" xfId="2171"/>
    <cellStyle name="%40 - Vurgu2 2 2 7 3" xfId="3848"/>
    <cellStyle name="%40 - Vurgu2 2 2 8" xfId="2160"/>
    <cellStyle name="%40 - Vurgu2 2 2 9" xfId="3837"/>
    <cellStyle name="%40 - Vurgu2 2 3" xfId="86"/>
    <cellStyle name="%40 - Vurgu2 2 4" xfId="252"/>
    <cellStyle name="%40 - Vurgu2 2 4 2" xfId="424"/>
    <cellStyle name="%40 - Vurgu2 2 4 2 2" xfId="978"/>
    <cellStyle name="%40 - Vurgu2 2 4 2 2 2" xfId="2174"/>
    <cellStyle name="%40 - Vurgu2 2 4 2 2 3" xfId="3851"/>
    <cellStyle name="%40 - Vurgu2 2 4 2 3" xfId="1468"/>
    <cellStyle name="%40 - Vurgu2 2 4 2 3 2" xfId="3229"/>
    <cellStyle name="%40 - Vurgu2 2 4 2 4" xfId="2173"/>
    <cellStyle name="%40 - Vurgu2 2 4 2 5" xfId="3850"/>
    <cellStyle name="%40 - Vurgu2 2 4 3" xfId="550"/>
    <cellStyle name="%40 - Vurgu2 2 4 3 2" xfId="1098"/>
    <cellStyle name="%40 - Vurgu2 2 4 3 2 2" xfId="3034"/>
    <cellStyle name="%40 - Vurgu2 2 4 3 3" xfId="2175"/>
    <cellStyle name="%40 - Vurgu2 2 4 3 4" xfId="3852"/>
    <cellStyle name="%40 - Vurgu2 2 4 4" xfId="824"/>
    <cellStyle name="%40 - Vurgu2 2 4 4 2" xfId="2176"/>
    <cellStyle name="%40 - Vurgu2 2 4 4 3" xfId="3853"/>
    <cellStyle name="%40 - Vurgu2 2 4 5" xfId="1314"/>
    <cellStyle name="%40 - Vurgu2 2 4 5 2" xfId="2177"/>
    <cellStyle name="%40 - Vurgu2 2 4 5 3" xfId="3854"/>
    <cellStyle name="%40 - Vurgu2 2 4 6" xfId="2178"/>
    <cellStyle name="%40 - Vurgu2 2 4 6 2" xfId="3855"/>
    <cellStyle name="%40 - Vurgu2 2 4 7" xfId="2179"/>
    <cellStyle name="%40 - Vurgu2 2 4 7 2" xfId="3856"/>
    <cellStyle name="%40 - Vurgu2 2 4 8" xfId="2172"/>
    <cellStyle name="%40 - Vurgu2 2 4 9" xfId="3849"/>
    <cellStyle name="%40 - Vurgu2 2 5" xfId="345"/>
    <cellStyle name="%40 - Vurgu2 2 5 2" xfId="901"/>
    <cellStyle name="%40 - Vurgu2 2 5 2 2" xfId="2181"/>
    <cellStyle name="%40 - Vurgu2 2 5 2 3" xfId="3858"/>
    <cellStyle name="%40 - Vurgu2 2 5 3" xfId="1391"/>
    <cellStyle name="%40 - Vurgu2 2 5 3 2" xfId="3152"/>
    <cellStyle name="%40 - Vurgu2 2 5 4" xfId="2180"/>
    <cellStyle name="%40 - Vurgu2 2 5 5" xfId="3857"/>
    <cellStyle name="%40 - Vurgu2 2 6" xfId="547"/>
    <cellStyle name="%40 - Vurgu2 2 6 2" xfId="1095"/>
    <cellStyle name="%40 - Vurgu2 2 6 2 2" xfId="3031"/>
    <cellStyle name="%40 - Vurgu2 2 6 3" xfId="2182"/>
    <cellStyle name="%40 - Vurgu2 2 6 4" xfId="3859"/>
    <cellStyle name="%40 - Vurgu2 2 7" xfId="747"/>
    <cellStyle name="%40 - Vurgu2 2 7 2" xfId="2183"/>
    <cellStyle name="%40 - Vurgu2 2 7 3" xfId="3860"/>
    <cellStyle name="%40 - Vurgu2 2 8" xfId="1237"/>
    <cellStyle name="%40 - Vurgu2 2 8 2" xfId="2184"/>
    <cellStyle name="%40 - Vurgu2 2 8 3" xfId="3861"/>
    <cellStyle name="%40 - Vurgu2 2 9" xfId="1546"/>
    <cellStyle name="%40 - Vurgu2 2 9 2" xfId="2185"/>
    <cellStyle name="%40 - Vurgu2 2 9 3" xfId="3862"/>
    <cellStyle name="%40 - Vurgu2 3" xfId="87"/>
    <cellStyle name="%40 - Vurgu2 3 2" xfId="254"/>
    <cellStyle name="%40 - Vurgu2 3 2 2" xfId="426"/>
    <cellStyle name="%40 - Vurgu2 3 2 2 2" xfId="980"/>
    <cellStyle name="%40 - Vurgu2 3 2 2 2 2" xfId="2924"/>
    <cellStyle name="%40 - Vurgu2 3 2 2 3" xfId="1470"/>
    <cellStyle name="%40 - Vurgu2 3 2 2 3 2" xfId="3231"/>
    <cellStyle name="%40 - Vurgu2 3 2 2 4" xfId="2188"/>
    <cellStyle name="%40 - Vurgu2 3 2 2 5" xfId="3865"/>
    <cellStyle name="%40 - Vurgu2 3 2 3" xfId="552"/>
    <cellStyle name="%40 - Vurgu2 3 2 3 2" xfId="1100"/>
    <cellStyle name="%40 - Vurgu2 3 2 3 2 2" xfId="3036"/>
    <cellStyle name="%40 - Vurgu2 3 2 3 3" xfId="2189"/>
    <cellStyle name="%40 - Vurgu2 3 2 3 4" xfId="3866"/>
    <cellStyle name="%40 - Vurgu2 3 2 4" xfId="826"/>
    <cellStyle name="%40 - Vurgu2 3 2 4 2" xfId="2190"/>
    <cellStyle name="%40 - Vurgu2 3 2 4 3" xfId="3867"/>
    <cellStyle name="%40 - Vurgu2 3 2 5" xfId="1316"/>
    <cellStyle name="%40 - Vurgu2 3 2 5 2" xfId="2191"/>
    <cellStyle name="%40 - Vurgu2 3 2 5 3" xfId="3868"/>
    <cellStyle name="%40 - Vurgu2 3 2 6" xfId="2192"/>
    <cellStyle name="%40 - Vurgu2 3 2 6 2" xfId="3869"/>
    <cellStyle name="%40 - Vurgu2 3 2 7" xfId="2187"/>
    <cellStyle name="%40 - Vurgu2 3 2 8" xfId="3864"/>
    <cellStyle name="%40 - Vurgu2 3 3" xfId="347"/>
    <cellStyle name="%40 - Vurgu2 3 3 2" xfId="903"/>
    <cellStyle name="%40 - Vurgu2 3 3 2 2" xfId="2874"/>
    <cellStyle name="%40 - Vurgu2 3 3 3" xfId="1393"/>
    <cellStyle name="%40 - Vurgu2 3 3 3 2" xfId="3154"/>
    <cellStyle name="%40 - Vurgu2 3 3 4" xfId="2193"/>
    <cellStyle name="%40 - Vurgu2 3 3 5" xfId="3870"/>
    <cellStyle name="%40 - Vurgu2 3 4" xfId="551"/>
    <cellStyle name="%40 - Vurgu2 3 4 2" xfId="1099"/>
    <cellStyle name="%40 - Vurgu2 3 4 2 2" xfId="3035"/>
    <cellStyle name="%40 - Vurgu2 3 4 3" xfId="2194"/>
    <cellStyle name="%40 - Vurgu2 3 4 4" xfId="3871"/>
    <cellStyle name="%40 - Vurgu2 3 5" xfId="749"/>
    <cellStyle name="%40 - Vurgu2 3 5 2" xfId="2195"/>
    <cellStyle name="%40 - Vurgu2 3 5 3" xfId="3872"/>
    <cellStyle name="%40 - Vurgu2 3 6" xfId="1239"/>
    <cellStyle name="%40 - Vurgu2 3 6 2" xfId="2196"/>
    <cellStyle name="%40 - Vurgu2 3 6 3" xfId="3873"/>
    <cellStyle name="%40 - Vurgu2 3 7" xfId="1548"/>
    <cellStyle name="%40 - Vurgu2 3 7 2" xfId="2197"/>
    <cellStyle name="%40 - Vurgu2 3 7 3" xfId="3874"/>
    <cellStyle name="%40 - Vurgu2 3 8" xfId="2186"/>
    <cellStyle name="%40 - Vurgu2 3 9" xfId="3863"/>
    <cellStyle name="%40 - Vurgu2 4" xfId="88"/>
    <cellStyle name="%40 - Vurgu2 4 2" xfId="255"/>
    <cellStyle name="%40 - Vurgu2 4 2 2" xfId="427"/>
    <cellStyle name="%40 - Vurgu2 4 2 2 2" xfId="981"/>
    <cellStyle name="%40 - Vurgu2 4 2 2 2 2" xfId="2925"/>
    <cellStyle name="%40 - Vurgu2 4 2 2 3" xfId="1471"/>
    <cellStyle name="%40 - Vurgu2 4 2 2 3 2" xfId="3232"/>
    <cellStyle name="%40 - Vurgu2 4 2 2 4" xfId="2200"/>
    <cellStyle name="%40 - Vurgu2 4 2 2 5" xfId="3877"/>
    <cellStyle name="%40 - Vurgu2 4 2 3" xfId="554"/>
    <cellStyle name="%40 - Vurgu2 4 2 3 2" xfId="1102"/>
    <cellStyle name="%40 - Vurgu2 4 2 3 2 2" xfId="3038"/>
    <cellStyle name="%40 - Vurgu2 4 2 3 3" xfId="2201"/>
    <cellStyle name="%40 - Vurgu2 4 2 3 4" xfId="3878"/>
    <cellStyle name="%40 - Vurgu2 4 2 4" xfId="827"/>
    <cellStyle name="%40 - Vurgu2 4 2 4 2" xfId="2202"/>
    <cellStyle name="%40 - Vurgu2 4 2 4 3" xfId="3879"/>
    <cellStyle name="%40 - Vurgu2 4 2 5" xfId="1317"/>
    <cellStyle name="%40 - Vurgu2 4 2 5 2" xfId="2203"/>
    <cellStyle name="%40 - Vurgu2 4 2 5 3" xfId="3880"/>
    <cellStyle name="%40 - Vurgu2 4 2 6" xfId="2204"/>
    <cellStyle name="%40 - Vurgu2 4 2 6 2" xfId="3881"/>
    <cellStyle name="%40 - Vurgu2 4 2 7" xfId="2199"/>
    <cellStyle name="%40 - Vurgu2 4 2 8" xfId="3876"/>
    <cellStyle name="%40 - Vurgu2 4 3" xfId="348"/>
    <cellStyle name="%40 - Vurgu2 4 3 2" xfId="904"/>
    <cellStyle name="%40 - Vurgu2 4 3 2 2" xfId="2875"/>
    <cellStyle name="%40 - Vurgu2 4 3 3" xfId="1394"/>
    <cellStyle name="%40 - Vurgu2 4 3 3 2" xfId="3155"/>
    <cellStyle name="%40 - Vurgu2 4 3 4" xfId="2205"/>
    <cellStyle name="%40 - Vurgu2 4 3 5" xfId="3882"/>
    <cellStyle name="%40 - Vurgu2 4 4" xfId="553"/>
    <cellStyle name="%40 - Vurgu2 4 4 2" xfId="1101"/>
    <cellStyle name="%40 - Vurgu2 4 4 2 2" xfId="3037"/>
    <cellStyle name="%40 - Vurgu2 4 4 3" xfId="2206"/>
    <cellStyle name="%40 - Vurgu2 4 4 4" xfId="3883"/>
    <cellStyle name="%40 - Vurgu2 4 5" xfId="750"/>
    <cellStyle name="%40 - Vurgu2 4 5 2" xfId="2207"/>
    <cellStyle name="%40 - Vurgu2 4 5 3" xfId="3884"/>
    <cellStyle name="%40 - Vurgu2 4 6" xfId="1240"/>
    <cellStyle name="%40 - Vurgu2 4 6 2" xfId="2208"/>
    <cellStyle name="%40 - Vurgu2 4 6 3" xfId="3885"/>
    <cellStyle name="%40 - Vurgu2 4 7" xfId="1549"/>
    <cellStyle name="%40 - Vurgu2 4 7 2" xfId="2209"/>
    <cellStyle name="%40 - Vurgu2 4 7 3" xfId="3886"/>
    <cellStyle name="%40 - Vurgu2 4 8" xfId="2198"/>
    <cellStyle name="%40 - Vurgu2 4 9" xfId="3875"/>
    <cellStyle name="%40 - Vurgu2 5" xfId="89"/>
    <cellStyle name="%40 - Vurgu2 6" xfId="211"/>
    <cellStyle name="%40 - Vurgu2 6 2" xfId="384"/>
    <cellStyle name="%40 - Vurgu2 6 2 2" xfId="939"/>
    <cellStyle name="%40 - Vurgu2 6 2 2 2" xfId="2212"/>
    <cellStyle name="%40 - Vurgu2 6 2 2 3" xfId="3889"/>
    <cellStyle name="%40 - Vurgu2 6 2 3" xfId="1429"/>
    <cellStyle name="%40 - Vurgu2 6 2 3 2" xfId="3190"/>
    <cellStyle name="%40 - Vurgu2 6 2 4" xfId="2211"/>
    <cellStyle name="%40 - Vurgu2 6 2 5" xfId="3888"/>
    <cellStyle name="%40 - Vurgu2 6 3" xfId="555"/>
    <cellStyle name="%40 - Vurgu2 6 3 2" xfId="1103"/>
    <cellStyle name="%40 - Vurgu2 6 3 2 2" xfId="3039"/>
    <cellStyle name="%40 - Vurgu2 6 3 3" xfId="2213"/>
    <cellStyle name="%40 - Vurgu2 6 3 4" xfId="3890"/>
    <cellStyle name="%40 - Vurgu2 6 4" xfId="785"/>
    <cellStyle name="%40 - Vurgu2 6 4 2" xfId="2214"/>
    <cellStyle name="%40 - Vurgu2 6 4 3" xfId="3891"/>
    <cellStyle name="%40 - Vurgu2 6 5" xfId="1275"/>
    <cellStyle name="%40 - Vurgu2 6 5 2" xfId="2215"/>
    <cellStyle name="%40 - Vurgu2 6 5 3" xfId="3892"/>
    <cellStyle name="%40 - Vurgu2 6 6" xfId="2216"/>
    <cellStyle name="%40 - Vurgu2 6 6 2" xfId="3893"/>
    <cellStyle name="%40 - Vurgu2 6 7" xfId="2217"/>
    <cellStyle name="%40 - Vurgu2 6 7 2" xfId="3894"/>
    <cellStyle name="%40 - Vurgu2 6 8" xfId="2210"/>
    <cellStyle name="%40 - Vurgu2 6 9" xfId="3887"/>
    <cellStyle name="%40 - Vurgu2 7" xfId="308"/>
    <cellStyle name="%40 - Vurgu2 7 2" xfId="864"/>
    <cellStyle name="%40 - Vurgu2 7 2 2" xfId="2219"/>
    <cellStyle name="%40 - Vurgu2 7 2 3" xfId="3896"/>
    <cellStyle name="%40 - Vurgu2 7 3" xfId="1354"/>
    <cellStyle name="%40 - Vurgu2 7 3 2" xfId="3118"/>
    <cellStyle name="%40 - Vurgu2 7 4" xfId="2218"/>
    <cellStyle name="%40 - Vurgu2 7 5" xfId="3895"/>
    <cellStyle name="%40 - Vurgu2 8" xfId="546"/>
    <cellStyle name="%40 - Vurgu2 8 2" xfId="1094"/>
    <cellStyle name="%40 - Vurgu2 8 2 2" xfId="3030"/>
    <cellStyle name="%40 - Vurgu2 8 3" xfId="2220"/>
    <cellStyle name="%40 - Vurgu2 8 4" xfId="3897"/>
    <cellStyle name="%40 - Vurgu2 9" xfId="710"/>
    <cellStyle name="%40 - Vurgu2 9 2" xfId="2221"/>
    <cellStyle name="%40 - Vurgu2 9 3" xfId="3898"/>
    <cellStyle name="%40 - Vurgu3" xfId="27" builtinId="39" customBuiltin="1"/>
    <cellStyle name="%40 - Vurgu3 10" xfId="712"/>
    <cellStyle name="%40 - Vurgu3 10 2" xfId="2223"/>
    <cellStyle name="%40 - Vurgu3 10 3" xfId="3900"/>
    <cellStyle name="%40 - Vurgu3 11" xfId="1202"/>
    <cellStyle name="%40 - Vurgu3 11 2" xfId="2224"/>
    <cellStyle name="%40 - Vurgu3 11 3" xfId="3901"/>
    <cellStyle name="%40 - Vurgu3 12" xfId="1510"/>
    <cellStyle name="%40 - Vurgu3 12 2" xfId="2225"/>
    <cellStyle name="%40 - Vurgu3 12 3" xfId="3902"/>
    <cellStyle name="%40 - Vurgu3 13" xfId="2222"/>
    <cellStyle name="%40 - Vurgu3 14" xfId="3899"/>
    <cellStyle name="%40 - Vurgu3 2" xfId="90"/>
    <cellStyle name="%40 - Vurgu3 2 10" xfId="2226"/>
    <cellStyle name="%40 - Vurgu3 2 11" xfId="3903"/>
    <cellStyle name="%40 - Vurgu3 2 2" xfId="91"/>
    <cellStyle name="%40 - Vurgu3 2 2 2" xfId="257"/>
    <cellStyle name="%40 - Vurgu3 2 2 2 2" xfId="429"/>
    <cellStyle name="%40 - Vurgu3 2 2 2 2 2" xfId="983"/>
    <cellStyle name="%40 - Vurgu3 2 2 2 2 2 2" xfId="2926"/>
    <cellStyle name="%40 - Vurgu3 2 2 2 2 3" xfId="1473"/>
    <cellStyle name="%40 - Vurgu3 2 2 2 2 3 2" xfId="3234"/>
    <cellStyle name="%40 - Vurgu3 2 2 2 2 4" xfId="2229"/>
    <cellStyle name="%40 - Vurgu3 2 2 2 2 5" xfId="3906"/>
    <cellStyle name="%40 - Vurgu3 2 2 2 3" xfId="559"/>
    <cellStyle name="%40 - Vurgu3 2 2 2 3 2" xfId="1107"/>
    <cellStyle name="%40 - Vurgu3 2 2 2 3 2 2" xfId="3043"/>
    <cellStyle name="%40 - Vurgu3 2 2 2 3 3" xfId="2230"/>
    <cellStyle name="%40 - Vurgu3 2 2 2 3 4" xfId="3907"/>
    <cellStyle name="%40 - Vurgu3 2 2 2 4" xfId="829"/>
    <cellStyle name="%40 - Vurgu3 2 2 2 4 2" xfId="2231"/>
    <cellStyle name="%40 - Vurgu3 2 2 2 4 3" xfId="3908"/>
    <cellStyle name="%40 - Vurgu3 2 2 2 5" xfId="1319"/>
    <cellStyle name="%40 - Vurgu3 2 2 2 5 2" xfId="2232"/>
    <cellStyle name="%40 - Vurgu3 2 2 2 5 3" xfId="3909"/>
    <cellStyle name="%40 - Vurgu3 2 2 2 6" xfId="2233"/>
    <cellStyle name="%40 - Vurgu3 2 2 2 6 2" xfId="3910"/>
    <cellStyle name="%40 - Vurgu3 2 2 2 7" xfId="2228"/>
    <cellStyle name="%40 - Vurgu3 2 2 2 8" xfId="3905"/>
    <cellStyle name="%40 - Vurgu3 2 2 3" xfId="350"/>
    <cellStyle name="%40 - Vurgu3 2 2 3 2" xfId="906"/>
    <cellStyle name="%40 - Vurgu3 2 2 3 2 2" xfId="2876"/>
    <cellStyle name="%40 - Vurgu3 2 2 3 3" xfId="1396"/>
    <cellStyle name="%40 - Vurgu3 2 2 3 3 2" xfId="3157"/>
    <cellStyle name="%40 - Vurgu3 2 2 3 4" xfId="2234"/>
    <cellStyle name="%40 - Vurgu3 2 2 3 5" xfId="3911"/>
    <cellStyle name="%40 - Vurgu3 2 2 4" xfId="558"/>
    <cellStyle name="%40 - Vurgu3 2 2 4 2" xfId="1106"/>
    <cellStyle name="%40 - Vurgu3 2 2 4 2 2" xfId="3042"/>
    <cellStyle name="%40 - Vurgu3 2 2 4 3" xfId="2235"/>
    <cellStyle name="%40 - Vurgu3 2 2 4 4" xfId="3912"/>
    <cellStyle name="%40 - Vurgu3 2 2 5" xfId="752"/>
    <cellStyle name="%40 - Vurgu3 2 2 5 2" xfId="2236"/>
    <cellStyle name="%40 - Vurgu3 2 2 5 3" xfId="3913"/>
    <cellStyle name="%40 - Vurgu3 2 2 6" xfId="1242"/>
    <cellStyle name="%40 - Vurgu3 2 2 6 2" xfId="2237"/>
    <cellStyle name="%40 - Vurgu3 2 2 6 3" xfId="3914"/>
    <cellStyle name="%40 - Vurgu3 2 2 7" xfId="1551"/>
    <cellStyle name="%40 - Vurgu3 2 2 7 2" xfId="2238"/>
    <cellStyle name="%40 - Vurgu3 2 2 7 3" xfId="3915"/>
    <cellStyle name="%40 - Vurgu3 2 2 8" xfId="2227"/>
    <cellStyle name="%40 - Vurgu3 2 2 9" xfId="3904"/>
    <cellStyle name="%40 - Vurgu3 2 3" xfId="92"/>
    <cellStyle name="%40 - Vurgu3 2 4" xfId="256"/>
    <cellStyle name="%40 - Vurgu3 2 4 2" xfId="428"/>
    <cellStyle name="%40 - Vurgu3 2 4 2 2" xfId="982"/>
    <cellStyle name="%40 - Vurgu3 2 4 2 2 2" xfId="2241"/>
    <cellStyle name="%40 - Vurgu3 2 4 2 2 3" xfId="3918"/>
    <cellStyle name="%40 - Vurgu3 2 4 2 3" xfId="1472"/>
    <cellStyle name="%40 - Vurgu3 2 4 2 3 2" xfId="3233"/>
    <cellStyle name="%40 - Vurgu3 2 4 2 4" xfId="2240"/>
    <cellStyle name="%40 - Vurgu3 2 4 2 5" xfId="3917"/>
    <cellStyle name="%40 - Vurgu3 2 4 3" xfId="560"/>
    <cellStyle name="%40 - Vurgu3 2 4 3 2" xfId="1108"/>
    <cellStyle name="%40 - Vurgu3 2 4 3 2 2" xfId="3044"/>
    <cellStyle name="%40 - Vurgu3 2 4 3 3" xfId="2242"/>
    <cellStyle name="%40 - Vurgu3 2 4 3 4" xfId="3919"/>
    <cellStyle name="%40 - Vurgu3 2 4 4" xfId="828"/>
    <cellStyle name="%40 - Vurgu3 2 4 4 2" xfId="2243"/>
    <cellStyle name="%40 - Vurgu3 2 4 4 3" xfId="3920"/>
    <cellStyle name="%40 - Vurgu3 2 4 5" xfId="1318"/>
    <cellStyle name="%40 - Vurgu3 2 4 5 2" xfId="2244"/>
    <cellStyle name="%40 - Vurgu3 2 4 5 3" xfId="3921"/>
    <cellStyle name="%40 - Vurgu3 2 4 6" xfId="2245"/>
    <cellStyle name="%40 - Vurgu3 2 4 6 2" xfId="3922"/>
    <cellStyle name="%40 - Vurgu3 2 4 7" xfId="2246"/>
    <cellStyle name="%40 - Vurgu3 2 4 7 2" xfId="3923"/>
    <cellStyle name="%40 - Vurgu3 2 4 8" xfId="2239"/>
    <cellStyle name="%40 - Vurgu3 2 4 9" xfId="3916"/>
    <cellStyle name="%40 - Vurgu3 2 5" xfId="349"/>
    <cellStyle name="%40 - Vurgu3 2 5 2" xfId="905"/>
    <cellStyle name="%40 - Vurgu3 2 5 2 2" xfId="2248"/>
    <cellStyle name="%40 - Vurgu3 2 5 2 3" xfId="3925"/>
    <cellStyle name="%40 - Vurgu3 2 5 3" xfId="1395"/>
    <cellStyle name="%40 - Vurgu3 2 5 3 2" xfId="3156"/>
    <cellStyle name="%40 - Vurgu3 2 5 4" xfId="2247"/>
    <cellStyle name="%40 - Vurgu3 2 5 5" xfId="3924"/>
    <cellStyle name="%40 - Vurgu3 2 6" xfId="557"/>
    <cellStyle name="%40 - Vurgu3 2 6 2" xfId="1105"/>
    <cellStyle name="%40 - Vurgu3 2 6 2 2" xfId="3041"/>
    <cellStyle name="%40 - Vurgu3 2 6 3" xfId="2249"/>
    <cellStyle name="%40 - Vurgu3 2 6 4" xfId="3926"/>
    <cellStyle name="%40 - Vurgu3 2 7" xfId="751"/>
    <cellStyle name="%40 - Vurgu3 2 7 2" xfId="2250"/>
    <cellStyle name="%40 - Vurgu3 2 7 3" xfId="3927"/>
    <cellStyle name="%40 - Vurgu3 2 8" xfId="1241"/>
    <cellStyle name="%40 - Vurgu3 2 8 2" xfId="2251"/>
    <cellStyle name="%40 - Vurgu3 2 8 3" xfId="3928"/>
    <cellStyle name="%40 - Vurgu3 2 9" xfId="1550"/>
    <cellStyle name="%40 - Vurgu3 2 9 2" xfId="2252"/>
    <cellStyle name="%40 - Vurgu3 2 9 3" xfId="3929"/>
    <cellStyle name="%40 - Vurgu3 3" xfId="93"/>
    <cellStyle name="%40 - Vurgu3 3 2" xfId="258"/>
    <cellStyle name="%40 - Vurgu3 3 2 2" xfId="430"/>
    <cellStyle name="%40 - Vurgu3 3 2 2 2" xfId="984"/>
    <cellStyle name="%40 - Vurgu3 3 2 2 2 2" xfId="2927"/>
    <cellStyle name="%40 - Vurgu3 3 2 2 3" xfId="1474"/>
    <cellStyle name="%40 - Vurgu3 3 2 2 3 2" xfId="3235"/>
    <cellStyle name="%40 - Vurgu3 3 2 2 4" xfId="2255"/>
    <cellStyle name="%40 - Vurgu3 3 2 2 5" xfId="3932"/>
    <cellStyle name="%40 - Vurgu3 3 2 3" xfId="562"/>
    <cellStyle name="%40 - Vurgu3 3 2 3 2" xfId="1110"/>
    <cellStyle name="%40 - Vurgu3 3 2 3 2 2" xfId="3046"/>
    <cellStyle name="%40 - Vurgu3 3 2 3 3" xfId="2256"/>
    <cellStyle name="%40 - Vurgu3 3 2 3 4" xfId="3933"/>
    <cellStyle name="%40 - Vurgu3 3 2 4" xfId="830"/>
    <cellStyle name="%40 - Vurgu3 3 2 4 2" xfId="2257"/>
    <cellStyle name="%40 - Vurgu3 3 2 4 3" xfId="3934"/>
    <cellStyle name="%40 - Vurgu3 3 2 5" xfId="1320"/>
    <cellStyle name="%40 - Vurgu3 3 2 5 2" xfId="2258"/>
    <cellStyle name="%40 - Vurgu3 3 2 5 3" xfId="3935"/>
    <cellStyle name="%40 - Vurgu3 3 2 6" xfId="2259"/>
    <cellStyle name="%40 - Vurgu3 3 2 6 2" xfId="3936"/>
    <cellStyle name="%40 - Vurgu3 3 2 7" xfId="2254"/>
    <cellStyle name="%40 - Vurgu3 3 2 8" xfId="3931"/>
    <cellStyle name="%40 - Vurgu3 3 3" xfId="351"/>
    <cellStyle name="%40 - Vurgu3 3 3 2" xfId="907"/>
    <cellStyle name="%40 - Vurgu3 3 3 2 2" xfId="2877"/>
    <cellStyle name="%40 - Vurgu3 3 3 3" xfId="1397"/>
    <cellStyle name="%40 - Vurgu3 3 3 3 2" xfId="3158"/>
    <cellStyle name="%40 - Vurgu3 3 3 4" xfId="2260"/>
    <cellStyle name="%40 - Vurgu3 3 3 5" xfId="3937"/>
    <cellStyle name="%40 - Vurgu3 3 4" xfId="561"/>
    <cellStyle name="%40 - Vurgu3 3 4 2" xfId="1109"/>
    <cellStyle name="%40 - Vurgu3 3 4 2 2" xfId="3045"/>
    <cellStyle name="%40 - Vurgu3 3 4 3" xfId="2261"/>
    <cellStyle name="%40 - Vurgu3 3 4 4" xfId="3938"/>
    <cellStyle name="%40 - Vurgu3 3 5" xfId="753"/>
    <cellStyle name="%40 - Vurgu3 3 5 2" xfId="2262"/>
    <cellStyle name="%40 - Vurgu3 3 5 3" xfId="3939"/>
    <cellStyle name="%40 - Vurgu3 3 6" xfId="1243"/>
    <cellStyle name="%40 - Vurgu3 3 6 2" xfId="2263"/>
    <cellStyle name="%40 - Vurgu3 3 6 3" xfId="3940"/>
    <cellStyle name="%40 - Vurgu3 3 7" xfId="1552"/>
    <cellStyle name="%40 - Vurgu3 3 7 2" xfId="2264"/>
    <cellStyle name="%40 - Vurgu3 3 7 3" xfId="3941"/>
    <cellStyle name="%40 - Vurgu3 3 8" xfId="2253"/>
    <cellStyle name="%40 - Vurgu3 3 9" xfId="3930"/>
    <cellStyle name="%40 - Vurgu3 4" xfId="94"/>
    <cellStyle name="%40 - Vurgu3 4 2" xfId="259"/>
    <cellStyle name="%40 - Vurgu3 4 2 2" xfId="431"/>
    <cellStyle name="%40 - Vurgu3 4 2 2 2" xfId="985"/>
    <cellStyle name="%40 - Vurgu3 4 2 2 2 2" xfId="2928"/>
    <cellStyle name="%40 - Vurgu3 4 2 2 3" xfId="1475"/>
    <cellStyle name="%40 - Vurgu3 4 2 2 3 2" xfId="3236"/>
    <cellStyle name="%40 - Vurgu3 4 2 2 4" xfId="2267"/>
    <cellStyle name="%40 - Vurgu3 4 2 2 5" xfId="3944"/>
    <cellStyle name="%40 - Vurgu3 4 2 3" xfId="564"/>
    <cellStyle name="%40 - Vurgu3 4 2 3 2" xfId="1112"/>
    <cellStyle name="%40 - Vurgu3 4 2 3 2 2" xfId="3048"/>
    <cellStyle name="%40 - Vurgu3 4 2 3 3" xfId="2268"/>
    <cellStyle name="%40 - Vurgu3 4 2 3 4" xfId="3945"/>
    <cellStyle name="%40 - Vurgu3 4 2 4" xfId="831"/>
    <cellStyle name="%40 - Vurgu3 4 2 4 2" xfId="2269"/>
    <cellStyle name="%40 - Vurgu3 4 2 4 3" xfId="3946"/>
    <cellStyle name="%40 - Vurgu3 4 2 5" xfId="1321"/>
    <cellStyle name="%40 - Vurgu3 4 2 5 2" xfId="2270"/>
    <cellStyle name="%40 - Vurgu3 4 2 5 3" xfId="3947"/>
    <cellStyle name="%40 - Vurgu3 4 2 6" xfId="2271"/>
    <cellStyle name="%40 - Vurgu3 4 2 6 2" xfId="3948"/>
    <cellStyle name="%40 - Vurgu3 4 2 7" xfId="2266"/>
    <cellStyle name="%40 - Vurgu3 4 2 8" xfId="3943"/>
    <cellStyle name="%40 - Vurgu3 4 3" xfId="352"/>
    <cellStyle name="%40 - Vurgu3 4 3 2" xfId="908"/>
    <cellStyle name="%40 - Vurgu3 4 3 2 2" xfId="2878"/>
    <cellStyle name="%40 - Vurgu3 4 3 3" xfId="1398"/>
    <cellStyle name="%40 - Vurgu3 4 3 3 2" xfId="3159"/>
    <cellStyle name="%40 - Vurgu3 4 3 4" xfId="2272"/>
    <cellStyle name="%40 - Vurgu3 4 3 5" xfId="3949"/>
    <cellStyle name="%40 - Vurgu3 4 4" xfId="563"/>
    <cellStyle name="%40 - Vurgu3 4 4 2" xfId="1111"/>
    <cellStyle name="%40 - Vurgu3 4 4 2 2" xfId="3047"/>
    <cellStyle name="%40 - Vurgu3 4 4 3" xfId="2273"/>
    <cellStyle name="%40 - Vurgu3 4 4 4" xfId="3950"/>
    <cellStyle name="%40 - Vurgu3 4 5" xfId="754"/>
    <cellStyle name="%40 - Vurgu3 4 5 2" xfId="2274"/>
    <cellStyle name="%40 - Vurgu3 4 5 3" xfId="3951"/>
    <cellStyle name="%40 - Vurgu3 4 6" xfId="1244"/>
    <cellStyle name="%40 - Vurgu3 4 6 2" xfId="2275"/>
    <cellStyle name="%40 - Vurgu3 4 6 3" xfId="3952"/>
    <cellStyle name="%40 - Vurgu3 4 7" xfId="1553"/>
    <cellStyle name="%40 - Vurgu3 4 7 2" xfId="2276"/>
    <cellStyle name="%40 - Vurgu3 4 7 3" xfId="3953"/>
    <cellStyle name="%40 - Vurgu3 4 8" xfId="2265"/>
    <cellStyle name="%40 - Vurgu3 4 9" xfId="3942"/>
    <cellStyle name="%40 - Vurgu3 5" xfId="95"/>
    <cellStyle name="%40 - Vurgu3 6" xfId="213"/>
    <cellStyle name="%40 - Vurgu3 6 2" xfId="386"/>
    <cellStyle name="%40 - Vurgu3 6 2 2" xfId="941"/>
    <cellStyle name="%40 - Vurgu3 6 2 2 2" xfId="2279"/>
    <cellStyle name="%40 - Vurgu3 6 2 2 3" xfId="3956"/>
    <cellStyle name="%40 - Vurgu3 6 2 3" xfId="1431"/>
    <cellStyle name="%40 - Vurgu3 6 2 3 2" xfId="3192"/>
    <cellStyle name="%40 - Vurgu3 6 2 4" xfId="2278"/>
    <cellStyle name="%40 - Vurgu3 6 2 5" xfId="3955"/>
    <cellStyle name="%40 - Vurgu3 6 3" xfId="565"/>
    <cellStyle name="%40 - Vurgu3 6 3 2" xfId="1113"/>
    <cellStyle name="%40 - Vurgu3 6 3 2 2" xfId="3049"/>
    <cellStyle name="%40 - Vurgu3 6 3 3" xfId="2280"/>
    <cellStyle name="%40 - Vurgu3 6 3 4" xfId="3957"/>
    <cellStyle name="%40 - Vurgu3 6 4" xfId="787"/>
    <cellStyle name="%40 - Vurgu3 6 4 2" xfId="2281"/>
    <cellStyle name="%40 - Vurgu3 6 4 3" xfId="3958"/>
    <cellStyle name="%40 - Vurgu3 6 5" xfId="1277"/>
    <cellStyle name="%40 - Vurgu3 6 5 2" xfId="2282"/>
    <cellStyle name="%40 - Vurgu3 6 5 3" xfId="3959"/>
    <cellStyle name="%40 - Vurgu3 6 6" xfId="2283"/>
    <cellStyle name="%40 - Vurgu3 6 6 2" xfId="3960"/>
    <cellStyle name="%40 - Vurgu3 6 7" xfId="2284"/>
    <cellStyle name="%40 - Vurgu3 6 7 2" xfId="3961"/>
    <cellStyle name="%40 - Vurgu3 6 8" xfId="2277"/>
    <cellStyle name="%40 - Vurgu3 6 9" xfId="3954"/>
    <cellStyle name="%40 - Vurgu3 7" xfId="310"/>
    <cellStyle name="%40 - Vurgu3 7 2" xfId="566"/>
    <cellStyle name="%40 - Vurgu3 7 2 2" xfId="1114"/>
    <cellStyle name="%40 - Vurgu3 7 2 2 2" xfId="3050"/>
    <cellStyle name="%40 - Vurgu3 7 2 3" xfId="2286"/>
    <cellStyle name="%40 - Vurgu3 7 2 4" xfId="3963"/>
    <cellStyle name="%40 - Vurgu3 7 3" xfId="866"/>
    <cellStyle name="%40 - Vurgu3 7 3 2" xfId="2287"/>
    <cellStyle name="%40 - Vurgu3 7 3 3" xfId="3964"/>
    <cellStyle name="%40 - Vurgu3 7 4" xfId="1356"/>
    <cellStyle name="%40 - Vurgu3 7 4 2" xfId="2288"/>
    <cellStyle name="%40 - Vurgu3 7 4 3" xfId="3965"/>
    <cellStyle name="%40 - Vurgu3 7 5" xfId="2289"/>
    <cellStyle name="%40 - Vurgu3 7 5 2" xfId="3966"/>
    <cellStyle name="%40 - Vurgu3 7 6" xfId="2290"/>
    <cellStyle name="%40 - Vurgu3 7 6 2" xfId="3967"/>
    <cellStyle name="%40 - Vurgu3 7 7" xfId="2285"/>
    <cellStyle name="%40 - Vurgu3 7 8" xfId="3962"/>
    <cellStyle name="%40 - Vurgu3 8" xfId="567"/>
    <cellStyle name="%40 - Vurgu3 8 2" xfId="1115"/>
    <cellStyle name="%40 - Vurgu3 8 2 2" xfId="2292"/>
    <cellStyle name="%40 - Vurgu3 8 2 3" xfId="3969"/>
    <cellStyle name="%40 - Vurgu3 8 3" xfId="2293"/>
    <cellStyle name="%40 - Vurgu3 8 3 2" xfId="3970"/>
    <cellStyle name="%40 - Vurgu3 8 4" xfId="2294"/>
    <cellStyle name="%40 - Vurgu3 8 4 2" xfId="3971"/>
    <cellStyle name="%40 - Vurgu3 8 5" xfId="2291"/>
    <cellStyle name="%40 - Vurgu3 8 6" xfId="3968"/>
    <cellStyle name="%40 - Vurgu3 9" xfId="556"/>
    <cellStyle name="%40 - Vurgu3 9 2" xfId="1104"/>
    <cellStyle name="%40 - Vurgu3 9 2 2" xfId="3040"/>
    <cellStyle name="%40 - Vurgu3 9 3" xfId="2295"/>
    <cellStyle name="%40 - Vurgu3 9 4" xfId="3972"/>
    <cellStyle name="%40 - Vurgu4" xfId="31" builtinId="43" customBuiltin="1"/>
    <cellStyle name="%40 - Vurgu4 10" xfId="1204"/>
    <cellStyle name="%40 - Vurgu4 10 2" xfId="2297"/>
    <cellStyle name="%40 - Vurgu4 10 3" xfId="3974"/>
    <cellStyle name="%40 - Vurgu4 11" xfId="1512"/>
    <cellStyle name="%40 - Vurgu4 11 2" xfId="2298"/>
    <cellStyle name="%40 - Vurgu4 11 3" xfId="3975"/>
    <cellStyle name="%40 - Vurgu4 12" xfId="2296"/>
    <cellStyle name="%40 - Vurgu4 13" xfId="3973"/>
    <cellStyle name="%40 - Vurgu4 2" xfId="96"/>
    <cellStyle name="%40 - Vurgu4 2 10" xfId="2299"/>
    <cellStyle name="%40 - Vurgu4 2 11" xfId="3976"/>
    <cellStyle name="%40 - Vurgu4 2 2" xfId="97"/>
    <cellStyle name="%40 - Vurgu4 2 2 2" xfId="261"/>
    <cellStyle name="%40 - Vurgu4 2 2 2 2" xfId="433"/>
    <cellStyle name="%40 - Vurgu4 2 2 2 2 2" xfId="987"/>
    <cellStyle name="%40 - Vurgu4 2 2 2 2 2 2" xfId="2929"/>
    <cellStyle name="%40 - Vurgu4 2 2 2 2 3" xfId="1477"/>
    <cellStyle name="%40 - Vurgu4 2 2 2 2 3 2" xfId="3238"/>
    <cellStyle name="%40 - Vurgu4 2 2 2 2 4" xfId="2302"/>
    <cellStyle name="%40 - Vurgu4 2 2 2 2 5" xfId="3979"/>
    <cellStyle name="%40 - Vurgu4 2 2 2 3" xfId="571"/>
    <cellStyle name="%40 - Vurgu4 2 2 2 3 2" xfId="1119"/>
    <cellStyle name="%40 - Vurgu4 2 2 2 3 2 2" xfId="3054"/>
    <cellStyle name="%40 - Vurgu4 2 2 2 3 3" xfId="2303"/>
    <cellStyle name="%40 - Vurgu4 2 2 2 3 4" xfId="3980"/>
    <cellStyle name="%40 - Vurgu4 2 2 2 4" xfId="833"/>
    <cellStyle name="%40 - Vurgu4 2 2 2 4 2" xfId="2304"/>
    <cellStyle name="%40 - Vurgu4 2 2 2 4 3" xfId="3981"/>
    <cellStyle name="%40 - Vurgu4 2 2 2 5" xfId="1323"/>
    <cellStyle name="%40 - Vurgu4 2 2 2 5 2" xfId="2305"/>
    <cellStyle name="%40 - Vurgu4 2 2 2 5 3" xfId="3982"/>
    <cellStyle name="%40 - Vurgu4 2 2 2 6" xfId="2306"/>
    <cellStyle name="%40 - Vurgu4 2 2 2 6 2" xfId="3983"/>
    <cellStyle name="%40 - Vurgu4 2 2 2 7" xfId="2301"/>
    <cellStyle name="%40 - Vurgu4 2 2 2 8" xfId="3978"/>
    <cellStyle name="%40 - Vurgu4 2 2 3" xfId="354"/>
    <cellStyle name="%40 - Vurgu4 2 2 3 2" xfId="910"/>
    <cellStyle name="%40 - Vurgu4 2 2 3 2 2" xfId="2879"/>
    <cellStyle name="%40 - Vurgu4 2 2 3 3" xfId="1400"/>
    <cellStyle name="%40 - Vurgu4 2 2 3 3 2" xfId="3161"/>
    <cellStyle name="%40 - Vurgu4 2 2 3 4" xfId="2307"/>
    <cellStyle name="%40 - Vurgu4 2 2 3 5" xfId="3984"/>
    <cellStyle name="%40 - Vurgu4 2 2 4" xfId="570"/>
    <cellStyle name="%40 - Vurgu4 2 2 4 2" xfId="1118"/>
    <cellStyle name="%40 - Vurgu4 2 2 4 2 2" xfId="3053"/>
    <cellStyle name="%40 - Vurgu4 2 2 4 3" xfId="2308"/>
    <cellStyle name="%40 - Vurgu4 2 2 4 4" xfId="3985"/>
    <cellStyle name="%40 - Vurgu4 2 2 5" xfId="756"/>
    <cellStyle name="%40 - Vurgu4 2 2 5 2" xfId="2309"/>
    <cellStyle name="%40 - Vurgu4 2 2 5 3" xfId="3986"/>
    <cellStyle name="%40 - Vurgu4 2 2 6" xfId="1246"/>
    <cellStyle name="%40 - Vurgu4 2 2 6 2" xfId="2310"/>
    <cellStyle name="%40 - Vurgu4 2 2 6 3" xfId="3987"/>
    <cellStyle name="%40 - Vurgu4 2 2 7" xfId="1555"/>
    <cellStyle name="%40 - Vurgu4 2 2 7 2" xfId="2311"/>
    <cellStyle name="%40 - Vurgu4 2 2 7 3" xfId="3988"/>
    <cellStyle name="%40 - Vurgu4 2 2 8" xfId="2300"/>
    <cellStyle name="%40 - Vurgu4 2 2 9" xfId="3977"/>
    <cellStyle name="%40 - Vurgu4 2 3" xfId="98"/>
    <cellStyle name="%40 - Vurgu4 2 4" xfId="260"/>
    <cellStyle name="%40 - Vurgu4 2 4 2" xfId="432"/>
    <cellStyle name="%40 - Vurgu4 2 4 2 2" xfId="986"/>
    <cellStyle name="%40 - Vurgu4 2 4 2 2 2" xfId="2314"/>
    <cellStyle name="%40 - Vurgu4 2 4 2 2 3" xfId="3991"/>
    <cellStyle name="%40 - Vurgu4 2 4 2 3" xfId="1476"/>
    <cellStyle name="%40 - Vurgu4 2 4 2 3 2" xfId="3237"/>
    <cellStyle name="%40 - Vurgu4 2 4 2 4" xfId="2313"/>
    <cellStyle name="%40 - Vurgu4 2 4 2 5" xfId="3990"/>
    <cellStyle name="%40 - Vurgu4 2 4 3" xfId="572"/>
    <cellStyle name="%40 - Vurgu4 2 4 3 2" xfId="1120"/>
    <cellStyle name="%40 - Vurgu4 2 4 3 2 2" xfId="3055"/>
    <cellStyle name="%40 - Vurgu4 2 4 3 3" xfId="2315"/>
    <cellStyle name="%40 - Vurgu4 2 4 3 4" xfId="3992"/>
    <cellStyle name="%40 - Vurgu4 2 4 4" xfId="832"/>
    <cellStyle name="%40 - Vurgu4 2 4 4 2" xfId="2316"/>
    <cellStyle name="%40 - Vurgu4 2 4 4 3" xfId="3993"/>
    <cellStyle name="%40 - Vurgu4 2 4 5" xfId="1322"/>
    <cellStyle name="%40 - Vurgu4 2 4 5 2" xfId="2317"/>
    <cellStyle name="%40 - Vurgu4 2 4 5 3" xfId="3994"/>
    <cellStyle name="%40 - Vurgu4 2 4 6" xfId="2318"/>
    <cellStyle name="%40 - Vurgu4 2 4 6 2" xfId="3995"/>
    <cellStyle name="%40 - Vurgu4 2 4 7" xfId="2319"/>
    <cellStyle name="%40 - Vurgu4 2 4 7 2" xfId="3996"/>
    <cellStyle name="%40 - Vurgu4 2 4 8" xfId="2312"/>
    <cellStyle name="%40 - Vurgu4 2 4 9" xfId="3989"/>
    <cellStyle name="%40 - Vurgu4 2 5" xfId="353"/>
    <cellStyle name="%40 - Vurgu4 2 5 2" xfId="909"/>
    <cellStyle name="%40 - Vurgu4 2 5 2 2" xfId="2321"/>
    <cellStyle name="%40 - Vurgu4 2 5 2 3" xfId="3998"/>
    <cellStyle name="%40 - Vurgu4 2 5 3" xfId="1399"/>
    <cellStyle name="%40 - Vurgu4 2 5 3 2" xfId="3160"/>
    <cellStyle name="%40 - Vurgu4 2 5 4" xfId="2320"/>
    <cellStyle name="%40 - Vurgu4 2 5 5" xfId="3997"/>
    <cellStyle name="%40 - Vurgu4 2 6" xfId="569"/>
    <cellStyle name="%40 - Vurgu4 2 6 2" xfId="1117"/>
    <cellStyle name="%40 - Vurgu4 2 6 2 2" xfId="3052"/>
    <cellStyle name="%40 - Vurgu4 2 6 3" xfId="2322"/>
    <cellStyle name="%40 - Vurgu4 2 6 4" xfId="3999"/>
    <cellStyle name="%40 - Vurgu4 2 7" xfId="755"/>
    <cellStyle name="%40 - Vurgu4 2 7 2" xfId="2323"/>
    <cellStyle name="%40 - Vurgu4 2 7 3" xfId="4000"/>
    <cellStyle name="%40 - Vurgu4 2 8" xfId="1245"/>
    <cellStyle name="%40 - Vurgu4 2 8 2" xfId="2324"/>
    <cellStyle name="%40 - Vurgu4 2 8 3" xfId="4001"/>
    <cellStyle name="%40 - Vurgu4 2 9" xfId="1554"/>
    <cellStyle name="%40 - Vurgu4 2 9 2" xfId="2325"/>
    <cellStyle name="%40 - Vurgu4 2 9 3" xfId="4002"/>
    <cellStyle name="%40 - Vurgu4 3" xfId="99"/>
    <cellStyle name="%40 - Vurgu4 3 2" xfId="262"/>
    <cellStyle name="%40 - Vurgu4 3 2 2" xfId="434"/>
    <cellStyle name="%40 - Vurgu4 3 2 2 2" xfId="988"/>
    <cellStyle name="%40 - Vurgu4 3 2 2 2 2" xfId="2930"/>
    <cellStyle name="%40 - Vurgu4 3 2 2 3" xfId="1478"/>
    <cellStyle name="%40 - Vurgu4 3 2 2 3 2" xfId="3239"/>
    <cellStyle name="%40 - Vurgu4 3 2 2 4" xfId="2328"/>
    <cellStyle name="%40 - Vurgu4 3 2 2 5" xfId="4005"/>
    <cellStyle name="%40 - Vurgu4 3 2 3" xfId="574"/>
    <cellStyle name="%40 - Vurgu4 3 2 3 2" xfId="1122"/>
    <cellStyle name="%40 - Vurgu4 3 2 3 2 2" xfId="3057"/>
    <cellStyle name="%40 - Vurgu4 3 2 3 3" xfId="2329"/>
    <cellStyle name="%40 - Vurgu4 3 2 3 4" xfId="4006"/>
    <cellStyle name="%40 - Vurgu4 3 2 4" xfId="834"/>
    <cellStyle name="%40 - Vurgu4 3 2 4 2" xfId="2330"/>
    <cellStyle name="%40 - Vurgu4 3 2 4 3" xfId="4007"/>
    <cellStyle name="%40 - Vurgu4 3 2 5" xfId="1324"/>
    <cellStyle name="%40 - Vurgu4 3 2 5 2" xfId="2331"/>
    <cellStyle name="%40 - Vurgu4 3 2 5 3" xfId="4008"/>
    <cellStyle name="%40 - Vurgu4 3 2 6" xfId="2332"/>
    <cellStyle name="%40 - Vurgu4 3 2 6 2" xfId="4009"/>
    <cellStyle name="%40 - Vurgu4 3 2 7" xfId="2327"/>
    <cellStyle name="%40 - Vurgu4 3 2 8" xfId="4004"/>
    <cellStyle name="%40 - Vurgu4 3 3" xfId="355"/>
    <cellStyle name="%40 - Vurgu4 3 3 2" xfId="911"/>
    <cellStyle name="%40 - Vurgu4 3 3 2 2" xfId="2880"/>
    <cellStyle name="%40 - Vurgu4 3 3 3" xfId="1401"/>
    <cellStyle name="%40 - Vurgu4 3 3 3 2" xfId="3162"/>
    <cellStyle name="%40 - Vurgu4 3 3 4" xfId="2333"/>
    <cellStyle name="%40 - Vurgu4 3 3 5" xfId="4010"/>
    <cellStyle name="%40 - Vurgu4 3 4" xfId="573"/>
    <cellStyle name="%40 - Vurgu4 3 4 2" xfId="1121"/>
    <cellStyle name="%40 - Vurgu4 3 4 2 2" xfId="3056"/>
    <cellStyle name="%40 - Vurgu4 3 4 3" xfId="2334"/>
    <cellStyle name="%40 - Vurgu4 3 4 4" xfId="4011"/>
    <cellStyle name="%40 - Vurgu4 3 5" xfId="757"/>
    <cellStyle name="%40 - Vurgu4 3 5 2" xfId="2335"/>
    <cellStyle name="%40 - Vurgu4 3 5 3" xfId="4012"/>
    <cellStyle name="%40 - Vurgu4 3 6" xfId="1247"/>
    <cellStyle name="%40 - Vurgu4 3 6 2" xfId="2336"/>
    <cellStyle name="%40 - Vurgu4 3 6 3" xfId="4013"/>
    <cellStyle name="%40 - Vurgu4 3 7" xfId="1556"/>
    <cellStyle name="%40 - Vurgu4 3 7 2" xfId="2337"/>
    <cellStyle name="%40 - Vurgu4 3 7 3" xfId="4014"/>
    <cellStyle name="%40 - Vurgu4 3 8" xfId="2326"/>
    <cellStyle name="%40 - Vurgu4 3 9" xfId="4003"/>
    <cellStyle name="%40 - Vurgu4 4" xfId="100"/>
    <cellStyle name="%40 - Vurgu4 4 2" xfId="263"/>
    <cellStyle name="%40 - Vurgu4 4 2 2" xfId="435"/>
    <cellStyle name="%40 - Vurgu4 4 2 2 2" xfId="989"/>
    <cellStyle name="%40 - Vurgu4 4 2 2 2 2" xfId="2931"/>
    <cellStyle name="%40 - Vurgu4 4 2 2 3" xfId="1479"/>
    <cellStyle name="%40 - Vurgu4 4 2 2 3 2" xfId="3240"/>
    <cellStyle name="%40 - Vurgu4 4 2 2 4" xfId="2340"/>
    <cellStyle name="%40 - Vurgu4 4 2 2 5" xfId="4017"/>
    <cellStyle name="%40 - Vurgu4 4 2 3" xfId="576"/>
    <cellStyle name="%40 - Vurgu4 4 2 3 2" xfId="1124"/>
    <cellStyle name="%40 - Vurgu4 4 2 3 2 2" xfId="3059"/>
    <cellStyle name="%40 - Vurgu4 4 2 3 3" xfId="2341"/>
    <cellStyle name="%40 - Vurgu4 4 2 3 4" xfId="4018"/>
    <cellStyle name="%40 - Vurgu4 4 2 4" xfId="835"/>
    <cellStyle name="%40 - Vurgu4 4 2 4 2" xfId="2342"/>
    <cellStyle name="%40 - Vurgu4 4 2 4 3" xfId="4019"/>
    <cellStyle name="%40 - Vurgu4 4 2 5" xfId="1325"/>
    <cellStyle name="%40 - Vurgu4 4 2 5 2" xfId="2343"/>
    <cellStyle name="%40 - Vurgu4 4 2 5 3" xfId="4020"/>
    <cellStyle name="%40 - Vurgu4 4 2 6" xfId="2344"/>
    <cellStyle name="%40 - Vurgu4 4 2 6 2" xfId="4021"/>
    <cellStyle name="%40 - Vurgu4 4 2 7" xfId="2339"/>
    <cellStyle name="%40 - Vurgu4 4 2 8" xfId="4016"/>
    <cellStyle name="%40 - Vurgu4 4 3" xfId="356"/>
    <cellStyle name="%40 - Vurgu4 4 3 2" xfId="912"/>
    <cellStyle name="%40 - Vurgu4 4 3 2 2" xfId="2881"/>
    <cellStyle name="%40 - Vurgu4 4 3 3" xfId="1402"/>
    <cellStyle name="%40 - Vurgu4 4 3 3 2" xfId="3163"/>
    <cellStyle name="%40 - Vurgu4 4 3 4" xfId="2345"/>
    <cellStyle name="%40 - Vurgu4 4 3 5" xfId="4022"/>
    <cellStyle name="%40 - Vurgu4 4 4" xfId="575"/>
    <cellStyle name="%40 - Vurgu4 4 4 2" xfId="1123"/>
    <cellStyle name="%40 - Vurgu4 4 4 2 2" xfId="3058"/>
    <cellStyle name="%40 - Vurgu4 4 4 3" xfId="2346"/>
    <cellStyle name="%40 - Vurgu4 4 4 4" xfId="4023"/>
    <cellStyle name="%40 - Vurgu4 4 5" xfId="758"/>
    <cellStyle name="%40 - Vurgu4 4 5 2" xfId="2347"/>
    <cellStyle name="%40 - Vurgu4 4 5 3" xfId="4024"/>
    <cellStyle name="%40 - Vurgu4 4 6" xfId="1248"/>
    <cellStyle name="%40 - Vurgu4 4 6 2" xfId="2348"/>
    <cellStyle name="%40 - Vurgu4 4 6 3" xfId="4025"/>
    <cellStyle name="%40 - Vurgu4 4 7" xfId="1557"/>
    <cellStyle name="%40 - Vurgu4 4 7 2" xfId="2349"/>
    <cellStyle name="%40 - Vurgu4 4 7 3" xfId="4026"/>
    <cellStyle name="%40 - Vurgu4 4 8" xfId="2338"/>
    <cellStyle name="%40 - Vurgu4 4 9" xfId="4015"/>
    <cellStyle name="%40 - Vurgu4 5" xfId="101"/>
    <cellStyle name="%40 - Vurgu4 6" xfId="215"/>
    <cellStyle name="%40 - Vurgu4 6 2" xfId="388"/>
    <cellStyle name="%40 - Vurgu4 6 2 2" xfId="943"/>
    <cellStyle name="%40 - Vurgu4 6 2 2 2" xfId="2352"/>
    <cellStyle name="%40 - Vurgu4 6 2 2 3" xfId="4029"/>
    <cellStyle name="%40 - Vurgu4 6 2 3" xfId="1433"/>
    <cellStyle name="%40 - Vurgu4 6 2 3 2" xfId="3194"/>
    <cellStyle name="%40 - Vurgu4 6 2 4" xfId="2351"/>
    <cellStyle name="%40 - Vurgu4 6 2 5" xfId="4028"/>
    <cellStyle name="%40 - Vurgu4 6 3" xfId="577"/>
    <cellStyle name="%40 - Vurgu4 6 3 2" xfId="1125"/>
    <cellStyle name="%40 - Vurgu4 6 3 2 2" xfId="3060"/>
    <cellStyle name="%40 - Vurgu4 6 3 3" xfId="2353"/>
    <cellStyle name="%40 - Vurgu4 6 3 4" xfId="4030"/>
    <cellStyle name="%40 - Vurgu4 6 4" xfId="789"/>
    <cellStyle name="%40 - Vurgu4 6 4 2" xfId="2354"/>
    <cellStyle name="%40 - Vurgu4 6 4 3" xfId="4031"/>
    <cellStyle name="%40 - Vurgu4 6 5" xfId="1279"/>
    <cellStyle name="%40 - Vurgu4 6 5 2" xfId="2355"/>
    <cellStyle name="%40 - Vurgu4 6 5 3" xfId="4032"/>
    <cellStyle name="%40 - Vurgu4 6 6" xfId="2356"/>
    <cellStyle name="%40 - Vurgu4 6 6 2" xfId="4033"/>
    <cellStyle name="%40 - Vurgu4 6 7" xfId="2357"/>
    <cellStyle name="%40 - Vurgu4 6 7 2" xfId="4034"/>
    <cellStyle name="%40 - Vurgu4 6 8" xfId="2350"/>
    <cellStyle name="%40 - Vurgu4 6 9" xfId="4027"/>
    <cellStyle name="%40 - Vurgu4 7" xfId="312"/>
    <cellStyle name="%40 - Vurgu4 7 2" xfId="868"/>
    <cellStyle name="%40 - Vurgu4 7 2 2" xfId="2359"/>
    <cellStyle name="%40 - Vurgu4 7 2 3" xfId="4036"/>
    <cellStyle name="%40 - Vurgu4 7 3" xfId="1358"/>
    <cellStyle name="%40 - Vurgu4 7 3 2" xfId="3119"/>
    <cellStyle name="%40 - Vurgu4 7 4" xfId="2358"/>
    <cellStyle name="%40 - Vurgu4 7 5" xfId="4035"/>
    <cellStyle name="%40 - Vurgu4 8" xfId="568"/>
    <cellStyle name="%40 - Vurgu4 8 2" xfId="1116"/>
    <cellStyle name="%40 - Vurgu4 8 2 2" xfId="3051"/>
    <cellStyle name="%40 - Vurgu4 8 3" xfId="2360"/>
    <cellStyle name="%40 - Vurgu4 8 4" xfId="4037"/>
    <cellStyle name="%40 - Vurgu4 9" xfId="714"/>
    <cellStyle name="%40 - Vurgu4 9 2" xfId="2361"/>
    <cellStyle name="%40 - Vurgu4 9 3" xfId="4038"/>
    <cellStyle name="%40 - Vurgu5" xfId="35" builtinId="47" customBuiltin="1"/>
    <cellStyle name="%40 - Vurgu5 10" xfId="1206"/>
    <cellStyle name="%40 - Vurgu5 10 2" xfId="2363"/>
    <cellStyle name="%40 - Vurgu5 10 3" xfId="4040"/>
    <cellStyle name="%40 - Vurgu5 11" xfId="1514"/>
    <cellStyle name="%40 - Vurgu5 11 2" xfId="2364"/>
    <cellStyle name="%40 - Vurgu5 11 3" xfId="4041"/>
    <cellStyle name="%40 - Vurgu5 12" xfId="2362"/>
    <cellStyle name="%40 - Vurgu5 13" xfId="4039"/>
    <cellStyle name="%40 - Vurgu5 2" xfId="102"/>
    <cellStyle name="%40 - Vurgu5 2 10" xfId="2365"/>
    <cellStyle name="%40 - Vurgu5 2 11" xfId="4042"/>
    <cellStyle name="%40 - Vurgu5 2 2" xfId="103"/>
    <cellStyle name="%40 - Vurgu5 2 2 2" xfId="265"/>
    <cellStyle name="%40 - Vurgu5 2 2 2 2" xfId="437"/>
    <cellStyle name="%40 - Vurgu5 2 2 2 2 2" xfId="991"/>
    <cellStyle name="%40 - Vurgu5 2 2 2 2 2 2" xfId="2932"/>
    <cellStyle name="%40 - Vurgu5 2 2 2 2 3" xfId="1481"/>
    <cellStyle name="%40 - Vurgu5 2 2 2 2 3 2" xfId="3242"/>
    <cellStyle name="%40 - Vurgu5 2 2 2 2 4" xfId="2368"/>
    <cellStyle name="%40 - Vurgu5 2 2 2 2 5" xfId="4045"/>
    <cellStyle name="%40 - Vurgu5 2 2 2 3" xfId="581"/>
    <cellStyle name="%40 - Vurgu5 2 2 2 3 2" xfId="1129"/>
    <cellStyle name="%40 - Vurgu5 2 2 2 3 2 2" xfId="3064"/>
    <cellStyle name="%40 - Vurgu5 2 2 2 3 3" xfId="2369"/>
    <cellStyle name="%40 - Vurgu5 2 2 2 3 4" xfId="4046"/>
    <cellStyle name="%40 - Vurgu5 2 2 2 4" xfId="837"/>
    <cellStyle name="%40 - Vurgu5 2 2 2 4 2" xfId="2370"/>
    <cellStyle name="%40 - Vurgu5 2 2 2 4 3" xfId="4047"/>
    <cellStyle name="%40 - Vurgu5 2 2 2 5" xfId="1327"/>
    <cellStyle name="%40 - Vurgu5 2 2 2 5 2" xfId="2371"/>
    <cellStyle name="%40 - Vurgu5 2 2 2 5 3" xfId="4048"/>
    <cellStyle name="%40 - Vurgu5 2 2 2 6" xfId="2372"/>
    <cellStyle name="%40 - Vurgu5 2 2 2 6 2" xfId="4049"/>
    <cellStyle name="%40 - Vurgu5 2 2 2 7" xfId="2367"/>
    <cellStyle name="%40 - Vurgu5 2 2 2 8" xfId="4044"/>
    <cellStyle name="%40 - Vurgu5 2 2 3" xfId="358"/>
    <cellStyle name="%40 - Vurgu5 2 2 3 2" xfId="914"/>
    <cellStyle name="%40 - Vurgu5 2 2 3 2 2" xfId="2882"/>
    <cellStyle name="%40 - Vurgu5 2 2 3 3" xfId="1404"/>
    <cellStyle name="%40 - Vurgu5 2 2 3 3 2" xfId="3165"/>
    <cellStyle name="%40 - Vurgu5 2 2 3 4" xfId="2373"/>
    <cellStyle name="%40 - Vurgu5 2 2 3 5" xfId="4050"/>
    <cellStyle name="%40 - Vurgu5 2 2 4" xfId="580"/>
    <cellStyle name="%40 - Vurgu5 2 2 4 2" xfId="1128"/>
    <cellStyle name="%40 - Vurgu5 2 2 4 2 2" xfId="3063"/>
    <cellStyle name="%40 - Vurgu5 2 2 4 3" xfId="2374"/>
    <cellStyle name="%40 - Vurgu5 2 2 4 4" xfId="4051"/>
    <cellStyle name="%40 - Vurgu5 2 2 5" xfId="760"/>
    <cellStyle name="%40 - Vurgu5 2 2 5 2" xfId="2375"/>
    <cellStyle name="%40 - Vurgu5 2 2 5 3" xfId="4052"/>
    <cellStyle name="%40 - Vurgu5 2 2 6" xfId="1250"/>
    <cellStyle name="%40 - Vurgu5 2 2 6 2" xfId="2376"/>
    <cellStyle name="%40 - Vurgu5 2 2 6 3" xfId="4053"/>
    <cellStyle name="%40 - Vurgu5 2 2 7" xfId="1559"/>
    <cellStyle name="%40 - Vurgu5 2 2 7 2" xfId="2377"/>
    <cellStyle name="%40 - Vurgu5 2 2 7 3" xfId="4054"/>
    <cellStyle name="%40 - Vurgu5 2 2 8" xfId="2366"/>
    <cellStyle name="%40 - Vurgu5 2 2 9" xfId="4043"/>
    <cellStyle name="%40 - Vurgu5 2 3" xfId="104"/>
    <cellStyle name="%40 - Vurgu5 2 4" xfId="264"/>
    <cellStyle name="%40 - Vurgu5 2 4 2" xfId="436"/>
    <cellStyle name="%40 - Vurgu5 2 4 2 2" xfId="990"/>
    <cellStyle name="%40 - Vurgu5 2 4 2 2 2" xfId="2380"/>
    <cellStyle name="%40 - Vurgu5 2 4 2 2 3" xfId="4057"/>
    <cellStyle name="%40 - Vurgu5 2 4 2 3" xfId="1480"/>
    <cellStyle name="%40 - Vurgu5 2 4 2 3 2" xfId="3241"/>
    <cellStyle name="%40 - Vurgu5 2 4 2 4" xfId="2379"/>
    <cellStyle name="%40 - Vurgu5 2 4 2 5" xfId="4056"/>
    <cellStyle name="%40 - Vurgu5 2 4 3" xfId="582"/>
    <cellStyle name="%40 - Vurgu5 2 4 3 2" xfId="1130"/>
    <cellStyle name="%40 - Vurgu5 2 4 3 2 2" xfId="3065"/>
    <cellStyle name="%40 - Vurgu5 2 4 3 3" xfId="2381"/>
    <cellStyle name="%40 - Vurgu5 2 4 3 4" xfId="4058"/>
    <cellStyle name="%40 - Vurgu5 2 4 4" xfId="836"/>
    <cellStyle name="%40 - Vurgu5 2 4 4 2" xfId="2382"/>
    <cellStyle name="%40 - Vurgu5 2 4 4 3" xfId="4059"/>
    <cellStyle name="%40 - Vurgu5 2 4 5" xfId="1326"/>
    <cellStyle name="%40 - Vurgu5 2 4 5 2" xfId="2383"/>
    <cellStyle name="%40 - Vurgu5 2 4 5 3" xfId="4060"/>
    <cellStyle name="%40 - Vurgu5 2 4 6" xfId="2384"/>
    <cellStyle name="%40 - Vurgu5 2 4 6 2" xfId="4061"/>
    <cellStyle name="%40 - Vurgu5 2 4 7" xfId="2385"/>
    <cellStyle name="%40 - Vurgu5 2 4 7 2" xfId="4062"/>
    <cellStyle name="%40 - Vurgu5 2 4 8" xfId="2378"/>
    <cellStyle name="%40 - Vurgu5 2 4 9" xfId="4055"/>
    <cellStyle name="%40 - Vurgu5 2 5" xfId="357"/>
    <cellStyle name="%40 - Vurgu5 2 5 2" xfId="913"/>
    <cellStyle name="%40 - Vurgu5 2 5 2 2" xfId="2387"/>
    <cellStyle name="%40 - Vurgu5 2 5 2 3" xfId="4064"/>
    <cellStyle name="%40 - Vurgu5 2 5 3" xfId="1403"/>
    <cellStyle name="%40 - Vurgu5 2 5 3 2" xfId="3164"/>
    <cellStyle name="%40 - Vurgu5 2 5 4" xfId="2386"/>
    <cellStyle name="%40 - Vurgu5 2 5 5" xfId="4063"/>
    <cellStyle name="%40 - Vurgu5 2 6" xfId="579"/>
    <cellStyle name="%40 - Vurgu5 2 6 2" xfId="1127"/>
    <cellStyle name="%40 - Vurgu5 2 6 2 2" xfId="3062"/>
    <cellStyle name="%40 - Vurgu5 2 6 3" xfId="2388"/>
    <cellStyle name="%40 - Vurgu5 2 6 4" xfId="4065"/>
    <cellStyle name="%40 - Vurgu5 2 7" xfId="759"/>
    <cellStyle name="%40 - Vurgu5 2 7 2" xfId="2389"/>
    <cellStyle name="%40 - Vurgu5 2 7 3" xfId="4066"/>
    <cellStyle name="%40 - Vurgu5 2 8" xfId="1249"/>
    <cellStyle name="%40 - Vurgu5 2 8 2" xfId="2390"/>
    <cellStyle name="%40 - Vurgu5 2 8 3" xfId="4067"/>
    <cellStyle name="%40 - Vurgu5 2 9" xfId="1558"/>
    <cellStyle name="%40 - Vurgu5 2 9 2" xfId="2391"/>
    <cellStyle name="%40 - Vurgu5 2 9 3" xfId="4068"/>
    <cellStyle name="%40 - Vurgu5 3" xfId="105"/>
    <cellStyle name="%40 - Vurgu5 3 2" xfId="266"/>
    <cellStyle name="%40 - Vurgu5 3 2 2" xfId="438"/>
    <cellStyle name="%40 - Vurgu5 3 2 2 2" xfId="992"/>
    <cellStyle name="%40 - Vurgu5 3 2 2 2 2" xfId="2933"/>
    <cellStyle name="%40 - Vurgu5 3 2 2 3" xfId="1482"/>
    <cellStyle name="%40 - Vurgu5 3 2 2 3 2" xfId="3243"/>
    <cellStyle name="%40 - Vurgu5 3 2 2 4" xfId="2394"/>
    <cellStyle name="%40 - Vurgu5 3 2 2 5" xfId="4071"/>
    <cellStyle name="%40 - Vurgu5 3 2 3" xfId="584"/>
    <cellStyle name="%40 - Vurgu5 3 2 3 2" xfId="1132"/>
    <cellStyle name="%40 - Vurgu5 3 2 3 2 2" xfId="3067"/>
    <cellStyle name="%40 - Vurgu5 3 2 3 3" xfId="2395"/>
    <cellStyle name="%40 - Vurgu5 3 2 3 4" xfId="4072"/>
    <cellStyle name="%40 - Vurgu5 3 2 4" xfId="838"/>
    <cellStyle name="%40 - Vurgu5 3 2 4 2" xfId="2396"/>
    <cellStyle name="%40 - Vurgu5 3 2 4 3" xfId="4073"/>
    <cellStyle name="%40 - Vurgu5 3 2 5" xfId="1328"/>
    <cellStyle name="%40 - Vurgu5 3 2 5 2" xfId="2397"/>
    <cellStyle name="%40 - Vurgu5 3 2 5 3" xfId="4074"/>
    <cellStyle name="%40 - Vurgu5 3 2 6" xfId="2398"/>
    <cellStyle name="%40 - Vurgu5 3 2 6 2" xfId="4075"/>
    <cellStyle name="%40 - Vurgu5 3 2 7" xfId="2393"/>
    <cellStyle name="%40 - Vurgu5 3 2 8" xfId="4070"/>
    <cellStyle name="%40 - Vurgu5 3 3" xfId="359"/>
    <cellStyle name="%40 - Vurgu5 3 3 2" xfId="915"/>
    <cellStyle name="%40 - Vurgu5 3 3 2 2" xfId="2883"/>
    <cellStyle name="%40 - Vurgu5 3 3 3" xfId="1405"/>
    <cellStyle name="%40 - Vurgu5 3 3 3 2" xfId="3166"/>
    <cellStyle name="%40 - Vurgu5 3 3 4" xfId="2399"/>
    <cellStyle name="%40 - Vurgu5 3 3 5" xfId="4076"/>
    <cellStyle name="%40 - Vurgu5 3 4" xfId="583"/>
    <cellStyle name="%40 - Vurgu5 3 4 2" xfId="1131"/>
    <cellStyle name="%40 - Vurgu5 3 4 2 2" xfId="3066"/>
    <cellStyle name="%40 - Vurgu5 3 4 3" xfId="2400"/>
    <cellStyle name="%40 - Vurgu5 3 4 4" xfId="4077"/>
    <cellStyle name="%40 - Vurgu5 3 5" xfId="761"/>
    <cellStyle name="%40 - Vurgu5 3 5 2" xfId="2401"/>
    <cellStyle name="%40 - Vurgu5 3 5 3" xfId="4078"/>
    <cellStyle name="%40 - Vurgu5 3 6" xfId="1251"/>
    <cellStyle name="%40 - Vurgu5 3 6 2" xfId="2402"/>
    <cellStyle name="%40 - Vurgu5 3 6 3" xfId="4079"/>
    <cellStyle name="%40 - Vurgu5 3 7" xfId="1560"/>
    <cellStyle name="%40 - Vurgu5 3 7 2" xfId="2403"/>
    <cellStyle name="%40 - Vurgu5 3 7 3" xfId="4080"/>
    <cellStyle name="%40 - Vurgu5 3 8" xfId="2392"/>
    <cellStyle name="%40 - Vurgu5 3 9" xfId="4069"/>
    <cellStyle name="%40 - Vurgu5 4" xfId="106"/>
    <cellStyle name="%40 - Vurgu5 4 2" xfId="267"/>
    <cellStyle name="%40 - Vurgu5 4 2 2" xfId="439"/>
    <cellStyle name="%40 - Vurgu5 4 2 2 2" xfId="993"/>
    <cellStyle name="%40 - Vurgu5 4 2 2 2 2" xfId="2934"/>
    <cellStyle name="%40 - Vurgu5 4 2 2 3" xfId="1483"/>
    <cellStyle name="%40 - Vurgu5 4 2 2 3 2" xfId="3244"/>
    <cellStyle name="%40 - Vurgu5 4 2 2 4" xfId="2406"/>
    <cellStyle name="%40 - Vurgu5 4 2 2 5" xfId="4083"/>
    <cellStyle name="%40 - Vurgu5 4 2 3" xfId="586"/>
    <cellStyle name="%40 - Vurgu5 4 2 3 2" xfId="1134"/>
    <cellStyle name="%40 - Vurgu5 4 2 3 2 2" xfId="3069"/>
    <cellStyle name="%40 - Vurgu5 4 2 3 3" xfId="2407"/>
    <cellStyle name="%40 - Vurgu5 4 2 3 4" xfId="4084"/>
    <cellStyle name="%40 - Vurgu5 4 2 4" xfId="839"/>
    <cellStyle name="%40 - Vurgu5 4 2 4 2" xfId="2408"/>
    <cellStyle name="%40 - Vurgu5 4 2 4 3" xfId="4085"/>
    <cellStyle name="%40 - Vurgu5 4 2 5" xfId="1329"/>
    <cellStyle name="%40 - Vurgu5 4 2 5 2" xfId="2409"/>
    <cellStyle name="%40 - Vurgu5 4 2 5 3" xfId="4086"/>
    <cellStyle name="%40 - Vurgu5 4 2 6" xfId="2410"/>
    <cellStyle name="%40 - Vurgu5 4 2 6 2" xfId="4087"/>
    <cellStyle name="%40 - Vurgu5 4 2 7" xfId="2405"/>
    <cellStyle name="%40 - Vurgu5 4 2 8" xfId="4082"/>
    <cellStyle name="%40 - Vurgu5 4 3" xfId="360"/>
    <cellStyle name="%40 - Vurgu5 4 3 2" xfId="916"/>
    <cellStyle name="%40 - Vurgu5 4 3 2 2" xfId="2884"/>
    <cellStyle name="%40 - Vurgu5 4 3 3" xfId="1406"/>
    <cellStyle name="%40 - Vurgu5 4 3 3 2" xfId="3167"/>
    <cellStyle name="%40 - Vurgu5 4 3 4" xfId="2411"/>
    <cellStyle name="%40 - Vurgu5 4 3 5" xfId="4088"/>
    <cellStyle name="%40 - Vurgu5 4 4" xfId="585"/>
    <cellStyle name="%40 - Vurgu5 4 4 2" xfId="1133"/>
    <cellStyle name="%40 - Vurgu5 4 4 2 2" xfId="3068"/>
    <cellStyle name="%40 - Vurgu5 4 4 3" xfId="2412"/>
    <cellStyle name="%40 - Vurgu5 4 4 4" xfId="4089"/>
    <cellStyle name="%40 - Vurgu5 4 5" xfId="762"/>
    <cellStyle name="%40 - Vurgu5 4 5 2" xfId="2413"/>
    <cellStyle name="%40 - Vurgu5 4 5 3" xfId="4090"/>
    <cellStyle name="%40 - Vurgu5 4 6" xfId="1252"/>
    <cellStyle name="%40 - Vurgu5 4 6 2" xfId="2414"/>
    <cellStyle name="%40 - Vurgu5 4 6 3" xfId="4091"/>
    <cellStyle name="%40 - Vurgu5 4 7" xfId="1561"/>
    <cellStyle name="%40 - Vurgu5 4 7 2" xfId="2415"/>
    <cellStyle name="%40 - Vurgu5 4 7 3" xfId="4092"/>
    <cellStyle name="%40 - Vurgu5 4 8" xfId="2404"/>
    <cellStyle name="%40 - Vurgu5 4 9" xfId="4081"/>
    <cellStyle name="%40 - Vurgu5 5" xfId="107"/>
    <cellStyle name="%40 - Vurgu5 6" xfId="217"/>
    <cellStyle name="%40 - Vurgu5 6 2" xfId="390"/>
    <cellStyle name="%40 - Vurgu5 6 2 2" xfId="945"/>
    <cellStyle name="%40 - Vurgu5 6 2 2 2" xfId="2418"/>
    <cellStyle name="%40 - Vurgu5 6 2 2 3" xfId="4095"/>
    <cellStyle name="%40 - Vurgu5 6 2 3" xfId="1435"/>
    <cellStyle name="%40 - Vurgu5 6 2 3 2" xfId="3196"/>
    <cellStyle name="%40 - Vurgu5 6 2 4" xfId="2417"/>
    <cellStyle name="%40 - Vurgu5 6 2 5" xfId="4094"/>
    <cellStyle name="%40 - Vurgu5 6 3" xfId="587"/>
    <cellStyle name="%40 - Vurgu5 6 3 2" xfId="1135"/>
    <cellStyle name="%40 - Vurgu5 6 3 2 2" xfId="3070"/>
    <cellStyle name="%40 - Vurgu5 6 3 3" xfId="2419"/>
    <cellStyle name="%40 - Vurgu5 6 3 4" xfId="4096"/>
    <cellStyle name="%40 - Vurgu5 6 4" xfId="791"/>
    <cellStyle name="%40 - Vurgu5 6 4 2" xfId="2420"/>
    <cellStyle name="%40 - Vurgu5 6 4 3" xfId="4097"/>
    <cellStyle name="%40 - Vurgu5 6 5" xfId="1281"/>
    <cellStyle name="%40 - Vurgu5 6 5 2" xfId="2421"/>
    <cellStyle name="%40 - Vurgu5 6 5 3" xfId="4098"/>
    <cellStyle name="%40 - Vurgu5 6 6" xfId="2422"/>
    <cellStyle name="%40 - Vurgu5 6 6 2" xfId="4099"/>
    <cellStyle name="%40 - Vurgu5 6 7" xfId="2423"/>
    <cellStyle name="%40 - Vurgu5 6 7 2" xfId="4100"/>
    <cellStyle name="%40 - Vurgu5 6 8" xfId="2416"/>
    <cellStyle name="%40 - Vurgu5 6 9" xfId="4093"/>
    <cellStyle name="%40 - Vurgu5 7" xfId="314"/>
    <cellStyle name="%40 - Vurgu5 7 2" xfId="870"/>
    <cellStyle name="%40 - Vurgu5 7 2 2" xfId="2425"/>
    <cellStyle name="%40 - Vurgu5 7 2 3" xfId="4102"/>
    <cellStyle name="%40 - Vurgu5 7 3" xfId="1360"/>
    <cellStyle name="%40 - Vurgu5 7 3 2" xfId="3121"/>
    <cellStyle name="%40 - Vurgu5 7 4" xfId="2424"/>
    <cellStyle name="%40 - Vurgu5 7 5" xfId="4101"/>
    <cellStyle name="%40 - Vurgu5 8" xfId="578"/>
    <cellStyle name="%40 - Vurgu5 8 2" xfId="1126"/>
    <cellStyle name="%40 - Vurgu5 8 2 2" xfId="3061"/>
    <cellStyle name="%40 - Vurgu5 8 3" xfId="2426"/>
    <cellStyle name="%40 - Vurgu5 8 4" xfId="4103"/>
    <cellStyle name="%40 - Vurgu5 9" xfId="716"/>
    <cellStyle name="%40 - Vurgu5 9 2" xfId="2427"/>
    <cellStyle name="%40 - Vurgu5 9 3" xfId="4104"/>
    <cellStyle name="%40 - Vurgu6" xfId="39" builtinId="51" customBuiltin="1"/>
    <cellStyle name="%40 - Vurgu6 10" xfId="1208"/>
    <cellStyle name="%40 - Vurgu6 10 2" xfId="2429"/>
    <cellStyle name="%40 - Vurgu6 10 3" xfId="4106"/>
    <cellStyle name="%40 - Vurgu6 11" xfId="1516"/>
    <cellStyle name="%40 - Vurgu6 11 2" xfId="2430"/>
    <cellStyle name="%40 - Vurgu6 11 3" xfId="4107"/>
    <cellStyle name="%40 - Vurgu6 12" xfId="2428"/>
    <cellStyle name="%40 - Vurgu6 13" xfId="4105"/>
    <cellStyle name="%40 - Vurgu6 2" xfId="108"/>
    <cellStyle name="%40 - Vurgu6 2 10" xfId="2431"/>
    <cellStyle name="%40 - Vurgu6 2 11" xfId="4108"/>
    <cellStyle name="%40 - Vurgu6 2 2" xfId="109"/>
    <cellStyle name="%40 - Vurgu6 2 2 2" xfId="269"/>
    <cellStyle name="%40 - Vurgu6 2 2 2 2" xfId="441"/>
    <cellStyle name="%40 - Vurgu6 2 2 2 2 2" xfId="995"/>
    <cellStyle name="%40 - Vurgu6 2 2 2 2 2 2" xfId="2935"/>
    <cellStyle name="%40 - Vurgu6 2 2 2 2 3" xfId="1485"/>
    <cellStyle name="%40 - Vurgu6 2 2 2 2 3 2" xfId="3246"/>
    <cellStyle name="%40 - Vurgu6 2 2 2 2 4" xfId="2434"/>
    <cellStyle name="%40 - Vurgu6 2 2 2 2 5" xfId="4111"/>
    <cellStyle name="%40 - Vurgu6 2 2 2 3" xfId="591"/>
    <cellStyle name="%40 - Vurgu6 2 2 2 3 2" xfId="1139"/>
    <cellStyle name="%40 - Vurgu6 2 2 2 3 2 2" xfId="3074"/>
    <cellStyle name="%40 - Vurgu6 2 2 2 3 3" xfId="2435"/>
    <cellStyle name="%40 - Vurgu6 2 2 2 3 4" xfId="4112"/>
    <cellStyle name="%40 - Vurgu6 2 2 2 4" xfId="841"/>
    <cellStyle name="%40 - Vurgu6 2 2 2 4 2" xfId="2436"/>
    <cellStyle name="%40 - Vurgu6 2 2 2 4 3" xfId="4113"/>
    <cellStyle name="%40 - Vurgu6 2 2 2 5" xfId="1331"/>
    <cellStyle name="%40 - Vurgu6 2 2 2 5 2" xfId="2437"/>
    <cellStyle name="%40 - Vurgu6 2 2 2 5 3" xfId="4114"/>
    <cellStyle name="%40 - Vurgu6 2 2 2 6" xfId="2438"/>
    <cellStyle name="%40 - Vurgu6 2 2 2 6 2" xfId="4115"/>
    <cellStyle name="%40 - Vurgu6 2 2 2 7" xfId="2433"/>
    <cellStyle name="%40 - Vurgu6 2 2 2 8" xfId="4110"/>
    <cellStyle name="%40 - Vurgu6 2 2 3" xfId="362"/>
    <cellStyle name="%40 - Vurgu6 2 2 3 2" xfId="918"/>
    <cellStyle name="%40 - Vurgu6 2 2 3 2 2" xfId="2885"/>
    <cellStyle name="%40 - Vurgu6 2 2 3 3" xfId="1408"/>
    <cellStyle name="%40 - Vurgu6 2 2 3 3 2" xfId="3169"/>
    <cellStyle name="%40 - Vurgu6 2 2 3 4" xfId="2439"/>
    <cellStyle name="%40 - Vurgu6 2 2 3 5" xfId="4116"/>
    <cellStyle name="%40 - Vurgu6 2 2 4" xfId="590"/>
    <cellStyle name="%40 - Vurgu6 2 2 4 2" xfId="1138"/>
    <cellStyle name="%40 - Vurgu6 2 2 4 2 2" xfId="3073"/>
    <cellStyle name="%40 - Vurgu6 2 2 4 3" xfId="2440"/>
    <cellStyle name="%40 - Vurgu6 2 2 4 4" xfId="4117"/>
    <cellStyle name="%40 - Vurgu6 2 2 5" xfId="764"/>
    <cellStyle name="%40 - Vurgu6 2 2 5 2" xfId="2441"/>
    <cellStyle name="%40 - Vurgu6 2 2 5 3" xfId="4118"/>
    <cellStyle name="%40 - Vurgu6 2 2 6" xfId="1254"/>
    <cellStyle name="%40 - Vurgu6 2 2 6 2" xfId="2442"/>
    <cellStyle name="%40 - Vurgu6 2 2 6 3" xfId="4119"/>
    <cellStyle name="%40 - Vurgu6 2 2 7" xfId="1563"/>
    <cellStyle name="%40 - Vurgu6 2 2 7 2" xfId="2443"/>
    <cellStyle name="%40 - Vurgu6 2 2 7 3" xfId="4120"/>
    <cellStyle name="%40 - Vurgu6 2 2 8" xfId="2432"/>
    <cellStyle name="%40 - Vurgu6 2 2 9" xfId="4109"/>
    <cellStyle name="%40 - Vurgu6 2 3" xfId="110"/>
    <cellStyle name="%40 - Vurgu6 2 4" xfId="268"/>
    <cellStyle name="%40 - Vurgu6 2 4 2" xfId="440"/>
    <cellStyle name="%40 - Vurgu6 2 4 2 2" xfId="994"/>
    <cellStyle name="%40 - Vurgu6 2 4 2 2 2" xfId="2446"/>
    <cellStyle name="%40 - Vurgu6 2 4 2 2 3" xfId="4123"/>
    <cellStyle name="%40 - Vurgu6 2 4 2 3" xfId="1484"/>
    <cellStyle name="%40 - Vurgu6 2 4 2 3 2" xfId="3245"/>
    <cellStyle name="%40 - Vurgu6 2 4 2 4" xfId="2445"/>
    <cellStyle name="%40 - Vurgu6 2 4 2 5" xfId="4122"/>
    <cellStyle name="%40 - Vurgu6 2 4 3" xfId="592"/>
    <cellStyle name="%40 - Vurgu6 2 4 3 2" xfId="1140"/>
    <cellStyle name="%40 - Vurgu6 2 4 3 2 2" xfId="3075"/>
    <cellStyle name="%40 - Vurgu6 2 4 3 3" xfId="2447"/>
    <cellStyle name="%40 - Vurgu6 2 4 3 4" xfId="4124"/>
    <cellStyle name="%40 - Vurgu6 2 4 4" xfId="840"/>
    <cellStyle name="%40 - Vurgu6 2 4 4 2" xfId="2448"/>
    <cellStyle name="%40 - Vurgu6 2 4 4 3" xfId="4125"/>
    <cellStyle name="%40 - Vurgu6 2 4 5" xfId="1330"/>
    <cellStyle name="%40 - Vurgu6 2 4 5 2" xfId="2449"/>
    <cellStyle name="%40 - Vurgu6 2 4 5 3" xfId="4126"/>
    <cellStyle name="%40 - Vurgu6 2 4 6" xfId="2450"/>
    <cellStyle name="%40 - Vurgu6 2 4 6 2" xfId="4127"/>
    <cellStyle name="%40 - Vurgu6 2 4 7" xfId="2451"/>
    <cellStyle name="%40 - Vurgu6 2 4 7 2" xfId="4128"/>
    <cellStyle name="%40 - Vurgu6 2 4 8" xfId="2444"/>
    <cellStyle name="%40 - Vurgu6 2 4 9" xfId="4121"/>
    <cellStyle name="%40 - Vurgu6 2 5" xfId="361"/>
    <cellStyle name="%40 - Vurgu6 2 5 2" xfId="917"/>
    <cellStyle name="%40 - Vurgu6 2 5 2 2" xfId="2453"/>
    <cellStyle name="%40 - Vurgu6 2 5 2 3" xfId="4130"/>
    <cellStyle name="%40 - Vurgu6 2 5 3" xfId="1407"/>
    <cellStyle name="%40 - Vurgu6 2 5 3 2" xfId="3168"/>
    <cellStyle name="%40 - Vurgu6 2 5 4" xfId="2452"/>
    <cellStyle name="%40 - Vurgu6 2 5 5" xfId="4129"/>
    <cellStyle name="%40 - Vurgu6 2 6" xfId="589"/>
    <cellStyle name="%40 - Vurgu6 2 6 2" xfId="1137"/>
    <cellStyle name="%40 - Vurgu6 2 6 2 2" xfId="3072"/>
    <cellStyle name="%40 - Vurgu6 2 6 3" xfId="2454"/>
    <cellStyle name="%40 - Vurgu6 2 6 4" xfId="4131"/>
    <cellStyle name="%40 - Vurgu6 2 7" xfId="763"/>
    <cellStyle name="%40 - Vurgu6 2 7 2" xfId="2455"/>
    <cellStyle name="%40 - Vurgu6 2 7 3" xfId="4132"/>
    <cellStyle name="%40 - Vurgu6 2 8" xfId="1253"/>
    <cellStyle name="%40 - Vurgu6 2 8 2" xfId="2456"/>
    <cellStyle name="%40 - Vurgu6 2 8 3" xfId="4133"/>
    <cellStyle name="%40 - Vurgu6 2 9" xfId="1562"/>
    <cellStyle name="%40 - Vurgu6 2 9 2" xfId="2457"/>
    <cellStyle name="%40 - Vurgu6 2 9 3" xfId="4134"/>
    <cellStyle name="%40 - Vurgu6 3" xfId="111"/>
    <cellStyle name="%40 - Vurgu6 3 2" xfId="270"/>
    <cellStyle name="%40 - Vurgu6 3 2 2" xfId="442"/>
    <cellStyle name="%40 - Vurgu6 3 2 2 2" xfId="996"/>
    <cellStyle name="%40 - Vurgu6 3 2 2 2 2" xfId="2936"/>
    <cellStyle name="%40 - Vurgu6 3 2 2 3" xfId="1486"/>
    <cellStyle name="%40 - Vurgu6 3 2 2 3 2" xfId="3247"/>
    <cellStyle name="%40 - Vurgu6 3 2 2 4" xfId="2460"/>
    <cellStyle name="%40 - Vurgu6 3 2 2 5" xfId="4137"/>
    <cellStyle name="%40 - Vurgu6 3 2 3" xfId="594"/>
    <cellStyle name="%40 - Vurgu6 3 2 3 2" xfId="1142"/>
    <cellStyle name="%40 - Vurgu6 3 2 3 2 2" xfId="3077"/>
    <cellStyle name="%40 - Vurgu6 3 2 3 3" xfId="2461"/>
    <cellStyle name="%40 - Vurgu6 3 2 3 4" xfId="4138"/>
    <cellStyle name="%40 - Vurgu6 3 2 4" xfId="842"/>
    <cellStyle name="%40 - Vurgu6 3 2 4 2" xfId="2462"/>
    <cellStyle name="%40 - Vurgu6 3 2 4 3" xfId="4139"/>
    <cellStyle name="%40 - Vurgu6 3 2 5" xfId="1332"/>
    <cellStyle name="%40 - Vurgu6 3 2 5 2" xfId="2463"/>
    <cellStyle name="%40 - Vurgu6 3 2 5 3" xfId="4140"/>
    <cellStyle name="%40 - Vurgu6 3 2 6" xfId="2464"/>
    <cellStyle name="%40 - Vurgu6 3 2 6 2" xfId="4141"/>
    <cellStyle name="%40 - Vurgu6 3 2 7" xfId="2459"/>
    <cellStyle name="%40 - Vurgu6 3 2 8" xfId="4136"/>
    <cellStyle name="%40 - Vurgu6 3 3" xfId="363"/>
    <cellStyle name="%40 - Vurgu6 3 3 2" xfId="919"/>
    <cellStyle name="%40 - Vurgu6 3 3 2 2" xfId="2886"/>
    <cellStyle name="%40 - Vurgu6 3 3 3" xfId="1409"/>
    <cellStyle name="%40 - Vurgu6 3 3 3 2" xfId="3170"/>
    <cellStyle name="%40 - Vurgu6 3 3 4" xfId="2465"/>
    <cellStyle name="%40 - Vurgu6 3 3 5" xfId="4142"/>
    <cellStyle name="%40 - Vurgu6 3 4" xfId="593"/>
    <cellStyle name="%40 - Vurgu6 3 4 2" xfId="1141"/>
    <cellStyle name="%40 - Vurgu6 3 4 2 2" xfId="3076"/>
    <cellStyle name="%40 - Vurgu6 3 4 3" xfId="2466"/>
    <cellStyle name="%40 - Vurgu6 3 4 4" xfId="4143"/>
    <cellStyle name="%40 - Vurgu6 3 5" xfId="765"/>
    <cellStyle name="%40 - Vurgu6 3 5 2" xfId="2467"/>
    <cellStyle name="%40 - Vurgu6 3 5 3" xfId="4144"/>
    <cellStyle name="%40 - Vurgu6 3 6" xfId="1255"/>
    <cellStyle name="%40 - Vurgu6 3 6 2" xfId="2468"/>
    <cellStyle name="%40 - Vurgu6 3 6 3" xfId="4145"/>
    <cellStyle name="%40 - Vurgu6 3 7" xfId="1564"/>
    <cellStyle name="%40 - Vurgu6 3 7 2" xfId="2469"/>
    <cellStyle name="%40 - Vurgu6 3 7 3" xfId="4146"/>
    <cellStyle name="%40 - Vurgu6 3 8" xfId="2458"/>
    <cellStyle name="%40 - Vurgu6 3 9" xfId="4135"/>
    <cellStyle name="%40 - Vurgu6 4" xfId="112"/>
    <cellStyle name="%40 - Vurgu6 4 2" xfId="271"/>
    <cellStyle name="%40 - Vurgu6 4 2 2" xfId="443"/>
    <cellStyle name="%40 - Vurgu6 4 2 2 2" xfId="997"/>
    <cellStyle name="%40 - Vurgu6 4 2 2 2 2" xfId="2937"/>
    <cellStyle name="%40 - Vurgu6 4 2 2 3" xfId="1487"/>
    <cellStyle name="%40 - Vurgu6 4 2 2 3 2" xfId="3248"/>
    <cellStyle name="%40 - Vurgu6 4 2 2 4" xfId="2472"/>
    <cellStyle name="%40 - Vurgu6 4 2 2 5" xfId="4149"/>
    <cellStyle name="%40 - Vurgu6 4 2 3" xfId="596"/>
    <cellStyle name="%40 - Vurgu6 4 2 3 2" xfId="1144"/>
    <cellStyle name="%40 - Vurgu6 4 2 3 2 2" xfId="3079"/>
    <cellStyle name="%40 - Vurgu6 4 2 3 3" xfId="2473"/>
    <cellStyle name="%40 - Vurgu6 4 2 3 4" xfId="4150"/>
    <cellStyle name="%40 - Vurgu6 4 2 4" xfId="843"/>
    <cellStyle name="%40 - Vurgu6 4 2 4 2" xfId="2474"/>
    <cellStyle name="%40 - Vurgu6 4 2 4 3" xfId="4151"/>
    <cellStyle name="%40 - Vurgu6 4 2 5" xfId="1333"/>
    <cellStyle name="%40 - Vurgu6 4 2 5 2" xfId="2475"/>
    <cellStyle name="%40 - Vurgu6 4 2 5 3" xfId="4152"/>
    <cellStyle name="%40 - Vurgu6 4 2 6" xfId="2476"/>
    <cellStyle name="%40 - Vurgu6 4 2 6 2" xfId="4153"/>
    <cellStyle name="%40 - Vurgu6 4 2 7" xfId="2471"/>
    <cellStyle name="%40 - Vurgu6 4 2 8" xfId="4148"/>
    <cellStyle name="%40 - Vurgu6 4 3" xfId="364"/>
    <cellStyle name="%40 - Vurgu6 4 3 2" xfId="920"/>
    <cellStyle name="%40 - Vurgu6 4 3 2 2" xfId="2887"/>
    <cellStyle name="%40 - Vurgu6 4 3 3" xfId="1410"/>
    <cellStyle name="%40 - Vurgu6 4 3 3 2" xfId="3171"/>
    <cellStyle name="%40 - Vurgu6 4 3 4" xfId="2477"/>
    <cellStyle name="%40 - Vurgu6 4 3 5" xfId="4154"/>
    <cellStyle name="%40 - Vurgu6 4 4" xfId="595"/>
    <cellStyle name="%40 - Vurgu6 4 4 2" xfId="1143"/>
    <cellStyle name="%40 - Vurgu6 4 4 2 2" xfId="3078"/>
    <cellStyle name="%40 - Vurgu6 4 4 3" xfId="2478"/>
    <cellStyle name="%40 - Vurgu6 4 4 4" xfId="4155"/>
    <cellStyle name="%40 - Vurgu6 4 5" xfId="766"/>
    <cellStyle name="%40 - Vurgu6 4 5 2" xfId="2479"/>
    <cellStyle name="%40 - Vurgu6 4 5 3" xfId="4156"/>
    <cellStyle name="%40 - Vurgu6 4 6" xfId="1256"/>
    <cellStyle name="%40 - Vurgu6 4 6 2" xfId="2480"/>
    <cellStyle name="%40 - Vurgu6 4 6 3" xfId="4157"/>
    <cellStyle name="%40 - Vurgu6 4 7" xfId="1565"/>
    <cellStyle name="%40 - Vurgu6 4 7 2" xfId="2481"/>
    <cellStyle name="%40 - Vurgu6 4 7 3" xfId="4158"/>
    <cellStyle name="%40 - Vurgu6 4 8" xfId="2470"/>
    <cellStyle name="%40 - Vurgu6 4 9" xfId="4147"/>
    <cellStyle name="%40 - Vurgu6 5" xfId="113"/>
    <cellStyle name="%40 - Vurgu6 6" xfId="219"/>
    <cellStyle name="%40 - Vurgu6 6 2" xfId="392"/>
    <cellStyle name="%40 - Vurgu6 6 2 2" xfId="947"/>
    <cellStyle name="%40 - Vurgu6 6 2 2 2" xfId="2484"/>
    <cellStyle name="%40 - Vurgu6 6 2 2 3" xfId="4161"/>
    <cellStyle name="%40 - Vurgu6 6 2 3" xfId="1437"/>
    <cellStyle name="%40 - Vurgu6 6 2 3 2" xfId="3198"/>
    <cellStyle name="%40 - Vurgu6 6 2 4" xfId="2483"/>
    <cellStyle name="%40 - Vurgu6 6 2 5" xfId="4160"/>
    <cellStyle name="%40 - Vurgu6 6 3" xfId="597"/>
    <cellStyle name="%40 - Vurgu6 6 3 2" xfId="1145"/>
    <cellStyle name="%40 - Vurgu6 6 3 2 2" xfId="3080"/>
    <cellStyle name="%40 - Vurgu6 6 3 3" xfId="2485"/>
    <cellStyle name="%40 - Vurgu6 6 3 4" xfId="4162"/>
    <cellStyle name="%40 - Vurgu6 6 4" xfId="793"/>
    <cellStyle name="%40 - Vurgu6 6 4 2" xfId="2486"/>
    <cellStyle name="%40 - Vurgu6 6 4 3" xfId="4163"/>
    <cellStyle name="%40 - Vurgu6 6 5" xfId="1283"/>
    <cellStyle name="%40 - Vurgu6 6 5 2" xfId="2487"/>
    <cellStyle name="%40 - Vurgu6 6 5 3" xfId="4164"/>
    <cellStyle name="%40 - Vurgu6 6 6" xfId="2488"/>
    <cellStyle name="%40 - Vurgu6 6 6 2" xfId="4165"/>
    <cellStyle name="%40 - Vurgu6 6 7" xfId="2489"/>
    <cellStyle name="%40 - Vurgu6 6 7 2" xfId="4166"/>
    <cellStyle name="%40 - Vurgu6 6 8" xfId="2482"/>
    <cellStyle name="%40 - Vurgu6 6 9" xfId="4159"/>
    <cellStyle name="%40 - Vurgu6 7" xfId="316"/>
    <cellStyle name="%40 - Vurgu6 7 2" xfId="872"/>
    <cellStyle name="%40 - Vurgu6 7 2 2" xfId="2491"/>
    <cellStyle name="%40 - Vurgu6 7 2 3" xfId="4168"/>
    <cellStyle name="%40 - Vurgu6 7 3" xfId="1362"/>
    <cellStyle name="%40 - Vurgu6 7 3 2" xfId="3123"/>
    <cellStyle name="%40 - Vurgu6 7 4" xfId="2490"/>
    <cellStyle name="%40 - Vurgu6 7 5" xfId="4167"/>
    <cellStyle name="%40 - Vurgu6 8" xfId="588"/>
    <cellStyle name="%40 - Vurgu6 8 2" xfId="1136"/>
    <cellStyle name="%40 - Vurgu6 8 2 2" xfId="3071"/>
    <cellStyle name="%40 - Vurgu6 8 3" xfId="2492"/>
    <cellStyle name="%40 - Vurgu6 8 4" xfId="4169"/>
    <cellStyle name="%40 - Vurgu6 9" xfId="718"/>
    <cellStyle name="%40 - Vurgu6 9 2" xfId="2493"/>
    <cellStyle name="%40 - Vurgu6 9 3" xfId="4170"/>
    <cellStyle name="%60 - Vurgu1" xfId="20" builtinId="32" customBuiltin="1"/>
    <cellStyle name="%60 - Vurgu1 2" xfId="114"/>
    <cellStyle name="%60 - Vurgu1 3" xfId="115"/>
    <cellStyle name="%60 - Vurgu1 4" xfId="598"/>
    <cellStyle name="%60 - Vurgu2" xfId="24" builtinId="36" customBuiltin="1"/>
    <cellStyle name="%60 - Vurgu2 2" xfId="116"/>
    <cellStyle name="%60 - Vurgu2 3" xfId="117"/>
    <cellStyle name="%60 - Vurgu2 4" xfId="599"/>
    <cellStyle name="%60 - Vurgu3" xfId="28" builtinId="40" customBuiltin="1"/>
    <cellStyle name="%60 - Vurgu3 2" xfId="118"/>
    <cellStyle name="%60 - Vurgu3 3" xfId="119"/>
    <cellStyle name="%60 - Vurgu3 4" xfId="600"/>
    <cellStyle name="%60 - Vurgu3 5" xfId="601"/>
    <cellStyle name="%60 - Vurgu4" xfId="32" builtinId="44" customBuiltin="1"/>
    <cellStyle name="%60 - Vurgu4 2" xfId="120"/>
    <cellStyle name="%60 - Vurgu4 3" xfId="121"/>
    <cellStyle name="%60 - Vurgu4 4" xfId="602"/>
    <cellStyle name="%60 - Vurgu4 5" xfId="603"/>
    <cellStyle name="%60 - Vurgu5" xfId="36" builtinId="48" customBuiltin="1"/>
    <cellStyle name="%60 - Vurgu5 2" xfId="122"/>
    <cellStyle name="%60 - Vurgu5 3" xfId="123"/>
    <cellStyle name="%60 - Vurgu5 4" xfId="604"/>
    <cellStyle name="%60 - Vurgu6" xfId="40" builtinId="52" customBuiltin="1"/>
    <cellStyle name="%60 - Vurgu6 2" xfId="124"/>
    <cellStyle name="%60 - Vurgu6 3" xfId="125"/>
    <cellStyle name="%60 - Vurgu6 4" xfId="605"/>
    <cellStyle name="%60 - Vurgu6 5" xfId="606"/>
    <cellStyle name="Açıklama Metni" xfId="15" builtinId="53" customBuiltin="1"/>
    <cellStyle name="Açıklama Metni 2" xfId="126"/>
    <cellStyle name="Açıklama Metni 3" xfId="127"/>
    <cellStyle name="Açıklama Metni 4" xfId="607"/>
    <cellStyle name="Ana Başlık" xfId="1" builtinId="15" customBuiltin="1"/>
    <cellStyle name="Ana Başlık 2" xfId="128"/>
    <cellStyle name="Ana Başlık 3" xfId="129"/>
    <cellStyle name="Ana Başlık 4" xfId="608"/>
    <cellStyle name="Bağlı Hücre" xfId="12" builtinId="24" customBuiltin="1"/>
    <cellStyle name="Bağlı Hücre 2" xfId="130"/>
    <cellStyle name="Bağlı Hücre 3" xfId="131"/>
    <cellStyle name="Bağlı Hücre 4" xfId="609"/>
    <cellStyle name="Bağlı Hücre 4 2" xfId="2494"/>
    <cellStyle name="Bağlı Hücre 5" xfId="2495"/>
    <cellStyle name="Başlık 1" xfId="2" builtinId="16" customBuiltin="1"/>
    <cellStyle name="Başlık 1 2" xfId="132"/>
    <cellStyle name="Başlık 1 3" xfId="133"/>
    <cellStyle name="Başlık 1 4" xfId="610"/>
    <cellStyle name="Başlık 2" xfId="3" builtinId="17" customBuiltin="1"/>
    <cellStyle name="Başlık 2 2" xfId="134"/>
    <cellStyle name="Başlık 2 3" xfId="135"/>
    <cellStyle name="Başlık 2 4" xfId="611"/>
    <cellStyle name="Başlık 3" xfId="4" builtinId="18" customBuiltin="1"/>
    <cellStyle name="Başlık 3 2" xfId="136"/>
    <cellStyle name="Başlık 3 3" xfId="137"/>
    <cellStyle name="Başlık 3 4" xfId="612"/>
    <cellStyle name="Başlık 4" xfId="5" builtinId="19" customBuiltin="1"/>
    <cellStyle name="Başlık 4 2" xfId="138"/>
    <cellStyle name="Başlık 4 3" xfId="139"/>
    <cellStyle name="Başlık 4 4" xfId="613"/>
    <cellStyle name="Çıkış" xfId="10" builtinId="21" customBuiltin="1"/>
    <cellStyle name="Çıkış 2" xfId="140"/>
    <cellStyle name="Çıkış 3" xfId="141"/>
    <cellStyle name="Çıkış 4" xfId="614"/>
    <cellStyle name="Giriş" xfId="9" builtinId="20" customBuiltin="1"/>
    <cellStyle name="Giriş 2" xfId="142"/>
    <cellStyle name="Giriş 2 2" xfId="2496"/>
    <cellStyle name="Giriş 3" xfId="143"/>
    <cellStyle name="Giriş 3 2" xfId="2497"/>
    <cellStyle name="Giriş 4" xfId="615"/>
    <cellStyle name="Hesaplama" xfId="11" builtinId="22" customBuiltin="1"/>
    <cellStyle name="Hesaplama 2" xfId="144"/>
    <cellStyle name="Hesaplama 3" xfId="145"/>
    <cellStyle name="Hesaplama 4" xfId="616"/>
    <cellStyle name="Hesaplama 4 2" xfId="2498"/>
    <cellStyle name="Hesaplama 5" xfId="2499"/>
    <cellStyle name="İşaretli Hücre" xfId="13" builtinId="23" customBuiltin="1"/>
    <cellStyle name="İşaretli Hücre 2" xfId="146"/>
    <cellStyle name="İşaretli Hücre 3" xfId="147"/>
    <cellStyle name="İşaretli Hücre 4" xfId="617"/>
    <cellStyle name="İyi" xfId="6" builtinId="26" customBuiltin="1"/>
    <cellStyle name="İyi 2" xfId="148"/>
    <cellStyle name="İyi 3" xfId="149"/>
    <cellStyle name="İyi 4" xfId="618"/>
    <cellStyle name="Köprü 2" xfId="619"/>
    <cellStyle name="Kötü" xfId="7" builtinId="27" customBuiltin="1"/>
    <cellStyle name="Kötü 2" xfId="150"/>
    <cellStyle name="Kötü 3" xfId="151"/>
    <cellStyle name="Kötü 4" xfId="620"/>
    <cellStyle name="Normal" xfId="0" builtinId="0"/>
    <cellStyle name="Normal 10" xfId="41"/>
    <cellStyle name="Normal 10 2" xfId="293"/>
    <cellStyle name="Normal 10 2 2" xfId="461"/>
    <cellStyle name="Normal 10 2 2 2" xfId="622"/>
    <cellStyle name="Normal 10 2 2 3" xfId="1010"/>
    <cellStyle name="Normal 10 2 2 3 2" xfId="2950"/>
    <cellStyle name="Normal 10 2 2 4" xfId="1500"/>
    <cellStyle name="Normal 10 2 2 4 2" xfId="3261"/>
    <cellStyle name="Normal 10 2 2 5" xfId="2835"/>
    <cellStyle name="Normal 10 2 3" xfId="623"/>
    <cellStyle name="Normal 10 2 3 2" xfId="1146"/>
    <cellStyle name="Normal 10 2 3 2 2" xfId="2501"/>
    <cellStyle name="Normal 10 2 3 2 3" xfId="4172"/>
    <cellStyle name="Normal 10 2 3 3" xfId="2502"/>
    <cellStyle name="Normal 10 2 3 3 2" xfId="4173"/>
    <cellStyle name="Normal 10 2 3 4" xfId="2503"/>
    <cellStyle name="Normal 10 2 3 4 2" xfId="4174"/>
    <cellStyle name="Normal 10 2 3 5" xfId="2500"/>
    <cellStyle name="Normal 10 2 3 6" xfId="4171"/>
    <cellStyle name="Normal 10 2 4" xfId="621"/>
    <cellStyle name="Normal 10 2 5" xfId="856"/>
    <cellStyle name="Normal 10 2 5 2" xfId="2848"/>
    <cellStyle name="Normal 10 2 6" xfId="1346"/>
    <cellStyle name="Normal 10 2 6 2" xfId="3112"/>
    <cellStyle name="Normal 10 3" xfId="624"/>
    <cellStyle name="Normal 10 3 2" xfId="1147"/>
    <cellStyle name="Normal 10 3 2 2" xfId="2505"/>
    <cellStyle name="Normal 10 3 2 3" xfId="4176"/>
    <cellStyle name="Normal 10 3 3" xfId="2506"/>
    <cellStyle name="Normal 10 3 3 2" xfId="4177"/>
    <cellStyle name="Normal 10 3 4" xfId="2507"/>
    <cellStyle name="Normal 10 3 4 2" xfId="4178"/>
    <cellStyle name="Normal 10 3 5" xfId="2504"/>
    <cellStyle name="Normal 10 3 6" xfId="4175"/>
    <cellStyle name="Normal 10 4" xfId="1517"/>
    <cellStyle name="Normal 11" xfId="206"/>
    <cellStyle name="Normal 11 2" xfId="379"/>
    <cellStyle name="Normal 11 2 2" xfId="626"/>
    <cellStyle name="Normal 11 2 3" xfId="935"/>
    <cellStyle name="Normal 11 2 3 2" xfId="2901"/>
    <cellStyle name="Normal 11 2 4" xfId="1425"/>
    <cellStyle name="Normal 11 2 4 2" xfId="3186"/>
    <cellStyle name="Normal 11 2 5" xfId="2830"/>
    <cellStyle name="Normal 11 3" xfId="627"/>
    <cellStyle name="Normal 11 3 2" xfId="1148"/>
    <cellStyle name="Normal 11 3 2 2" xfId="2509"/>
    <cellStyle name="Normal 11 3 2 3" xfId="4180"/>
    <cellStyle name="Normal 11 3 3" xfId="2510"/>
    <cellStyle name="Normal 11 3 3 2" xfId="4181"/>
    <cellStyle name="Normal 11 3 4" xfId="2511"/>
    <cellStyle name="Normal 11 3 4 2" xfId="4182"/>
    <cellStyle name="Normal 11 3 5" xfId="2508"/>
    <cellStyle name="Normal 11 3 6" xfId="4179"/>
    <cellStyle name="Normal 11 4" xfId="625"/>
    <cellStyle name="Normal 11 5" xfId="781"/>
    <cellStyle name="Normal 11 5 2" xfId="2847"/>
    <cellStyle name="Normal 11 6" xfId="1271"/>
    <cellStyle name="Normal 11 6 2" xfId="3111"/>
    <cellStyle name="Normal 12" xfId="628"/>
    <cellStyle name="Normal 13" xfId="629"/>
    <cellStyle name="Normal 14" xfId="467"/>
    <cellStyle name="Normal 14 2" xfId="1015"/>
    <cellStyle name="Normal 14 2 2" xfId="2955"/>
    <cellStyle name="Normal 14 2 3" xfId="2513"/>
    <cellStyle name="Normal 14 3" xfId="2840"/>
    <cellStyle name="Normal 14 4" xfId="2512"/>
    <cellStyle name="Normal 15" xfId="1196"/>
    <cellStyle name="Normal 15 2" xfId="3110"/>
    <cellStyle name="Normal 15 3" xfId="2514"/>
    <cellStyle name="Normal 16" xfId="1588"/>
    <cellStyle name="Normal 16 2" xfId="3267"/>
    <cellStyle name="Normal 17" xfId="4371"/>
    <cellStyle name="Normal 2" xfId="152"/>
    <cellStyle name="Normal 2 10" xfId="4372"/>
    <cellStyle name="Normal 2 2" xfId="153"/>
    <cellStyle name="Normal 2 2 2" xfId="630"/>
    <cellStyle name="Normal 2 2 3" xfId="631"/>
    <cellStyle name="Normal 2 2 3 2" xfId="1149"/>
    <cellStyle name="Normal 2 2 3 2 2" xfId="2516"/>
    <cellStyle name="Normal 2 2 3 2 3" xfId="4184"/>
    <cellStyle name="Normal 2 2 3 3" xfId="2517"/>
    <cellStyle name="Normal 2 2 3 3 2" xfId="4185"/>
    <cellStyle name="Normal 2 2 3 4" xfId="2518"/>
    <cellStyle name="Normal 2 2 3 4 2" xfId="4186"/>
    <cellStyle name="Normal 2 2 3 5" xfId="2515"/>
    <cellStyle name="Normal 2 2 3 6" xfId="4183"/>
    <cellStyle name="Normal 2 3" xfId="154"/>
    <cellStyle name="Normal 2 3 2" xfId="272"/>
    <cellStyle name="Normal 2 3 2 2" xfId="444"/>
    <cellStyle name="Normal 2 3 2 2 2" xfId="998"/>
    <cellStyle name="Normal 2 3 2 2 2 2" xfId="2938"/>
    <cellStyle name="Normal 2 3 2 2 3" xfId="1488"/>
    <cellStyle name="Normal 2 3 2 2 3 2" xfId="3249"/>
    <cellStyle name="Normal 2 3 2 2 4" xfId="2521"/>
    <cellStyle name="Normal 2 3 2 2 5" xfId="4189"/>
    <cellStyle name="Normal 2 3 2 3" xfId="633"/>
    <cellStyle name="Normal 2 3 2 3 2" xfId="1151"/>
    <cellStyle name="Normal 2 3 2 3 2 2" xfId="3082"/>
    <cellStyle name="Normal 2 3 2 3 3" xfId="2522"/>
    <cellStyle name="Normal 2 3 2 3 4" xfId="4190"/>
    <cellStyle name="Normal 2 3 2 4" xfId="844"/>
    <cellStyle name="Normal 2 3 2 4 2" xfId="2523"/>
    <cellStyle name="Normal 2 3 2 4 3" xfId="4191"/>
    <cellStyle name="Normal 2 3 2 5" xfId="1334"/>
    <cellStyle name="Normal 2 3 2 5 2" xfId="2524"/>
    <cellStyle name="Normal 2 3 2 5 3" xfId="4192"/>
    <cellStyle name="Normal 2 3 2 6" xfId="2525"/>
    <cellStyle name="Normal 2 3 2 6 2" xfId="4193"/>
    <cellStyle name="Normal 2 3 2 7" xfId="2520"/>
    <cellStyle name="Normal 2 3 2 8" xfId="4188"/>
    <cellStyle name="Normal 2 3 3" xfId="365"/>
    <cellStyle name="Normal 2 3 3 2" xfId="921"/>
    <cellStyle name="Normal 2 3 3 2 2" xfId="2888"/>
    <cellStyle name="Normal 2 3 3 3" xfId="1411"/>
    <cellStyle name="Normal 2 3 3 3 2" xfId="3172"/>
    <cellStyle name="Normal 2 3 3 4" xfId="2526"/>
    <cellStyle name="Normal 2 3 3 5" xfId="4194"/>
    <cellStyle name="Normal 2 3 4" xfId="632"/>
    <cellStyle name="Normal 2 3 4 2" xfId="1150"/>
    <cellStyle name="Normal 2 3 4 2 2" xfId="3081"/>
    <cellStyle name="Normal 2 3 4 3" xfId="2527"/>
    <cellStyle name="Normal 2 3 4 4" xfId="4195"/>
    <cellStyle name="Normal 2 3 5" xfId="767"/>
    <cellStyle name="Normal 2 3 5 2" xfId="2528"/>
    <cellStyle name="Normal 2 3 5 3" xfId="4196"/>
    <cellStyle name="Normal 2 3 6" xfId="1257"/>
    <cellStyle name="Normal 2 3 6 2" xfId="2529"/>
    <cellStyle name="Normal 2 3 6 3" xfId="4197"/>
    <cellStyle name="Normal 2 3 7" xfId="1566"/>
    <cellStyle name="Normal 2 3 7 2" xfId="2530"/>
    <cellStyle name="Normal 2 3 7 3" xfId="4198"/>
    <cellStyle name="Normal 2 3 8" xfId="2519"/>
    <cellStyle name="Normal 2 3 9" xfId="4187"/>
    <cellStyle name="Normal 2 4" xfId="155"/>
    <cellStyle name="Normal 2 5" xfId="156"/>
    <cellStyle name="Normal 2 5 2" xfId="294"/>
    <cellStyle name="Normal 2 5 3" xfId="300"/>
    <cellStyle name="Normal 2 5 3 2" xfId="462"/>
    <cellStyle name="Normal 2 5 3 2 2" xfId="2836"/>
    <cellStyle name="Normal 2 5 3 2 3" xfId="2532"/>
    <cellStyle name="Normal 2 5 3 3" xfId="635"/>
    <cellStyle name="Normal 2 5 3 3 2" xfId="1153"/>
    <cellStyle name="Normal 2 5 3 4" xfId="2531"/>
    <cellStyle name="Normal 2 5 4" xfId="634"/>
    <cellStyle name="Normal 2 5 4 2" xfId="1152"/>
    <cellStyle name="Normal 2 5 4 3" xfId="2841"/>
    <cellStyle name="Normal 2 5 4 4" xfId="2533"/>
    <cellStyle name="Normal 2 5 5" xfId="1567"/>
    <cellStyle name="Normal 2 6" xfId="207"/>
    <cellStyle name="Normal 2 6 2" xfId="380"/>
    <cellStyle name="Normal 2 6 2 2" xfId="637"/>
    <cellStyle name="Normal 2 6 2 3" xfId="2831"/>
    <cellStyle name="Normal 2 6 3" xfId="638"/>
    <cellStyle name="Normal 2 6 3 2" xfId="1154"/>
    <cellStyle name="Normal 2 6 3 2 2" xfId="3083"/>
    <cellStyle name="Normal 2 6 3 2 3" xfId="2535"/>
    <cellStyle name="Normal 2 6 3 3" xfId="2536"/>
    <cellStyle name="Normal 2 6 3 4" xfId="2534"/>
    <cellStyle name="Normal 2 6 4" xfId="636"/>
    <cellStyle name="Normal 2 7" xfId="301"/>
    <cellStyle name="Normal 2 7 2" xfId="463"/>
    <cellStyle name="Normal 2 7 2 2" xfId="1011"/>
    <cellStyle name="Normal 2 7 2 2 2" xfId="2951"/>
    <cellStyle name="Normal 2 7 2 3" xfId="1501"/>
    <cellStyle name="Normal 2 7 2 3 2" xfId="3262"/>
    <cellStyle name="Normal 2 7 2 4" xfId="2837"/>
    <cellStyle name="Normal 2 7 3" xfId="639"/>
    <cellStyle name="Normal 2 7 4" xfId="857"/>
    <cellStyle name="Normal 2 7 4 2" xfId="2849"/>
    <cellStyle name="Normal 2 7 5" xfId="1347"/>
    <cellStyle name="Normal 2 7 5 2" xfId="3113"/>
    <cellStyle name="Normal 2 7 6" xfId="2827"/>
    <cellStyle name="Normal 2 8" xfId="640"/>
    <cellStyle name="Normal 2 8 2" xfId="2537"/>
    <cellStyle name="Normal 2 8 2 2" xfId="4199"/>
    <cellStyle name="Normal 2 9" xfId="1589"/>
    <cellStyle name="Normal 2 9 2" xfId="3268"/>
    <cellStyle name="Normal 3" xfId="157"/>
    <cellStyle name="Normal 3 10" xfId="1258"/>
    <cellStyle name="Normal 3 10 2" xfId="2539"/>
    <cellStyle name="Normal 3 10 3" xfId="4201"/>
    <cellStyle name="Normal 3 11" xfId="1568"/>
    <cellStyle name="Normal 3 11 2" xfId="3266"/>
    <cellStyle name="Normal 3 12" xfId="2538"/>
    <cellStyle name="Normal 3 13" xfId="4200"/>
    <cellStyle name="Normal 3 2" xfId="158"/>
    <cellStyle name="Normal 3 2 10" xfId="4202"/>
    <cellStyle name="Normal 3 2 2" xfId="159"/>
    <cellStyle name="Normal 3 2 2 2" xfId="274"/>
    <cellStyle name="Normal 3 2 2 2 2" xfId="446"/>
    <cellStyle name="Normal 3 2 2 2 2 2" xfId="1000"/>
    <cellStyle name="Normal 3 2 2 2 2 2 2" xfId="2940"/>
    <cellStyle name="Normal 3 2 2 2 2 3" xfId="1490"/>
    <cellStyle name="Normal 3 2 2 2 2 3 2" xfId="3251"/>
    <cellStyle name="Normal 3 2 2 2 2 4" xfId="2543"/>
    <cellStyle name="Normal 3 2 2 2 2 5" xfId="4205"/>
    <cellStyle name="Normal 3 2 2 2 3" xfId="644"/>
    <cellStyle name="Normal 3 2 2 2 3 2" xfId="1158"/>
    <cellStyle name="Normal 3 2 2 2 3 2 2" xfId="3087"/>
    <cellStyle name="Normal 3 2 2 2 3 3" xfId="2544"/>
    <cellStyle name="Normal 3 2 2 2 3 4" xfId="4206"/>
    <cellStyle name="Normal 3 2 2 2 4" xfId="846"/>
    <cellStyle name="Normal 3 2 2 2 4 2" xfId="2545"/>
    <cellStyle name="Normal 3 2 2 2 4 3" xfId="4207"/>
    <cellStyle name="Normal 3 2 2 2 5" xfId="1336"/>
    <cellStyle name="Normal 3 2 2 2 5 2" xfId="2546"/>
    <cellStyle name="Normal 3 2 2 2 5 3" xfId="4208"/>
    <cellStyle name="Normal 3 2 2 2 6" xfId="2547"/>
    <cellStyle name="Normal 3 2 2 2 6 2" xfId="4209"/>
    <cellStyle name="Normal 3 2 2 2 7" xfId="2542"/>
    <cellStyle name="Normal 3 2 2 2 8" xfId="4204"/>
    <cellStyle name="Normal 3 2 2 3" xfId="368"/>
    <cellStyle name="Normal 3 2 2 3 2" xfId="924"/>
    <cellStyle name="Normal 3 2 2 3 2 2" xfId="2891"/>
    <cellStyle name="Normal 3 2 2 3 3" xfId="1414"/>
    <cellStyle name="Normal 3 2 2 3 3 2" xfId="3175"/>
    <cellStyle name="Normal 3 2 2 3 4" xfId="2548"/>
    <cellStyle name="Normal 3 2 2 3 5" xfId="4210"/>
    <cellStyle name="Normal 3 2 2 4" xfId="643"/>
    <cellStyle name="Normal 3 2 2 4 2" xfId="1157"/>
    <cellStyle name="Normal 3 2 2 4 2 2" xfId="3086"/>
    <cellStyle name="Normal 3 2 2 4 3" xfId="2549"/>
    <cellStyle name="Normal 3 2 2 4 4" xfId="4211"/>
    <cellStyle name="Normal 3 2 2 5" xfId="770"/>
    <cellStyle name="Normal 3 2 2 5 2" xfId="2550"/>
    <cellStyle name="Normal 3 2 2 5 3" xfId="4212"/>
    <cellStyle name="Normal 3 2 2 6" xfId="1260"/>
    <cellStyle name="Normal 3 2 2 6 2" xfId="2551"/>
    <cellStyle name="Normal 3 2 2 6 3" xfId="4213"/>
    <cellStyle name="Normal 3 2 2 7" xfId="1570"/>
    <cellStyle name="Normal 3 2 2 7 2" xfId="2552"/>
    <cellStyle name="Normal 3 2 2 7 3" xfId="4214"/>
    <cellStyle name="Normal 3 2 2 8" xfId="2541"/>
    <cellStyle name="Normal 3 2 2 9" xfId="4203"/>
    <cellStyle name="Normal 3 2 3" xfId="273"/>
    <cellStyle name="Normal 3 2 3 2" xfId="445"/>
    <cellStyle name="Normal 3 2 3 2 2" xfId="999"/>
    <cellStyle name="Normal 3 2 3 2 2 2" xfId="2939"/>
    <cellStyle name="Normal 3 2 3 2 3" xfId="1489"/>
    <cellStyle name="Normal 3 2 3 2 3 2" xfId="3250"/>
    <cellStyle name="Normal 3 2 3 2 4" xfId="2554"/>
    <cellStyle name="Normal 3 2 3 2 5" xfId="4216"/>
    <cellStyle name="Normal 3 2 3 3" xfId="645"/>
    <cellStyle name="Normal 3 2 3 3 2" xfId="1159"/>
    <cellStyle name="Normal 3 2 3 3 2 2" xfId="3088"/>
    <cellStyle name="Normal 3 2 3 3 3" xfId="2555"/>
    <cellStyle name="Normal 3 2 3 3 4" xfId="4217"/>
    <cellStyle name="Normal 3 2 3 4" xfId="845"/>
    <cellStyle name="Normal 3 2 3 4 2" xfId="2556"/>
    <cellStyle name="Normal 3 2 3 4 3" xfId="4218"/>
    <cellStyle name="Normal 3 2 3 5" xfId="1335"/>
    <cellStyle name="Normal 3 2 3 5 2" xfId="2557"/>
    <cellStyle name="Normal 3 2 3 5 3" xfId="4219"/>
    <cellStyle name="Normal 3 2 3 6" xfId="2558"/>
    <cellStyle name="Normal 3 2 3 6 2" xfId="4220"/>
    <cellStyle name="Normal 3 2 3 7" xfId="2553"/>
    <cellStyle name="Normal 3 2 3 8" xfId="4215"/>
    <cellStyle name="Normal 3 2 4" xfId="367"/>
    <cellStyle name="Normal 3 2 4 2" xfId="923"/>
    <cellStyle name="Normal 3 2 4 2 2" xfId="2890"/>
    <cellStyle name="Normal 3 2 4 3" xfId="1413"/>
    <cellStyle name="Normal 3 2 4 3 2" xfId="3174"/>
    <cellStyle name="Normal 3 2 4 4" xfId="2559"/>
    <cellStyle name="Normal 3 2 4 5" xfId="4221"/>
    <cellStyle name="Normal 3 2 5" xfId="642"/>
    <cellStyle name="Normal 3 2 5 2" xfId="1156"/>
    <cellStyle name="Normal 3 2 5 2 2" xfId="3085"/>
    <cellStyle name="Normal 3 2 5 3" xfId="2560"/>
    <cellStyle name="Normal 3 2 5 4" xfId="4222"/>
    <cellStyle name="Normal 3 2 6" xfId="769"/>
    <cellStyle name="Normal 3 2 6 2" xfId="2561"/>
    <cellStyle name="Normal 3 2 6 3" xfId="4223"/>
    <cellStyle name="Normal 3 2 7" xfId="1259"/>
    <cellStyle name="Normal 3 2 7 2" xfId="2562"/>
    <cellStyle name="Normal 3 2 7 3" xfId="4224"/>
    <cellStyle name="Normal 3 2 8" xfId="1569"/>
    <cellStyle name="Normal 3 2 8 2" xfId="2563"/>
    <cellStyle name="Normal 3 2 8 3" xfId="4225"/>
    <cellStyle name="Normal 3 2 9" xfId="2540"/>
    <cellStyle name="Normal 3 3" xfId="160"/>
    <cellStyle name="Normal 3 3 2" xfId="275"/>
    <cellStyle name="Normal 3 3 2 2" xfId="447"/>
    <cellStyle name="Normal 3 3 2 2 2" xfId="1001"/>
    <cellStyle name="Normal 3 3 2 2 2 2" xfId="2941"/>
    <cellStyle name="Normal 3 3 2 2 3" xfId="1491"/>
    <cellStyle name="Normal 3 3 2 2 3 2" xfId="3252"/>
    <cellStyle name="Normal 3 3 2 2 4" xfId="2566"/>
    <cellStyle name="Normal 3 3 2 2 5" xfId="4228"/>
    <cellStyle name="Normal 3 3 2 3" xfId="647"/>
    <cellStyle name="Normal 3 3 2 3 2" xfId="1161"/>
    <cellStyle name="Normal 3 3 2 3 2 2" xfId="3090"/>
    <cellStyle name="Normal 3 3 2 3 3" xfId="2567"/>
    <cellStyle name="Normal 3 3 2 3 4" xfId="4229"/>
    <cellStyle name="Normal 3 3 2 4" xfId="847"/>
    <cellStyle name="Normal 3 3 2 4 2" xfId="2568"/>
    <cellStyle name="Normal 3 3 2 4 3" xfId="4230"/>
    <cellStyle name="Normal 3 3 2 5" xfId="1337"/>
    <cellStyle name="Normal 3 3 2 5 2" xfId="2569"/>
    <cellStyle name="Normal 3 3 2 5 3" xfId="4231"/>
    <cellStyle name="Normal 3 3 2 6" xfId="2570"/>
    <cellStyle name="Normal 3 3 2 6 2" xfId="4232"/>
    <cellStyle name="Normal 3 3 2 7" xfId="2565"/>
    <cellStyle name="Normal 3 3 2 8" xfId="4227"/>
    <cellStyle name="Normal 3 3 3" xfId="369"/>
    <cellStyle name="Normal 3 3 3 2" xfId="925"/>
    <cellStyle name="Normal 3 3 3 2 2" xfId="2892"/>
    <cellStyle name="Normal 3 3 3 3" xfId="1415"/>
    <cellStyle name="Normal 3 3 3 3 2" xfId="3176"/>
    <cellStyle name="Normal 3 3 3 4" xfId="2571"/>
    <cellStyle name="Normal 3 3 3 5" xfId="4233"/>
    <cellStyle name="Normal 3 3 4" xfId="646"/>
    <cellStyle name="Normal 3 3 4 2" xfId="1160"/>
    <cellStyle name="Normal 3 3 4 2 2" xfId="3089"/>
    <cellStyle name="Normal 3 3 4 3" xfId="2572"/>
    <cellStyle name="Normal 3 3 4 4" xfId="4234"/>
    <cellStyle name="Normal 3 3 5" xfId="771"/>
    <cellStyle name="Normal 3 3 5 2" xfId="2573"/>
    <cellStyle name="Normal 3 3 5 3" xfId="4235"/>
    <cellStyle name="Normal 3 3 6" xfId="1261"/>
    <cellStyle name="Normal 3 3 6 2" xfId="2574"/>
    <cellStyle name="Normal 3 3 6 3" xfId="4236"/>
    <cellStyle name="Normal 3 3 7" xfId="1571"/>
    <cellStyle name="Normal 3 3 7 2" xfId="2575"/>
    <cellStyle name="Normal 3 3 7 3" xfId="4237"/>
    <cellStyle name="Normal 3 3 8" xfId="2564"/>
    <cellStyle name="Normal 3 3 9" xfId="4226"/>
    <cellStyle name="Normal 3 4" xfId="161"/>
    <cellStyle name="Normal 3 4 2" xfId="295"/>
    <cellStyle name="Normal 3 4 3" xfId="276"/>
    <cellStyle name="Normal 3 4 3 2" xfId="448"/>
    <cellStyle name="Normal 3 4 3 2 2" xfId="2832"/>
    <cellStyle name="Normal 3 4 3 2 3" xfId="2577"/>
    <cellStyle name="Normal 3 4 3 3" xfId="649"/>
    <cellStyle name="Normal 3 4 3 3 2" xfId="1163"/>
    <cellStyle name="Normal 3 4 3 4" xfId="2576"/>
    <cellStyle name="Normal 3 4 4" xfId="648"/>
    <cellStyle name="Normal 3 4 4 2" xfId="1162"/>
    <cellStyle name="Normal 3 4 4 3" xfId="2842"/>
    <cellStyle name="Normal 3 4 4 4" xfId="2578"/>
    <cellStyle name="Normal 3 4 5" xfId="1572"/>
    <cellStyle name="Normal 3 5" xfId="220"/>
    <cellStyle name="Normal 3 5 2" xfId="393"/>
    <cellStyle name="Normal 3 5 2 2" xfId="948"/>
    <cellStyle name="Normal 3 5 2 2 2" xfId="2581"/>
    <cellStyle name="Normal 3 5 2 2 3" xfId="4240"/>
    <cellStyle name="Normal 3 5 2 3" xfId="1438"/>
    <cellStyle name="Normal 3 5 2 3 2" xfId="3199"/>
    <cellStyle name="Normal 3 5 2 4" xfId="2580"/>
    <cellStyle name="Normal 3 5 2 5" xfId="4239"/>
    <cellStyle name="Normal 3 5 3" xfId="650"/>
    <cellStyle name="Normal 3 5 3 2" xfId="1164"/>
    <cellStyle name="Normal 3 5 3 2 2" xfId="3091"/>
    <cellStyle name="Normal 3 5 3 3" xfId="2582"/>
    <cellStyle name="Normal 3 5 3 4" xfId="4241"/>
    <cellStyle name="Normal 3 5 4" xfId="794"/>
    <cellStyle name="Normal 3 5 4 2" xfId="2583"/>
    <cellStyle name="Normal 3 5 4 3" xfId="4242"/>
    <cellStyle name="Normal 3 5 5" xfId="1284"/>
    <cellStyle name="Normal 3 5 5 2" xfId="2584"/>
    <cellStyle name="Normal 3 5 5 3" xfId="4243"/>
    <cellStyle name="Normal 3 5 6" xfId="2585"/>
    <cellStyle name="Normal 3 5 6 2" xfId="4244"/>
    <cellStyle name="Normal 3 5 7" xfId="2586"/>
    <cellStyle name="Normal 3 5 7 2" xfId="4245"/>
    <cellStyle name="Normal 3 5 8" xfId="2579"/>
    <cellStyle name="Normal 3 5 9" xfId="4238"/>
    <cellStyle name="Normal 3 6" xfId="303"/>
    <cellStyle name="Normal 3 6 2" xfId="465"/>
    <cellStyle name="Normal 3 6 2 2" xfId="1013"/>
    <cellStyle name="Normal 3 6 2 2 2" xfId="2953"/>
    <cellStyle name="Normal 3 6 2 3" xfId="1503"/>
    <cellStyle name="Normal 3 6 2 3 2" xfId="3264"/>
    <cellStyle name="Normal 3 6 2 4" xfId="2587"/>
    <cellStyle name="Normal 3 6 2 5" xfId="4246"/>
    <cellStyle name="Normal 3 6 3" xfId="651"/>
    <cellStyle name="Normal 3 6 4" xfId="859"/>
    <cellStyle name="Normal 3 6 4 2" xfId="2588"/>
    <cellStyle name="Normal 3 6 4 3" xfId="4247"/>
    <cellStyle name="Normal 3 6 5" xfId="1349"/>
    <cellStyle name="Normal 3 6 5 2" xfId="3115"/>
    <cellStyle name="Normal 3 7" xfId="366"/>
    <cellStyle name="Normal 3 7 2" xfId="922"/>
    <cellStyle name="Normal 3 7 2 2" xfId="2889"/>
    <cellStyle name="Normal 3 7 3" xfId="1412"/>
    <cellStyle name="Normal 3 7 3 2" xfId="3173"/>
    <cellStyle name="Normal 3 7 4" xfId="2589"/>
    <cellStyle name="Normal 3 7 5" xfId="4248"/>
    <cellStyle name="Normal 3 8" xfId="641"/>
    <cellStyle name="Normal 3 8 2" xfId="1155"/>
    <cellStyle name="Normal 3 8 2 2" xfId="3084"/>
    <cellStyle name="Normal 3 8 3" xfId="2590"/>
    <cellStyle name="Normal 3 8 4" xfId="4249"/>
    <cellStyle name="Normal 3 9" xfId="768"/>
    <cellStyle name="Normal 3 9 2" xfId="2591"/>
    <cellStyle name="Normal 3 9 3" xfId="4250"/>
    <cellStyle name="Normal 4" xfId="162"/>
    <cellStyle name="Normal 4 2" xfId="163"/>
    <cellStyle name="Normal 4 2 2" xfId="277"/>
    <cellStyle name="Normal 4 2 2 2" xfId="449"/>
    <cellStyle name="Normal 4 2 2 2 2" xfId="1002"/>
    <cellStyle name="Normal 4 2 2 2 2 2" xfId="2942"/>
    <cellStyle name="Normal 4 2 2 2 3" xfId="1492"/>
    <cellStyle name="Normal 4 2 2 2 3 2" xfId="3253"/>
    <cellStyle name="Normal 4 2 2 2 4" xfId="2594"/>
    <cellStyle name="Normal 4 2 2 2 5" xfId="4253"/>
    <cellStyle name="Normal 4 2 2 3" xfId="653"/>
    <cellStyle name="Normal 4 2 2 3 2" xfId="1166"/>
    <cellStyle name="Normal 4 2 2 3 2 2" xfId="3093"/>
    <cellStyle name="Normal 4 2 2 3 3" xfId="2595"/>
    <cellStyle name="Normal 4 2 2 3 4" xfId="4254"/>
    <cellStyle name="Normal 4 2 2 4" xfId="848"/>
    <cellStyle name="Normal 4 2 2 4 2" xfId="2596"/>
    <cellStyle name="Normal 4 2 2 4 3" xfId="4255"/>
    <cellStyle name="Normal 4 2 2 5" xfId="1338"/>
    <cellStyle name="Normal 4 2 2 5 2" xfId="2597"/>
    <cellStyle name="Normal 4 2 2 5 3" xfId="4256"/>
    <cellStyle name="Normal 4 2 2 6" xfId="2598"/>
    <cellStyle name="Normal 4 2 2 6 2" xfId="4257"/>
    <cellStyle name="Normal 4 2 2 7" xfId="2593"/>
    <cellStyle name="Normal 4 2 2 8" xfId="4252"/>
    <cellStyle name="Normal 4 2 3" xfId="370"/>
    <cellStyle name="Normal 4 2 3 2" xfId="926"/>
    <cellStyle name="Normal 4 2 3 2 2" xfId="2893"/>
    <cellStyle name="Normal 4 2 3 3" xfId="1416"/>
    <cellStyle name="Normal 4 2 3 3 2" xfId="3177"/>
    <cellStyle name="Normal 4 2 3 4" xfId="2599"/>
    <cellStyle name="Normal 4 2 3 5" xfId="4258"/>
    <cellStyle name="Normal 4 2 4" xfId="652"/>
    <cellStyle name="Normal 4 2 4 2" xfId="1165"/>
    <cellStyle name="Normal 4 2 4 2 2" xfId="3092"/>
    <cellStyle name="Normal 4 2 4 3" xfId="2600"/>
    <cellStyle name="Normal 4 2 4 4" xfId="4259"/>
    <cellStyle name="Normal 4 2 5" xfId="772"/>
    <cellStyle name="Normal 4 2 5 2" xfId="2601"/>
    <cellStyle name="Normal 4 2 5 3" xfId="4260"/>
    <cellStyle name="Normal 4 2 6" xfId="1262"/>
    <cellStyle name="Normal 4 2 6 2" xfId="2602"/>
    <cellStyle name="Normal 4 2 6 3" xfId="4261"/>
    <cellStyle name="Normal 4 2 7" xfId="1573"/>
    <cellStyle name="Normal 4 2 7 2" xfId="2603"/>
    <cellStyle name="Normal 4 2 7 3" xfId="4262"/>
    <cellStyle name="Normal 4 2 8" xfId="2592"/>
    <cellStyle name="Normal 4 2 9" xfId="4251"/>
    <cellStyle name="Normal 4 3" xfId="164"/>
    <cellStyle name="Normal 4 3 2" xfId="296"/>
    <cellStyle name="Normal 4 3 3" xfId="278"/>
    <cellStyle name="Normal 4 3 3 2" xfId="450"/>
    <cellStyle name="Normal 4 3 3 3" xfId="655"/>
    <cellStyle name="Normal 4 3 3 3 2" xfId="1168"/>
    <cellStyle name="Normal 4 3 3 4" xfId="2604"/>
    <cellStyle name="Normal 4 3 4" xfId="654"/>
    <cellStyle name="Normal 4 3 4 2" xfId="1167"/>
    <cellStyle name="Normal 4 3 5" xfId="1574"/>
    <cellStyle name="Normal 4 4" xfId="222"/>
    <cellStyle name="Normal 5" xfId="165"/>
    <cellStyle name="Normal 5 2" xfId="166"/>
    <cellStyle name="Normal 5 2 2" xfId="279"/>
    <cellStyle name="Normal 5 3" xfId="167"/>
    <cellStyle name="Normal 5 3 2" xfId="280"/>
    <cellStyle name="Normal 5 4" xfId="168"/>
    <cellStyle name="Normal 5 4 2" xfId="2605"/>
    <cellStyle name="Normal 5 5" xfId="223"/>
    <cellStyle name="Normal 5 5 2" xfId="395"/>
    <cellStyle name="Normal 5 5 3" xfId="657"/>
    <cellStyle name="Normal 5 5 3 2" xfId="1170"/>
    <cellStyle name="Normal 5 5 3 3" xfId="2844"/>
    <cellStyle name="Normal 5 5 3 4" xfId="2607"/>
    <cellStyle name="Normal 5 5 4" xfId="2606"/>
    <cellStyle name="Normal 5 6" xfId="656"/>
    <cellStyle name="Normal 5 6 2" xfId="1169"/>
    <cellStyle name="Normal 5 6 3" xfId="2843"/>
    <cellStyle name="Normal 5 6 4" xfId="2608"/>
    <cellStyle name="Normal 5 7" xfId="1575"/>
    <cellStyle name="Normal 6" xfId="169"/>
    <cellStyle name="Normal 6 2" xfId="170"/>
    <cellStyle name="Normal 6 2 2" xfId="281"/>
    <cellStyle name="Normal 6 3" xfId="171"/>
    <cellStyle name="Normal 6 3 2" xfId="297"/>
    <cellStyle name="Normal 6 3 3" xfId="282"/>
    <cellStyle name="Normal 6 3 3 2" xfId="451"/>
    <cellStyle name="Normal 6 3 3 2 2" xfId="2833"/>
    <cellStyle name="Normal 6 3 3 2 3" xfId="2610"/>
    <cellStyle name="Normal 6 3 3 3" xfId="659"/>
    <cellStyle name="Normal 6 3 3 3 2" xfId="1172"/>
    <cellStyle name="Normal 6 3 3 4" xfId="2609"/>
    <cellStyle name="Normal 6 3 4" xfId="658"/>
    <cellStyle name="Normal 6 3 4 2" xfId="1171"/>
    <cellStyle name="Normal 6 3 4 3" xfId="2845"/>
    <cellStyle name="Normal 6 3 4 4" xfId="2611"/>
    <cellStyle name="Normal 6 3 5" xfId="1576"/>
    <cellStyle name="Normal 6 4" xfId="172"/>
    <cellStyle name="Normal 6 4 2" xfId="283"/>
    <cellStyle name="Normal 6 4 2 2" xfId="452"/>
    <cellStyle name="Normal 6 4 2 2 2" xfId="1003"/>
    <cellStyle name="Normal 6 4 2 2 2 2" xfId="2943"/>
    <cellStyle name="Normal 6 4 2 2 3" xfId="1493"/>
    <cellStyle name="Normal 6 4 2 2 3 2" xfId="3254"/>
    <cellStyle name="Normal 6 4 2 2 4" xfId="2614"/>
    <cellStyle name="Normal 6 4 2 2 5" xfId="4265"/>
    <cellStyle name="Normal 6 4 2 3" xfId="661"/>
    <cellStyle name="Normal 6 4 2 3 2" xfId="1174"/>
    <cellStyle name="Normal 6 4 2 3 2 2" xfId="3095"/>
    <cellStyle name="Normal 6 4 2 3 3" xfId="2615"/>
    <cellStyle name="Normal 6 4 2 3 4" xfId="4266"/>
    <cellStyle name="Normal 6 4 2 4" xfId="849"/>
    <cellStyle name="Normal 6 4 2 4 2" xfId="2616"/>
    <cellStyle name="Normal 6 4 2 4 3" xfId="4267"/>
    <cellStyle name="Normal 6 4 2 5" xfId="1339"/>
    <cellStyle name="Normal 6 4 2 5 2" xfId="2617"/>
    <cellStyle name="Normal 6 4 2 5 3" xfId="4268"/>
    <cellStyle name="Normal 6 4 2 6" xfId="2618"/>
    <cellStyle name="Normal 6 4 2 6 2" xfId="4269"/>
    <cellStyle name="Normal 6 4 2 7" xfId="2613"/>
    <cellStyle name="Normal 6 4 2 8" xfId="4264"/>
    <cellStyle name="Normal 6 4 3" xfId="371"/>
    <cellStyle name="Normal 6 4 3 2" xfId="927"/>
    <cellStyle name="Normal 6 4 3 2 2" xfId="2894"/>
    <cellStyle name="Normal 6 4 3 3" xfId="1417"/>
    <cellStyle name="Normal 6 4 3 3 2" xfId="3178"/>
    <cellStyle name="Normal 6 4 3 4" xfId="2619"/>
    <cellStyle name="Normal 6 4 3 5" xfId="4270"/>
    <cellStyle name="Normal 6 4 4" xfId="660"/>
    <cellStyle name="Normal 6 4 4 2" xfId="1173"/>
    <cellStyle name="Normal 6 4 4 2 2" xfId="3094"/>
    <cellStyle name="Normal 6 4 4 3" xfId="2620"/>
    <cellStyle name="Normal 6 4 4 4" xfId="4271"/>
    <cellStyle name="Normal 6 4 5" xfId="773"/>
    <cellStyle name="Normal 6 4 5 2" xfId="2621"/>
    <cellStyle name="Normal 6 4 5 3" xfId="4272"/>
    <cellStyle name="Normal 6 4 6" xfId="1263"/>
    <cellStyle name="Normal 6 4 6 2" xfId="2622"/>
    <cellStyle name="Normal 6 4 6 3" xfId="4273"/>
    <cellStyle name="Normal 6 4 7" xfId="1577"/>
    <cellStyle name="Normal 6 4 7 2" xfId="2623"/>
    <cellStyle name="Normal 6 4 7 3" xfId="4274"/>
    <cellStyle name="Normal 6 4 8" xfId="2612"/>
    <cellStyle name="Normal 6 4 9" xfId="4263"/>
    <cellStyle name="Normal 7" xfId="173"/>
    <cellStyle name="Normal 7 2" xfId="174"/>
    <cellStyle name="Normal 7 2 2" xfId="284"/>
    <cellStyle name="Normal 7 3" xfId="2624"/>
    <cellStyle name="Normal 7 3 2" xfId="4275"/>
    <cellStyle name="Normal 8" xfId="175"/>
    <cellStyle name="Normal 8 2" xfId="2625"/>
    <cellStyle name="Normal 9" xfId="176"/>
    <cellStyle name="Normal 9 2" xfId="298"/>
    <cellStyle name="Normal 9 3" xfId="285"/>
    <cellStyle name="Normal 9 3 2" xfId="453"/>
    <cellStyle name="Normal 9 3 3" xfId="663"/>
    <cellStyle name="Normal 9 3 3 2" xfId="1176"/>
    <cellStyle name="Normal 9 3 4" xfId="2626"/>
    <cellStyle name="Normal 9 4" xfId="662"/>
    <cellStyle name="Normal 9 4 2" xfId="1175"/>
    <cellStyle name="Normal 9 5" xfId="1578"/>
    <cellStyle name="Not 2" xfId="177"/>
    <cellStyle name="Not 2 10" xfId="1579"/>
    <cellStyle name="Not 2 10 2" xfId="2629"/>
    <cellStyle name="Not 2 10 3" xfId="2628"/>
    <cellStyle name="Not 2 10 4" xfId="4277"/>
    <cellStyle name="Not 2 11" xfId="2630"/>
    <cellStyle name="Not 2 12" xfId="2627"/>
    <cellStyle name="Not 2 13" xfId="4276"/>
    <cellStyle name="Not 2 2" xfId="178"/>
    <cellStyle name="Not 2 2 10" xfId="2631"/>
    <cellStyle name="Not 2 2 11" xfId="4278"/>
    <cellStyle name="Not 2 2 2" xfId="179"/>
    <cellStyle name="Not 2 2 2 10" xfId="4279"/>
    <cellStyle name="Not 2 2 2 2" xfId="287"/>
    <cellStyle name="Not 2 2 2 2 2" xfId="455"/>
    <cellStyle name="Not 2 2 2 2 2 2" xfId="1005"/>
    <cellStyle name="Not 2 2 2 2 2 2 2" xfId="2945"/>
    <cellStyle name="Not 2 2 2 2 2 2 3" xfId="2635"/>
    <cellStyle name="Not 2 2 2 2 2 3" xfId="1495"/>
    <cellStyle name="Not 2 2 2 2 2 3 2" xfId="3256"/>
    <cellStyle name="Not 2 2 2 2 2 4" xfId="2634"/>
    <cellStyle name="Not 2 2 2 2 2 5" xfId="4281"/>
    <cellStyle name="Not 2 2 2 2 3" xfId="667"/>
    <cellStyle name="Not 2 2 2 2 3 2" xfId="1180"/>
    <cellStyle name="Not 2 2 2 2 3 2 2" xfId="3099"/>
    <cellStyle name="Not 2 2 2 2 3 2 3" xfId="2637"/>
    <cellStyle name="Not 2 2 2 2 3 3" xfId="2636"/>
    <cellStyle name="Not 2 2 2 2 3 4" xfId="4282"/>
    <cellStyle name="Not 2 2 2 2 4" xfId="851"/>
    <cellStyle name="Not 2 2 2 2 4 2" xfId="2639"/>
    <cellStyle name="Not 2 2 2 2 4 3" xfId="2638"/>
    <cellStyle name="Not 2 2 2 2 4 4" xfId="4283"/>
    <cellStyle name="Not 2 2 2 2 5" xfId="1341"/>
    <cellStyle name="Not 2 2 2 2 5 2" xfId="2641"/>
    <cellStyle name="Not 2 2 2 2 5 3" xfId="2640"/>
    <cellStyle name="Not 2 2 2 2 5 4" xfId="4284"/>
    <cellStyle name="Not 2 2 2 2 6" xfId="2642"/>
    <cellStyle name="Not 2 2 2 2 6 2" xfId="2643"/>
    <cellStyle name="Not 2 2 2 2 6 3" xfId="4285"/>
    <cellStyle name="Not 2 2 2 2 7" xfId="2644"/>
    <cellStyle name="Not 2 2 2 2 8" xfId="2633"/>
    <cellStyle name="Not 2 2 2 2 9" xfId="4280"/>
    <cellStyle name="Not 2 2 2 3" xfId="374"/>
    <cellStyle name="Not 2 2 2 3 2" xfId="930"/>
    <cellStyle name="Not 2 2 2 3 2 2" xfId="2896"/>
    <cellStyle name="Not 2 2 2 3 2 3" xfId="2646"/>
    <cellStyle name="Not 2 2 2 3 3" xfId="1420"/>
    <cellStyle name="Not 2 2 2 3 3 2" xfId="3181"/>
    <cellStyle name="Not 2 2 2 3 4" xfId="2645"/>
    <cellStyle name="Not 2 2 2 3 5" xfId="4286"/>
    <cellStyle name="Not 2 2 2 4" xfId="666"/>
    <cellStyle name="Not 2 2 2 4 2" xfId="1179"/>
    <cellStyle name="Not 2 2 2 4 2 2" xfId="3098"/>
    <cellStyle name="Not 2 2 2 4 2 3" xfId="2648"/>
    <cellStyle name="Not 2 2 2 4 3" xfId="2647"/>
    <cellStyle name="Not 2 2 2 4 4" xfId="4287"/>
    <cellStyle name="Not 2 2 2 5" xfId="776"/>
    <cellStyle name="Not 2 2 2 5 2" xfId="2650"/>
    <cellStyle name="Not 2 2 2 5 3" xfId="2649"/>
    <cellStyle name="Not 2 2 2 5 4" xfId="4288"/>
    <cellStyle name="Not 2 2 2 6" xfId="1266"/>
    <cellStyle name="Not 2 2 2 6 2" xfId="2652"/>
    <cellStyle name="Not 2 2 2 6 3" xfId="2651"/>
    <cellStyle name="Not 2 2 2 6 4" xfId="4289"/>
    <cellStyle name="Not 2 2 2 7" xfId="1581"/>
    <cellStyle name="Not 2 2 2 7 2" xfId="2654"/>
    <cellStyle name="Not 2 2 2 7 3" xfId="2653"/>
    <cellStyle name="Not 2 2 2 7 4" xfId="4290"/>
    <cellStyle name="Not 2 2 2 8" xfId="2655"/>
    <cellStyle name="Not 2 2 2 9" xfId="2632"/>
    <cellStyle name="Not 2 2 3" xfId="286"/>
    <cellStyle name="Not 2 2 3 2" xfId="454"/>
    <cellStyle name="Not 2 2 3 2 2" xfId="1004"/>
    <cellStyle name="Not 2 2 3 2 2 2" xfId="2944"/>
    <cellStyle name="Not 2 2 3 2 2 3" xfId="2658"/>
    <cellStyle name="Not 2 2 3 2 3" xfId="1494"/>
    <cellStyle name="Not 2 2 3 2 3 2" xfId="3255"/>
    <cellStyle name="Not 2 2 3 2 4" xfId="2657"/>
    <cellStyle name="Not 2 2 3 2 5" xfId="4292"/>
    <cellStyle name="Not 2 2 3 3" xfId="668"/>
    <cellStyle name="Not 2 2 3 3 2" xfId="1181"/>
    <cellStyle name="Not 2 2 3 3 2 2" xfId="3100"/>
    <cellStyle name="Not 2 2 3 3 2 3" xfId="2660"/>
    <cellStyle name="Not 2 2 3 3 3" xfId="2659"/>
    <cellStyle name="Not 2 2 3 3 4" xfId="4293"/>
    <cellStyle name="Not 2 2 3 4" xfId="850"/>
    <cellStyle name="Not 2 2 3 4 2" xfId="2662"/>
    <cellStyle name="Not 2 2 3 4 3" xfId="2661"/>
    <cellStyle name="Not 2 2 3 4 4" xfId="4294"/>
    <cellStyle name="Not 2 2 3 5" xfId="1340"/>
    <cellStyle name="Not 2 2 3 5 2" xfId="2664"/>
    <cellStyle name="Not 2 2 3 5 3" xfId="2663"/>
    <cellStyle name="Not 2 2 3 5 4" xfId="4295"/>
    <cellStyle name="Not 2 2 3 6" xfId="2665"/>
    <cellStyle name="Not 2 2 3 6 2" xfId="2666"/>
    <cellStyle name="Not 2 2 3 6 3" xfId="4296"/>
    <cellStyle name="Not 2 2 3 7" xfId="2667"/>
    <cellStyle name="Not 2 2 3 8" xfId="2656"/>
    <cellStyle name="Not 2 2 3 9" xfId="4291"/>
    <cellStyle name="Not 2 2 4" xfId="373"/>
    <cellStyle name="Not 2 2 4 2" xfId="929"/>
    <cellStyle name="Not 2 2 4 2 2" xfId="2895"/>
    <cellStyle name="Not 2 2 4 2 3" xfId="2669"/>
    <cellStyle name="Not 2 2 4 3" xfId="1419"/>
    <cellStyle name="Not 2 2 4 3 2" xfId="3180"/>
    <cellStyle name="Not 2 2 4 4" xfId="2668"/>
    <cellStyle name="Not 2 2 4 5" xfId="4297"/>
    <cellStyle name="Not 2 2 5" xfId="665"/>
    <cellStyle name="Not 2 2 5 2" xfId="1178"/>
    <cellStyle name="Not 2 2 5 2 2" xfId="3097"/>
    <cellStyle name="Not 2 2 5 2 3" xfId="2671"/>
    <cellStyle name="Not 2 2 5 3" xfId="2670"/>
    <cellStyle name="Not 2 2 5 4" xfId="4298"/>
    <cellStyle name="Not 2 2 6" xfId="775"/>
    <cellStyle name="Not 2 2 6 2" xfId="2673"/>
    <cellStyle name="Not 2 2 6 3" xfId="2672"/>
    <cellStyle name="Not 2 2 6 4" xfId="4299"/>
    <cellStyle name="Not 2 2 7" xfId="1265"/>
    <cellStyle name="Not 2 2 7 2" xfId="2675"/>
    <cellStyle name="Not 2 2 7 3" xfId="2674"/>
    <cellStyle name="Not 2 2 7 4" xfId="4300"/>
    <cellStyle name="Not 2 2 8" xfId="1580"/>
    <cellStyle name="Not 2 2 8 2" xfId="2677"/>
    <cellStyle name="Not 2 2 8 3" xfId="2676"/>
    <cellStyle name="Not 2 2 8 4" xfId="4301"/>
    <cellStyle name="Not 2 2 9" xfId="2678"/>
    <cellStyle name="Not 2 3" xfId="180"/>
    <cellStyle name="Not 2 3 10" xfId="4302"/>
    <cellStyle name="Not 2 3 2" xfId="288"/>
    <cellStyle name="Not 2 3 2 2" xfId="456"/>
    <cellStyle name="Not 2 3 2 2 2" xfId="1006"/>
    <cellStyle name="Not 2 3 2 2 2 2" xfId="2946"/>
    <cellStyle name="Not 2 3 2 2 2 3" xfId="2682"/>
    <cellStyle name="Not 2 3 2 2 3" xfId="1496"/>
    <cellStyle name="Not 2 3 2 2 3 2" xfId="3257"/>
    <cellStyle name="Not 2 3 2 2 4" xfId="2681"/>
    <cellStyle name="Not 2 3 2 2 5" xfId="4304"/>
    <cellStyle name="Not 2 3 2 3" xfId="670"/>
    <cellStyle name="Not 2 3 2 3 2" xfId="1183"/>
    <cellStyle name="Not 2 3 2 3 2 2" xfId="3102"/>
    <cellStyle name="Not 2 3 2 3 2 3" xfId="2684"/>
    <cellStyle name="Not 2 3 2 3 3" xfId="2683"/>
    <cellStyle name="Not 2 3 2 3 4" xfId="4305"/>
    <cellStyle name="Not 2 3 2 4" xfId="852"/>
    <cellStyle name="Not 2 3 2 4 2" xfId="2686"/>
    <cellStyle name="Not 2 3 2 4 3" xfId="2685"/>
    <cellStyle name="Not 2 3 2 4 4" xfId="4306"/>
    <cellStyle name="Not 2 3 2 5" xfId="1342"/>
    <cellStyle name="Not 2 3 2 5 2" xfId="2688"/>
    <cellStyle name="Not 2 3 2 5 3" xfId="2687"/>
    <cellStyle name="Not 2 3 2 5 4" xfId="4307"/>
    <cellStyle name="Not 2 3 2 6" xfId="2689"/>
    <cellStyle name="Not 2 3 2 6 2" xfId="2690"/>
    <cellStyle name="Not 2 3 2 6 3" xfId="4308"/>
    <cellStyle name="Not 2 3 2 7" xfId="2691"/>
    <cellStyle name="Not 2 3 2 8" xfId="2680"/>
    <cellStyle name="Not 2 3 2 9" xfId="4303"/>
    <cellStyle name="Not 2 3 3" xfId="375"/>
    <cellStyle name="Not 2 3 3 2" xfId="931"/>
    <cellStyle name="Not 2 3 3 2 2" xfId="2897"/>
    <cellStyle name="Not 2 3 3 2 3" xfId="2693"/>
    <cellStyle name="Not 2 3 3 3" xfId="1421"/>
    <cellStyle name="Not 2 3 3 3 2" xfId="3182"/>
    <cellStyle name="Not 2 3 3 4" xfId="2692"/>
    <cellStyle name="Not 2 3 3 5" xfId="4309"/>
    <cellStyle name="Not 2 3 4" xfId="669"/>
    <cellStyle name="Not 2 3 4 2" xfId="1182"/>
    <cellStyle name="Not 2 3 4 2 2" xfId="3101"/>
    <cellStyle name="Not 2 3 4 2 3" xfId="2695"/>
    <cellStyle name="Not 2 3 4 3" xfId="2694"/>
    <cellStyle name="Not 2 3 4 4" xfId="4310"/>
    <cellStyle name="Not 2 3 5" xfId="777"/>
    <cellStyle name="Not 2 3 5 2" xfId="2697"/>
    <cellStyle name="Not 2 3 5 3" xfId="2696"/>
    <cellStyle name="Not 2 3 5 4" xfId="4311"/>
    <cellStyle name="Not 2 3 6" xfId="1267"/>
    <cellStyle name="Not 2 3 6 2" xfId="2699"/>
    <cellStyle name="Not 2 3 6 3" xfId="2698"/>
    <cellStyle name="Not 2 3 6 4" xfId="4312"/>
    <cellStyle name="Not 2 3 7" xfId="1582"/>
    <cellStyle name="Not 2 3 7 2" xfId="2701"/>
    <cellStyle name="Not 2 3 7 3" xfId="2700"/>
    <cellStyle name="Not 2 3 7 4" xfId="4313"/>
    <cellStyle name="Not 2 3 8" xfId="2702"/>
    <cellStyle name="Not 2 3 9" xfId="2679"/>
    <cellStyle name="Not 2 4" xfId="181"/>
    <cellStyle name="Not 2 5" xfId="221"/>
    <cellStyle name="Not 2 5 10" xfId="4314"/>
    <cellStyle name="Not 2 5 2" xfId="394"/>
    <cellStyle name="Not 2 5 2 2" xfId="949"/>
    <cellStyle name="Not 2 5 2 2 2" xfId="2706"/>
    <cellStyle name="Not 2 5 2 2 3" xfId="2705"/>
    <cellStyle name="Not 2 5 2 2 4" xfId="4316"/>
    <cellStyle name="Not 2 5 2 3" xfId="1439"/>
    <cellStyle name="Not 2 5 2 3 2" xfId="3200"/>
    <cellStyle name="Not 2 5 2 3 3" xfId="2707"/>
    <cellStyle name="Not 2 5 2 4" xfId="2704"/>
    <cellStyle name="Not 2 5 2 5" xfId="4315"/>
    <cellStyle name="Not 2 5 3" xfId="671"/>
    <cellStyle name="Not 2 5 3 2" xfId="1184"/>
    <cellStyle name="Not 2 5 3 2 2" xfId="3103"/>
    <cellStyle name="Not 2 5 3 2 3" xfId="2709"/>
    <cellStyle name="Not 2 5 3 3" xfId="2708"/>
    <cellStyle name="Not 2 5 3 4" xfId="4317"/>
    <cellStyle name="Not 2 5 4" xfId="795"/>
    <cellStyle name="Not 2 5 4 2" xfId="2711"/>
    <cellStyle name="Not 2 5 4 3" xfId="2710"/>
    <cellStyle name="Not 2 5 4 4" xfId="4318"/>
    <cellStyle name="Not 2 5 5" xfId="1285"/>
    <cellStyle name="Not 2 5 5 2" xfId="2713"/>
    <cellStyle name="Not 2 5 5 3" xfId="2712"/>
    <cellStyle name="Not 2 5 5 4" xfId="4319"/>
    <cellStyle name="Not 2 5 6" xfId="2714"/>
    <cellStyle name="Not 2 5 6 2" xfId="2715"/>
    <cellStyle name="Not 2 5 6 3" xfId="4320"/>
    <cellStyle name="Not 2 5 7" xfId="2716"/>
    <cellStyle name="Not 2 5 7 2" xfId="2717"/>
    <cellStyle name="Not 2 5 7 3" xfId="4321"/>
    <cellStyle name="Not 2 5 8" xfId="2718"/>
    <cellStyle name="Not 2 5 9" xfId="2703"/>
    <cellStyle name="Not 2 6" xfId="372"/>
    <cellStyle name="Not 2 6 2" xfId="928"/>
    <cellStyle name="Not 2 6 2 2" xfId="2721"/>
    <cellStyle name="Not 2 6 2 3" xfId="2720"/>
    <cellStyle name="Not 2 6 2 4" xfId="4323"/>
    <cellStyle name="Not 2 6 3" xfId="1418"/>
    <cellStyle name="Not 2 6 3 2" xfId="3179"/>
    <cellStyle name="Not 2 6 3 3" xfId="2722"/>
    <cellStyle name="Not 2 6 4" xfId="2719"/>
    <cellStyle name="Not 2 6 5" xfId="4322"/>
    <cellStyle name="Not 2 7" xfId="664"/>
    <cellStyle name="Not 2 7 2" xfId="1177"/>
    <cellStyle name="Not 2 7 2 2" xfId="3096"/>
    <cellStyle name="Not 2 7 2 3" xfId="2724"/>
    <cellStyle name="Not 2 7 3" xfId="2723"/>
    <cellStyle name="Not 2 7 4" xfId="4324"/>
    <cellStyle name="Not 2 8" xfId="774"/>
    <cellStyle name="Not 2 8 2" xfId="2726"/>
    <cellStyle name="Not 2 8 3" xfId="2725"/>
    <cellStyle name="Not 2 8 4" xfId="4325"/>
    <cellStyle name="Not 2 9" xfId="1264"/>
    <cellStyle name="Not 2 9 2" xfId="2728"/>
    <cellStyle name="Not 2 9 3" xfId="2727"/>
    <cellStyle name="Not 2 9 4" xfId="4326"/>
    <cellStyle name="Not 3" xfId="182"/>
    <cellStyle name="Not 3 10" xfId="4327"/>
    <cellStyle name="Not 3 2" xfId="289"/>
    <cellStyle name="Not 3 2 2" xfId="457"/>
    <cellStyle name="Not 3 2 2 2" xfId="1007"/>
    <cellStyle name="Not 3 2 2 2 2" xfId="2947"/>
    <cellStyle name="Not 3 2 2 2 3" xfId="2732"/>
    <cellStyle name="Not 3 2 2 3" xfId="1497"/>
    <cellStyle name="Not 3 2 2 3 2" xfId="3258"/>
    <cellStyle name="Not 3 2 2 4" xfId="2731"/>
    <cellStyle name="Not 3 2 2 5" xfId="4329"/>
    <cellStyle name="Not 3 2 3" xfId="673"/>
    <cellStyle name="Not 3 2 3 2" xfId="1186"/>
    <cellStyle name="Not 3 2 3 2 2" xfId="3105"/>
    <cellStyle name="Not 3 2 3 2 3" xfId="2734"/>
    <cellStyle name="Not 3 2 3 3" xfId="2733"/>
    <cellStyle name="Not 3 2 3 4" xfId="4330"/>
    <cellStyle name="Not 3 2 4" xfId="853"/>
    <cellStyle name="Not 3 2 4 2" xfId="2736"/>
    <cellStyle name="Not 3 2 4 3" xfId="2735"/>
    <cellStyle name="Not 3 2 4 4" xfId="4331"/>
    <cellStyle name="Not 3 2 5" xfId="1343"/>
    <cellStyle name="Not 3 2 5 2" xfId="2738"/>
    <cellStyle name="Not 3 2 5 3" xfId="2737"/>
    <cellStyle name="Not 3 2 5 4" xfId="4332"/>
    <cellStyle name="Not 3 2 6" xfId="2739"/>
    <cellStyle name="Not 3 2 6 2" xfId="2740"/>
    <cellStyle name="Not 3 2 6 3" xfId="4333"/>
    <cellStyle name="Not 3 2 7" xfId="2741"/>
    <cellStyle name="Not 3 2 8" xfId="2730"/>
    <cellStyle name="Not 3 2 9" xfId="4328"/>
    <cellStyle name="Not 3 3" xfId="376"/>
    <cellStyle name="Not 3 3 2" xfId="932"/>
    <cellStyle name="Not 3 3 2 2" xfId="2898"/>
    <cellStyle name="Not 3 3 2 3" xfId="2743"/>
    <cellStyle name="Not 3 3 3" xfId="1422"/>
    <cellStyle name="Not 3 3 3 2" xfId="3183"/>
    <cellStyle name="Not 3 3 4" xfId="2742"/>
    <cellStyle name="Not 3 3 5" xfId="4334"/>
    <cellStyle name="Not 3 4" xfId="672"/>
    <cellStyle name="Not 3 4 2" xfId="1185"/>
    <cellStyle name="Not 3 4 2 2" xfId="3104"/>
    <cellStyle name="Not 3 4 2 3" xfId="2745"/>
    <cellStyle name="Not 3 4 3" xfId="2744"/>
    <cellStyle name="Not 3 4 4" xfId="4335"/>
    <cellStyle name="Not 3 5" xfId="778"/>
    <cellStyle name="Not 3 5 2" xfId="2747"/>
    <cellStyle name="Not 3 5 3" xfId="2746"/>
    <cellStyle name="Not 3 5 4" xfId="4336"/>
    <cellStyle name="Not 3 6" xfId="1268"/>
    <cellStyle name="Not 3 6 2" xfId="2749"/>
    <cellStyle name="Not 3 6 3" xfId="2748"/>
    <cellStyle name="Not 3 6 4" xfId="4337"/>
    <cellStyle name="Not 3 7" xfId="1583"/>
    <cellStyle name="Not 3 7 2" xfId="2751"/>
    <cellStyle name="Not 3 7 3" xfId="2750"/>
    <cellStyle name="Not 3 7 4" xfId="4338"/>
    <cellStyle name="Not 3 8" xfId="2752"/>
    <cellStyle name="Not 3 9" xfId="2729"/>
    <cellStyle name="Not 4" xfId="183"/>
    <cellStyle name="Not 4 10" xfId="4339"/>
    <cellStyle name="Not 4 2" xfId="290"/>
    <cellStyle name="Not 4 2 2" xfId="458"/>
    <cellStyle name="Not 4 2 2 2" xfId="1008"/>
    <cellStyle name="Not 4 2 2 2 2" xfId="2948"/>
    <cellStyle name="Not 4 2 2 2 3" xfId="2756"/>
    <cellStyle name="Not 4 2 2 3" xfId="1498"/>
    <cellStyle name="Not 4 2 2 3 2" xfId="3259"/>
    <cellStyle name="Not 4 2 2 4" xfId="2755"/>
    <cellStyle name="Not 4 2 2 5" xfId="4341"/>
    <cellStyle name="Not 4 2 3" xfId="675"/>
    <cellStyle name="Not 4 2 3 2" xfId="1188"/>
    <cellStyle name="Not 4 2 3 2 2" xfId="3107"/>
    <cellStyle name="Not 4 2 3 2 3" xfId="2758"/>
    <cellStyle name="Not 4 2 3 3" xfId="2757"/>
    <cellStyle name="Not 4 2 3 4" xfId="4342"/>
    <cellStyle name="Not 4 2 4" xfId="854"/>
    <cellStyle name="Not 4 2 4 2" xfId="2760"/>
    <cellStyle name="Not 4 2 4 3" xfId="2759"/>
    <cellStyle name="Not 4 2 4 4" xfId="4343"/>
    <cellStyle name="Not 4 2 5" xfId="1344"/>
    <cellStyle name="Not 4 2 5 2" xfId="2762"/>
    <cellStyle name="Not 4 2 5 3" xfId="2761"/>
    <cellStyle name="Not 4 2 5 4" xfId="4344"/>
    <cellStyle name="Not 4 2 6" xfId="2763"/>
    <cellStyle name="Not 4 2 6 2" xfId="2764"/>
    <cellStyle name="Not 4 2 6 3" xfId="4345"/>
    <cellStyle name="Not 4 2 7" xfId="2765"/>
    <cellStyle name="Not 4 2 8" xfId="2754"/>
    <cellStyle name="Not 4 2 9" xfId="4340"/>
    <cellStyle name="Not 4 3" xfId="377"/>
    <cellStyle name="Not 4 3 2" xfId="933"/>
    <cellStyle name="Not 4 3 2 2" xfId="2899"/>
    <cellStyle name="Not 4 3 2 3" xfId="2767"/>
    <cellStyle name="Not 4 3 3" xfId="1423"/>
    <cellStyle name="Not 4 3 3 2" xfId="3184"/>
    <cellStyle name="Not 4 3 4" xfId="2766"/>
    <cellStyle name="Not 4 3 5" xfId="4346"/>
    <cellStyle name="Not 4 4" xfId="674"/>
    <cellStyle name="Not 4 4 2" xfId="1187"/>
    <cellStyle name="Not 4 4 2 2" xfId="3106"/>
    <cellStyle name="Not 4 4 2 3" xfId="2769"/>
    <cellStyle name="Not 4 4 3" xfId="2768"/>
    <cellStyle name="Not 4 4 4" xfId="4347"/>
    <cellStyle name="Not 4 5" xfId="779"/>
    <cellStyle name="Not 4 5 2" xfId="2771"/>
    <cellStyle name="Not 4 5 3" xfId="2770"/>
    <cellStyle name="Not 4 5 4" xfId="4348"/>
    <cellStyle name="Not 4 6" xfId="1269"/>
    <cellStyle name="Not 4 6 2" xfId="2773"/>
    <cellStyle name="Not 4 6 3" xfId="2772"/>
    <cellStyle name="Not 4 6 4" xfId="4349"/>
    <cellStyle name="Not 4 7" xfId="1584"/>
    <cellStyle name="Not 4 7 2" xfId="2775"/>
    <cellStyle name="Not 4 7 3" xfId="2774"/>
    <cellStyle name="Not 4 7 4" xfId="4350"/>
    <cellStyle name="Not 4 8" xfId="2776"/>
    <cellStyle name="Not 4 9" xfId="2753"/>
    <cellStyle name="Not 5" xfId="184"/>
    <cellStyle name="Not 5 10" xfId="4351"/>
    <cellStyle name="Not 5 2" xfId="291"/>
    <cellStyle name="Not 5 2 2" xfId="459"/>
    <cellStyle name="Not 5 2 2 2" xfId="1009"/>
    <cellStyle name="Not 5 2 2 2 2" xfId="2949"/>
    <cellStyle name="Not 5 2 2 2 3" xfId="2780"/>
    <cellStyle name="Not 5 2 2 3" xfId="1499"/>
    <cellStyle name="Not 5 2 2 3 2" xfId="3260"/>
    <cellStyle name="Not 5 2 2 4" xfId="2779"/>
    <cellStyle name="Not 5 2 2 5" xfId="4353"/>
    <cellStyle name="Not 5 2 3" xfId="677"/>
    <cellStyle name="Not 5 2 3 2" xfId="1190"/>
    <cellStyle name="Not 5 2 3 2 2" xfId="3109"/>
    <cellStyle name="Not 5 2 3 2 3" xfId="2782"/>
    <cellStyle name="Not 5 2 3 3" xfId="2781"/>
    <cellStyle name="Not 5 2 3 4" xfId="4354"/>
    <cellStyle name="Not 5 2 4" xfId="855"/>
    <cellStyle name="Not 5 2 4 2" xfId="2784"/>
    <cellStyle name="Not 5 2 4 3" xfId="2783"/>
    <cellStyle name="Not 5 2 4 4" xfId="4355"/>
    <cellStyle name="Not 5 2 5" xfId="1345"/>
    <cellStyle name="Not 5 2 5 2" xfId="2786"/>
    <cellStyle name="Not 5 2 5 3" xfId="2785"/>
    <cellStyle name="Not 5 2 5 4" xfId="4356"/>
    <cellStyle name="Not 5 2 6" xfId="2787"/>
    <cellStyle name="Not 5 2 6 2" xfId="2788"/>
    <cellStyle name="Not 5 2 6 3" xfId="4357"/>
    <cellStyle name="Not 5 2 7" xfId="2789"/>
    <cellStyle name="Not 5 2 8" xfId="2778"/>
    <cellStyle name="Not 5 2 9" xfId="4352"/>
    <cellStyle name="Not 5 3" xfId="378"/>
    <cellStyle name="Not 5 3 2" xfId="934"/>
    <cellStyle name="Not 5 3 2 2" xfId="2900"/>
    <cellStyle name="Not 5 3 2 3" xfId="2791"/>
    <cellStyle name="Not 5 3 3" xfId="1424"/>
    <cellStyle name="Not 5 3 3 2" xfId="3185"/>
    <cellStyle name="Not 5 3 4" xfId="2790"/>
    <cellStyle name="Not 5 3 5" xfId="4358"/>
    <cellStyle name="Not 5 4" xfId="676"/>
    <cellStyle name="Not 5 4 2" xfId="1189"/>
    <cellStyle name="Not 5 4 2 2" xfId="3108"/>
    <cellStyle name="Not 5 4 2 3" xfId="2793"/>
    <cellStyle name="Not 5 4 3" xfId="2792"/>
    <cellStyle name="Not 5 4 4" xfId="4359"/>
    <cellStyle name="Not 5 5" xfId="780"/>
    <cellStyle name="Not 5 5 2" xfId="2795"/>
    <cellStyle name="Not 5 5 3" xfId="2794"/>
    <cellStyle name="Not 5 5 4" xfId="4360"/>
    <cellStyle name="Not 5 6" xfId="1270"/>
    <cellStyle name="Not 5 6 2" xfId="2797"/>
    <cellStyle name="Not 5 6 3" xfId="2796"/>
    <cellStyle name="Not 5 6 4" xfId="4361"/>
    <cellStyle name="Not 5 7" xfId="1585"/>
    <cellStyle name="Not 5 7 2" xfId="2799"/>
    <cellStyle name="Not 5 7 3" xfId="2798"/>
    <cellStyle name="Not 5 7 4" xfId="4362"/>
    <cellStyle name="Not 5 8" xfId="2800"/>
    <cellStyle name="Not 5 9" xfId="2777"/>
    <cellStyle name="Not 6" xfId="185"/>
    <cellStyle name="Not 7" xfId="678"/>
    <cellStyle name="Nötr" xfId="8" builtinId="28" customBuiltin="1"/>
    <cellStyle name="Nötr 2" xfId="186"/>
    <cellStyle name="Nötr 3" xfId="187"/>
    <cellStyle name="Nötr 4" xfId="679"/>
    <cellStyle name="ParaBirimi 2" xfId="680"/>
    <cellStyle name="ParaBirimi 2 2" xfId="681"/>
    <cellStyle name="ParaBirimi 2 3" xfId="682"/>
    <cellStyle name="ParaBirimi 3" xfId="683"/>
    <cellStyle name="ParaBirimi 3 2" xfId="2801"/>
    <cellStyle name="ParaBirimi 4" xfId="684"/>
    <cellStyle name="Toplam" xfId="16" builtinId="25" customBuiltin="1"/>
    <cellStyle name="Toplam 2" xfId="188"/>
    <cellStyle name="Toplam 3" xfId="189"/>
    <cellStyle name="Toplam 4" xfId="685"/>
    <cellStyle name="Uyarı Metni" xfId="14" builtinId="11" customBuiltin="1"/>
    <cellStyle name="Uyarı Metni 2" xfId="190"/>
    <cellStyle name="Uyarı Metni 3" xfId="191"/>
    <cellStyle name="Uyarı Metni 4" xfId="686"/>
    <cellStyle name="Uyarı Metni 4 2" xfId="2802"/>
    <cellStyle name="Uyarı Metni 5" xfId="2803"/>
    <cellStyle name="Virgül 2" xfId="193"/>
    <cellStyle name="Virgül 2 2" xfId="299"/>
    <cellStyle name="Virgül 2 2 2" xfId="689"/>
    <cellStyle name="Virgül 2 2 3" xfId="690"/>
    <cellStyle name="Virgül 2 2 3 2" xfId="1193"/>
    <cellStyle name="Virgül 2 2 3 2 2" xfId="2806"/>
    <cellStyle name="Virgül 2 2 3 2 3" xfId="2805"/>
    <cellStyle name="Virgül 2 2 3 2 4" xfId="4364"/>
    <cellStyle name="Virgül 2 2 3 3" xfId="2807"/>
    <cellStyle name="Virgül 2 2 3 3 2" xfId="2808"/>
    <cellStyle name="Virgül 2 2 3 3 3" xfId="4365"/>
    <cellStyle name="Virgül 2 2 3 4" xfId="2809"/>
    <cellStyle name="Virgül 2 2 3 4 2" xfId="2810"/>
    <cellStyle name="Virgül 2 2 3 4 3" xfId="4366"/>
    <cellStyle name="Virgül 2 2 3 5" xfId="2811"/>
    <cellStyle name="Virgül 2 2 3 6" xfId="2804"/>
    <cellStyle name="Virgül 2 2 3 7" xfId="4363"/>
    <cellStyle name="Virgül 2 3" xfId="292"/>
    <cellStyle name="Virgül 2 3 2" xfId="460"/>
    <cellStyle name="Virgül 2 3 2 2" xfId="2834"/>
    <cellStyle name="Virgül 2 3 2 3" xfId="2813"/>
    <cellStyle name="Virgül 2 3 3" xfId="691"/>
    <cellStyle name="Virgül 2 3 3 2" xfId="1194"/>
    <cellStyle name="Virgül 2 3 4" xfId="2812"/>
    <cellStyle name="Virgül 2 4" xfId="302"/>
    <cellStyle name="Virgül 2 4 2" xfId="464"/>
    <cellStyle name="Virgül 2 4 2 2" xfId="1012"/>
    <cellStyle name="Virgül 2 4 2 2 2" xfId="2952"/>
    <cellStyle name="Virgül 2 4 2 3" xfId="1502"/>
    <cellStyle name="Virgül 2 4 2 3 2" xfId="3263"/>
    <cellStyle name="Virgül 2 4 2 4" xfId="2838"/>
    <cellStyle name="Virgül 2 4 3" xfId="692"/>
    <cellStyle name="Virgül 2 4 4" xfId="858"/>
    <cellStyle name="Virgül 2 4 4 2" xfId="2850"/>
    <cellStyle name="Virgül 2 4 5" xfId="1348"/>
    <cellStyle name="Virgül 2 4 5 2" xfId="3114"/>
    <cellStyle name="Virgül 2 4 6" xfId="2828"/>
    <cellStyle name="Virgül 2 5" xfId="693"/>
    <cellStyle name="Virgül 2 6" xfId="688"/>
    <cellStyle name="Virgül 2 6 2" xfId="1192"/>
    <cellStyle name="Virgül 2 6 3" xfId="2846"/>
    <cellStyle name="Virgül 2 6 4" xfId="2814"/>
    <cellStyle name="Virgül 2 7" xfId="1587"/>
    <cellStyle name="Virgül 3" xfId="192"/>
    <cellStyle name="Virgül 3 2" xfId="304"/>
    <cellStyle name="Virgül 3 2 2" xfId="466"/>
    <cellStyle name="Virgül 3 2 2 2" xfId="1014"/>
    <cellStyle name="Virgül 3 2 2 2 2" xfId="2954"/>
    <cellStyle name="Virgül 3 2 2 3" xfId="1504"/>
    <cellStyle name="Virgül 3 2 2 3 2" xfId="3265"/>
    <cellStyle name="Virgül 3 2 2 4" xfId="2839"/>
    <cellStyle name="Virgül 3 2 3" xfId="694"/>
    <cellStyle name="Virgül 3 2 4" xfId="860"/>
    <cellStyle name="Virgül 3 2 4 2" xfId="2851"/>
    <cellStyle name="Virgül 3 2 5" xfId="1350"/>
    <cellStyle name="Virgül 3 2 5 2" xfId="3116"/>
    <cellStyle name="Virgül 3 2 6" xfId="2829"/>
    <cellStyle name="Virgül 3 3" xfId="695"/>
    <cellStyle name="Virgül 3 3 2" xfId="1195"/>
    <cellStyle name="Virgül 3 3 2 2" xfId="2817"/>
    <cellStyle name="Virgül 3 3 2 3" xfId="2816"/>
    <cellStyle name="Virgül 3 3 2 4" xfId="4368"/>
    <cellStyle name="Virgül 3 3 3" xfId="2818"/>
    <cellStyle name="Virgül 3 3 3 2" xfId="2819"/>
    <cellStyle name="Virgül 3 3 3 3" xfId="4369"/>
    <cellStyle name="Virgül 3 3 4" xfId="2820"/>
    <cellStyle name="Virgül 3 3 4 2" xfId="2821"/>
    <cellStyle name="Virgül 3 3 4 3" xfId="4370"/>
    <cellStyle name="Virgül 3 3 5" xfId="2822"/>
    <cellStyle name="Virgül 3 3 6" xfId="2815"/>
    <cellStyle name="Virgül 3 3 7" xfId="4367"/>
    <cellStyle name="Virgül 3 4" xfId="1586"/>
    <cellStyle name="Virgül 4" xfId="696"/>
    <cellStyle name="Virgül 4 2" xfId="697"/>
    <cellStyle name="Virgül 4 3" xfId="2824"/>
    <cellStyle name="Virgül 4 4" xfId="2823"/>
    <cellStyle name="Virgül 5" xfId="698"/>
    <cellStyle name="Virgül 6" xfId="699"/>
    <cellStyle name="Virgül 7" xfId="700"/>
    <cellStyle name="Virgül 8" xfId="687"/>
    <cellStyle name="Virgül 8 2" xfId="1191"/>
    <cellStyle name="Vurgu1" xfId="17" builtinId="29" customBuiltin="1"/>
    <cellStyle name="Vurgu1 2" xfId="194"/>
    <cellStyle name="Vurgu1 3" xfId="195"/>
    <cellStyle name="Vurgu1 4" xfId="701"/>
    <cellStyle name="Vurgu2" xfId="21" builtinId="33" customBuiltin="1"/>
    <cellStyle name="Vurgu2 2" xfId="196"/>
    <cellStyle name="Vurgu2 3" xfId="197"/>
    <cellStyle name="Vurgu2 4" xfId="702"/>
    <cellStyle name="Vurgu3" xfId="25" builtinId="37" customBuiltin="1"/>
    <cellStyle name="Vurgu3 2" xfId="198"/>
    <cellStyle name="Vurgu3 3" xfId="199"/>
    <cellStyle name="Vurgu3 4" xfId="703"/>
    <cellStyle name="Vurgu4" xfId="29" builtinId="41" customBuiltin="1"/>
    <cellStyle name="Vurgu4 2" xfId="200"/>
    <cellStyle name="Vurgu4 3" xfId="201"/>
    <cellStyle name="Vurgu4 4" xfId="704"/>
    <cellStyle name="Vurgu5" xfId="33" builtinId="45" customBuiltin="1"/>
    <cellStyle name="Vurgu5 2" xfId="202"/>
    <cellStyle name="Vurgu5 3" xfId="203"/>
    <cellStyle name="Vurgu5 4" xfId="705"/>
    <cellStyle name="Vurgu6" xfId="37" builtinId="49" customBuiltin="1"/>
    <cellStyle name="Vurgu6 2" xfId="204"/>
    <cellStyle name="Vurgu6 3" xfId="205"/>
    <cellStyle name="Vurgu6 4" xfId="706"/>
    <cellStyle name="Vurgu6 4 2" xfId="2825"/>
    <cellStyle name="Vurgu6 5" xfId="2826"/>
  </cellStyles>
  <dxfs count="0"/>
  <tableStyles count="0" defaultTableStyle="TableStyleMedium2" defaultPivotStyle="PivotStyleMedium9"/>
  <colors>
    <mruColors>
      <color rgb="FF80EEAD"/>
      <color rgb="FFF6EDAA"/>
      <color rgb="FFFFCCFF"/>
      <color rgb="FFD1FBF4"/>
      <color rgb="FFF2E754"/>
      <color rgb="FFFF00FF"/>
      <color rgb="FFFF99FF"/>
      <color rgb="FFFF33CC"/>
      <color rgb="FF336600"/>
      <color rgb="FF777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9"/>
  <sheetViews>
    <sheetView topLeftCell="A69" zoomScale="130" zoomScaleNormal="130" workbookViewId="0">
      <selection activeCell="B91" sqref="B91"/>
    </sheetView>
  </sheetViews>
  <sheetFormatPr defaultRowHeight="14.4" x14ac:dyDescent="0.3"/>
  <cols>
    <col min="1" max="1" width="25" customWidth="1"/>
    <col min="2" max="2" width="27.44140625" bestFit="1" customWidth="1"/>
  </cols>
  <sheetData>
    <row r="1" spans="1:2" x14ac:dyDescent="0.3">
      <c r="A1" s="1" t="s">
        <v>0</v>
      </c>
      <c r="B1" s="9"/>
    </row>
    <row r="2" spans="1:2" x14ac:dyDescent="0.3">
      <c r="A2" s="1" t="s">
        <v>1</v>
      </c>
      <c r="B2" s="9" t="s">
        <v>2</v>
      </c>
    </row>
    <row r="3" spans="1:2" x14ac:dyDescent="0.3">
      <c r="A3" s="1" t="s">
        <v>3</v>
      </c>
      <c r="B3" s="9" t="s">
        <v>5</v>
      </c>
    </row>
    <row r="4" spans="1:2" x14ac:dyDescent="0.3">
      <c r="A4" s="1" t="s">
        <v>4</v>
      </c>
      <c r="B4" s="17" t="s">
        <v>8</v>
      </c>
    </row>
    <row r="5" spans="1:2" x14ac:dyDescent="0.3">
      <c r="A5" s="1" t="s">
        <v>6</v>
      </c>
      <c r="B5" s="17" t="s">
        <v>272</v>
      </c>
    </row>
    <row r="6" spans="1:2" x14ac:dyDescent="0.3">
      <c r="A6" s="1" t="s">
        <v>7</v>
      </c>
      <c r="B6" s="17" t="s">
        <v>11</v>
      </c>
    </row>
    <row r="7" spans="1:2" x14ac:dyDescent="0.3">
      <c r="A7" s="1" t="s">
        <v>9</v>
      </c>
      <c r="B7" s="17" t="s">
        <v>285</v>
      </c>
    </row>
    <row r="8" spans="1:2" x14ac:dyDescent="0.3">
      <c r="A8" s="1" t="s">
        <v>10</v>
      </c>
      <c r="B8" s="17" t="s">
        <v>14</v>
      </c>
    </row>
    <row r="9" spans="1:2" x14ac:dyDescent="0.3">
      <c r="A9" s="1" t="s">
        <v>12</v>
      </c>
      <c r="B9" s="17" t="s">
        <v>16</v>
      </c>
    </row>
    <row r="10" spans="1:2" x14ac:dyDescent="0.3">
      <c r="A10" s="1" t="s">
        <v>13</v>
      </c>
      <c r="B10" s="17" t="s">
        <v>259</v>
      </c>
    </row>
    <row r="11" spans="1:2" x14ac:dyDescent="0.3">
      <c r="A11" s="1" t="s">
        <v>15</v>
      </c>
      <c r="B11" s="17" t="s">
        <v>271</v>
      </c>
    </row>
    <row r="12" spans="1:2" x14ac:dyDescent="0.3">
      <c r="A12" s="1" t="s">
        <v>17</v>
      </c>
      <c r="B12" s="17" t="s">
        <v>22</v>
      </c>
    </row>
    <row r="13" spans="1:2" x14ac:dyDescent="0.3">
      <c r="A13" s="1" t="s">
        <v>18</v>
      </c>
      <c r="B13" s="17" t="s">
        <v>277</v>
      </c>
    </row>
    <row r="14" spans="1:2" x14ac:dyDescent="0.3">
      <c r="A14" s="1" t="s">
        <v>19</v>
      </c>
      <c r="B14" s="17" t="s">
        <v>24</v>
      </c>
    </row>
    <row r="15" spans="1:2" x14ac:dyDescent="0.3">
      <c r="A15" s="1" t="s">
        <v>270</v>
      </c>
      <c r="B15" s="17" t="s">
        <v>284</v>
      </c>
    </row>
    <row r="16" spans="1:2" x14ac:dyDescent="0.3">
      <c r="A16" s="18" t="s">
        <v>269</v>
      </c>
      <c r="B16" s="17" t="s">
        <v>266</v>
      </c>
    </row>
    <row r="17" spans="1:2" x14ac:dyDescent="0.3">
      <c r="A17" s="18" t="s">
        <v>267</v>
      </c>
      <c r="B17" s="17" t="s">
        <v>28</v>
      </c>
    </row>
    <row r="18" spans="1:2" x14ac:dyDescent="0.3">
      <c r="A18" s="18" t="s">
        <v>20</v>
      </c>
      <c r="B18" s="17" t="s">
        <v>31</v>
      </c>
    </row>
    <row r="19" spans="1:2" x14ac:dyDescent="0.3">
      <c r="A19" s="18" t="s">
        <v>21</v>
      </c>
      <c r="B19" s="17" t="s">
        <v>34</v>
      </c>
    </row>
    <row r="20" spans="1:2" x14ac:dyDescent="0.3">
      <c r="A20" s="18" t="s">
        <v>23</v>
      </c>
      <c r="B20" s="17" t="s">
        <v>36</v>
      </c>
    </row>
    <row r="21" spans="1:2" x14ac:dyDescent="0.3">
      <c r="A21" s="18" t="s">
        <v>25</v>
      </c>
      <c r="B21" s="17" t="s">
        <v>38</v>
      </c>
    </row>
    <row r="22" spans="1:2" x14ac:dyDescent="0.3">
      <c r="A22" s="18" t="s">
        <v>26</v>
      </c>
      <c r="B22" s="17" t="s">
        <v>40</v>
      </c>
    </row>
    <row r="23" spans="1:2" x14ac:dyDescent="0.3">
      <c r="A23" s="18" t="s">
        <v>27</v>
      </c>
      <c r="B23" s="17" t="s">
        <v>42</v>
      </c>
    </row>
    <row r="24" spans="1:2" x14ac:dyDescent="0.3">
      <c r="A24" s="18" t="s">
        <v>29</v>
      </c>
      <c r="B24" s="17" t="s">
        <v>44</v>
      </c>
    </row>
    <row r="25" spans="1:2" x14ac:dyDescent="0.3">
      <c r="A25" s="18" t="s">
        <v>30</v>
      </c>
      <c r="B25" s="17" t="s">
        <v>46</v>
      </c>
    </row>
    <row r="26" spans="1:2" x14ac:dyDescent="0.3">
      <c r="A26" s="18" t="s">
        <v>32</v>
      </c>
      <c r="B26" s="17" t="s">
        <v>48</v>
      </c>
    </row>
    <row r="27" spans="1:2" x14ac:dyDescent="0.3">
      <c r="A27" s="18" t="s">
        <v>33</v>
      </c>
      <c r="B27" s="17" t="s">
        <v>52</v>
      </c>
    </row>
    <row r="28" spans="1:2" x14ac:dyDescent="0.3">
      <c r="A28" s="18" t="s">
        <v>35</v>
      </c>
      <c r="B28" s="17" t="s">
        <v>54</v>
      </c>
    </row>
    <row r="29" spans="1:2" x14ac:dyDescent="0.3">
      <c r="A29" s="18" t="s">
        <v>37</v>
      </c>
      <c r="B29" s="17" t="s">
        <v>273</v>
      </c>
    </row>
    <row r="30" spans="1:2" x14ac:dyDescent="0.3">
      <c r="A30" s="18" t="s">
        <v>39</v>
      </c>
      <c r="B30" s="17" t="s">
        <v>56</v>
      </c>
    </row>
    <row r="31" spans="1:2" x14ac:dyDescent="0.3">
      <c r="A31" s="18" t="s">
        <v>41</v>
      </c>
      <c r="B31" s="17" t="s">
        <v>278</v>
      </c>
    </row>
    <row r="32" spans="1:2" x14ac:dyDescent="0.3">
      <c r="A32" s="18" t="s">
        <v>43</v>
      </c>
      <c r="B32" s="17" t="s">
        <v>60</v>
      </c>
    </row>
    <row r="33" spans="1:2" x14ac:dyDescent="0.3">
      <c r="A33" s="18" t="s">
        <v>45</v>
      </c>
      <c r="B33" s="17" t="s">
        <v>62</v>
      </c>
    </row>
    <row r="34" spans="1:2" x14ac:dyDescent="0.3">
      <c r="A34" s="18" t="s">
        <v>47</v>
      </c>
      <c r="B34" s="17" t="s">
        <v>64</v>
      </c>
    </row>
    <row r="35" spans="1:2" x14ac:dyDescent="0.3">
      <c r="A35" s="18" t="s">
        <v>49</v>
      </c>
      <c r="B35" s="17" t="s">
        <v>66</v>
      </c>
    </row>
    <row r="36" spans="1:2" x14ac:dyDescent="0.3">
      <c r="A36" s="18" t="s">
        <v>50</v>
      </c>
      <c r="B36" s="17" t="s">
        <v>68</v>
      </c>
    </row>
    <row r="37" spans="1:2" x14ac:dyDescent="0.3">
      <c r="A37" s="18" t="s">
        <v>51</v>
      </c>
      <c r="B37" s="17" t="s">
        <v>70</v>
      </c>
    </row>
    <row r="38" spans="1:2" x14ac:dyDescent="0.3">
      <c r="A38" s="18" t="s">
        <v>53</v>
      </c>
      <c r="B38" s="17" t="s">
        <v>72</v>
      </c>
    </row>
    <row r="39" spans="1:2" x14ac:dyDescent="0.3">
      <c r="A39" s="18" t="s">
        <v>55</v>
      </c>
      <c r="B39" s="17" t="s">
        <v>74</v>
      </c>
    </row>
    <row r="40" spans="1:2" x14ac:dyDescent="0.3">
      <c r="A40" s="18" t="s">
        <v>57</v>
      </c>
      <c r="B40" s="17" t="s">
        <v>212</v>
      </c>
    </row>
    <row r="41" spans="1:2" x14ac:dyDescent="0.3">
      <c r="A41" s="18" t="s">
        <v>58</v>
      </c>
      <c r="B41" s="17" t="s">
        <v>76</v>
      </c>
    </row>
    <row r="42" spans="1:2" x14ac:dyDescent="0.3">
      <c r="A42" s="18" t="s">
        <v>59</v>
      </c>
      <c r="B42" s="17" t="s">
        <v>78</v>
      </c>
    </row>
    <row r="43" spans="1:2" x14ac:dyDescent="0.3">
      <c r="A43" s="18" t="s">
        <v>61</v>
      </c>
      <c r="B43" s="17" t="s">
        <v>279</v>
      </c>
    </row>
    <row r="44" spans="1:2" x14ac:dyDescent="0.3">
      <c r="A44" s="18" t="s">
        <v>63</v>
      </c>
      <c r="B44" s="17" t="s">
        <v>282</v>
      </c>
    </row>
    <row r="45" spans="1:2" x14ac:dyDescent="0.3">
      <c r="A45" s="18" t="s">
        <v>65</v>
      </c>
      <c r="B45" s="17" t="s">
        <v>281</v>
      </c>
    </row>
    <row r="46" spans="1:2" x14ac:dyDescent="0.3">
      <c r="A46" s="18" t="s">
        <v>67</v>
      </c>
      <c r="B46" s="17" t="s">
        <v>280</v>
      </c>
    </row>
    <row r="47" spans="1:2" x14ac:dyDescent="0.3">
      <c r="A47" s="18" t="s">
        <v>69</v>
      </c>
      <c r="B47" s="17" t="s">
        <v>83</v>
      </c>
    </row>
    <row r="48" spans="1:2" x14ac:dyDescent="0.3">
      <c r="A48" s="18" t="s">
        <v>71</v>
      </c>
      <c r="B48" s="17" t="s">
        <v>85</v>
      </c>
    </row>
    <row r="49" spans="1:2" x14ac:dyDescent="0.3">
      <c r="A49" s="18" t="s">
        <v>73</v>
      </c>
      <c r="B49" s="17" t="s">
        <v>264</v>
      </c>
    </row>
    <row r="50" spans="1:2" x14ac:dyDescent="0.3">
      <c r="A50" s="18" t="s">
        <v>75</v>
      </c>
      <c r="B50" s="17" t="s">
        <v>87</v>
      </c>
    </row>
    <row r="51" spans="1:2" x14ac:dyDescent="0.3">
      <c r="A51" s="18" t="s">
        <v>77</v>
      </c>
      <c r="B51" s="17" t="s">
        <v>90</v>
      </c>
    </row>
    <row r="52" spans="1:2" x14ac:dyDescent="0.3">
      <c r="A52" s="18" t="s">
        <v>79</v>
      </c>
      <c r="B52" s="17" t="s">
        <v>92</v>
      </c>
    </row>
    <row r="53" spans="1:2" x14ac:dyDescent="0.3">
      <c r="A53" s="18" t="s">
        <v>80</v>
      </c>
      <c r="B53" s="17" t="s">
        <v>94</v>
      </c>
    </row>
    <row r="54" spans="1:2" x14ac:dyDescent="0.3">
      <c r="A54" s="18" t="s">
        <v>81</v>
      </c>
      <c r="B54" s="17" t="s">
        <v>265</v>
      </c>
    </row>
    <row r="55" spans="1:2" x14ac:dyDescent="0.3">
      <c r="A55" s="18" t="s">
        <v>47</v>
      </c>
      <c r="B55" s="17" t="s">
        <v>97</v>
      </c>
    </row>
    <row r="56" spans="1:2" x14ac:dyDescent="0.3">
      <c r="A56" s="18" t="s">
        <v>82</v>
      </c>
      <c r="B56" s="17" t="s">
        <v>99</v>
      </c>
    </row>
    <row r="57" spans="1:2" x14ac:dyDescent="0.3">
      <c r="A57" s="18" t="s">
        <v>84</v>
      </c>
      <c r="B57" s="17" t="s">
        <v>102</v>
      </c>
    </row>
    <row r="58" spans="1:2" x14ac:dyDescent="0.3">
      <c r="A58" s="18" t="s">
        <v>86</v>
      </c>
      <c r="B58" s="17" t="s">
        <v>275</v>
      </c>
    </row>
    <row r="59" spans="1:2" x14ac:dyDescent="0.3">
      <c r="A59" s="18" t="s">
        <v>88</v>
      </c>
      <c r="B59" s="17" t="s">
        <v>104</v>
      </c>
    </row>
    <row r="60" spans="1:2" x14ac:dyDescent="0.3">
      <c r="A60" s="18" t="s">
        <v>89</v>
      </c>
      <c r="B60" s="17" t="s">
        <v>276</v>
      </c>
    </row>
    <row r="61" spans="1:2" x14ac:dyDescent="0.3">
      <c r="A61" s="18" t="s">
        <v>91</v>
      </c>
      <c r="B61" s="17" t="s">
        <v>106</v>
      </c>
    </row>
    <row r="62" spans="1:2" x14ac:dyDescent="0.3">
      <c r="A62" s="18" t="s">
        <v>93</v>
      </c>
      <c r="B62" s="17"/>
    </row>
    <row r="63" spans="1:2" x14ac:dyDescent="0.3">
      <c r="A63" s="18" t="s">
        <v>95</v>
      </c>
      <c r="B63" s="17"/>
    </row>
    <row r="64" spans="1:2" x14ac:dyDescent="0.3">
      <c r="A64" s="18" t="s">
        <v>96</v>
      </c>
      <c r="B64" s="17"/>
    </row>
    <row r="65" spans="1:2" x14ac:dyDescent="0.3">
      <c r="A65" s="18" t="s">
        <v>98</v>
      </c>
      <c r="B65" s="17"/>
    </row>
    <row r="66" spans="1:2" x14ac:dyDescent="0.3">
      <c r="A66" s="18" t="s">
        <v>100</v>
      </c>
      <c r="B66" s="17" t="s">
        <v>109</v>
      </c>
    </row>
    <row r="67" spans="1:2" x14ac:dyDescent="0.3">
      <c r="A67" s="18" t="s">
        <v>101</v>
      </c>
      <c r="B67" s="17" t="s">
        <v>111</v>
      </c>
    </row>
    <row r="68" spans="1:2" x14ac:dyDescent="0.3">
      <c r="A68" s="18" t="s">
        <v>103</v>
      </c>
      <c r="B68" s="17" t="s">
        <v>109</v>
      </c>
    </row>
    <row r="69" spans="1:2" x14ac:dyDescent="0.3">
      <c r="A69" s="18" t="s">
        <v>105</v>
      </c>
      <c r="B69" s="17" t="s">
        <v>111</v>
      </c>
    </row>
    <row r="70" spans="1:2" x14ac:dyDescent="0.3">
      <c r="A70" s="18" t="s">
        <v>107</v>
      </c>
      <c r="B70" s="17" t="s">
        <v>113</v>
      </c>
    </row>
    <row r="71" spans="1:2" x14ac:dyDescent="0.3">
      <c r="A71" s="18" t="s">
        <v>108</v>
      </c>
      <c r="B71" s="17" t="s">
        <v>115</v>
      </c>
    </row>
    <row r="72" spans="1:2" x14ac:dyDescent="0.3">
      <c r="A72" s="18" t="s">
        <v>110</v>
      </c>
      <c r="B72" s="17" t="s">
        <v>117</v>
      </c>
    </row>
    <row r="73" spans="1:2" x14ac:dyDescent="0.3">
      <c r="A73" s="18" t="s">
        <v>112</v>
      </c>
      <c r="B73" s="17" t="s">
        <v>119</v>
      </c>
    </row>
    <row r="74" spans="1:2" x14ac:dyDescent="0.3">
      <c r="A74" s="18" t="s">
        <v>114</v>
      </c>
      <c r="B74" s="17" t="s">
        <v>121</v>
      </c>
    </row>
    <row r="75" spans="1:2" x14ac:dyDescent="0.3">
      <c r="A75" s="18" t="s">
        <v>116</v>
      </c>
      <c r="B75" s="17" t="s">
        <v>254</v>
      </c>
    </row>
    <row r="76" spans="1:2" x14ac:dyDescent="0.3">
      <c r="A76" s="18" t="s">
        <v>118</v>
      </c>
      <c r="B76" s="17" t="s">
        <v>255</v>
      </c>
    </row>
    <row r="77" spans="1:2" x14ac:dyDescent="0.3">
      <c r="A77" s="18" t="s">
        <v>120</v>
      </c>
      <c r="B77" s="17" t="s">
        <v>205</v>
      </c>
    </row>
    <row r="78" spans="1:2" x14ac:dyDescent="0.3">
      <c r="A78" s="18" t="s">
        <v>122</v>
      </c>
      <c r="B78" s="17" t="s">
        <v>113</v>
      </c>
    </row>
    <row r="79" spans="1:2" x14ac:dyDescent="0.3">
      <c r="A79" s="18" t="s">
        <v>123</v>
      </c>
      <c r="B79" s="17" t="s">
        <v>206</v>
      </c>
    </row>
    <row r="80" spans="1:2" x14ac:dyDescent="0.3">
      <c r="A80" s="18" t="s">
        <v>124</v>
      </c>
      <c r="B80" s="17" t="s">
        <v>207</v>
      </c>
    </row>
    <row r="81" spans="1:2" x14ac:dyDescent="0.3">
      <c r="A81" s="18" t="s">
        <v>125</v>
      </c>
      <c r="B81" s="17" t="s">
        <v>208</v>
      </c>
    </row>
    <row r="82" spans="1:2" x14ac:dyDescent="0.3">
      <c r="A82" s="18" t="s">
        <v>126</v>
      </c>
      <c r="B82" s="17" t="s">
        <v>209</v>
      </c>
    </row>
    <row r="83" spans="1:2" x14ac:dyDescent="0.3">
      <c r="A83" s="18" t="s">
        <v>127</v>
      </c>
      <c r="B83" s="17" t="s">
        <v>210</v>
      </c>
    </row>
    <row r="84" spans="1:2" x14ac:dyDescent="0.3">
      <c r="A84" s="18" t="s">
        <v>128</v>
      </c>
      <c r="B84" s="17" t="s">
        <v>211</v>
      </c>
    </row>
    <row r="85" spans="1:2" x14ac:dyDescent="0.3">
      <c r="A85" s="18" t="s">
        <v>129</v>
      </c>
      <c r="B85" s="17"/>
    </row>
    <row r="86" spans="1:2" x14ac:dyDescent="0.3">
      <c r="A86" s="18" t="s">
        <v>130</v>
      </c>
      <c r="B86" s="17" t="s">
        <v>286</v>
      </c>
    </row>
    <row r="87" spans="1:2" x14ac:dyDescent="0.3">
      <c r="A87" s="18" t="s">
        <v>131</v>
      </c>
      <c r="B87" s="17" t="s">
        <v>287</v>
      </c>
    </row>
    <row r="88" spans="1:2" x14ac:dyDescent="0.3">
      <c r="A88" s="18" t="s">
        <v>132</v>
      </c>
      <c r="B88" s="17" t="s">
        <v>288</v>
      </c>
    </row>
    <row r="89" spans="1:2" x14ac:dyDescent="0.3">
      <c r="A89" s="18" t="s">
        <v>133</v>
      </c>
      <c r="B89" s="17" t="s">
        <v>289</v>
      </c>
    </row>
    <row r="90" spans="1:2" x14ac:dyDescent="0.3">
      <c r="A90" s="18" t="s">
        <v>134</v>
      </c>
      <c r="B90" s="17" t="s">
        <v>290</v>
      </c>
    </row>
    <row r="91" spans="1:2" x14ac:dyDescent="0.3">
      <c r="A91" s="18" t="s">
        <v>135</v>
      </c>
      <c r="B91" s="17" t="s">
        <v>291</v>
      </c>
    </row>
    <row r="92" spans="1:2" x14ac:dyDescent="0.3">
      <c r="A92" s="18" t="s">
        <v>136</v>
      </c>
      <c r="B92" s="17" t="s">
        <v>292</v>
      </c>
    </row>
    <row r="93" spans="1:2" x14ac:dyDescent="0.3">
      <c r="A93" s="18" t="s">
        <v>137</v>
      </c>
      <c r="B93" s="17"/>
    </row>
    <row r="94" spans="1:2" x14ac:dyDescent="0.3">
      <c r="A94" s="18" t="s">
        <v>138</v>
      </c>
      <c r="B94" s="17"/>
    </row>
    <row r="95" spans="1:2" x14ac:dyDescent="0.3">
      <c r="A95" s="18" t="s">
        <v>139</v>
      </c>
      <c r="B95" s="17"/>
    </row>
    <row r="96" spans="1:2" x14ac:dyDescent="0.3">
      <c r="A96" s="18" t="s">
        <v>140</v>
      </c>
      <c r="B96" s="17"/>
    </row>
    <row r="97" spans="1:2" x14ac:dyDescent="0.3">
      <c r="A97" s="18" t="s">
        <v>141</v>
      </c>
      <c r="B97" s="17"/>
    </row>
    <row r="98" spans="1:2" x14ac:dyDescent="0.3">
      <c r="A98" s="18" t="s">
        <v>142</v>
      </c>
      <c r="B98" s="17"/>
    </row>
    <row r="99" spans="1:2" x14ac:dyDescent="0.3">
      <c r="A99" s="18" t="s">
        <v>143</v>
      </c>
      <c r="B99" s="17"/>
    </row>
    <row r="100" spans="1:2" x14ac:dyDescent="0.3">
      <c r="A100" s="18" t="s">
        <v>144</v>
      </c>
      <c r="B100" s="17"/>
    </row>
    <row r="101" spans="1:2" x14ac:dyDescent="0.3">
      <c r="A101" s="18" t="s">
        <v>145</v>
      </c>
      <c r="B101" s="17"/>
    </row>
    <row r="102" spans="1:2" x14ac:dyDescent="0.3">
      <c r="A102" s="18" t="s">
        <v>146</v>
      </c>
      <c r="B102" s="17"/>
    </row>
    <row r="103" spans="1:2" x14ac:dyDescent="0.3">
      <c r="A103" s="18" t="s">
        <v>147</v>
      </c>
      <c r="B103" s="9"/>
    </row>
    <row r="104" spans="1:2" x14ac:dyDescent="0.3">
      <c r="A104" s="18" t="s">
        <v>148</v>
      </c>
      <c r="B104" s="9"/>
    </row>
    <row r="105" spans="1:2" x14ac:dyDescent="0.3">
      <c r="A105" s="18" t="s">
        <v>149</v>
      </c>
      <c r="B105" s="9"/>
    </row>
    <row r="106" spans="1:2" x14ac:dyDescent="0.3">
      <c r="A106" s="18" t="s">
        <v>150</v>
      </c>
      <c r="B106" s="9"/>
    </row>
    <row r="107" spans="1:2" x14ac:dyDescent="0.3">
      <c r="A107" s="18" t="s">
        <v>151</v>
      </c>
      <c r="B107" s="9"/>
    </row>
    <row r="108" spans="1:2" x14ac:dyDescent="0.3">
      <c r="A108" s="18" t="s">
        <v>152</v>
      </c>
      <c r="B108" s="9"/>
    </row>
    <row r="109" spans="1:2" x14ac:dyDescent="0.3">
      <c r="A109" s="18" t="s">
        <v>153</v>
      </c>
      <c r="B109" s="9"/>
    </row>
    <row r="110" spans="1:2" x14ac:dyDescent="0.3">
      <c r="A110" s="18" t="s">
        <v>154</v>
      </c>
      <c r="B110" s="9"/>
    </row>
    <row r="111" spans="1:2" x14ac:dyDescent="0.3">
      <c r="A111" s="18" t="s">
        <v>155</v>
      </c>
    </row>
    <row r="112" spans="1:2" x14ac:dyDescent="0.3">
      <c r="A112" s="18" t="s">
        <v>156</v>
      </c>
    </row>
    <row r="113" spans="1:1" x14ac:dyDescent="0.3">
      <c r="A113" s="18" t="s">
        <v>157</v>
      </c>
    </row>
    <row r="114" spans="1:1" x14ac:dyDescent="0.3">
      <c r="A114" s="18" t="s">
        <v>158</v>
      </c>
    </row>
    <row r="115" spans="1:1" x14ac:dyDescent="0.3">
      <c r="A115" s="18" t="s">
        <v>159</v>
      </c>
    </row>
    <row r="116" spans="1:1" x14ac:dyDescent="0.3">
      <c r="A116" s="18" t="s">
        <v>160</v>
      </c>
    </row>
    <row r="117" spans="1:1" x14ac:dyDescent="0.3">
      <c r="A117" s="18" t="s">
        <v>161</v>
      </c>
    </row>
    <row r="118" spans="1:1" x14ac:dyDescent="0.3">
      <c r="A118" s="18" t="s">
        <v>162</v>
      </c>
    </row>
    <row r="119" spans="1:1" x14ac:dyDescent="0.3">
      <c r="A119" s="18" t="s">
        <v>198</v>
      </c>
    </row>
    <row r="120" spans="1:1" x14ac:dyDescent="0.3">
      <c r="A120" s="18" t="s">
        <v>199</v>
      </c>
    </row>
    <row r="121" spans="1:1" x14ac:dyDescent="0.3">
      <c r="A121" s="18" t="s">
        <v>200</v>
      </c>
    </row>
    <row r="122" spans="1:1" x14ac:dyDescent="0.3">
      <c r="A122" s="18" t="s">
        <v>201</v>
      </c>
    </row>
    <row r="123" spans="1:1" x14ac:dyDescent="0.3">
      <c r="A123" s="18" t="s">
        <v>202</v>
      </c>
    </row>
    <row r="124" spans="1:1" x14ac:dyDescent="0.3">
      <c r="A124" s="18" t="s">
        <v>203</v>
      </c>
    </row>
    <row r="125" spans="1:1" x14ac:dyDescent="0.3">
      <c r="A125" s="18" t="s">
        <v>204</v>
      </c>
    </row>
    <row r="126" spans="1:1" x14ac:dyDescent="0.3">
      <c r="A126" s="18" t="s">
        <v>256</v>
      </c>
    </row>
    <row r="127" spans="1:1" x14ac:dyDescent="0.3">
      <c r="A127" s="18" t="s">
        <v>257</v>
      </c>
    </row>
    <row r="128" spans="1:1" x14ac:dyDescent="0.3">
      <c r="A128" s="18" t="s">
        <v>258</v>
      </c>
    </row>
    <row r="129" spans="1:1" x14ac:dyDescent="0.3">
      <c r="A129" s="18" t="s">
        <v>268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34" sqref="I34"/>
    </sheetView>
  </sheetViews>
  <sheetFormatPr defaultRowHeight="14.4" x14ac:dyDescent="0.3"/>
  <cols>
    <col min="1" max="1" width="22.109375" customWidth="1"/>
    <col min="2" max="2" width="14.6640625" customWidth="1"/>
  </cols>
  <sheetData>
    <row r="1" spans="1:24" s="16" customFormat="1" x14ac:dyDescent="0.3"/>
    <row r="2" spans="1:24" x14ac:dyDescent="0.3">
      <c r="A2" t="s">
        <v>164</v>
      </c>
      <c r="B2" t="s">
        <v>213</v>
      </c>
    </row>
    <row r="3" spans="1:24" x14ac:dyDescent="0.3">
      <c r="A3" t="s">
        <v>214</v>
      </c>
      <c r="B3">
        <v>900</v>
      </c>
      <c r="K3">
        <v>225</v>
      </c>
      <c r="L3" t="s">
        <v>228</v>
      </c>
    </row>
    <row r="4" spans="1:24" x14ac:dyDescent="0.3">
      <c r="A4" t="s">
        <v>215</v>
      </c>
      <c r="B4">
        <v>450</v>
      </c>
      <c r="K4">
        <v>115</v>
      </c>
      <c r="L4" t="s">
        <v>229</v>
      </c>
    </row>
    <row r="5" spans="1:24" x14ac:dyDescent="0.3">
      <c r="A5" t="s">
        <v>216</v>
      </c>
      <c r="B5">
        <v>600</v>
      </c>
      <c r="K5">
        <v>150</v>
      </c>
      <c r="L5" t="s">
        <v>230</v>
      </c>
    </row>
    <row r="6" spans="1:24" x14ac:dyDescent="0.3">
      <c r="A6" t="s">
        <v>217</v>
      </c>
      <c r="B6">
        <v>520</v>
      </c>
      <c r="K6">
        <v>75</v>
      </c>
      <c r="L6" t="s">
        <v>231</v>
      </c>
      <c r="M6">
        <v>55</v>
      </c>
      <c r="N6" t="s">
        <v>232</v>
      </c>
    </row>
    <row r="7" spans="1:24" x14ac:dyDescent="0.3">
      <c r="A7" t="s">
        <v>218</v>
      </c>
      <c r="B7">
        <v>560</v>
      </c>
      <c r="K7">
        <v>140</v>
      </c>
      <c r="L7" t="s">
        <v>233</v>
      </c>
      <c r="M7">
        <v>65</v>
      </c>
      <c r="N7" t="s">
        <v>228</v>
      </c>
    </row>
    <row r="8" spans="1:24" x14ac:dyDescent="0.3">
      <c r="A8" t="s">
        <v>219</v>
      </c>
      <c r="B8">
        <v>440</v>
      </c>
      <c r="K8">
        <v>60</v>
      </c>
      <c r="L8" t="s">
        <v>234</v>
      </c>
      <c r="M8">
        <v>50</v>
      </c>
      <c r="N8" t="s">
        <v>235</v>
      </c>
    </row>
    <row r="9" spans="1:24" x14ac:dyDescent="0.3">
      <c r="A9" t="s">
        <v>220</v>
      </c>
      <c r="B9">
        <v>600</v>
      </c>
      <c r="K9">
        <v>60</v>
      </c>
      <c r="L9" t="s">
        <v>236</v>
      </c>
      <c r="M9">
        <v>50</v>
      </c>
      <c r="N9" t="s">
        <v>237</v>
      </c>
      <c r="O9">
        <v>40</v>
      </c>
      <c r="P9" t="s">
        <v>238</v>
      </c>
    </row>
    <row r="10" spans="1:24" x14ac:dyDescent="0.3">
      <c r="A10" t="s">
        <v>221</v>
      </c>
      <c r="B10">
        <v>400</v>
      </c>
      <c r="K10">
        <v>100</v>
      </c>
      <c r="L10" t="s">
        <v>239</v>
      </c>
      <c r="M10">
        <v>50</v>
      </c>
      <c r="N10" t="s">
        <v>238</v>
      </c>
    </row>
    <row r="11" spans="1:24" x14ac:dyDescent="0.3">
      <c r="A11" t="s">
        <v>222</v>
      </c>
      <c r="B11">
        <v>600</v>
      </c>
      <c r="K11">
        <v>75</v>
      </c>
      <c r="L11" t="s">
        <v>240</v>
      </c>
      <c r="M11">
        <v>70</v>
      </c>
      <c r="N11" t="s">
        <v>241</v>
      </c>
      <c r="O11">
        <v>50</v>
      </c>
      <c r="P11" t="s">
        <v>233</v>
      </c>
    </row>
    <row r="12" spans="1:24" x14ac:dyDescent="0.3">
      <c r="A12" t="s">
        <v>223</v>
      </c>
      <c r="B12">
        <v>560</v>
      </c>
      <c r="K12">
        <v>40</v>
      </c>
      <c r="L12" t="s">
        <v>242</v>
      </c>
      <c r="M12">
        <v>38</v>
      </c>
      <c r="N12" t="s">
        <v>243</v>
      </c>
      <c r="O12">
        <v>30</v>
      </c>
      <c r="P12" t="s">
        <v>244</v>
      </c>
      <c r="Q12">
        <v>35</v>
      </c>
      <c r="R12" t="s">
        <v>245</v>
      </c>
    </row>
    <row r="13" spans="1:24" x14ac:dyDescent="0.3">
      <c r="A13" t="s">
        <v>224</v>
      </c>
      <c r="B13">
        <v>460</v>
      </c>
      <c r="K13">
        <v>55</v>
      </c>
      <c r="L13" t="s">
        <v>246</v>
      </c>
      <c r="M13">
        <v>45</v>
      </c>
      <c r="N13" t="s">
        <v>247</v>
      </c>
      <c r="O13">
        <v>38</v>
      </c>
      <c r="P13" t="s">
        <v>248</v>
      </c>
      <c r="Q13">
        <v>30</v>
      </c>
      <c r="R13" t="s">
        <v>249</v>
      </c>
      <c r="S13">
        <v>30</v>
      </c>
      <c r="T13" t="s">
        <v>250</v>
      </c>
      <c r="U13">
        <v>30</v>
      </c>
      <c r="V13" t="s">
        <v>229</v>
      </c>
      <c r="W13">
        <v>30</v>
      </c>
      <c r="X13" t="s">
        <v>240</v>
      </c>
    </row>
    <row r="14" spans="1:24" x14ac:dyDescent="0.3">
      <c r="A14" t="s">
        <v>225</v>
      </c>
      <c r="B14">
        <v>400</v>
      </c>
      <c r="K14">
        <v>90</v>
      </c>
      <c r="L14" t="s">
        <v>237</v>
      </c>
      <c r="M14">
        <v>80</v>
      </c>
      <c r="N14" t="s">
        <v>249</v>
      </c>
      <c r="O14">
        <v>60</v>
      </c>
      <c r="P14" t="s">
        <v>238</v>
      </c>
    </row>
    <row r="15" spans="1:24" x14ac:dyDescent="0.3">
      <c r="A15" t="s">
        <v>226</v>
      </c>
      <c r="K15">
        <v>60</v>
      </c>
      <c r="L15" t="s">
        <v>236</v>
      </c>
      <c r="M15">
        <v>55</v>
      </c>
      <c r="N15" t="s">
        <v>251</v>
      </c>
      <c r="O15">
        <v>50</v>
      </c>
      <c r="P15" t="s">
        <v>252</v>
      </c>
      <c r="Q15">
        <v>40</v>
      </c>
      <c r="R15" t="s">
        <v>242</v>
      </c>
      <c r="S15">
        <v>50</v>
      </c>
      <c r="T15" t="s">
        <v>240</v>
      </c>
    </row>
    <row r="16" spans="1:24" x14ac:dyDescent="0.3">
      <c r="A16" t="s">
        <v>227</v>
      </c>
      <c r="K16">
        <v>60</v>
      </c>
      <c r="L16" t="s">
        <v>253</v>
      </c>
      <c r="M16">
        <v>60</v>
      </c>
      <c r="N16" t="s">
        <v>246</v>
      </c>
      <c r="O16">
        <v>50</v>
      </c>
      <c r="P16" t="s">
        <v>242</v>
      </c>
      <c r="Q16">
        <v>45</v>
      </c>
      <c r="R16" t="s">
        <v>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EDAA"/>
  </sheetPr>
  <dimension ref="A1:BH1937"/>
  <sheetViews>
    <sheetView topLeftCell="AA1" zoomScale="80" zoomScaleNormal="80" workbookViewId="0">
      <pane ySplit="1" topLeftCell="A3" activePane="bottomLeft" state="frozen"/>
      <selection pane="bottomLeft" activeCell="BG9" sqref="BG9"/>
    </sheetView>
  </sheetViews>
  <sheetFormatPr defaultRowHeight="14.4" x14ac:dyDescent="0.3"/>
  <cols>
    <col min="1" max="1" width="16.6640625" customWidth="1"/>
    <col min="2" max="2" width="29.6640625" bestFit="1" customWidth="1"/>
    <col min="3" max="3" width="28.88671875" customWidth="1"/>
    <col min="4" max="4" width="7.33203125" bestFit="1" customWidth="1"/>
    <col min="5" max="27" width="4.88671875" bestFit="1" customWidth="1"/>
    <col min="28" max="28" width="6.33203125" bestFit="1" customWidth="1"/>
    <col min="29" max="29" width="4.88671875" bestFit="1" customWidth="1"/>
    <col min="30" max="30" width="5.109375" bestFit="1" customWidth="1"/>
    <col min="31" max="49" width="4.88671875" bestFit="1" customWidth="1"/>
    <col min="50" max="50" width="14.44140625" bestFit="1" customWidth="1"/>
    <col min="51" max="51" width="9.88671875" customWidth="1"/>
    <col min="52" max="52" width="10.5546875" customWidth="1"/>
    <col min="53" max="53" width="14.109375" bestFit="1" customWidth="1"/>
    <col min="54" max="54" width="11.5546875" bestFit="1" customWidth="1"/>
    <col min="55" max="55" width="13.5546875" bestFit="1" customWidth="1"/>
    <col min="56" max="58" width="14.33203125" bestFit="1" customWidth="1"/>
    <col min="59" max="59" width="8.88671875" bestFit="1" customWidth="1"/>
    <col min="60" max="60" width="8.6640625" bestFit="1" customWidth="1"/>
  </cols>
  <sheetData>
    <row r="1" spans="1:60" s="17" customFormat="1" ht="27.6" x14ac:dyDescent="0.3">
      <c r="A1" s="111" t="s">
        <v>163</v>
      </c>
      <c r="B1" s="111" t="s">
        <v>164</v>
      </c>
      <c r="C1" s="111" t="s">
        <v>165</v>
      </c>
      <c r="D1" s="47" t="s">
        <v>166</v>
      </c>
      <c r="E1" s="156">
        <v>9</v>
      </c>
      <c r="F1" s="156"/>
      <c r="G1" s="156"/>
      <c r="H1" s="156"/>
      <c r="I1" s="156">
        <v>10</v>
      </c>
      <c r="J1" s="156"/>
      <c r="K1" s="156"/>
      <c r="L1" s="156"/>
      <c r="M1" s="156">
        <v>11</v>
      </c>
      <c r="N1" s="156"/>
      <c r="O1" s="156"/>
      <c r="P1" s="156"/>
      <c r="Q1" s="156">
        <v>12</v>
      </c>
      <c r="R1" s="156"/>
      <c r="S1" s="156"/>
      <c r="T1" s="156"/>
      <c r="U1" s="156"/>
      <c r="V1" s="156">
        <v>14</v>
      </c>
      <c r="W1" s="156"/>
      <c r="X1" s="156"/>
      <c r="Y1" s="156"/>
      <c r="Z1" s="156">
        <v>15</v>
      </c>
      <c r="AA1" s="156"/>
      <c r="AB1" s="156"/>
      <c r="AC1" s="156"/>
      <c r="AD1" s="156">
        <v>16</v>
      </c>
      <c r="AE1" s="156"/>
      <c r="AF1" s="156"/>
      <c r="AG1" s="156"/>
      <c r="AH1" s="156">
        <v>17</v>
      </c>
      <c r="AI1" s="156"/>
      <c r="AJ1" s="156"/>
      <c r="AK1" s="156"/>
      <c r="AL1" s="156">
        <v>18</v>
      </c>
      <c r="AM1" s="156"/>
      <c r="AN1" s="156"/>
      <c r="AO1" s="156"/>
      <c r="AP1" s="156">
        <v>19</v>
      </c>
      <c r="AQ1" s="156"/>
      <c r="AR1" s="156"/>
      <c r="AS1" s="156"/>
      <c r="AT1" s="156">
        <v>20</v>
      </c>
      <c r="AU1" s="156"/>
      <c r="AV1" s="156"/>
      <c r="AW1" s="156"/>
      <c r="AX1" s="108" t="s">
        <v>263</v>
      </c>
      <c r="AY1" s="108" t="s">
        <v>261</v>
      </c>
      <c r="AZ1" s="108" t="s">
        <v>262</v>
      </c>
      <c r="BA1" s="157" t="s">
        <v>167</v>
      </c>
      <c r="BB1" s="157"/>
      <c r="BC1" s="157"/>
      <c r="BD1" s="157"/>
      <c r="BE1" s="157"/>
      <c r="BF1" s="157"/>
      <c r="BG1" s="157"/>
      <c r="BH1" s="157"/>
    </row>
    <row r="2" spans="1:60" s="17" customFormat="1" ht="19.5" customHeight="1" x14ac:dyDescent="0.35">
      <c r="A2" s="72"/>
      <c r="B2" s="35" t="s">
        <v>168</v>
      </c>
      <c r="C2" s="24">
        <v>45439</v>
      </c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  <c r="AV2" s="72"/>
      <c r="AW2" s="72"/>
      <c r="AX2" s="72"/>
      <c r="AY2" s="72"/>
      <c r="AZ2" s="72"/>
      <c r="BA2" s="72"/>
      <c r="BB2" s="72"/>
      <c r="BC2" s="72"/>
      <c r="BD2" s="75"/>
      <c r="BE2" s="72"/>
      <c r="BF2" s="72"/>
      <c r="BG2" s="72"/>
      <c r="BH2" s="72"/>
    </row>
    <row r="3" spans="1:60" s="17" customFormat="1" ht="19.5" customHeight="1" x14ac:dyDescent="0.35">
      <c r="A3" s="72"/>
      <c r="B3" s="35" t="s">
        <v>169</v>
      </c>
      <c r="C3" s="77"/>
      <c r="D3" s="73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20" t="s">
        <v>170</v>
      </c>
      <c r="BB3" s="21" t="s">
        <v>171</v>
      </c>
      <c r="BC3" s="26" t="s">
        <v>172</v>
      </c>
      <c r="BD3" s="75"/>
      <c r="BE3" s="72"/>
      <c r="BF3" s="72"/>
      <c r="BG3" s="72"/>
      <c r="BH3" s="72"/>
    </row>
    <row r="4" spans="1:60" s="17" customFormat="1" ht="19.5" customHeight="1" x14ac:dyDescent="0.35">
      <c r="A4" s="72"/>
      <c r="B4" s="35" t="s">
        <v>173</v>
      </c>
      <c r="C4" s="77" t="s">
        <v>283</v>
      </c>
      <c r="D4" s="73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32" t="s">
        <v>174</v>
      </c>
      <c r="BB4" s="22" t="s">
        <v>175</v>
      </c>
      <c r="BC4" s="72"/>
      <c r="BD4" s="75"/>
      <c r="BE4" s="72"/>
      <c r="BF4" s="72"/>
      <c r="BG4" s="72"/>
      <c r="BH4" s="72"/>
    </row>
    <row r="5" spans="1:60" s="17" customFormat="1" ht="19.5" customHeight="1" thickBot="1" x14ac:dyDescent="0.4">
      <c r="A5" s="72"/>
      <c r="B5" s="35" t="s">
        <v>176</v>
      </c>
      <c r="C5" s="25">
        <f>BH7</f>
        <v>42311</v>
      </c>
      <c r="D5" s="154" t="s">
        <v>191</v>
      </c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  <c r="AC5" s="155"/>
      <c r="AD5" s="155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10" t="s">
        <v>177</v>
      </c>
      <c r="BB5" s="11" t="s">
        <v>178</v>
      </c>
      <c r="BC5" s="72"/>
      <c r="BD5" s="75"/>
      <c r="BE5" s="72"/>
      <c r="BF5" s="72"/>
      <c r="BG5" s="72"/>
      <c r="BH5" s="72"/>
    </row>
    <row r="6" spans="1:60" s="17" customFormat="1" ht="19.5" customHeight="1" x14ac:dyDescent="0.35">
      <c r="A6" s="72"/>
      <c r="B6" s="36" t="s">
        <v>179</v>
      </c>
      <c r="C6" s="25">
        <v>4000</v>
      </c>
      <c r="D6" s="74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  <c r="AV6" s="72"/>
      <c r="AW6" s="72"/>
      <c r="AX6" s="72"/>
      <c r="AY6" s="72"/>
      <c r="AZ6" s="72"/>
      <c r="BA6" s="112" t="s">
        <v>286</v>
      </c>
      <c r="BB6" s="112" t="s">
        <v>287</v>
      </c>
      <c r="BC6" s="112" t="s">
        <v>288</v>
      </c>
      <c r="BD6" s="112" t="s">
        <v>289</v>
      </c>
      <c r="BE6" s="112" t="s">
        <v>290</v>
      </c>
      <c r="BF6" s="112" t="s">
        <v>291</v>
      </c>
      <c r="BG6" s="112"/>
      <c r="BH6" s="107"/>
    </row>
    <row r="7" spans="1:60" s="17" customFormat="1" ht="19.5" customHeight="1" thickBot="1" x14ac:dyDescent="0.4">
      <c r="A7" s="72"/>
      <c r="B7" s="36" t="s">
        <v>197</v>
      </c>
      <c r="C7" s="25" t="s">
        <v>274</v>
      </c>
      <c r="D7" s="74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  <c r="AV7" s="72"/>
      <c r="AW7" s="72"/>
      <c r="AX7" s="72"/>
      <c r="AY7" s="72"/>
      <c r="AZ7" s="72"/>
      <c r="BA7" s="89">
        <v>492</v>
      </c>
      <c r="BB7" s="90">
        <v>11438</v>
      </c>
      <c r="BC7" s="90">
        <v>13689</v>
      </c>
      <c r="BD7" s="90">
        <v>9760</v>
      </c>
      <c r="BE7" s="90">
        <v>4794</v>
      </c>
      <c r="BF7" s="90">
        <v>2138</v>
      </c>
      <c r="BG7" s="91"/>
      <c r="BH7" s="92">
        <f>SUM(BA7:BG7)</f>
        <v>42311</v>
      </c>
    </row>
    <row r="8" spans="1:60" s="17" customFormat="1" ht="19.5" customHeight="1" thickBot="1" x14ac:dyDescent="0.4">
      <c r="A8" s="42">
        <f>C2</f>
        <v>45439</v>
      </c>
      <c r="B8" s="38" t="str">
        <f>B9</f>
        <v>Yaka İç Dikiş</v>
      </c>
      <c r="C8" s="39" t="s">
        <v>180</v>
      </c>
      <c r="D8" s="69" t="s">
        <v>181</v>
      </c>
      <c r="E8" s="48">
        <v>0.34375</v>
      </c>
      <c r="F8" s="49">
        <v>0.35416666666666669</v>
      </c>
      <c r="G8" s="49">
        <v>0.36458333333333331</v>
      </c>
      <c r="H8" s="50">
        <v>0.375</v>
      </c>
      <c r="I8" s="48">
        <v>0.38541666666666702</v>
      </c>
      <c r="J8" s="49">
        <v>0.39583333333333298</v>
      </c>
      <c r="K8" s="49">
        <v>0.40625</v>
      </c>
      <c r="L8" s="50">
        <v>0.41666666666666702</v>
      </c>
      <c r="M8" s="48">
        <v>0.4375</v>
      </c>
      <c r="N8" s="49">
        <v>0.44791666666666702</v>
      </c>
      <c r="O8" s="49">
        <v>0.45833333333333398</v>
      </c>
      <c r="P8" s="50">
        <v>0.46875</v>
      </c>
      <c r="Q8" s="48">
        <v>0.47916666666666702</v>
      </c>
      <c r="R8" s="49">
        <v>0.48958333333333398</v>
      </c>
      <c r="S8" s="49">
        <v>0.5</v>
      </c>
      <c r="T8" s="50">
        <v>0.51041666666666696</v>
      </c>
      <c r="U8" s="51">
        <v>0.52083333333333204</v>
      </c>
      <c r="V8" s="48">
        <v>0.5625</v>
      </c>
      <c r="W8" s="49">
        <v>0.57291666666666663</v>
      </c>
      <c r="X8" s="49">
        <v>0.58333333333333304</v>
      </c>
      <c r="Y8" s="50">
        <v>0.59375</v>
      </c>
      <c r="Z8" s="48">
        <v>0.60416666666666696</v>
      </c>
      <c r="AA8" s="49">
        <v>0.61458333333333304</v>
      </c>
      <c r="AB8" s="49">
        <v>0.625</v>
      </c>
      <c r="AC8" s="50">
        <v>0.63541666666666596</v>
      </c>
      <c r="AD8" s="48">
        <v>0.65625</v>
      </c>
      <c r="AE8" s="49">
        <v>0.66666666666666663</v>
      </c>
      <c r="AF8" s="49">
        <v>0.67708333333333304</v>
      </c>
      <c r="AG8" s="50">
        <v>0.6875</v>
      </c>
      <c r="AH8" s="48">
        <v>0.69791666666666696</v>
      </c>
      <c r="AI8" s="49">
        <v>0.70833333333333304</v>
      </c>
      <c r="AJ8" s="49">
        <v>0.71875</v>
      </c>
      <c r="AK8" s="50">
        <v>0.72916666666666696</v>
      </c>
      <c r="AL8" s="48">
        <v>0.73958333333333404</v>
      </c>
      <c r="AM8" s="49">
        <v>0.750000000000001</v>
      </c>
      <c r="AN8" s="49">
        <v>0.76041666666666796</v>
      </c>
      <c r="AO8" s="50">
        <v>0.77083333333333504</v>
      </c>
      <c r="AP8" s="48">
        <v>0.781250000000002</v>
      </c>
      <c r="AQ8" s="49">
        <v>0.79166666666666896</v>
      </c>
      <c r="AR8" s="49">
        <v>0.80208333333333603</v>
      </c>
      <c r="AS8" s="50">
        <v>0.812500000000003</v>
      </c>
      <c r="AT8" s="48">
        <v>0.82291666666666996</v>
      </c>
      <c r="AU8" s="49">
        <v>0.83333333333333703</v>
      </c>
      <c r="AV8" s="49">
        <v>0.843750000000004</v>
      </c>
      <c r="AW8" s="50">
        <v>0.85416666666666663</v>
      </c>
      <c r="AX8" s="68" t="s">
        <v>260</v>
      </c>
      <c r="AY8" s="28" t="s">
        <v>261</v>
      </c>
      <c r="AZ8" s="29" t="s">
        <v>262</v>
      </c>
      <c r="BA8" s="136" t="str">
        <f>B9</f>
        <v>Yaka İç Dikiş</v>
      </c>
      <c r="BB8" s="137"/>
      <c r="BC8" s="137"/>
      <c r="BD8" s="137"/>
      <c r="BE8" s="137"/>
      <c r="BF8" s="137"/>
      <c r="BG8" s="137"/>
      <c r="BH8" s="138"/>
    </row>
    <row r="9" spans="1:60" s="17" customFormat="1" ht="19.5" customHeight="1" thickBot="1" x14ac:dyDescent="0.4">
      <c r="A9" s="41">
        <f t="shared" ref="A9:A14" si="0">A8</f>
        <v>45439</v>
      </c>
      <c r="B9" s="37" t="s">
        <v>49</v>
      </c>
      <c r="C9" s="65"/>
      <c r="D9" s="71">
        <v>200</v>
      </c>
      <c r="E9" s="53"/>
      <c r="F9" s="54"/>
      <c r="G9" s="55"/>
      <c r="H9" s="56"/>
      <c r="I9" s="53"/>
      <c r="J9" s="54"/>
      <c r="K9" s="55"/>
      <c r="L9" s="56"/>
      <c r="M9" s="53"/>
      <c r="N9" s="54"/>
      <c r="O9" s="55"/>
      <c r="P9" s="56"/>
      <c r="Q9" s="63"/>
      <c r="R9" s="55"/>
      <c r="S9" s="55"/>
      <c r="T9" s="55"/>
      <c r="U9" s="56"/>
      <c r="V9" s="53"/>
      <c r="W9" s="54"/>
      <c r="X9" s="55"/>
      <c r="Y9" s="56"/>
      <c r="Z9" s="53"/>
      <c r="AA9" s="54"/>
      <c r="AB9" s="55"/>
      <c r="AC9" s="56"/>
      <c r="AD9" s="63"/>
      <c r="AE9" s="55"/>
      <c r="AF9" s="55"/>
      <c r="AG9" s="56"/>
      <c r="AH9" s="63"/>
      <c r="AI9" s="55"/>
      <c r="AJ9" s="55"/>
      <c r="AK9" s="56"/>
      <c r="AL9" s="63"/>
      <c r="AM9" s="55"/>
      <c r="AN9" s="55"/>
      <c r="AO9" s="56"/>
      <c r="AP9" s="53"/>
      <c r="AQ9" s="54"/>
      <c r="AR9" s="55"/>
      <c r="AS9" s="56"/>
      <c r="AT9" s="53"/>
      <c r="AU9" s="54"/>
      <c r="AV9" s="55"/>
      <c r="AW9" s="56"/>
      <c r="AX9" s="33">
        <f>SUM(E9:AW9)</f>
        <v>0</v>
      </c>
      <c r="AY9" s="31">
        <f>IFERROR(AVERAGEIF(E9:AW9,"&lt;&gt;0",(E9:AW9)),)</f>
        <v>0</v>
      </c>
      <c r="AZ9" s="30">
        <f>IFERROR(AY9/D9,0)</f>
        <v>0</v>
      </c>
      <c r="BA9" s="104" t="s">
        <v>182</v>
      </c>
      <c r="BB9" s="100" t="s">
        <v>183</v>
      </c>
      <c r="BC9" s="100" t="s">
        <v>184</v>
      </c>
      <c r="BD9" s="101" t="s">
        <v>185</v>
      </c>
      <c r="BE9" s="100" t="s">
        <v>186</v>
      </c>
      <c r="BF9" s="102" t="s">
        <v>187</v>
      </c>
      <c r="BG9" s="100" t="s">
        <v>188</v>
      </c>
      <c r="BH9" s="102" t="s">
        <v>189</v>
      </c>
    </row>
    <row r="10" spans="1:60" s="17" customFormat="1" ht="19.5" customHeight="1" thickBot="1" x14ac:dyDescent="0.4">
      <c r="A10" s="41">
        <f t="shared" si="0"/>
        <v>45439</v>
      </c>
      <c r="B10" s="37" t="str">
        <f>B9</f>
        <v>Yaka İç Dikiş</v>
      </c>
      <c r="C10" s="65"/>
      <c r="D10" s="67">
        <f>D9</f>
        <v>200</v>
      </c>
      <c r="E10" s="57"/>
      <c r="F10" s="52"/>
      <c r="G10" s="52"/>
      <c r="H10" s="58"/>
      <c r="I10" s="57"/>
      <c r="J10" s="52"/>
      <c r="K10" s="52"/>
      <c r="L10" s="58"/>
      <c r="M10" s="57"/>
      <c r="N10" s="52"/>
      <c r="O10" s="52"/>
      <c r="P10" s="58"/>
      <c r="Q10" s="57"/>
      <c r="R10" s="52"/>
      <c r="S10" s="52"/>
      <c r="T10" s="52"/>
      <c r="U10" s="58"/>
      <c r="V10" s="57"/>
      <c r="W10" s="52"/>
      <c r="X10" s="52"/>
      <c r="Y10" s="58"/>
      <c r="Z10" s="57"/>
      <c r="AA10" s="52"/>
      <c r="AB10" s="52"/>
      <c r="AC10" s="58"/>
      <c r="AD10" s="57"/>
      <c r="AE10" s="52"/>
      <c r="AF10" s="52"/>
      <c r="AG10" s="58"/>
      <c r="AH10" s="57"/>
      <c r="AI10" s="52"/>
      <c r="AJ10" s="52"/>
      <c r="AK10" s="58"/>
      <c r="AL10" s="57"/>
      <c r="AM10" s="52"/>
      <c r="AN10" s="52"/>
      <c r="AO10" s="58"/>
      <c r="AP10" s="57"/>
      <c r="AQ10" s="52"/>
      <c r="AR10" s="52"/>
      <c r="AS10" s="58"/>
      <c r="AT10" s="57"/>
      <c r="AU10" s="52"/>
      <c r="AV10" s="52"/>
      <c r="AW10" s="58">
        <v>100</v>
      </c>
      <c r="AX10" s="33">
        <f>SUM(E10:AW10)</f>
        <v>100</v>
      </c>
      <c r="AY10" s="31">
        <f>IFERROR(AVERAGEIF(E10:AW10,"&lt;&gt;0",(E10:AW10)),)</f>
        <v>100</v>
      </c>
      <c r="AZ10" s="30">
        <f>IFERROR(AY10/D10,0)</f>
        <v>0.5</v>
      </c>
      <c r="BA10" s="94">
        <f>AX14</f>
        <v>100</v>
      </c>
      <c r="BB10" s="95">
        <f>(D14*8)</f>
        <v>4000</v>
      </c>
      <c r="BC10" s="96">
        <f>C5-BA10</f>
        <v>42211</v>
      </c>
      <c r="BD10" s="96">
        <f>BC10</f>
        <v>42211</v>
      </c>
      <c r="BE10" s="97">
        <f>IFERROR(BC10/E14,0)</f>
        <v>0</v>
      </c>
      <c r="BF10" s="98">
        <f>IFERROR(BE10/9,0)</f>
        <v>0</v>
      </c>
      <c r="BG10" s="97">
        <f>IFERROR(BC10/AY14,0)</f>
        <v>422.11</v>
      </c>
      <c r="BH10" s="97">
        <f>IFERROR(BG10/9,0)</f>
        <v>46.901111111111113</v>
      </c>
    </row>
    <row r="11" spans="1:60" s="17" customFormat="1" ht="19.5" customHeight="1" x14ac:dyDescent="0.35">
      <c r="A11" s="41">
        <f t="shared" si="0"/>
        <v>45439</v>
      </c>
      <c r="B11" s="37" t="str">
        <f>B10</f>
        <v>Yaka İç Dikiş</v>
      </c>
      <c r="C11" s="65"/>
      <c r="D11" s="67">
        <f>D10</f>
        <v>200</v>
      </c>
      <c r="E11" s="57"/>
      <c r="F11" s="52"/>
      <c r="G11" s="52"/>
      <c r="H11" s="58"/>
      <c r="I11" s="57"/>
      <c r="J11" s="52"/>
      <c r="K11" s="52"/>
      <c r="L11" s="58"/>
      <c r="M11" s="57"/>
      <c r="N11" s="52"/>
      <c r="O11" s="52"/>
      <c r="P11" s="58"/>
      <c r="Q11" s="57"/>
      <c r="R11" s="52"/>
      <c r="S11" s="52"/>
      <c r="T11" s="52"/>
      <c r="U11" s="58"/>
      <c r="V11" s="57"/>
      <c r="W11" s="52"/>
      <c r="X11" s="52"/>
      <c r="Y11" s="58"/>
      <c r="Z11" s="57"/>
      <c r="AA11" s="52"/>
      <c r="AB11" s="52"/>
      <c r="AC11" s="58"/>
      <c r="AD11" s="57"/>
      <c r="AE11" s="52"/>
      <c r="AF11" s="52"/>
      <c r="AG11" s="58"/>
      <c r="AH11" s="57"/>
      <c r="AI11" s="52"/>
      <c r="AJ11" s="52"/>
      <c r="AK11" s="58"/>
      <c r="AL11" s="57"/>
      <c r="AM11" s="52"/>
      <c r="AN11" s="52"/>
      <c r="AO11" s="58"/>
      <c r="AP11" s="57"/>
      <c r="AQ11" s="52"/>
      <c r="AR11" s="52"/>
      <c r="AS11" s="58"/>
      <c r="AT11" s="57"/>
      <c r="AU11" s="52"/>
      <c r="AV11" s="52"/>
      <c r="AW11" s="58"/>
      <c r="AX11" s="33">
        <f>SUM(E11:AW11)</f>
        <v>0</v>
      </c>
      <c r="AY11" s="31">
        <f>IFERROR(AVERAGEIF(E11:AW11,"&lt;&gt;0",(E11:AW11)),)</f>
        <v>0</v>
      </c>
      <c r="AZ11" s="30">
        <f>IFERROR(AY11/D11,0)</f>
        <v>0</v>
      </c>
      <c r="BA11" s="34"/>
      <c r="BB11" s="34"/>
      <c r="BC11" s="34"/>
      <c r="BD11" s="76"/>
      <c r="BE11" s="34"/>
      <c r="BF11" s="34"/>
      <c r="BG11" s="34"/>
      <c r="BH11" s="34"/>
    </row>
    <row r="12" spans="1:60" s="17" customFormat="1" ht="19.5" customHeight="1" x14ac:dyDescent="0.35">
      <c r="A12" s="41">
        <f t="shared" si="0"/>
        <v>45439</v>
      </c>
      <c r="B12" s="37" t="str">
        <f>B11</f>
        <v>Yaka İç Dikiş</v>
      </c>
      <c r="C12" s="65"/>
      <c r="D12" s="67">
        <f>D11</f>
        <v>200</v>
      </c>
      <c r="E12" s="57"/>
      <c r="F12" s="52"/>
      <c r="G12" s="52"/>
      <c r="H12" s="58"/>
      <c r="I12" s="57"/>
      <c r="J12" s="52"/>
      <c r="K12" s="52"/>
      <c r="L12" s="58"/>
      <c r="M12" s="57"/>
      <c r="N12" s="52"/>
      <c r="O12" s="52"/>
      <c r="P12" s="58"/>
      <c r="Q12" s="57"/>
      <c r="R12" s="52"/>
      <c r="S12" s="52"/>
      <c r="T12" s="52"/>
      <c r="U12" s="58"/>
      <c r="V12" s="57"/>
      <c r="W12" s="52"/>
      <c r="X12" s="52"/>
      <c r="Y12" s="58"/>
      <c r="Z12" s="57"/>
      <c r="AA12" s="52"/>
      <c r="AB12" s="52"/>
      <c r="AC12" s="58"/>
      <c r="AD12" s="57"/>
      <c r="AE12" s="52"/>
      <c r="AF12" s="52"/>
      <c r="AG12" s="58"/>
      <c r="AH12" s="57"/>
      <c r="AI12" s="52"/>
      <c r="AJ12" s="52"/>
      <c r="AK12" s="58"/>
      <c r="AL12" s="57"/>
      <c r="AM12" s="52"/>
      <c r="AN12" s="52"/>
      <c r="AO12" s="58"/>
      <c r="AP12" s="57"/>
      <c r="AQ12" s="52"/>
      <c r="AR12" s="52"/>
      <c r="AS12" s="58"/>
      <c r="AT12" s="57"/>
      <c r="AU12" s="52"/>
      <c r="AV12" s="52"/>
      <c r="AW12" s="58"/>
      <c r="AX12" s="33">
        <f>SUM(E12:AW12)</f>
        <v>0</v>
      </c>
      <c r="AY12" s="31">
        <f>IFERROR(AVERAGEIF(E12:AW12,"&lt;&gt;0",(E12:AW12)),)</f>
        <v>0</v>
      </c>
      <c r="AZ12" s="30">
        <f>IFERROR(AY12/D12,0)</f>
        <v>0</v>
      </c>
      <c r="BA12" s="34"/>
      <c r="BB12" s="34"/>
      <c r="BC12" s="34"/>
      <c r="BD12" s="76"/>
      <c r="BE12" s="34"/>
      <c r="BF12" s="34"/>
      <c r="BG12" s="34"/>
      <c r="BH12" s="34"/>
    </row>
    <row r="13" spans="1:60" s="17" customFormat="1" ht="19.5" customHeight="1" thickBot="1" x14ac:dyDescent="0.4">
      <c r="A13" s="41">
        <f t="shared" si="0"/>
        <v>45439</v>
      </c>
      <c r="B13" s="37" t="str">
        <f>B12</f>
        <v>Yaka İç Dikiş</v>
      </c>
      <c r="C13" s="66"/>
      <c r="D13" s="67">
        <f>D12</f>
        <v>200</v>
      </c>
      <c r="E13" s="64"/>
      <c r="F13" s="61"/>
      <c r="G13" s="61"/>
      <c r="H13" s="62"/>
      <c r="I13" s="64"/>
      <c r="J13" s="61"/>
      <c r="K13" s="61"/>
      <c r="L13" s="62"/>
      <c r="M13" s="64"/>
      <c r="N13" s="61"/>
      <c r="O13" s="61"/>
      <c r="P13" s="62"/>
      <c r="Q13" s="64"/>
      <c r="R13" s="61"/>
      <c r="S13" s="61"/>
      <c r="T13" s="61"/>
      <c r="U13" s="62"/>
      <c r="V13" s="64"/>
      <c r="W13" s="61"/>
      <c r="X13" s="61"/>
      <c r="Y13" s="62"/>
      <c r="Z13" s="59"/>
      <c r="AA13" s="60"/>
      <c r="AB13" s="61"/>
      <c r="AC13" s="62"/>
      <c r="AD13" s="59"/>
      <c r="AE13" s="60"/>
      <c r="AF13" s="61"/>
      <c r="AG13" s="62"/>
      <c r="AH13" s="59"/>
      <c r="AI13" s="60"/>
      <c r="AJ13" s="61"/>
      <c r="AK13" s="62"/>
      <c r="AL13" s="59"/>
      <c r="AM13" s="60"/>
      <c r="AN13" s="61"/>
      <c r="AO13" s="62"/>
      <c r="AP13" s="59"/>
      <c r="AQ13" s="60"/>
      <c r="AR13" s="61"/>
      <c r="AS13" s="62"/>
      <c r="AT13" s="59"/>
      <c r="AU13" s="60"/>
      <c r="AV13" s="61"/>
      <c r="AW13" s="62"/>
      <c r="AX13" s="43">
        <f>SUM(E13:AW13)</f>
        <v>0</v>
      </c>
      <c r="AY13" s="44">
        <f>IFERROR(AVERAGEIF(E13:AW13,"&lt;&gt;0",(E13:AW13)),)</f>
        <v>0</v>
      </c>
      <c r="AZ13" s="45">
        <f>IFERROR(AY13/D13,0)</f>
        <v>0</v>
      </c>
      <c r="BA13" s="34"/>
      <c r="BB13" s="34"/>
      <c r="BC13" s="34"/>
      <c r="BD13" s="76"/>
      <c r="BE13" s="34"/>
      <c r="BF13" s="34"/>
      <c r="BG13" s="34"/>
      <c r="BH13" s="34"/>
    </row>
    <row r="14" spans="1:60" s="17" customFormat="1" ht="19.5" customHeight="1" thickBot="1" x14ac:dyDescent="0.45">
      <c r="A14" s="41">
        <f t="shared" si="0"/>
        <v>45439</v>
      </c>
      <c r="B14" s="139" t="str">
        <f>B9</f>
        <v>Yaka İç Dikiş</v>
      </c>
      <c r="C14" s="140"/>
      <c r="D14" s="40">
        <f>C6/8</f>
        <v>500</v>
      </c>
      <c r="E14" s="151">
        <f>SUM(E9:H13)</f>
        <v>0</v>
      </c>
      <c r="F14" s="152"/>
      <c r="G14" s="152"/>
      <c r="H14" s="153"/>
      <c r="I14" s="151">
        <f>SUM(I9:L13)</f>
        <v>0</v>
      </c>
      <c r="J14" s="152"/>
      <c r="K14" s="152"/>
      <c r="L14" s="153"/>
      <c r="M14" s="151">
        <f>SUM(M9:P13)</f>
        <v>0</v>
      </c>
      <c r="N14" s="152"/>
      <c r="O14" s="152"/>
      <c r="P14" s="153"/>
      <c r="Q14" s="151">
        <f>SUM(Q9:U13)</f>
        <v>0</v>
      </c>
      <c r="R14" s="152"/>
      <c r="S14" s="152"/>
      <c r="T14" s="152"/>
      <c r="U14" s="153"/>
      <c r="V14" s="151">
        <f>SUM(V9:Y13)</f>
        <v>0</v>
      </c>
      <c r="W14" s="152"/>
      <c r="X14" s="152"/>
      <c r="Y14" s="153"/>
      <c r="Z14" s="151">
        <f>SUM(Z9:AC13)</f>
        <v>0</v>
      </c>
      <c r="AA14" s="152"/>
      <c r="AB14" s="152"/>
      <c r="AC14" s="153"/>
      <c r="AD14" s="151">
        <f>SUM(AD9:AG13)</f>
        <v>0</v>
      </c>
      <c r="AE14" s="152"/>
      <c r="AF14" s="152"/>
      <c r="AG14" s="153"/>
      <c r="AH14" s="151">
        <f>SUM(AH9:AK13)</f>
        <v>0</v>
      </c>
      <c r="AI14" s="152"/>
      <c r="AJ14" s="152"/>
      <c r="AK14" s="153"/>
      <c r="AL14" s="151">
        <f>SUM(AL9:AO13)</f>
        <v>0</v>
      </c>
      <c r="AM14" s="152"/>
      <c r="AN14" s="152"/>
      <c r="AO14" s="153"/>
      <c r="AP14" s="151">
        <f>SUM(AP9:AS13)</f>
        <v>0</v>
      </c>
      <c r="AQ14" s="152"/>
      <c r="AR14" s="152"/>
      <c r="AS14" s="153"/>
      <c r="AT14" s="151">
        <f>SUM(AT9:AW13)</f>
        <v>100</v>
      </c>
      <c r="AU14" s="152"/>
      <c r="AV14" s="152"/>
      <c r="AW14" s="153"/>
      <c r="AX14" s="87">
        <f>SUM(AX9:AX13)</f>
        <v>100</v>
      </c>
      <c r="AY14" s="88">
        <f>IFERROR(AVERAGEIF(E14:AV14,"&lt;&gt;0",(E14:AV14)),)</f>
        <v>100</v>
      </c>
      <c r="AZ14" s="46">
        <f>IFERROR(AX14/BB10,0)</f>
        <v>2.5000000000000001E-2</v>
      </c>
      <c r="BA14" s="34"/>
      <c r="BB14" s="34"/>
      <c r="BC14" s="34"/>
      <c r="BD14" s="76"/>
      <c r="BE14" s="34"/>
      <c r="BF14" s="34"/>
      <c r="BG14" s="34"/>
      <c r="BH14" s="34"/>
    </row>
    <row r="15" spans="1:60" s="17" customFormat="1" ht="19.5" customHeight="1" thickBot="1" x14ac:dyDescent="0.4">
      <c r="A15" s="42">
        <f>A8</f>
        <v>45439</v>
      </c>
      <c r="B15" s="38" t="str">
        <f>B16</f>
        <v>Yaka Tıktık</v>
      </c>
      <c r="C15" s="39" t="s">
        <v>180</v>
      </c>
      <c r="D15" s="69" t="s">
        <v>181</v>
      </c>
      <c r="E15" s="48">
        <v>0.34375</v>
      </c>
      <c r="F15" s="49">
        <v>0.35416666666666669</v>
      </c>
      <c r="G15" s="49">
        <v>0.36458333333333331</v>
      </c>
      <c r="H15" s="50">
        <v>0.375</v>
      </c>
      <c r="I15" s="48">
        <v>0.38541666666666702</v>
      </c>
      <c r="J15" s="49">
        <v>0.39583333333333298</v>
      </c>
      <c r="K15" s="49">
        <v>0.40625</v>
      </c>
      <c r="L15" s="50">
        <v>0.41666666666666702</v>
      </c>
      <c r="M15" s="48">
        <v>0.4375</v>
      </c>
      <c r="N15" s="49">
        <v>0.44791666666666702</v>
      </c>
      <c r="O15" s="49">
        <v>0.45833333333333398</v>
      </c>
      <c r="P15" s="50">
        <v>0.46875</v>
      </c>
      <c r="Q15" s="48">
        <v>0.47916666666666702</v>
      </c>
      <c r="R15" s="49">
        <v>0.48958333333333398</v>
      </c>
      <c r="S15" s="49">
        <v>0.5</v>
      </c>
      <c r="T15" s="50">
        <v>0.51041666666666696</v>
      </c>
      <c r="U15" s="51">
        <v>0.52083333333333204</v>
      </c>
      <c r="V15" s="48">
        <v>0.5625</v>
      </c>
      <c r="W15" s="49">
        <v>0.57291666666666663</v>
      </c>
      <c r="X15" s="49">
        <v>0.58333333333333304</v>
      </c>
      <c r="Y15" s="50">
        <v>0.59375</v>
      </c>
      <c r="Z15" s="48">
        <v>0.60416666666666696</v>
      </c>
      <c r="AA15" s="49">
        <v>0.61458333333333304</v>
      </c>
      <c r="AB15" s="49">
        <v>0.625</v>
      </c>
      <c r="AC15" s="50">
        <v>0.63541666666666596</v>
      </c>
      <c r="AD15" s="48">
        <v>0.65625</v>
      </c>
      <c r="AE15" s="49">
        <v>0.66666666666666663</v>
      </c>
      <c r="AF15" s="49">
        <v>0.67708333333333304</v>
      </c>
      <c r="AG15" s="50">
        <v>0.6875</v>
      </c>
      <c r="AH15" s="48">
        <v>0.69791666666666696</v>
      </c>
      <c r="AI15" s="49">
        <v>0.70833333333333304</v>
      </c>
      <c r="AJ15" s="49">
        <v>0.71875</v>
      </c>
      <c r="AK15" s="50">
        <v>0.72916666666666696</v>
      </c>
      <c r="AL15" s="48">
        <v>0.73958333333333404</v>
      </c>
      <c r="AM15" s="49">
        <v>0.750000000000001</v>
      </c>
      <c r="AN15" s="49">
        <v>0.76041666666666796</v>
      </c>
      <c r="AO15" s="50">
        <v>0.77083333333333504</v>
      </c>
      <c r="AP15" s="48">
        <v>0.781250000000002</v>
      </c>
      <c r="AQ15" s="49">
        <v>0.79166666666666896</v>
      </c>
      <c r="AR15" s="49">
        <v>0.80208333333333603</v>
      </c>
      <c r="AS15" s="50">
        <v>0.812500000000003</v>
      </c>
      <c r="AT15" s="48">
        <v>0.82291666666666996</v>
      </c>
      <c r="AU15" s="49">
        <v>0.83333333333333703</v>
      </c>
      <c r="AV15" s="49">
        <v>0.843750000000004</v>
      </c>
      <c r="AW15" s="50">
        <v>0.85416666666666663</v>
      </c>
      <c r="AX15" s="68" t="s">
        <v>260</v>
      </c>
      <c r="AY15" s="28" t="s">
        <v>261</v>
      </c>
      <c r="AZ15" s="29" t="s">
        <v>262</v>
      </c>
      <c r="BA15" s="136" t="str">
        <f>B16</f>
        <v>Yaka Tıktık</v>
      </c>
      <c r="BB15" s="137"/>
      <c r="BC15" s="137"/>
      <c r="BD15" s="137"/>
      <c r="BE15" s="137"/>
      <c r="BF15" s="137"/>
      <c r="BG15" s="137"/>
      <c r="BH15" s="138"/>
    </row>
    <row r="16" spans="1:60" s="17" customFormat="1" ht="19.5" customHeight="1" thickBot="1" x14ac:dyDescent="0.4">
      <c r="A16" s="41">
        <f>A8</f>
        <v>45439</v>
      </c>
      <c r="B16" s="37" t="s">
        <v>4</v>
      </c>
      <c r="C16" s="65"/>
      <c r="D16" s="70">
        <v>150</v>
      </c>
      <c r="E16" s="63"/>
      <c r="F16" s="55"/>
      <c r="G16" s="55"/>
      <c r="H16" s="56"/>
      <c r="I16" s="63"/>
      <c r="J16" s="55"/>
      <c r="K16" s="55"/>
      <c r="L16" s="56"/>
      <c r="M16" s="63"/>
      <c r="N16" s="55"/>
      <c r="O16" s="55"/>
      <c r="P16" s="56"/>
      <c r="Q16" s="63"/>
      <c r="R16" s="55"/>
      <c r="S16" s="55"/>
      <c r="T16" s="55"/>
      <c r="U16" s="56"/>
      <c r="V16" s="63"/>
      <c r="W16" s="55"/>
      <c r="X16" s="55"/>
      <c r="Y16" s="56"/>
      <c r="Z16" s="53"/>
      <c r="AA16" s="54"/>
      <c r="AB16" s="55"/>
      <c r="AC16" s="56"/>
      <c r="AD16" s="53"/>
      <c r="AE16" s="54"/>
      <c r="AF16" s="55"/>
      <c r="AG16" s="56"/>
      <c r="AH16" s="53"/>
      <c r="AI16" s="54"/>
      <c r="AJ16" s="55"/>
      <c r="AK16" s="56"/>
      <c r="AL16" s="53"/>
      <c r="AM16" s="54"/>
      <c r="AN16" s="55"/>
      <c r="AO16" s="56"/>
      <c r="AP16" s="53"/>
      <c r="AQ16" s="54"/>
      <c r="AR16" s="55"/>
      <c r="AS16" s="56"/>
      <c r="AT16" s="53"/>
      <c r="AU16" s="54"/>
      <c r="AV16" s="55"/>
      <c r="AW16" s="56"/>
      <c r="AX16" s="33">
        <f>SUM(E16:AW16)</f>
        <v>0</v>
      </c>
      <c r="AY16" s="31">
        <f>IFERROR(AVERAGEIF(E16:AW16,"&lt;&gt;0",(E16:AW16)),)</f>
        <v>0</v>
      </c>
      <c r="AZ16" s="30">
        <f>IFERROR(AY16/D16,0)</f>
        <v>0</v>
      </c>
      <c r="BA16" s="104" t="s">
        <v>182</v>
      </c>
      <c r="BB16" s="100" t="s">
        <v>183</v>
      </c>
      <c r="BC16" s="100" t="s">
        <v>184</v>
      </c>
      <c r="BD16" s="101" t="s">
        <v>185</v>
      </c>
      <c r="BE16" s="100" t="s">
        <v>186</v>
      </c>
      <c r="BF16" s="102" t="s">
        <v>187</v>
      </c>
      <c r="BG16" s="100" t="s">
        <v>188</v>
      </c>
      <c r="BH16" s="102" t="s">
        <v>189</v>
      </c>
    </row>
    <row r="17" spans="1:60" s="17" customFormat="1" ht="19.5" customHeight="1" thickBot="1" x14ac:dyDescent="0.4">
      <c r="A17" s="41">
        <f t="shared" ref="A17:B20" si="1">A16</f>
        <v>45439</v>
      </c>
      <c r="B17" s="37" t="str">
        <f t="shared" si="1"/>
        <v>Yaka Tıktık</v>
      </c>
      <c r="C17" s="65"/>
      <c r="D17" s="67">
        <f>D16</f>
        <v>150</v>
      </c>
      <c r="E17" s="57"/>
      <c r="F17" s="52"/>
      <c r="G17" s="52"/>
      <c r="H17" s="58"/>
      <c r="I17" s="57"/>
      <c r="J17" s="52"/>
      <c r="K17" s="52"/>
      <c r="L17" s="58"/>
      <c r="M17" s="57"/>
      <c r="N17" s="52"/>
      <c r="O17" s="52"/>
      <c r="P17" s="58"/>
      <c r="Q17" s="57"/>
      <c r="R17" s="52"/>
      <c r="S17" s="52"/>
      <c r="T17" s="52"/>
      <c r="U17" s="58"/>
      <c r="V17" s="57"/>
      <c r="W17" s="52"/>
      <c r="X17" s="52"/>
      <c r="Y17" s="58"/>
      <c r="Z17" s="57"/>
      <c r="AA17" s="52"/>
      <c r="AB17" s="52"/>
      <c r="AC17" s="58"/>
      <c r="AD17" s="57"/>
      <c r="AE17" s="52"/>
      <c r="AF17" s="52"/>
      <c r="AG17" s="58"/>
      <c r="AH17" s="57"/>
      <c r="AI17" s="52"/>
      <c r="AJ17" s="52"/>
      <c r="AK17" s="58"/>
      <c r="AL17" s="57"/>
      <c r="AM17" s="52"/>
      <c r="AN17" s="52"/>
      <c r="AO17" s="58"/>
      <c r="AP17" s="57"/>
      <c r="AQ17" s="52"/>
      <c r="AR17" s="52"/>
      <c r="AS17" s="58"/>
      <c r="AT17" s="57"/>
      <c r="AU17" s="52"/>
      <c r="AV17" s="52"/>
      <c r="AW17" s="58"/>
      <c r="AX17" s="33">
        <f>SUM(E17:AW17)</f>
        <v>0</v>
      </c>
      <c r="AY17" s="31">
        <f>IFERROR(AVERAGEIF(E17:AW17,"&lt;&gt;0",(E17:AW17)),)</f>
        <v>0</v>
      </c>
      <c r="AZ17" s="30">
        <f>IFERROR(AY17/D17,0)</f>
        <v>0</v>
      </c>
      <c r="BA17" s="94">
        <f>AX21</f>
        <v>0</v>
      </c>
      <c r="BB17" s="95">
        <f>(D21*8)</f>
        <v>4000</v>
      </c>
      <c r="BC17" s="96">
        <f>C6-BA17</f>
        <v>4000</v>
      </c>
      <c r="BD17" s="96">
        <f>BA10-BA17</f>
        <v>100</v>
      </c>
      <c r="BE17" s="97">
        <f>IFERROR(BC17/E21,0)</f>
        <v>0</v>
      </c>
      <c r="BF17" s="98">
        <f>IFERROR(BE17/9,0)</f>
        <v>0</v>
      </c>
      <c r="BG17" s="97">
        <f>IFERROR(BC17/AY21,0)</f>
        <v>0</v>
      </c>
      <c r="BH17" s="97">
        <f>IFERROR(BG17/9,0)</f>
        <v>0</v>
      </c>
    </row>
    <row r="18" spans="1:60" s="17" customFormat="1" ht="19.5" customHeight="1" x14ac:dyDescent="0.35">
      <c r="A18" s="41">
        <f t="shared" si="1"/>
        <v>45439</v>
      </c>
      <c r="B18" s="37" t="str">
        <f t="shared" si="1"/>
        <v>Yaka Tıktık</v>
      </c>
      <c r="C18" s="65"/>
      <c r="D18" s="67">
        <f>D17</f>
        <v>150</v>
      </c>
      <c r="E18" s="57"/>
      <c r="F18" s="52"/>
      <c r="G18" s="52"/>
      <c r="H18" s="58"/>
      <c r="I18" s="57"/>
      <c r="J18" s="52"/>
      <c r="K18" s="52"/>
      <c r="L18" s="58"/>
      <c r="M18" s="57"/>
      <c r="N18" s="52"/>
      <c r="O18" s="52"/>
      <c r="P18" s="58"/>
      <c r="Q18" s="57"/>
      <c r="R18" s="52"/>
      <c r="S18" s="52"/>
      <c r="T18" s="52"/>
      <c r="U18" s="58"/>
      <c r="V18" s="57"/>
      <c r="W18" s="52"/>
      <c r="X18" s="52"/>
      <c r="Y18" s="58"/>
      <c r="Z18" s="57"/>
      <c r="AA18" s="52"/>
      <c r="AB18" s="52"/>
      <c r="AC18" s="58"/>
      <c r="AD18" s="57"/>
      <c r="AE18" s="52"/>
      <c r="AF18" s="52"/>
      <c r="AG18" s="58"/>
      <c r="AH18" s="57"/>
      <c r="AI18" s="52"/>
      <c r="AJ18" s="52"/>
      <c r="AK18" s="58"/>
      <c r="AL18" s="57"/>
      <c r="AM18" s="52"/>
      <c r="AN18" s="52"/>
      <c r="AO18" s="58"/>
      <c r="AP18" s="57"/>
      <c r="AQ18" s="52"/>
      <c r="AR18" s="52"/>
      <c r="AS18" s="58"/>
      <c r="AT18" s="57"/>
      <c r="AU18" s="52"/>
      <c r="AV18" s="52"/>
      <c r="AW18" s="58"/>
      <c r="AX18" s="33">
        <f>SUM(E18:AW18)</f>
        <v>0</v>
      </c>
      <c r="AY18" s="31">
        <f>IFERROR(AVERAGEIF(E18:AW18,"&lt;&gt;0",(E18:AW18)),)</f>
        <v>0</v>
      </c>
      <c r="AZ18" s="30">
        <f>IFERROR(AY18/D18,0)</f>
        <v>0</v>
      </c>
      <c r="BA18" s="34"/>
      <c r="BB18" s="34"/>
      <c r="BC18" s="34"/>
      <c r="BD18" s="76"/>
      <c r="BE18" s="34"/>
      <c r="BF18" s="34"/>
      <c r="BG18" s="34"/>
      <c r="BH18" s="34"/>
    </row>
    <row r="19" spans="1:60" s="17" customFormat="1" ht="19.5" customHeight="1" x14ac:dyDescent="0.35">
      <c r="A19" s="41">
        <f t="shared" si="1"/>
        <v>45439</v>
      </c>
      <c r="B19" s="37" t="str">
        <f t="shared" si="1"/>
        <v>Yaka Tıktık</v>
      </c>
      <c r="C19" s="65"/>
      <c r="D19" s="67">
        <f>D18</f>
        <v>150</v>
      </c>
      <c r="E19" s="57"/>
      <c r="F19" s="52"/>
      <c r="G19" s="52"/>
      <c r="H19" s="58"/>
      <c r="I19" s="57"/>
      <c r="J19" s="52"/>
      <c r="K19" s="52"/>
      <c r="L19" s="58"/>
      <c r="M19" s="57"/>
      <c r="N19" s="52"/>
      <c r="O19" s="52"/>
      <c r="P19" s="58"/>
      <c r="Q19" s="57"/>
      <c r="R19" s="52"/>
      <c r="S19" s="52"/>
      <c r="T19" s="52"/>
      <c r="U19" s="58"/>
      <c r="V19" s="57"/>
      <c r="W19" s="52"/>
      <c r="X19" s="52"/>
      <c r="Y19" s="58"/>
      <c r="Z19" s="57"/>
      <c r="AA19" s="52"/>
      <c r="AB19" s="52"/>
      <c r="AC19" s="58"/>
      <c r="AD19" s="57"/>
      <c r="AE19" s="52"/>
      <c r="AF19" s="52"/>
      <c r="AG19" s="58"/>
      <c r="AH19" s="57"/>
      <c r="AI19" s="52"/>
      <c r="AJ19" s="52"/>
      <c r="AK19" s="58"/>
      <c r="AL19" s="57"/>
      <c r="AM19" s="52"/>
      <c r="AN19" s="52"/>
      <c r="AO19" s="58"/>
      <c r="AP19" s="57"/>
      <c r="AQ19" s="52"/>
      <c r="AR19" s="52"/>
      <c r="AS19" s="58"/>
      <c r="AT19" s="57"/>
      <c r="AU19" s="52"/>
      <c r="AV19" s="52"/>
      <c r="AW19" s="58"/>
      <c r="AX19" s="33">
        <f>SUM(E19:AW19)</f>
        <v>0</v>
      </c>
      <c r="AY19" s="31">
        <f>IFERROR(AVERAGEIF(E19:AW19,"&lt;&gt;0",(E19:AW19)),)</f>
        <v>0</v>
      </c>
      <c r="AZ19" s="30">
        <f>IFERROR(AY19/D19,0)</f>
        <v>0</v>
      </c>
      <c r="BA19" s="34"/>
      <c r="BB19" s="34"/>
      <c r="BC19" s="34"/>
      <c r="BD19" s="76"/>
      <c r="BE19" s="34"/>
      <c r="BF19" s="34"/>
      <c r="BG19" s="34"/>
      <c r="BH19" s="34"/>
    </row>
    <row r="20" spans="1:60" s="17" customFormat="1" ht="19.5" customHeight="1" thickBot="1" x14ac:dyDescent="0.4">
      <c r="A20" s="41">
        <f t="shared" si="1"/>
        <v>45439</v>
      </c>
      <c r="B20" s="37" t="str">
        <f t="shared" si="1"/>
        <v>Yaka Tıktık</v>
      </c>
      <c r="C20" s="66"/>
      <c r="D20" s="67">
        <f>D19</f>
        <v>150</v>
      </c>
      <c r="E20" s="64"/>
      <c r="F20" s="61"/>
      <c r="G20" s="61"/>
      <c r="H20" s="62"/>
      <c r="I20" s="64"/>
      <c r="J20" s="61"/>
      <c r="K20" s="61"/>
      <c r="L20" s="62"/>
      <c r="M20" s="64"/>
      <c r="N20" s="61"/>
      <c r="O20" s="61"/>
      <c r="P20" s="62"/>
      <c r="Q20" s="64"/>
      <c r="R20" s="61"/>
      <c r="S20" s="61"/>
      <c r="T20" s="61"/>
      <c r="U20" s="62"/>
      <c r="V20" s="64"/>
      <c r="W20" s="61"/>
      <c r="X20" s="61"/>
      <c r="Y20" s="62"/>
      <c r="Z20" s="59"/>
      <c r="AA20" s="60"/>
      <c r="AB20" s="61"/>
      <c r="AC20" s="62"/>
      <c r="AD20" s="59"/>
      <c r="AE20" s="60"/>
      <c r="AF20" s="61"/>
      <c r="AG20" s="62"/>
      <c r="AH20" s="59"/>
      <c r="AI20" s="60"/>
      <c r="AJ20" s="61"/>
      <c r="AK20" s="62"/>
      <c r="AL20" s="59"/>
      <c r="AM20" s="60"/>
      <c r="AN20" s="61"/>
      <c r="AO20" s="62"/>
      <c r="AP20" s="59"/>
      <c r="AQ20" s="60"/>
      <c r="AR20" s="61"/>
      <c r="AS20" s="62"/>
      <c r="AT20" s="59"/>
      <c r="AU20" s="60"/>
      <c r="AV20" s="61"/>
      <c r="AW20" s="62"/>
      <c r="AX20" s="43">
        <f>SUM(E20:AW20)</f>
        <v>0</v>
      </c>
      <c r="AY20" s="44">
        <f>IFERROR(AVERAGEIF(E20:AW20,"&lt;&gt;0",(E20:AW20)),)</f>
        <v>0</v>
      </c>
      <c r="AZ20" s="45">
        <f>IFERROR(AY20/D20,0)</f>
        <v>0</v>
      </c>
      <c r="BA20" s="34"/>
      <c r="BB20" s="34"/>
      <c r="BC20" s="34"/>
      <c r="BD20" s="76"/>
      <c r="BE20" s="34"/>
      <c r="BF20" s="34"/>
      <c r="BG20" s="34"/>
      <c r="BH20" s="34"/>
    </row>
    <row r="21" spans="1:60" s="17" customFormat="1" ht="19.5" customHeight="1" thickBot="1" x14ac:dyDescent="0.45">
      <c r="A21" s="41">
        <f>A20</f>
        <v>45439</v>
      </c>
      <c r="B21" s="139" t="str">
        <f>B16</f>
        <v>Yaka Tıktık</v>
      </c>
      <c r="C21" s="140"/>
      <c r="D21" s="40">
        <f>C6/8</f>
        <v>500</v>
      </c>
      <c r="E21" s="151">
        <f>SUM(E16:H20)</f>
        <v>0</v>
      </c>
      <c r="F21" s="152"/>
      <c r="G21" s="152"/>
      <c r="H21" s="153"/>
      <c r="I21" s="151">
        <f>SUM(I16:L20)</f>
        <v>0</v>
      </c>
      <c r="J21" s="152"/>
      <c r="K21" s="152"/>
      <c r="L21" s="153"/>
      <c r="M21" s="151">
        <f>SUM(M16:P20)</f>
        <v>0</v>
      </c>
      <c r="N21" s="152"/>
      <c r="O21" s="152"/>
      <c r="P21" s="153"/>
      <c r="Q21" s="151">
        <f>SUM(Q16:U20)</f>
        <v>0</v>
      </c>
      <c r="R21" s="152"/>
      <c r="S21" s="152"/>
      <c r="T21" s="152"/>
      <c r="U21" s="153"/>
      <c r="V21" s="151">
        <f>SUM(V16:Y20)</f>
        <v>0</v>
      </c>
      <c r="W21" s="152"/>
      <c r="X21" s="152"/>
      <c r="Y21" s="153"/>
      <c r="Z21" s="151">
        <f>SUM(Z16:AC20)</f>
        <v>0</v>
      </c>
      <c r="AA21" s="152"/>
      <c r="AB21" s="152"/>
      <c r="AC21" s="153"/>
      <c r="AD21" s="151">
        <f>SUM(AD16:AG20)</f>
        <v>0</v>
      </c>
      <c r="AE21" s="152"/>
      <c r="AF21" s="152"/>
      <c r="AG21" s="153"/>
      <c r="AH21" s="151">
        <f>SUM(AH16:AK20)</f>
        <v>0</v>
      </c>
      <c r="AI21" s="152"/>
      <c r="AJ21" s="152"/>
      <c r="AK21" s="153"/>
      <c r="AL21" s="151">
        <f>SUM(AL16:AO20)</f>
        <v>0</v>
      </c>
      <c r="AM21" s="152"/>
      <c r="AN21" s="152"/>
      <c r="AO21" s="153"/>
      <c r="AP21" s="151">
        <f>SUM(AP16:AS20)</f>
        <v>0</v>
      </c>
      <c r="AQ21" s="152"/>
      <c r="AR21" s="152"/>
      <c r="AS21" s="153"/>
      <c r="AT21" s="151">
        <f>SUM(AT16:AW20)</f>
        <v>0</v>
      </c>
      <c r="AU21" s="152"/>
      <c r="AV21" s="152"/>
      <c r="AW21" s="153"/>
      <c r="AX21" s="87">
        <f>SUM(AX16:AX20)</f>
        <v>0</v>
      </c>
      <c r="AY21" s="88">
        <f>IFERROR(AVERAGEIF(E21:AV21,"&lt;&gt;0",(E21:AV21)),)</f>
        <v>0</v>
      </c>
      <c r="AZ21" s="46">
        <f>IFERROR(AX21/BB17,0)</f>
        <v>0</v>
      </c>
      <c r="BA21" s="34"/>
      <c r="BB21" s="34"/>
      <c r="BC21" s="34"/>
      <c r="BD21" s="76"/>
      <c r="BE21" s="34"/>
      <c r="BF21" s="34"/>
      <c r="BG21" s="34"/>
      <c r="BH21" s="34"/>
    </row>
    <row r="22" spans="1:60" s="17" customFormat="1" ht="19.5" customHeight="1" thickBot="1" x14ac:dyDescent="0.4">
      <c r="A22" s="42">
        <f>A8</f>
        <v>45439</v>
      </c>
      <c r="B22" s="38" t="str">
        <f>B23</f>
        <v>Etiket Hazırlama</v>
      </c>
      <c r="C22" s="39" t="s">
        <v>180</v>
      </c>
      <c r="D22" s="69" t="s">
        <v>181</v>
      </c>
      <c r="E22" s="48">
        <v>0.34375</v>
      </c>
      <c r="F22" s="49">
        <v>0.35416666666666669</v>
      </c>
      <c r="G22" s="49">
        <v>0.36458333333333331</v>
      </c>
      <c r="H22" s="50">
        <v>0.375</v>
      </c>
      <c r="I22" s="48">
        <v>0.38541666666666702</v>
      </c>
      <c r="J22" s="49">
        <v>0.39583333333333298</v>
      </c>
      <c r="K22" s="49">
        <v>0.40625</v>
      </c>
      <c r="L22" s="50">
        <v>0.41666666666666702</v>
      </c>
      <c r="M22" s="48">
        <v>0.4375</v>
      </c>
      <c r="N22" s="49">
        <v>0.44791666666666702</v>
      </c>
      <c r="O22" s="49">
        <v>0.45833333333333398</v>
      </c>
      <c r="P22" s="50">
        <v>0.46875</v>
      </c>
      <c r="Q22" s="48">
        <v>0.47916666666666702</v>
      </c>
      <c r="R22" s="49">
        <v>0.48958333333333398</v>
      </c>
      <c r="S22" s="49">
        <v>0.5</v>
      </c>
      <c r="T22" s="50">
        <v>0.51041666666666696</v>
      </c>
      <c r="U22" s="51">
        <v>0.52083333333333204</v>
      </c>
      <c r="V22" s="48">
        <v>0.5625</v>
      </c>
      <c r="W22" s="49">
        <v>0.57291666666666663</v>
      </c>
      <c r="X22" s="49">
        <v>0.58333333333333304</v>
      </c>
      <c r="Y22" s="50">
        <v>0.59375</v>
      </c>
      <c r="Z22" s="48">
        <v>0.60416666666666696</v>
      </c>
      <c r="AA22" s="49">
        <v>0.61458333333333304</v>
      </c>
      <c r="AB22" s="49">
        <v>0.625</v>
      </c>
      <c r="AC22" s="50">
        <v>0.63541666666666596</v>
      </c>
      <c r="AD22" s="48">
        <v>0.65625</v>
      </c>
      <c r="AE22" s="49">
        <v>0.66666666666666663</v>
      </c>
      <c r="AF22" s="49">
        <v>0.67708333333333304</v>
      </c>
      <c r="AG22" s="50">
        <v>0.6875</v>
      </c>
      <c r="AH22" s="48">
        <v>0.69791666666666696</v>
      </c>
      <c r="AI22" s="49">
        <v>0.70833333333333304</v>
      </c>
      <c r="AJ22" s="49">
        <v>0.71875</v>
      </c>
      <c r="AK22" s="50">
        <v>0.72916666666666696</v>
      </c>
      <c r="AL22" s="48">
        <v>0.73958333333333404</v>
      </c>
      <c r="AM22" s="49">
        <v>0.750000000000001</v>
      </c>
      <c r="AN22" s="49">
        <v>0.76041666666666796</v>
      </c>
      <c r="AO22" s="50">
        <v>0.77083333333333504</v>
      </c>
      <c r="AP22" s="48">
        <v>0.781250000000002</v>
      </c>
      <c r="AQ22" s="49">
        <v>0.79166666666666896</v>
      </c>
      <c r="AR22" s="49">
        <v>0.80208333333333603</v>
      </c>
      <c r="AS22" s="50">
        <v>0.812500000000003</v>
      </c>
      <c r="AT22" s="48">
        <v>0.82291666666666996</v>
      </c>
      <c r="AU22" s="49">
        <v>0.83333333333333703</v>
      </c>
      <c r="AV22" s="49">
        <v>0.843750000000004</v>
      </c>
      <c r="AW22" s="50">
        <v>0.85416666666666663</v>
      </c>
      <c r="AX22" s="68" t="s">
        <v>260</v>
      </c>
      <c r="AY22" s="28" t="s">
        <v>261</v>
      </c>
      <c r="AZ22" s="29" t="s">
        <v>262</v>
      </c>
      <c r="BA22" s="136" t="str">
        <f>B23</f>
        <v>Etiket Hazırlama</v>
      </c>
      <c r="BB22" s="137"/>
      <c r="BC22" s="137"/>
      <c r="BD22" s="137"/>
      <c r="BE22" s="137"/>
      <c r="BF22" s="137"/>
      <c r="BG22" s="137"/>
      <c r="BH22" s="138"/>
    </row>
    <row r="23" spans="1:60" s="17" customFormat="1" ht="19.5" customHeight="1" thickBot="1" x14ac:dyDescent="0.4">
      <c r="A23" s="41">
        <f t="shared" ref="A23:A42" si="2">A22</f>
        <v>45439</v>
      </c>
      <c r="B23" s="37" t="s">
        <v>100</v>
      </c>
      <c r="C23" s="65"/>
      <c r="D23" s="70">
        <v>120</v>
      </c>
      <c r="E23" s="63"/>
      <c r="F23" s="55"/>
      <c r="G23" s="55"/>
      <c r="H23" s="56"/>
      <c r="I23" s="63"/>
      <c r="J23" s="55"/>
      <c r="K23" s="55"/>
      <c r="L23" s="56"/>
      <c r="M23" s="63"/>
      <c r="N23" s="55"/>
      <c r="O23" s="55"/>
      <c r="P23" s="56"/>
      <c r="Q23" s="63"/>
      <c r="R23" s="55"/>
      <c r="S23" s="55"/>
      <c r="T23" s="55"/>
      <c r="U23" s="56"/>
      <c r="V23" s="63"/>
      <c r="W23" s="55"/>
      <c r="X23" s="55"/>
      <c r="Y23" s="56"/>
      <c r="Z23" s="53"/>
      <c r="AA23" s="54"/>
      <c r="AB23" s="55"/>
      <c r="AC23" s="56"/>
      <c r="AD23" s="53"/>
      <c r="AE23" s="54"/>
      <c r="AF23" s="55"/>
      <c r="AG23" s="56"/>
      <c r="AH23" s="53"/>
      <c r="AI23" s="54"/>
      <c r="AJ23" s="55"/>
      <c r="AK23" s="56"/>
      <c r="AL23" s="53"/>
      <c r="AM23" s="54"/>
      <c r="AN23" s="55"/>
      <c r="AO23" s="56"/>
      <c r="AP23" s="53"/>
      <c r="AQ23" s="54"/>
      <c r="AR23" s="55"/>
      <c r="AS23" s="56"/>
      <c r="AT23" s="53"/>
      <c r="AU23" s="54"/>
      <c r="AV23" s="55"/>
      <c r="AW23" s="56"/>
      <c r="AX23" s="33">
        <f>SUM(E23:AW23)</f>
        <v>0</v>
      </c>
      <c r="AY23" s="31">
        <f>IFERROR(AVERAGEIF(E23:AW23,"&lt;&gt;0",(E23:AW23)),)</f>
        <v>0</v>
      </c>
      <c r="AZ23" s="30">
        <f>IFERROR(AY23/D23,0)</f>
        <v>0</v>
      </c>
      <c r="BA23" s="104" t="s">
        <v>182</v>
      </c>
      <c r="BB23" s="100" t="s">
        <v>183</v>
      </c>
      <c r="BC23" s="100" t="s">
        <v>184</v>
      </c>
      <c r="BD23" s="101" t="s">
        <v>185</v>
      </c>
      <c r="BE23" s="100" t="s">
        <v>186</v>
      </c>
      <c r="BF23" s="102" t="s">
        <v>187</v>
      </c>
      <c r="BG23" s="100" t="s">
        <v>188</v>
      </c>
      <c r="BH23" s="102" t="s">
        <v>189</v>
      </c>
    </row>
    <row r="24" spans="1:60" s="17" customFormat="1" ht="19.5" customHeight="1" thickBot="1" x14ac:dyDescent="0.4">
      <c r="A24" s="41">
        <f t="shared" si="2"/>
        <v>45439</v>
      </c>
      <c r="B24" s="37" t="str">
        <f>B23</f>
        <v>Etiket Hazırlama</v>
      </c>
      <c r="C24" s="65"/>
      <c r="D24" s="67">
        <f>D23</f>
        <v>120</v>
      </c>
      <c r="E24" s="57"/>
      <c r="F24" s="52"/>
      <c r="G24" s="52"/>
      <c r="H24" s="58"/>
      <c r="I24" s="57"/>
      <c r="J24" s="52"/>
      <c r="K24" s="52"/>
      <c r="L24" s="58"/>
      <c r="M24" s="57"/>
      <c r="N24" s="52"/>
      <c r="O24" s="52"/>
      <c r="P24" s="58"/>
      <c r="Q24" s="57"/>
      <c r="R24" s="52"/>
      <c r="S24" s="52"/>
      <c r="T24" s="52"/>
      <c r="U24" s="58"/>
      <c r="V24" s="57"/>
      <c r="W24" s="52"/>
      <c r="X24" s="52"/>
      <c r="Y24" s="58"/>
      <c r="Z24" s="57"/>
      <c r="AA24" s="52"/>
      <c r="AB24" s="52"/>
      <c r="AC24" s="58"/>
      <c r="AD24" s="57"/>
      <c r="AE24" s="52"/>
      <c r="AF24" s="52"/>
      <c r="AG24" s="58"/>
      <c r="AH24" s="57"/>
      <c r="AI24" s="52"/>
      <c r="AJ24" s="52"/>
      <c r="AK24" s="58"/>
      <c r="AL24" s="57"/>
      <c r="AM24" s="52"/>
      <c r="AN24" s="52"/>
      <c r="AO24" s="58"/>
      <c r="AP24" s="57"/>
      <c r="AQ24" s="52"/>
      <c r="AR24" s="52"/>
      <c r="AS24" s="58"/>
      <c r="AT24" s="57"/>
      <c r="AU24" s="52"/>
      <c r="AV24" s="52"/>
      <c r="AW24" s="58"/>
      <c r="AX24" s="33">
        <f>SUM(E24:AW24)</f>
        <v>0</v>
      </c>
      <c r="AY24" s="31">
        <f>IFERROR(AVERAGEIF(E24:AW24,"&lt;&gt;0",(E24:AW24)),)</f>
        <v>0</v>
      </c>
      <c r="AZ24" s="30">
        <f>IFERROR(AY24/D24,0)</f>
        <v>0</v>
      </c>
      <c r="BA24" s="94">
        <f>AX28</f>
        <v>0</v>
      </c>
      <c r="BB24" s="95">
        <f>(D28*8)</f>
        <v>4000</v>
      </c>
      <c r="BC24" s="96">
        <f>C5-BA24</f>
        <v>42311</v>
      </c>
      <c r="BD24" s="96">
        <f>BC24</f>
        <v>42311</v>
      </c>
      <c r="BE24" s="97">
        <f>IFERROR(BC24/E28,0)</f>
        <v>0</v>
      </c>
      <c r="BF24" s="98">
        <f>IFERROR(BE24/9,0)</f>
        <v>0</v>
      </c>
      <c r="BG24" s="97">
        <f>IFERROR(BC24/AY28,0)</f>
        <v>0</v>
      </c>
      <c r="BH24" s="97">
        <f>IFERROR(BG24/9,0)</f>
        <v>0</v>
      </c>
    </row>
    <row r="25" spans="1:60" s="17" customFormat="1" ht="19.5" customHeight="1" x14ac:dyDescent="0.35">
      <c r="A25" s="41">
        <f t="shared" si="2"/>
        <v>45439</v>
      </c>
      <c r="B25" s="37" t="str">
        <f>B24</f>
        <v>Etiket Hazırlama</v>
      </c>
      <c r="C25" s="65"/>
      <c r="D25" s="67">
        <f>D24</f>
        <v>120</v>
      </c>
      <c r="E25" s="57"/>
      <c r="F25" s="52"/>
      <c r="G25" s="52"/>
      <c r="H25" s="58"/>
      <c r="I25" s="57"/>
      <c r="J25" s="52"/>
      <c r="K25" s="52"/>
      <c r="L25" s="58"/>
      <c r="M25" s="57"/>
      <c r="N25" s="52"/>
      <c r="O25" s="52"/>
      <c r="P25" s="58"/>
      <c r="Q25" s="57"/>
      <c r="R25" s="52"/>
      <c r="S25" s="52"/>
      <c r="T25" s="52"/>
      <c r="U25" s="58"/>
      <c r="V25" s="57"/>
      <c r="W25" s="52"/>
      <c r="X25" s="52"/>
      <c r="Y25" s="58"/>
      <c r="Z25" s="57"/>
      <c r="AA25" s="52"/>
      <c r="AB25" s="52"/>
      <c r="AC25" s="58"/>
      <c r="AD25" s="57"/>
      <c r="AE25" s="52"/>
      <c r="AF25" s="52"/>
      <c r="AG25" s="58"/>
      <c r="AH25" s="57"/>
      <c r="AI25" s="52"/>
      <c r="AJ25" s="52"/>
      <c r="AK25" s="58"/>
      <c r="AL25" s="57"/>
      <c r="AM25" s="52"/>
      <c r="AN25" s="52"/>
      <c r="AO25" s="58"/>
      <c r="AP25" s="57"/>
      <c r="AQ25" s="52"/>
      <c r="AR25" s="52"/>
      <c r="AS25" s="58"/>
      <c r="AT25" s="57"/>
      <c r="AU25" s="52"/>
      <c r="AV25" s="52"/>
      <c r="AW25" s="58"/>
      <c r="AX25" s="33">
        <f>SUM(E25:AW25)</f>
        <v>0</v>
      </c>
      <c r="AY25" s="31">
        <f>IFERROR(AVERAGEIF(E25:AW25,"&lt;&gt;0",(E25:AW25)),)</f>
        <v>0</v>
      </c>
      <c r="AZ25" s="30">
        <f>IFERROR(AY25/D25,0)</f>
        <v>0</v>
      </c>
      <c r="BA25" s="34"/>
      <c r="BB25" s="34"/>
      <c r="BC25" s="34"/>
      <c r="BD25" s="76"/>
      <c r="BE25" s="34"/>
      <c r="BF25" s="34"/>
      <c r="BG25" s="34"/>
      <c r="BH25" s="34"/>
    </row>
    <row r="26" spans="1:60" s="17" customFormat="1" ht="19.5" customHeight="1" x14ac:dyDescent="0.35">
      <c r="A26" s="41">
        <f t="shared" si="2"/>
        <v>45439</v>
      </c>
      <c r="B26" s="37" t="str">
        <f>B25</f>
        <v>Etiket Hazırlama</v>
      </c>
      <c r="C26" s="65"/>
      <c r="D26" s="67">
        <f>D25</f>
        <v>120</v>
      </c>
      <c r="E26" s="57"/>
      <c r="F26" s="52"/>
      <c r="G26" s="52"/>
      <c r="H26" s="58"/>
      <c r="I26" s="57"/>
      <c r="J26" s="52"/>
      <c r="K26" s="52"/>
      <c r="L26" s="58"/>
      <c r="M26" s="57"/>
      <c r="N26" s="52"/>
      <c r="O26" s="52"/>
      <c r="P26" s="58"/>
      <c r="Q26" s="57"/>
      <c r="R26" s="52"/>
      <c r="S26" s="52"/>
      <c r="T26" s="52"/>
      <c r="U26" s="58"/>
      <c r="V26" s="57"/>
      <c r="W26" s="52"/>
      <c r="X26" s="52"/>
      <c r="Y26" s="58"/>
      <c r="Z26" s="57"/>
      <c r="AA26" s="52"/>
      <c r="AB26" s="52"/>
      <c r="AC26" s="58"/>
      <c r="AD26" s="57"/>
      <c r="AE26" s="52"/>
      <c r="AF26" s="52"/>
      <c r="AG26" s="58"/>
      <c r="AH26" s="57"/>
      <c r="AI26" s="52"/>
      <c r="AJ26" s="52"/>
      <c r="AK26" s="58"/>
      <c r="AL26" s="57"/>
      <c r="AM26" s="52"/>
      <c r="AN26" s="52"/>
      <c r="AO26" s="58"/>
      <c r="AP26" s="57"/>
      <c r="AQ26" s="52"/>
      <c r="AR26" s="52"/>
      <c r="AS26" s="58"/>
      <c r="AT26" s="57"/>
      <c r="AU26" s="52"/>
      <c r="AV26" s="52"/>
      <c r="AW26" s="58"/>
      <c r="AX26" s="33">
        <f>SUM(E26:AW26)</f>
        <v>0</v>
      </c>
      <c r="AY26" s="31">
        <f>IFERROR(AVERAGEIF(E26:AW26,"&lt;&gt;0",(E26:AW26)),)</f>
        <v>0</v>
      </c>
      <c r="AZ26" s="30">
        <f>IFERROR(AY26/D26,0)</f>
        <v>0</v>
      </c>
      <c r="BA26" s="34"/>
      <c r="BB26" s="34"/>
      <c r="BC26" s="34"/>
      <c r="BD26" s="76"/>
      <c r="BE26" s="34"/>
      <c r="BF26" s="34"/>
      <c r="BG26" s="34"/>
      <c r="BH26" s="34"/>
    </row>
    <row r="27" spans="1:60" s="17" customFormat="1" ht="19.5" customHeight="1" thickBot="1" x14ac:dyDescent="0.4">
      <c r="A27" s="41">
        <f t="shared" si="2"/>
        <v>45439</v>
      </c>
      <c r="B27" s="37" t="str">
        <f>B26</f>
        <v>Etiket Hazırlama</v>
      </c>
      <c r="C27" s="66"/>
      <c r="D27" s="67">
        <f>D26</f>
        <v>120</v>
      </c>
      <c r="E27" s="64"/>
      <c r="F27" s="61"/>
      <c r="G27" s="61"/>
      <c r="H27" s="62"/>
      <c r="I27" s="64"/>
      <c r="J27" s="61"/>
      <c r="K27" s="61"/>
      <c r="L27" s="62"/>
      <c r="M27" s="64"/>
      <c r="N27" s="61"/>
      <c r="O27" s="61"/>
      <c r="P27" s="62"/>
      <c r="Q27" s="64"/>
      <c r="R27" s="61"/>
      <c r="S27" s="61"/>
      <c r="T27" s="61"/>
      <c r="U27" s="62"/>
      <c r="V27" s="64"/>
      <c r="W27" s="61"/>
      <c r="X27" s="61"/>
      <c r="Y27" s="62"/>
      <c r="Z27" s="59"/>
      <c r="AA27" s="60"/>
      <c r="AB27" s="61"/>
      <c r="AC27" s="62"/>
      <c r="AD27" s="59"/>
      <c r="AE27" s="60"/>
      <c r="AF27" s="61"/>
      <c r="AG27" s="62"/>
      <c r="AH27" s="59"/>
      <c r="AI27" s="60"/>
      <c r="AJ27" s="61"/>
      <c r="AK27" s="62"/>
      <c r="AL27" s="59"/>
      <c r="AM27" s="60"/>
      <c r="AN27" s="61"/>
      <c r="AO27" s="62"/>
      <c r="AP27" s="59"/>
      <c r="AQ27" s="60"/>
      <c r="AR27" s="61"/>
      <c r="AS27" s="62"/>
      <c r="AT27" s="59"/>
      <c r="AU27" s="60"/>
      <c r="AV27" s="61"/>
      <c r="AW27" s="62"/>
      <c r="AX27" s="43">
        <f>SUM(E27:AW27)</f>
        <v>0</v>
      </c>
      <c r="AY27" s="44">
        <f>IFERROR(AVERAGEIF(E27:AW27,"&lt;&gt;0",(E27:AW27)),)</f>
        <v>0</v>
      </c>
      <c r="AZ27" s="45">
        <f>IFERROR(AY27/D27,0)</f>
        <v>0</v>
      </c>
      <c r="BA27" s="34"/>
      <c r="BB27" s="34"/>
      <c r="BC27" s="34"/>
      <c r="BD27" s="76"/>
      <c r="BE27" s="34"/>
      <c r="BF27" s="34"/>
      <c r="BG27" s="34"/>
      <c r="BH27" s="34"/>
    </row>
    <row r="28" spans="1:60" s="17" customFormat="1" ht="19.5" customHeight="1" thickBot="1" x14ac:dyDescent="0.45">
      <c r="A28" s="41">
        <f t="shared" si="2"/>
        <v>45439</v>
      </c>
      <c r="B28" s="139" t="str">
        <f>B23</f>
        <v>Etiket Hazırlama</v>
      </c>
      <c r="C28" s="140"/>
      <c r="D28" s="40">
        <f>C6/8</f>
        <v>500</v>
      </c>
      <c r="E28" s="151">
        <f>SUM(E23:H27)</f>
        <v>0</v>
      </c>
      <c r="F28" s="152"/>
      <c r="G28" s="152"/>
      <c r="H28" s="153"/>
      <c r="I28" s="151">
        <f>SUM(I23:L27)</f>
        <v>0</v>
      </c>
      <c r="J28" s="152"/>
      <c r="K28" s="152"/>
      <c r="L28" s="153"/>
      <c r="M28" s="151">
        <f>SUM(M23:P27)</f>
        <v>0</v>
      </c>
      <c r="N28" s="152"/>
      <c r="O28" s="152"/>
      <c r="P28" s="153"/>
      <c r="Q28" s="151">
        <f>SUM(Q23:U27)</f>
        <v>0</v>
      </c>
      <c r="R28" s="152"/>
      <c r="S28" s="152"/>
      <c r="T28" s="152"/>
      <c r="U28" s="153"/>
      <c r="V28" s="151">
        <f>SUM(V23:Y27)</f>
        <v>0</v>
      </c>
      <c r="W28" s="152"/>
      <c r="X28" s="152"/>
      <c r="Y28" s="153"/>
      <c r="Z28" s="151">
        <f>SUM(Z23:AC27)</f>
        <v>0</v>
      </c>
      <c r="AA28" s="152"/>
      <c r="AB28" s="152"/>
      <c r="AC28" s="153"/>
      <c r="AD28" s="151">
        <f>SUM(AD23:AG27)</f>
        <v>0</v>
      </c>
      <c r="AE28" s="152"/>
      <c r="AF28" s="152"/>
      <c r="AG28" s="153"/>
      <c r="AH28" s="151">
        <f>SUM(AH23:AK27)</f>
        <v>0</v>
      </c>
      <c r="AI28" s="152"/>
      <c r="AJ28" s="152"/>
      <c r="AK28" s="153"/>
      <c r="AL28" s="151">
        <f>SUM(AL23:AO27)</f>
        <v>0</v>
      </c>
      <c r="AM28" s="152"/>
      <c r="AN28" s="152"/>
      <c r="AO28" s="153"/>
      <c r="AP28" s="151">
        <f>SUM(AP23:AS27)</f>
        <v>0</v>
      </c>
      <c r="AQ28" s="152"/>
      <c r="AR28" s="152"/>
      <c r="AS28" s="153"/>
      <c r="AT28" s="151">
        <f>SUM(AT23:AW27)</f>
        <v>0</v>
      </c>
      <c r="AU28" s="152"/>
      <c r="AV28" s="152"/>
      <c r="AW28" s="153"/>
      <c r="AX28" s="87">
        <f>SUM(AX23:AX27)</f>
        <v>0</v>
      </c>
      <c r="AY28" s="88">
        <f>IFERROR(AVERAGEIF(E28:AV28,"&lt;&gt;0",(E28:AV28)),)</f>
        <v>0</v>
      </c>
      <c r="AZ28" s="46">
        <f>IFERROR(AX28/BB24,0)</f>
        <v>0</v>
      </c>
      <c r="BA28" s="34"/>
      <c r="BB28" s="34"/>
      <c r="BC28" s="34"/>
      <c r="BD28" s="76"/>
      <c r="BE28" s="34"/>
      <c r="BF28" s="34"/>
      <c r="BG28" s="34"/>
      <c r="BH28" s="34"/>
    </row>
    <row r="29" spans="1:60" s="17" customFormat="1" ht="19.5" customHeight="1" thickBot="1" x14ac:dyDescent="0.4">
      <c r="A29" s="42">
        <f>A22</f>
        <v>45439</v>
      </c>
      <c r="B29" s="38" t="str">
        <f>B30</f>
        <v>Tela Yapıştırma</v>
      </c>
      <c r="C29" s="39" t="s">
        <v>180</v>
      </c>
      <c r="D29" s="69" t="s">
        <v>181</v>
      </c>
      <c r="E29" s="48">
        <v>0.34375</v>
      </c>
      <c r="F29" s="49">
        <v>0.35416666666666669</v>
      </c>
      <c r="G29" s="49">
        <v>0.36458333333333331</v>
      </c>
      <c r="H29" s="50">
        <v>0.375</v>
      </c>
      <c r="I29" s="48">
        <v>0.38541666666666702</v>
      </c>
      <c r="J29" s="49">
        <v>0.39583333333333298</v>
      </c>
      <c r="K29" s="49">
        <v>0.40625</v>
      </c>
      <c r="L29" s="50">
        <v>0.41666666666666702</v>
      </c>
      <c r="M29" s="48">
        <v>0.4375</v>
      </c>
      <c r="N29" s="49">
        <v>0.44791666666666702</v>
      </c>
      <c r="O29" s="49">
        <v>0.45833333333333398</v>
      </c>
      <c r="P29" s="50">
        <v>0.46875</v>
      </c>
      <c r="Q29" s="48">
        <v>0.47916666666666702</v>
      </c>
      <c r="R29" s="49">
        <v>0.48958333333333398</v>
      </c>
      <c r="S29" s="49">
        <v>0.5</v>
      </c>
      <c r="T29" s="50">
        <v>0.51041666666666696</v>
      </c>
      <c r="U29" s="51">
        <v>0.52083333333333204</v>
      </c>
      <c r="V29" s="48">
        <v>0.5625</v>
      </c>
      <c r="W29" s="49">
        <v>0.57291666666666663</v>
      </c>
      <c r="X29" s="49">
        <v>0.58333333333333304</v>
      </c>
      <c r="Y29" s="50">
        <v>0.59375</v>
      </c>
      <c r="Z29" s="48">
        <v>0.60416666666666696</v>
      </c>
      <c r="AA29" s="49">
        <v>0.61458333333333304</v>
      </c>
      <c r="AB29" s="49">
        <v>0.625</v>
      </c>
      <c r="AC29" s="50">
        <v>0.63541666666666596</v>
      </c>
      <c r="AD29" s="48">
        <v>0.65625</v>
      </c>
      <c r="AE29" s="49">
        <v>0.66666666666666663</v>
      </c>
      <c r="AF29" s="49">
        <v>0.67708333333333304</v>
      </c>
      <c r="AG29" s="50">
        <v>0.6875</v>
      </c>
      <c r="AH29" s="48">
        <v>0.69791666666666696</v>
      </c>
      <c r="AI29" s="49">
        <v>0.70833333333333304</v>
      </c>
      <c r="AJ29" s="49">
        <v>0.71875</v>
      </c>
      <c r="AK29" s="50">
        <v>0.72916666666666696</v>
      </c>
      <c r="AL29" s="48">
        <v>0.73958333333333404</v>
      </c>
      <c r="AM29" s="49">
        <v>0.750000000000001</v>
      </c>
      <c r="AN29" s="49">
        <v>0.76041666666666796</v>
      </c>
      <c r="AO29" s="50">
        <v>0.77083333333333504</v>
      </c>
      <c r="AP29" s="48">
        <v>0.781250000000002</v>
      </c>
      <c r="AQ29" s="49">
        <v>0.79166666666666896</v>
      </c>
      <c r="AR29" s="49">
        <v>0.80208333333333603</v>
      </c>
      <c r="AS29" s="50">
        <v>0.812500000000003</v>
      </c>
      <c r="AT29" s="48">
        <v>0.82291666666666996</v>
      </c>
      <c r="AU29" s="49">
        <v>0.83333333333333703</v>
      </c>
      <c r="AV29" s="49">
        <v>0.843750000000004</v>
      </c>
      <c r="AW29" s="50">
        <v>0.85416666666666663</v>
      </c>
      <c r="AX29" s="68" t="s">
        <v>260</v>
      </c>
      <c r="AY29" s="28" t="s">
        <v>261</v>
      </c>
      <c r="AZ29" s="29" t="s">
        <v>262</v>
      </c>
      <c r="BA29" s="136" t="str">
        <f>B30</f>
        <v>Tela Yapıştırma</v>
      </c>
      <c r="BB29" s="137"/>
      <c r="BC29" s="137"/>
      <c r="BD29" s="137"/>
      <c r="BE29" s="137"/>
      <c r="BF29" s="137"/>
      <c r="BG29" s="137"/>
      <c r="BH29" s="138"/>
    </row>
    <row r="30" spans="1:60" s="17" customFormat="1" ht="19.5" customHeight="1" thickBot="1" x14ac:dyDescent="0.4">
      <c r="A30" s="41">
        <f t="shared" si="2"/>
        <v>45439</v>
      </c>
      <c r="B30" s="37" t="s">
        <v>1</v>
      </c>
      <c r="C30" s="65" t="s">
        <v>8</v>
      </c>
      <c r="D30" s="70">
        <v>200</v>
      </c>
      <c r="E30" s="63"/>
      <c r="F30" s="55"/>
      <c r="G30" s="55"/>
      <c r="H30" s="56"/>
      <c r="I30" s="63"/>
      <c r="J30" s="55"/>
      <c r="K30" s="55"/>
      <c r="L30" s="56"/>
      <c r="M30" s="63"/>
      <c r="N30" s="55"/>
      <c r="O30" s="55"/>
      <c r="P30" s="56"/>
      <c r="Q30" s="63"/>
      <c r="R30" s="55"/>
      <c r="S30" s="55"/>
      <c r="T30" s="55"/>
      <c r="U30" s="56"/>
      <c r="V30" s="63"/>
      <c r="W30" s="55"/>
      <c r="X30" s="55"/>
      <c r="Y30" s="56"/>
      <c r="Z30" s="53"/>
      <c r="AA30" s="54"/>
      <c r="AB30" s="55"/>
      <c r="AC30" s="56"/>
      <c r="AD30" s="53"/>
      <c r="AE30" s="54"/>
      <c r="AF30" s="55"/>
      <c r="AG30" s="56"/>
      <c r="AH30" s="53"/>
      <c r="AI30" s="54"/>
      <c r="AJ30" s="55"/>
      <c r="AK30" s="56"/>
      <c r="AL30" s="53"/>
      <c r="AM30" s="54"/>
      <c r="AN30" s="55"/>
      <c r="AO30" s="56"/>
      <c r="AP30" s="53"/>
      <c r="AQ30" s="54"/>
      <c r="AR30" s="55"/>
      <c r="AS30" s="56"/>
      <c r="AT30" s="53"/>
      <c r="AU30" s="54"/>
      <c r="AV30" s="55"/>
      <c r="AW30" s="56"/>
      <c r="AX30" s="33">
        <f>SUM(E30:AW30)</f>
        <v>0</v>
      </c>
      <c r="AY30" s="31">
        <f>IFERROR(AVERAGEIF(E30:AW30,"&lt;&gt;0",(E30:AW30)),)</f>
        <v>0</v>
      </c>
      <c r="AZ30" s="30">
        <f>IFERROR(AY30/D30,0)</f>
        <v>0</v>
      </c>
      <c r="BA30" s="104" t="s">
        <v>182</v>
      </c>
      <c r="BB30" s="100" t="s">
        <v>183</v>
      </c>
      <c r="BC30" s="100" t="s">
        <v>184</v>
      </c>
      <c r="BD30" s="101" t="s">
        <v>185</v>
      </c>
      <c r="BE30" s="100" t="s">
        <v>186</v>
      </c>
      <c r="BF30" s="102" t="s">
        <v>187</v>
      </c>
      <c r="BG30" s="100" t="s">
        <v>188</v>
      </c>
      <c r="BH30" s="102" t="s">
        <v>189</v>
      </c>
    </row>
    <row r="31" spans="1:60" s="17" customFormat="1" ht="19.5" customHeight="1" thickBot="1" x14ac:dyDescent="0.4">
      <c r="A31" s="41">
        <f t="shared" si="2"/>
        <v>45439</v>
      </c>
      <c r="B31" s="37" t="str">
        <f>B30</f>
        <v>Tela Yapıştırma</v>
      </c>
      <c r="C31" s="65"/>
      <c r="D31" s="67">
        <f>D30</f>
        <v>200</v>
      </c>
      <c r="E31" s="57"/>
      <c r="F31" s="52"/>
      <c r="G31" s="52"/>
      <c r="H31" s="58"/>
      <c r="I31" s="57"/>
      <c r="J31" s="52"/>
      <c r="K31" s="52"/>
      <c r="L31" s="58"/>
      <c r="M31" s="57"/>
      <c r="N31" s="52"/>
      <c r="O31" s="52"/>
      <c r="P31" s="58"/>
      <c r="Q31" s="57"/>
      <c r="R31" s="52"/>
      <c r="S31" s="52"/>
      <c r="T31" s="52"/>
      <c r="U31" s="58"/>
      <c r="V31" s="57"/>
      <c r="W31" s="52"/>
      <c r="X31" s="52"/>
      <c r="Y31" s="58"/>
      <c r="Z31" s="57"/>
      <c r="AA31" s="52"/>
      <c r="AB31" s="52"/>
      <c r="AC31" s="58"/>
      <c r="AD31" s="57"/>
      <c r="AE31" s="52"/>
      <c r="AF31" s="52"/>
      <c r="AG31" s="58"/>
      <c r="AH31" s="57"/>
      <c r="AI31" s="52"/>
      <c r="AJ31" s="52"/>
      <c r="AK31" s="58"/>
      <c r="AL31" s="57"/>
      <c r="AM31" s="52"/>
      <c r="AN31" s="52"/>
      <c r="AO31" s="58"/>
      <c r="AP31" s="57"/>
      <c r="AQ31" s="52"/>
      <c r="AR31" s="52"/>
      <c r="AS31" s="58"/>
      <c r="AT31" s="57"/>
      <c r="AU31" s="52"/>
      <c r="AV31" s="52"/>
      <c r="AW31" s="58"/>
      <c r="AX31" s="33">
        <f>SUM(E31:AW31)</f>
        <v>0</v>
      </c>
      <c r="AY31" s="31">
        <f>IFERROR(AVERAGEIF(E31:AW31,"&lt;&gt;0",(E31:AW31)),)</f>
        <v>0</v>
      </c>
      <c r="AZ31" s="30">
        <f>IFERROR(AY31/D31,0)</f>
        <v>0</v>
      </c>
      <c r="BA31" s="94">
        <f>AX35</f>
        <v>0</v>
      </c>
      <c r="BB31" s="95">
        <f>(D35*8)</f>
        <v>4000</v>
      </c>
      <c r="BC31" s="96">
        <f>C5-BA31</f>
        <v>42311</v>
      </c>
      <c r="BD31" s="96">
        <f>BC31</f>
        <v>42311</v>
      </c>
      <c r="BE31" s="97">
        <f>IFERROR(BC31/E35,0)</f>
        <v>0</v>
      </c>
      <c r="BF31" s="98">
        <f>IFERROR(BE31/9,0)</f>
        <v>0</v>
      </c>
      <c r="BG31" s="97">
        <f>IFERROR(BC31/AY35,0)</f>
        <v>0</v>
      </c>
      <c r="BH31" s="97">
        <f>IFERROR(BG31/9,0)</f>
        <v>0</v>
      </c>
    </row>
    <row r="32" spans="1:60" s="17" customFormat="1" ht="19.5" customHeight="1" x14ac:dyDescent="0.35">
      <c r="A32" s="41">
        <f t="shared" si="2"/>
        <v>45439</v>
      </c>
      <c r="B32" s="37" t="str">
        <f>B31</f>
        <v>Tela Yapıştırma</v>
      </c>
      <c r="C32" s="65"/>
      <c r="D32" s="67">
        <f>D31</f>
        <v>200</v>
      </c>
      <c r="E32" s="57"/>
      <c r="F32" s="52"/>
      <c r="G32" s="52"/>
      <c r="H32" s="58"/>
      <c r="I32" s="57"/>
      <c r="J32" s="52"/>
      <c r="K32" s="52"/>
      <c r="L32" s="58"/>
      <c r="M32" s="57"/>
      <c r="N32" s="52"/>
      <c r="O32" s="52"/>
      <c r="P32" s="58"/>
      <c r="Q32" s="57"/>
      <c r="R32" s="52"/>
      <c r="S32" s="52"/>
      <c r="T32" s="52"/>
      <c r="U32" s="58"/>
      <c r="V32" s="57"/>
      <c r="W32" s="52"/>
      <c r="X32" s="52"/>
      <c r="Y32" s="58"/>
      <c r="Z32" s="57"/>
      <c r="AA32" s="52"/>
      <c r="AB32" s="52"/>
      <c r="AC32" s="58"/>
      <c r="AD32" s="57"/>
      <c r="AE32" s="52"/>
      <c r="AF32" s="52"/>
      <c r="AG32" s="58"/>
      <c r="AH32" s="57"/>
      <c r="AI32" s="52"/>
      <c r="AJ32" s="52"/>
      <c r="AK32" s="58"/>
      <c r="AL32" s="57"/>
      <c r="AM32" s="52"/>
      <c r="AN32" s="52"/>
      <c r="AO32" s="58"/>
      <c r="AP32" s="57"/>
      <c r="AQ32" s="52"/>
      <c r="AR32" s="52"/>
      <c r="AS32" s="58"/>
      <c r="AT32" s="57"/>
      <c r="AU32" s="52"/>
      <c r="AV32" s="52"/>
      <c r="AW32" s="58"/>
      <c r="AX32" s="33">
        <f>SUM(E32:AW32)</f>
        <v>0</v>
      </c>
      <c r="AY32" s="31">
        <f>IFERROR(AVERAGEIF(E32:AW32,"&lt;&gt;0",(E32:AW32)),)</f>
        <v>0</v>
      </c>
      <c r="AZ32" s="30">
        <f>IFERROR(AY32/D32,0)</f>
        <v>0</v>
      </c>
      <c r="BA32" s="34"/>
      <c r="BB32" s="34"/>
      <c r="BC32" s="34"/>
      <c r="BD32" s="76"/>
      <c r="BE32" s="34"/>
      <c r="BF32" s="34"/>
      <c r="BG32" s="34"/>
      <c r="BH32" s="34"/>
    </row>
    <row r="33" spans="1:60" s="17" customFormat="1" ht="19.5" customHeight="1" x14ac:dyDescent="0.35">
      <c r="A33" s="41">
        <f t="shared" si="2"/>
        <v>45439</v>
      </c>
      <c r="B33" s="37" t="str">
        <f>B32</f>
        <v>Tela Yapıştırma</v>
      </c>
      <c r="C33" s="65"/>
      <c r="D33" s="67">
        <f>D32</f>
        <v>200</v>
      </c>
      <c r="E33" s="57"/>
      <c r="F33" s="52"/>
      <c r="G33" s="52"/>
      <c r="H33" s="58"/>
      <c r="I33" s="57"/>
      <c r="J33" s="52"/>
      <c r="K33" s="52"/>
      <c r="L33" s="58"/>
      <c r="M33" s="57"/>
      <c r="N33" s="52"/>
      <c r="O33" s="52"/>
      <c r="P33" s="58"/>
      <c r="Q33" s="57"/>
      <c r="R33" s="52"/>
      <c r="S33" s="52"/>
      <c r="T33" s="52"/>
      <c r="U33" s="58"/>
      <c r="V33" s="57"/>
      <c r="W33" s="52"/>
      <c r="X33" s="52"/>
      <c r="Y33" s="58"/>
      <c r="Z33" s="57"/>
      <c r="AA33" s="52"/>
      <c r="AB33" s="52"/>
      <c r="AC33" s="58"/>
      <c r="AD33" s="57"/>
      <c r="AE33" s="52"/>
      <c r="AF33" s="52"/>
      <c r="AG33" s="58"/>
      <c r="AH33" s="57"/>
      <c r="AI33" s="52"/>
      <c r="AJ33" s="52"/>
      <c r="AK33" s="58"/>
      <c r="AL33" s="57"/>
      <c r="AM33" s="52"/>
      <c r="AN33" s="52"/>
      <c r="AO33" s="58"/>
      <c r="AP33" s="57"/>
      <c r="AQ33" s="52"/>
      <c r="AR33" s="52"/>
      <c r="AS33" s="58"/>
      <c r="AT33" s="57"/>
      <c r="AU33" s="52"/>
      <c r="AV33" s="52"/>
      <c r="AW33" s="58"/>
      <c r="AX33" s="33">
        <f>SUM(E33:AW33)</f>
        <v>0</v>
      </c>
      <c r="AY33" s="31">
        <f>IFERROR(AVERAGEIF(E33:AW33,"&lt;&gt;0",(E33:AW33)),)</f>
        <v>0</v>
      </c>
      <c r="AZ33" s="30">
        <f>IFERROR(AY33/D33,0)</f>
        <v>0</v>
      </c>
      <c r="BA33" s="34"/>
      <c r="BB33" s="34"/>
      <c r="BC33" s="34"/>
      <c r="BD33" s="76"/>
      <c r="BE33" s="34"/>
      <c r="BF33" s="34"/>
      <c r="BG33" s="34"/>
      <c r="BH33" s="34"/>
    </row>
    <row r="34" spans="1:60" s="17" customFormat="1" ht="19.5" customHeight="1" thickBot="1" x14ac:dyDescent="0.4">
      <c r="A34" s="41">
        <f t="shared" si="2"/>
        <v>45439</v>
      </c>
      <c r="B34" s="37" t="str">
        <f>B33</f>
        <v>Tela Yapıştırma</v>
      </c>
      <c r="C34" s="66"/>
      <c r="D34" s="67">
        <f>D33</f>
        <v>200</v>
      </c>
      <c r="E34" s="64"/>
      <c r="F34" s="61"/>
      <c r="G34" s="61"/>
      <c r="H34" s="62"/>
      <c r="I34" s="64"/>
      <c r="J34" s="61"/>
      <c r="K34" s="61"/>
      <c r="L34" s="62"/>
      <c r="M34" s="64"/>
      <c r="N34" s="61"/>
      <c r="O34" s="61"/>
      <c r="P34" s="62"/>
      <c r="Q34" s="64"/>
      <c r="R34" s="61"/>
      <c r="S34" s="61"/>
      <c r="T34" s="61"/>
      <c r="U34" s="62"/>
      <c r="V34" s="64"/>
      <c r="W34" s="61"/>
      <c r="X34" s="61"/>
      <c r="Y34" s="62"/>
      <c r="Z34" s="59"/>
      <c r="AA34" s="60"/>
      <c r="AB34" s="61"/>
      <c r="AC34" s="62"/>
      <c r="AD34" s="59"/>
      <c r="AE34" s="60"/>
      <c r="AF34" s="61"/>
      <c r="AG34" s="62"/>
      <c r="AH34" s="59"/>
      <c r="AI34" s="60"/>
      <c r="AJ34" s="61"/>
      <c r="AK34" s="62"/>
      <c r="AL34" s="59"/>
      <c r="AM34" s="60"/>
      <c r="AN34" s="61"/>
      <c r="AO34" s="62"/>
      <c r="AP34" s="59"/>
      <c r="AQ34" s="60"/>
      <c r="AR34" s="61"/>
      <c r="AS34" s="62"/>
      <c r="AT34" s="59"/>
      <c r="AU34" s="60"/>
      <c r="AV34" s="61"/>
      <c r="AW34" s="62"/>
      <c r="AX34" s="43">
        <f>SUM(E34:AW34)</f>
        <v>0</v>
      </c>
      <c r="AY34" s="44">
        <f>IFERROR(AVERAGEIF(E34:AW34,"&lt;&gt;0",(E34:AW34)),)</f>
        <v>0</v>
      </c>
      <c r="AZ34" s="45">
        <f>IFERROR(AY34/D34,0)</f>
        <v>0</v>
      </c>
      <c r="BA34" s="34"/>
      <c r="BB34" s="34"/>
      <c r="BC34" s="34"/>
      <c r="BD34" s="76"/>
      <c r="BE34" s="34"/>
      <c r="BF34" s="34"/>
      <c r="BG34" s="34"/>
      <c r="BH34" s="34"/>
    </row>
    <row r="35" spans="1:60" s="17" customFormat="1" ht="19.5" customHeight="1" thickBot="1" x14ac:dyDescent="0.45">
      <c r="A35" s="41">
        <f t="shared" si="2"/>
        <v>45439</v>
      </c>
      <c r="B35" s="139" t="str">
        <f>B30</f>
        <v>Tela Yapıştırma</v>
      </c>
      <c r="C35" s="140"/>
      <c r="D35" s="40">
        <f>C6/8</f>
        <v>500</v>
      </c>
      <c r="E35" s="151">
        <f>SUM(E30:H34)</f>
        <v>0</v>
      </c>
      <c r="F35" s="152"/>
      <c r="G35" s="152"/>
      <c r="H35" s="153"/>
      <c r="I35" s="151">
        <f>SUM(I30:L34)</f>
        <v>0</v>
      </c>
      <c r="J35" s="152"/>
      <c r="K35" s="152"/>
      <c r="L35" s="153"/>
      <c r="M35" s="151">
        <f>SUM(M30:P34)</f>
        <v>0</v>
      </c>
      <c r="N35" s="152"/>
      <c r="O35" s="152"/>
      <c r="P35" s="153"/>
      <c r="Q35" s="151">
        <f>SUM(Q30:U34)</f>
        <v>0</v>
      </c>
      <c r="R35" s="152"/>
      <c r="S35" s="152"/>
      <c r="T35" s="152"/>
      <c r="U35" s="153"/>
      <c r="V35" s="151">
        <f>SUM(V30:Y34)</f>
        <v>0</v>
      </c>
      <c r="W35" s="152"/>
      <c r="X35" s="152"/>
      <c r="Y35" s="153"/>
      <c r="Z35" s="151">
        <f>SUM(Z30:AC34)</f>
        <v>0</v>
      </c>
      <c r="AA35" s="152"/>
      <c r="AB35" s="152"/>
      <c r="AC35" s="153"/>
      <c r="AD35" s="151">
        <f>SUM(AD30:AG34)</f>
        <v>0</v>
      </c>
      <c r="AE35" s="152"/>
      <c r="AF35" s="152"/>
      <c r="AG35" s="153"/>
      <c r="AH35" s="151">
        <f>SUM(AH30:AK34)</f>
        <v>0</v>
      </c>
      <c r="AI35" s="152"/>
      <c r="AJ35" s="152"/>
      <c r="AK35" s="153"/>
      <c r="AL35" s="151">
        <f>SUM(AL30:AO34)</f>
        <v>0</v>
      </c>
      <c r="AM35" s="152"/>
      <c r="AN35" s="152"/>
      <c r="AO35" s="153"/>
      <c r="AP35" s="151">
        <f>SUM(AP30:AS34)</f>
        <v>0</v>
      </c>
      <c r="AQ35" s="152"/>
      <c r="AR35" s="152"/>
      <c r="AS35" s="153"/>
      <c r="AT35" s="151">
        <f>SUM(AT30:AW34)</f>
        <v>0</v>
      </c>
      <c r="AU35" s="152"/>
      <c r="AV35" s="152"/>
      <c r="AW35" s="153"/>
      <c r="AX35" s="87">
        <f>SUM(AX30:AX34)</f>
        <v>0</v>
      </c>
      <c r="AY35" s="88">
        <f>IFERROR(AVERAGEIF(E35:AV35,"&lt;&gt;0",(E35:AV35)),)</f>
        <v>0</v>
      </c>
      <c r="AZ35" s="46">
        <f>IFERROR(AX35/BB31,0)</f>
        <v>0</v>
      </c>
      <c r="BA35" s="34"/>
      <c r="BB35" s="34"/>
      <c r="BC35" s="34"/>
      <c r="BD35" s="76"/>
      <c r="BE35" s="34"/>
      <c r="BF35" s="34"/>
      <c r="BG35" s="34"/>
      <c r="BH35" s="34"/>
    </row>
    <row r="36" spans="1:60" s="17" customFormat="1" ht="19.5" customHeight="1" thickBot="1" x14ac:dyDescent="0.4">
      <c r="A36" s="42">
        <f>A22</f>
        <v>45439</v>
      </c>
      <c r="B36" s="38">
        <f>B37</f>
        <v>0</v>
      </c>
      <c r="C36" s="39" t="s">
        <v>180</v>
      </c>
      <c r="D36" s="69" t="s">
        <v>181</v>
      </c>
      <c r="E36" s="48">
        <v>0.34375</v>
      </c>
      <c r="F36" s="49">
        <v>0.35416666666666669</v>
      </c>
      <c r="G36" s="49">
        <v>0.36458333333333331</v>
      </c>
      <c r="H36" s="50">
        <v>0.375</v>
      </c>
      <c r="I36" s="48">
        <v>0.38541666666666702</v>
      </c>
      <c r="J36" s="49">
        <v>0.39583333333333298</v>
      </c>
      <c r="K36" s="49">
        <v>0.40625</v>
      </c>
      <c r="L36" s="50">
        <v>0.41666666666666702</v>
      </c>
      <c r="M36" s="48">
        <v>0.4375</v>
      </c>
      <c r="N36" s="49">
        <v>0.44791666666666702</v>
      </c>
      <c r="O36" s="49">
        <v>0.45833333333333398</v>
      </c>
      <c r="P36" s="50">
        <v>0.46875</v>
      </c>
      <c r="Q36" s="48">
        <v>0.47916666666666702</v>
      </c>
      <c r="R36" s="49">
        <v>0.48958333333333398</v>
      </c>
      <c r="S36" s="49">
        <v>0.5</v>
      </c>
      <c r="T36" s="50">
        <v>0.51041666666666696</v>
      </c>
      <c r="U36" s="51">
        <v>0.52083333333333204</v>
      </c>
      <c r="V36" s="48">
        <v>0.5625</v>
      </c>
      <c r="W36" s="49">
        <v>0.57291666666666663</v>
      </c>
      <c r="X36" s="49">
        <v>0.58333333333333304</v>
      </c>
      <c r="Y36" s="50">
        <v>0.59375</v>
      </c>
      <c r="Z36" s="48">
        <v>0.60416666666666696</v>
      </c>
      <c r="AA36" s="49">
        <v>0.61458333333333304</v>
      </c>
      <c r="AB36" s="49">
        <v>0.625</v>
      </c>
      <c r="AC36" s="50">
        <v>0.63541666666666596</v>
      </c>
      <c r="AD36" s="48">
        <v>0.65625</v>
      </c>
      <c r="AE36" s="49">
        <v>0.66666666666666663</v>
      </c>
      <c r="AF36" s="49">
        <v>0.67708333333333304</v>
      </c>
      <c r="AG36" s="50">
        <v>0.6875</v>
      </c>
      <c r="AH36" s="48">
        <v>0.69791666666666696</v>
      </c>
      <c r="AI36" s="49">
        <v>0.70833333333333304</v>
      </c>
      <c r="AJ36" s="49">
        <v>0.71875</v>
      </c>
      <c r="AK36" s="50">
        <v>0.72916666666666696</v>
      </c>
      <c r="AL36" s="48">
        <v>0.73958333333333404</v>
      </c>
      <c r="AM36" s="49">
        <v>0.750000000000001</v>
      </c>
      <c r="AN36" s="49">
        <v>0.76041666666666796</v>
      </c>
      <c r="AO36" s="50">
        <v>0.77083333333333504</v>
      </c>
      <c r="AP36" s="48">
        <v>0.781250000000002</v>
      </c>
      <c r="AQ36" s="49">
        <v>0.79166666666666896</v>
      </c>
      <c r="AR36" s="49">
        <v>0.80208333333333603</v>
      </c>
      <c r="AS36" s="50">
        <v>0.812500000000003</v>
      </c>
      <c r="AT36" s="48">
        <v>0.82291666666666996</v>
      </c>
      <c r="AU36" s="49">
        <v>0.83333333333333703</v>
      </c>
      <c r="AV36" s="49">
        <v>0.843750000000004</v>
      </c>
      <c r="AW36" s="50">
        <v>0.85416666666666663</v>
      </c>
      <c r="AX36" s="68" t="s">
        <v>260</v>
      </c>
      <c r="AY36" s="28" t="s">
        <v>261</v>
      </c>
      <c r="AZ36" s="29" t="s">
        <v>262</v>
      </c>
      <c r="BA36" s="136">
        <f>B37</f>
        <v>0</v>
      </c>
      <c r="BB36" s="137"/>
      <c r="BC36" s="137"/>
      <c r="BD36" s="137"/>
      <c r="BE36" s="137"/>
      <c r="BF36" s="137"/>
      <c r="BG36" s="137"/>
      <c r="BH36" s="138"/>
    </row>
    <row r="37" spans="1:60" s="17" customFormat="1" ht="19.5" customHeight="1" thickBot="1" x14ac:dyDescent="0.4">
      <c r="A37" s="41">
        <f t="shared" si="2"/>
        <v>45439</v>
      </c>
      <c r="B37" s="37"/>
      <c r="C37" s="65"/>
      <c r="D37" s="70">
        <v>200</v>
      </c>
      <c r="E37" s="63"/>
      <c r="F37" s="55"/>
      <c r="G37" s="55"/>
      <c r="H37" s="56"/>
      <c r="I37" s="63"/>
      <c r="J37" s="55"/>
      <c r="K37" s="55"/>
      <c r="L37" s="56"/>
      <c r="M37" s="63"/>
      <c r="N37" s="55"/>
      <c r="O37" s="55"/>
      <c r="P37" s="56"/>
      <c r="Q37" s="63"/>
      <c r="R37" s="55"/>
      <c r="S37" s="55"/>
      <c r="T37" s="55"/>
      <c r="U37" s="56"/>
      <c r="V37" s="63"/>
      <c r="W37" s="55"/>
      <c r="X37" s="55"/>
      <c r="Y37" s="56"/>
      <c r="Z37" s="53"/>
      <c r="AA37" s="54"/>
      <c r="AB37" s="55"/>
      <c r="AC37" s="56"/>
      <c r="AD37" s="53"/>
      <c r="AE37" s="54"/>
      <c r="AF37" s="55"/>
      <c r="AG37" s="56"/>
      <c r="AH37" s="53"/>
      <c r="AI37" s="54"/>
      <c r="AJ37" s="55"/>
      <c r="AK37" s="56"/>
      <c r="AL37" s="53"/>
      <c r="AM37" s="54"/>
      <c r="AN37" s="55"/>
      <c r="AO37" s="56"/>
      <c r="AP37" s="53"/>
      <c r="AQ37" s="54"/>
      <c r="AR37" s="55"/>
      <c r="AS37" s="56"/>
      <c r="AT37" s="53"/>
      <c r="AU37" s="54"/>
      <c r="AV37" s="55"/>
      <c r="AW37" s="56"/>
      <c r="AX37" s="33">
        <f>SUM(E37:AW37)</f>
        <v>0</v>
      </c>
      <c r="AY37" s="31">
        <f>IFERROR(AVERAGEIF(E37:AW37,"&lt;&gt;0",(E37:AW37)),)</f>
        <v>0</v>
      </c>
      <c r="AZ37" s="30">
        <f>IFERROR(AY37/D37,0)</f>
        <v>0</v>
      </c>
      <c r="BA37" s="104" t="s">
        <v>182</v>
      </c>
      <c r="BB37" s="100" t="s">
        <v>183</v>
      </c>
      <c r="BC37" s="100" t="s">
        <v>184</v>
      </c>
      <c r="BD37" s="101" t="s">
        <v>185</v>
      </c>
      <c r="BE37" s="100" t="s">
        <v>186</v>
      </c>
      <c r="BF37" s="102" t="s">
        <v>187</v>
      </c>
      <c r="BG37" s="100" t="s">
        <v>188</v>
      </c>
      <c r="BH37" s="102" t="s">
        <v>189</v>
      </c>
    </row>
    <row r="38" spans="1:60" s="17" customFormat="1" ht="19.5" customHeight="1" thickBot="1" x14ac:dyDescent="0.4">
      <c r="A38" s="41">
        <f t="shared" si="2"/>
        <v>45439</v>
      </c>
      <c r="B38" s="37">
        <f>B37</f>
        <v>0</v>
      </c>
      <c r="C38" s="65"/>
      <c r="D38" s="67">
        <f>D37</f>
        <v>200</v>
      </c>
      <c r="E38" s="57"/>
      <c r="F38" s="52"/>
      <c r="G38" s="52"/>
      <c r="H38" s="58"/>
      <c r="I38" s="57"/>
      <c r="J38" s="52"/>
      <c r="K38" s="52"/>
      <c r="L38" s="58"/>
      <c r="M38" s="57"/>
      <c r="N38" s="52"/>
      <c r="O38" s="52"/>
      <c r="P38" s="58"/>
      <c r="Q38" s="57"/>
      <c r="R38" s="52"/>
      <c r="S38" s="52"/>
      <c r="T38" s="52"/>
      <c r="U38" s="58"/>
      <c r="V38" s="57"/>
      <c r="W38" s="52"/>
      <c r="X38" s="52"/>
      <c r="Y38" s="58"/>
      <c r="Z38" s="57"/>
      <c r="AA38" s="52"/>
      <c r="AB38" s="52"/>
      <c r="AC38" s="58"/>
      <c r="AD38" s="57"/>
      <c r="AE38" s="52"/>
      <c r="AF38" s="52"/>
      <c r="AG38" s="58"/>
      <c r="AH38" s="57"/>
      <c r="AI38" s="52"/>
      <c r="AJ38" s="52"/>
      <c r="AK38" s="58"/>
      <c r="AL38" s="57"/>
      <c r="AM38" s="52"/>
      <c r="AN38" s="52"/>
      <c r="AO38" s="58"/>
      <c r="AP38" s="57"/>
      <c r="AQ38" s="52"/>
      <c r="AR38" s="52"/>
      <c r="AS38" s="58"/>
      <c r="AT38" s="57"/>
      <c r="AU38" s="52"/>
      <c r="AV38" s="52"/>
      <c r="AW38" s="58"/>
      <c r="AX38" s="33">
        <f>SUM(E38:AW38)</f>
        <v>0</v>
      </c>
      <c r="AY38" s="31">
        <f>IFERROR(AVERAGEIF(E38:AW38,"&lt;&gt;0",(E38:AW38)),)</f>
        <v>0</v>
      </c>
      <c r="AZ38" s="30">
        <f>IFERROR(AY38/D38,0)</f>
        <v>0</v>
      </c>
      <c r="BA38" s="94">
        <f>AX42</f>
        <v>0</v>
      </c>
      <c r="BB38" s="95">
        <f>(D42*8)</f>
        <v>4000</v>
      </c>
      <c r="BC38" s="96">
        <f>C5-BA38</f>
        <v>42311</v>
      </c>
      <c r="BD38" s="96">
        <f>BA31-BA38</f>
        <v>0</v>
      </c>
      <c r="BE38" s="97">
        <f>IFERROR(BC38/E42,0)</f>
        <v>0</v>
      </c>
      <c r="BF38" s="98">
        <f>IFERROR(BE38/9,0)</f>
        <v>0</v>
      </c>
      <c r="BG38" s="97">
        <f>IFERROR(BC38/AY42,0)</f>
        <v>0</v>
      </c>
      <c r="BH38" s="97">
        <f>IFERROR(BG38/9,0)</f>
        <v>0</v>
      </c>
    </row>
    <row r="39" spans="1:60" s="17" customFormat="1" ht="19.5" customHeight="1" x14ac:dyDescent="0.35">
      <c r="A39" s="41">
        <f t="shared" si="2"/>
        <v>45439</v>
      </c>
      <c r="B39" s="37">
        <f>B38</f>
        <v>0</v>
      </c>
      <c r="C39" s="65"/>
      <c r="D39" s="67">
        <f>D38</f>
        <v>200</v>
      </c>
      <c r="E39" s="57"/>
      <c r="F39" s="52"/>
      <c r="G39" s="52"/>
      <c r="H39" s="58"/>
      <c r="I39" s="57"/>
      <c r="J39" s="52"/>
      <c r="K39" s="52"/>
      <c r="L39" s="58"/>
      <c r="M39" s="57"/>
      <c r="N39" s="52"/>
      <c r="O39" s="52"/>
      <c r="P39" s="58"/>
      <c r="Q39" s="57"/>
      <c r="R39" s="52"/>
      <c r="S39" s="52"/>
      <c r="T39" s="52"/>
      <c r="U39" s="58"/>
      <c r="V39" s="57"/>
      <c r="W39" s="52"/>
      <c r="X39" s="52"/>
      <c r="Y39" s="58"/>
      <c r="Z39" s="57"/>
      <c r="AA39" s="52"/>
      <c r="AB39" s="52"/>
      <c r="AC39" s="58"/>
      <c r="AD39" s="57"/>
      <c r="AE39" s="52"/>
      <c r="AF39" s="52"/>
      <c r="AG39" s="58"/>
      <c r="AH39" s="57"/>
      <c r="AI39" s="52"/>
      <c r="AJ39" s="52"/>
      <c r="AK39" s="58"/>
      <c r="AL39" s="57"/>
      <c r="AM39" s="52"/>
      <c r="AN39" s="52"/>
      <c r="AO39" s="58"/>
      <c r="AP39" s="57"/>
      <c r="AQ39" s="52"/>
      <c r="AR39" s="52"/>
      <c r="AS39" s="58"/>
      <c r="AT39" s="57"/>
      <c r="AU39" s="52"/>
      <c r="AV39" s="52"/>
      <c r="AW39" s="58"/>
      <c r="AX39" s="33">
        <f>SUM(E39:AW39)</f>
        <v>0</v>
      </c>
      <c r="AY39" s="31">
        <f>IFERROR(AVERAGEIF(E39:AW39,"&lt;&gt;0",(E39:AW39)),)</f>
        <v>0</v>
      </c>
      <c r="AZ39" s="30">
        <f>IFERROR(AY39/D39,0)</f>
        <v>0</v>
      </c>
      <c r="BA39" s="34"/>
      <c r="BB39" s="34"/>
      <c r="BC39" s="34"/>
      <c r="BD39" s="76"/>
      <c r="BE39" s="34"/>
      <c r="BF39" s="34"/>
      <c r="BG39" s="34"/>
      <c r="BH39" s="34"/>
    </row>
    <row r="40" spans="1:60" s="17" customFormat="1" ht="19.5" customHeight="1" x14ac:dyDescent="0.35">
      <c r="A40" s="41">
        <f t="shared" si="2"/>
        <v>45439</v>
      </c>
      <c r="B40" s="37">
        <f>B39</f>
        <v>0</v>
      </c>
      <c r="C40" s="65"/>
      <c r="D40" s="67">
        <f>D39</f>
        <v>200</v>
      </c>
      <c r="E40" s="57"/>
      <c r="F40" s="52"/>
      <c r="G40" s="52"/>
      <c r="H40" s="58"/>
      <c r="I40" s="57"/>
      <c r="J40" s="52"/>
      <c r="K40" s="52"/>
      <c r="L40" s="58"/>
      <c r="M40" s="57"/>
      <c r="N40" s="52"/>
      <c r="O40" s="52"/>
      <c r="P40" s="58"/>
      <c r="Q40" s="57"/>
      <c r="R40" s="52"/>
      <c r="S40" s="52"/>
      <c r="T40" s="52"/>
      <c r="U40" s="58"/>
      <c r="V40" s="57"/>
      <c r="W40" s="52"/>
      <c r="X40" s="52"/>
      <c r="Y40" s="58"/>
      <c r="Z40" s="57"/>
      <c r="AA40" s="52"/>
      <c r="AB40" s="52"/>
      <c r="AC40" s="58"/>
      <c r="AD40" s="57"/>
      <c r="AE40" s="52"/>
      <c r="AF40" s="52"/>
      <c r="AG40" s="58"/>
      <c r="AH40" s="57"/>
      <c r="AI40" s="52"/>
      <c r="AJ40" s="52"/>
      <c r="AK40" s="58"/>
      <c r="AL40" s="57"/>
      <c r="AM40" s="52"/>
      <c r="AN40" s="52"/>
      <c r="AO40" s="58"/>
      <c r="AP40" s="57"/>
      <c r="AQ40" s="52"/>
      <c r="AR40" s="52"/>
      <c r="AS40" s="58"/>
      <c r="AT40" s="57"/>
      <c r="AU40" s="52"/>
      <c r="AV40" s="52"/>
      <c r="AW40" s="58"/>
      <c r="AX40" s="33">
        <f>SUM(E40:AW40)</f>
        <v>0</v>
      </c>
      <c r="AY40" s="31">
        <f>IFERROR(AVERAGEIF(E40:AW40,"&lt;&gt;0",(E40:AW40)),)</f>
        <v>0</v>
      </c>
      <c r="AZ40" s="30">
        <f>IFERROR(AY40/D40,0)</f>
        <v>0</v>
      </c>
      <c r="BA40" s="34"/>
      <c r="BB40" s="34"/>
      <c r="BC40" s="34"/>
      <c r="BD40" s="76"/>
      <c r="BE40" s="34"/>
      <c r="BF40" s="34"/>
      <c r="BG40" s="34"/>
      <c r="BH40" s="34"/>
    </row>
    <row r="41" spans="1:60" s="17" customFormat="1" ht="19.5" customHeight="1" thickBot="1" x14ac:dyDescent="0.4">
      <c r="A41" s="41">
        <f t="shared" si="2"/>
        <v>45439</v>
      </c>
      <c r="B41" s="37">
        <f>B40</f>
        <v>0</v>
      </c>
      <c r="C41" s="66"/>
      <c r="D41" s="67">
        <f>D40</f>
        <v>200</v>
      </c>
      <c r="E41" s="64"/>
      <c r="F41" s="61"/>
      <c r="G41" s="61"/>
      <c r="H41" s="62"/>
      <c r="I41" s="64"/>
      <c r="J41" s="61"/>
      <c r="K41" s="61"/>
      <c r="L41" s="62"/>
      <c r="M41" s="64"/>
      <c r="N41" s="61"/>
      <c r="O41" s="61"/>
      <c r="P41" s="62"/>
      <c r="Q41" s="64"/>
      <c r="R41" s="61"/>
      <c r="S41" s="61"/>
      <c r="T41" s="61"/>
      <c r="U41" s="62"/>
      <c r="V41" s="64"/>
      <c r="W41" s="61"/>
      <c r="X41" s="61"/>
      <c r="Y41" s="62"/>
      <c r="Z41" s="59"/>
      <c r="AA41" s="60"/>
      <c r="AB41" s="61"/>
      <c r="AC41" s="62"/>
      <c r="AD41" s="59"/>
      <c r="AE41" s="60"/>
      <c r="AF41" s="61"/>
      <c r="AG41" s="62"/>
      <c r="AH41" s="59"/>
      <c r="AI41" s="60"/>
      <c r="AJ41" s="61"/>
      <c r="AK41" s="62"/>
      <c r="AL41" s="59"/>
      <c r="AM41" s="60"/>
      <c r="AN41" s="61"/>
      <c r="AO41" s="62"/>
      <c r="AP41" s="59"/>
      <c r="AQ41" s="60"/>
      <c r="AR41" s="61"/>
      <c r="AS41" s="62"/>
      <c r="AT41" s="59"/>
      <c r="AU41" s="60"/>
      <c r="AV41" s="61"/>
      <c r="AW41" s="62"/>
      <c r="AX41" s="43">
        <f>SUM(E41:AW41)</f>
        <v>0</v>
      </c>
      <c r="AY41" s="44">
        <f>IFERROR(AVERAGEIF(E41:AW41,"&lt;&gt;0",(E41:AW41)),)</f>
        <v>0</v>
      </c>
      <c r="AZ41" s="45">
        <f>IFERROR(AY41/D41,0)</f>
        <v>0</v>
      </c>
      <c r="BA41" s="34"/>
      <c r="BB41" s="34"/>
      <c r="BC41" s="34"/>
      <c r="BD41" s="76"/>
      <c r="BE41" s="34"/>
      <c r="BF41" s="34"/>
      <c r="BG41" s="34"/>
      <c r="BH41" s="34"/>
    </row>
    <row r="42" spans="1:60" s="17" customFormat="1" ht="19.5" customHeight="1" thickBot="1" x14ac:dyDescent="0.45">
      <c r="A42" s="41">
        <f t="shared" si="2"/>
        <v>45439</v>
      </c>
      <c r="B42" s="139">
        <f>B37</f>
        <v>0</v>
      </c>
      <c r="C42" s="140"/>
      <c r="D42" s="40">
        <f>C6/8</f>
        <v>500</v>
      </c>
      <c r="E42" s="151">
        <f>SUM(E37:H41)</f>
        <v>0</v>
      </c>
      <c r="F42" s="152"/>
      <c r="G42" s="152"/>
      <c r="H42" s="153"/>
      <c r="I42" s="151">
        <f>SUM(I37:L41)</f>
        <v>0</v>
      </c>
      <c r="J42" s="152"/>
      <c r="K42" s="152"/>
      <c r="L42" s="153"/>
      <c r="M42" s="151">
        <f>SUM(M37:P41)</f>
        <v>0</v>
      </c>
      <c r="N42" s="152"/>
      <c r="O42" s="152"/>
      <c r="P42" s="153"/>
      <c r="Q42" s="151">
        <f>SUM(Q37:U41)</f>
        <v>0</v>
      </c>
      <c r="R42" s="152"/>
      <c r="S42" s="152"/>
      <c r="T42" s="152"/>
      <c r="U42" s="153"/>
      <c r="V42" s="151">
        <f>SUM(V37:Y41)</f>
        <v>0</v>
      </c>
      <c r="W42" s="152"/>
      <c r="X42" s="152"/>
      <c r="Y42" s="153"/>
      <c r="Z42" s="151">
        <f>SUM(Z37:AC41)</f>
        <v>0</v>
      </c>
      <c r="AA42" s="152"/>
      <c r="AB42" s="152"/>
      <c r="AC42" s="153"/>
      <c r="AD42" s="151">
        <f>SUM(AD37:AG41)</f>
        <v>0</v>
      </c>
      <c r="AE42" s="152"/>
      <c r="AF42" s="152"/>
      <c r="AG42" s="153"/>
      <c r="AH42" s="151">
        <f>SUM(AH37:AK41)</f>
        <v>0</v>
      </c>
      <c r="AI42" s="152"/>
      <c r="AJ42" s="152"/>
      <c r="AK42" s="153"/>
      <c r="AL42" s="151">
        <f>SUM(AL37:AO41)</f>
        <v>0</v>
      </c>
      <c r="AM42" s="152"/>
      <c r="AN42" s="152"/>
      <c r="AO42" s="153"/>
      <c r="AP42" s="151">
        <f>SUM(AP37:AS41)</f>
        <v>0</v>
      </c>
      <c r="AQ42" s="152"/>
      <c r="AR42" s="152"/>
      <c r="AS42" s="153"/>
      <c r="AT42" s="151">
        <f>SUM(AT37:AW41)</f>
        <v>0</v>
      </c>
      <c r="AU42" s="152"/>
      <c r="AV42" s="152"/>
      <c r="AW42" s="153"/>
      <c r="AX42" s="87">
        <f>SUM(AX37:AX41)</f>
        <v>0</v>
      </c>
      <c r="AY42" s="88">
        <f>IFERROR(AVERAGEIF(E42:AV42,"&lt;&gt;0",(E42:AV42)),)</f>
        <v>0</v>
      </c>
      <c r="AZ42" s="46">
        <f>IFERROR(AX42/BB38,0)</f>
        <v>0</v>
      </c>
      <c r="BA42" s="34"/>
      <c r="BB42" s="34"/>
      <c r="BC42" s="34"/>
      <c r="BD42" s="76"/>
      <c r="BE42" s="34"/>
      <c r="BF42" s="34"/>
      <c r="BG42" s="34"/>
      <c r="BH42" s="34"/>
    </row>
    <row r="43" spans="1:60" s="17" customFormat="1" ht="19.5" customHeight="1" thickBot="1" x14ac:dyDescent="0.4">
      <c r="A43" s="42">
        <f>A22</f>
        <v>45439</v>
      </c>
      <c r="B43" s="38" t="str">
        <f>B44</f>
        <v>BANT GİRİŞ</v>
      </c>
      <c r="C43" s="39" t="s">
        <v>180</v>
      </c>
      <c r="D43" s="69" t="s">
        <v>181</v>
      </c>
      <c r="E43" s="48">
        <v>0.34375</v>
      </c>
      <c r="F43" s="49">
        <v>0.35416666666666669</v>
      </c>
      <c r="G43" s="49">
        <v>0.36458333333333331</v>
      </c>
      <c r="H43" s="50">
        <v>0.375</v>
      </c>
      <c r="I43" s="48">
        <v>0.38541666666666702</v>
      </c>
      <c r="J43" s="49">
        <v>0.39583333333333298</v>
      </c>
      <c r="K43" s="49">
        <v>0.40625</v>
      </c>
      <c r="L43" s="50">
        <v>0.41666666666666702</v>
      </c>
      <c r="M43" s="48">
        <v>0.4375</v>
      </c>
      <c r="N43" s="49">
        <v>0.44791666666666702</v>
      </c>
      <c r="O43" s="49">
        <v>0.45833333333333398</v>
      </c>
      <c r="P43" s="50">
        <v>0.46875</v>
      </c>
      <c r="Q43" s="48">
        <v>0.47916666666666702</v>
      </c>
      <c r="R43" s="49">
        <v>0.48958333333333398</v>
      </c>
      <c r="S43" s="49">
        <v>0.5</v>
      </c>
      <c r="T43" s="50">
        <v>0.51041666666666696</v>
      </c>
      <c r="U43" s="51">
        <v>0.52083333333333204</v>
      </c>
      <c r="V43" s="48">
        <v>0.5625</v>
      </c>
      <c r="W43" s="49">
        <v>0.57291666666666663</v>
      </c>
      <c r="X43" s="49">
        <v>0.58333333333333304</v>
      </c>
      <c r="Y43" s="50">
        <v>0.59375</v>
      </c>
      <c r="Z43" s="48">
        <v>0.60416666666666696</v>
      </c>
      <c r="AA43" s="49">
        <v>0.61458333333333304</v>
      </c>
      <c r="AB43" s="49">
        <v>0.625</v>
      </c>
      <c r="AC43" s="50">
        <v>0.63541666666666596</v>
      </c>
      <c r="AD43" s="48">
        <v>0.65625</v>
      </c>
      <c r="AE43" s="49">
        <v>0.66666666666666663</v>
      </c>
      <c r="AF43" s="49">
        <v>0.67708333333333304</v>
      </c>
      <c r="AG43" s="50">
        <v>0.6875</v>
      </c>
      <c r="AH43" s="48">
        <v>0.69791666666666696</v>
      </c>
      <c r="AI43" s="49">
        <v>0.70833333333333304</v>
      </c>
      <c r="AJ43" s="49">
        <v>0.71875</v>
      </c>
      <c r="AK43" s="50">
        <v>0.72916666666666696</v>
      </c>
      <c r="AL43" s="48">
        <v>0.73958333333333404</v>
      </c>
      <c r="AM43" s="49">
        <v>0.750000000000001</v>
      </c>
      <c r="AN43" s="49">
        <v>0.76041666666666796</v>
      </c>
      <c r="AO43" s="50">
        <v>0.77083333333333504</v>
      </c>
      <c r="AP43" s="48">
        <v>0.781250000000002</v>
      </c>
      <c r="AQ43" s="49">
        <v>0.79166666666666896</v>
      </c>
      <c r="AR43" s="49">
        <v>0.80208333333333603</v>
      </c>
      <c r="AS43" s="50">
        <v>0.812500000000003</v>
      </c>
      <c r="AT43" s="48">
        <v>0.82291666666666996</v>
      </c>
      <c r="AU43" s="49">
        <v>0.83333333333333703</v>
      </c>
      <c r="AV43" s="49">
        <v>0.843750000000004</v>
      </c>
      <c r="AW43" s="50">
        <v>0.85416666666666663</v>
      </c>
      <c r="AX43" s="68" t="s">
        <v>260</v>
      </c>
      <c r="AY43" s="28" t="s">
        <v>261</v>
      </c>
      <c r="AZ43" s="29" t="s">
        <v>262</v>
      </c>
      <c r="BA43" s="136" t="str">
        <f>B44</f>
        <v>BANT GİRİŞ</v>
      </c>
      <c r="BB43" s="137"/>
      <c r="BC43" s="137"/>
      <c r="BD43" s="137"/>
      <c r="BE43" s="137"/>
      <c r="BF43" s="137"/>
      <c r="BG43" s="137"/>
      <c r="BH43" s="138"/>
    </row>
    <row r="44" spans="1:60" s="17" customFormat="1" ht="19.5" customHeight="1" thickBot="1" x14ac:dyDescent="0.4">
      <c r="A44" s="41">
        <f t="shared" ref="A44:B48" si="3">A43</f>
        <v>45439</v>
      </c>
      <c r="B44" s="37" t="s">
        <v>161</v>
      </c>
      <c r="C44" s="65" t="s">
        <v>286</v>
      </c>
      <c r="D44" s="71">
        <v>120</v>
      </c>
      <c r="E44" s="53"/>
      <c r="F44" s="54"/>
      <c r="G44" s="55"/>
      <c r="H44" s="56"/>
      <c r="I44" s="53"/>
      <c r="J44" s="54"/>
      <c r="K44" s="55"/>
      <c r="L44" s="56"/>
      <c r="M44" s="53"/>
      <c r="N44" s="54"/>
      <c r="O44" s="55"/>
      <c r="P44" s="56"/>
      <c r="Q44" s="63"/>
      <c r="R44" s="55"/>
      <c r="S44" s="55"/>
      <c r="T44" s="55"/>
      <c r="U44" s="56"/>
      <c r="V44" s="53"/>
      <c r="W44" s="55"/>
      <c r="X44" s="55"/>
      <c r="Y44" s="56"/>
      <c r="Z44" s="63"/>
      <c r="AA44" s="55"/>
      <c r="AB44" s="55"/>
      <c r="AC44" s="56"/>
      <c r="AD44" s="63"/>
      <c r="AE44" s="55"/>
      <c r="AF44" s="55"/>
      <c r="AG44" s="56"/>
      <c r="AH44" s="63"/>
      <c r="AI44" s="54"/>
      <c r="AJ44" s="55"/>
      <c r="AK44" s="56"/>
      <c r="AL44" s="53"/>
      <c r="AM44" s="54"/>
      <c r="AN44" s="55"/>
      <c r="AO44" s="56"/>
      <c r="AP44" s="53"/>
      <c r="AQ44" s="54"/>
      <c r="AR44" s="55"/>
      <c r="AS44" s="56"/>
      <c r="AT44" s="53"/>
      <c r="AU44" s="54"/>
      <c r="AV44" s="55"/>
      <c r="AW44" s="56"/>
      <c r="AX44" s="33">
        <f>SUM(E44:AW44)</f>
        <v>0</v>
      </c>
      <c r="AY44" s="31">
        <f>IFERROR(AVERAGEIF(E44:AW44,"&lt;&gt;0",(E44:AW44)),)</f>
        <v>0</v>
      </c>
      <c r="AZ44" s="30">
        <f>IFERROR(AY44/D44,0)</f>
        <v>0</v>
      </c>
      <c r="BA44" s="19"/>
      <c r="BB44" s="105" t="str">
        <f t="shared" ref="BB44:BG44" si="4">BA6</f>
        <v>XS</v>
      </c>
      <c r="BC44" s="105" t="str">
        <f t="shared" si="4"/>
        <v>S</v>
      </c>
      <c r="BD44" s="105" t="str">
        <f t="shared" si="4"/>
        <v>M</v>
      </c>
      <c r="BE44" s="105" t="str">
        <f t="shared" si="4"/>
        <v>L</v>
      </c>
      <c r="BF44" s="105" t="str">
        <f t="shared" si="4"/>
        <v>XL</v>
      </c>
      <c r="BG44" s="105" t="str">
        <f t="shared" si="4"/>
        <v>XXL</v>
      </c>
      <c r="BH44" s="105" t="s">
        <v>190</v>
      </c>
    </row>
    <row r="45" spans="1:60" s="17" customFormat="1" ht="19.5" customHeight="1" thickBot="1" x14ac:dyDescent="0.4">
      <c r="A45" s="41">
        <f t="shared" si="3"/>
        <v>45439</v>
      </c>
      <c r="B45" s="37" t="str">
        <f t="shared" si="3"/>
        <v>BANT GİRİŞ</v>
      </c>
      <c r="C45" s="65" t="s">
        <v>287</v>
      </c>
      <c r="D45" s="67">
        <f t="shared" ref="D45:D50" si="5">D44</f>
        <v>120</v>
      </c>
      <c r="E45" s="57"/>
      <c r="F45" s="52"/>
      <c r="G45" s="52"/>
      <c r="H45" s="58"/>
      <c r="I45" s="57"/>
      <c r="J45" s="52"/>
      <c r="K45" s="52"/>
      <c r="L45" s="58"/>
      <c r="M45" s="57"/>
      <c r="N45" s="52"/>
      <c r="O45" s="52"/>
      <c r="P45" s="58"/>
      <c r="Q45" s="57"/>
      <c r="R45" s="52"/>
      <c r="S45" s="52"/>
      <c r="T45" s="52"/>
      <c r="U45" s="58"/>
      <c r="V45" s="57"/>
      <c r="W45" s="52"/>
      <c r="X45" s="52"/>
      <c r="Y45" s="58"/>
      <c r="Z45" s="57"/>
      <c r="AA45" s="52"/>
      <c r="AB45" s="52"/>
      <c r="AC45" s="58"/>
      <c r="AD45" s="57"/>
      <c r="AE45" s="52"/>
      <c r="AF45" s="52"/>
      <c r="AG45" s="58"/>
      <c r="AH45" s="57"/>
      <c r="AI45" s="52"/>
      <c r="AJ45" s="52"/>
      <c r="AK45" s="58"/>
      <c r="AL45" s="57"/>
      <c r="AM45" s="52"/>
      <c r="AN45" s="52"/>
      <c r="AO45" s="58"/>
      <c r="AP45" s="57"/>
      <c r="AQ45" s="52"/>
      <c r="AR45" s="52"/>
      <c r="AS45" s="58"/>
      <c r="AT45" s="57"/>
      <c r="AU45" s="52"/>
      <c r="AV45" s="52"/>
      <c r="AW45" s="58"/>
      <c r="AX45" s="33">
        <f t="shared" ref="AX45:AX50" si="6">SUM(E45:AW45)</f>
        <v>0</v>
      </c>
      <c r="AY45" s="31">
        <f t="shared" ref="AY45:AY50" si="7">IFERROR(AVERAGEIF(E45:AW45,"&lt;&gt;0",(E45:AW45)),)</f>
        <v>0</v>
      </c>
      <c r="AZ45" s="30">
        <f t="shared" ref="AZ45:AZ50" si="8">IFERROR(AY45/D45,0)</f>
        <v>0</v>
      </c>
      <c r="BA45" s="106" t="s">
        <v>192</v>
      </c>
      <c r="BB45" s="96">
        <f>SUMIF(C44:C50,BB44,AX44:AX50)</f>
        <v>0</v>
      </c>
      <c r="BC45" s="96">
        <f>SUMIF(C44:C50,BC44,AX44:AX50)</f>
        <v>0</v>
      </c>
      <c r="BD45" s="96">
        <f>SUMIF(C44:C50,BD44,AX44:AX50)</f>
        <v>0</v>
      </c>
      <c r="BE45" s="96">
        <f>SUMIF(C44:C50,BE44,AX44:AX50)</f>
        <v>0</v>
      </c>
      <c r="BF45" s="96">
        <f>SUMIF(C44:C50,BF44,AX44:AX50)</f>
        <v>0</v>
      </c>
      <c r="BG45" s="96"/>
      <c r="BH45" s="99">
        <f>AX51</f>
        <v>0</v>
      </c>
    </row>
    <row r="46" spans="1:60" s="17" customFormat="1" ht="19.5" customHeight="1" thickBot="1" x14ac:dyDescent="0.4">
      <c r="A46" s="41">
        <f t="shared" si="3"/>
        <v>45439</v>
      </c>
      <c r="B46" s="37" t="str">
        <f t="shared" si="3"/>
        <v>BANT GİRİŞ</v>
      </c>
      <c r="C46" s="65" t="s">
        <v>288</v>
      </c>
      <c r="D46" s="67">
        <f t="shared" si="5"/>
        <v>120</v>
      </c>
      <c r="E46" s="57"/>
      <c r="F46" s="52"/>
      <c r="G46" s="52"/>
      <c r="H46" s="58"/>
      <c r="I46" s="57"/>
      <c r="J46" s="52"/>
      <c r="K46" s="52"/>
      <c r="L46" s="58"/>
      <c r="M46" s="57"/>
      <c r="N46" s="52"/>
      <c r="O46" s="52"/>
      <c r="P46" s="58"/>
      <c r="Q46" s="57"/>
      <c r="R46" s="52"/>
      <c r="S46" s="52"/>
      <c r="T46" s="52"/>
      <c r="U46" s="58"/>
      <c r="V46" s="57"/>
      <c r="W46" s="52"/>
      <c r="X46" s="52"/>
      <c r="Y46" s="58"/>
      <c r="Z46" s="57"/>
      <c r="AA46" s="52"/>
      <c r="AB46" s="52"/>
      <c r="AC46" s="58"/>
      <c r="AD46" s="57"/>
      <c r="AE46" s="52"/>
      <c r="AF46" s="52"/>
      <c r="AG46" s="58"/>
      <c r="AH46" s="57"/>
      <c r="AI46" s="52"/>
      <c r="AJ46" s="52"/>
      <c r="AK46" s="58"/>
      <c r="AL46" s="57"/>
      <c r="AM46" s="52"/>
      <c r="AN46" s="52"/>
      <c r="AO46" s="58"/>
      <c r="AP46" s="57"/>
      <c r="AQ46" s="52"/>
      <c r="AR46" s="52"/>
      <c r="AS46" s="58"/>
      <c r="AT46" s="57"/>
      <c r="AU46" s="52"/>
      <c r="AV46" s="52"/>
      <c r="AW46" s="58"/>
      <c r="AX46" s="33">
        <f t="shared" si="6"/>
        <v>0</v>
      </c>
      <c r="AY46" s="31">
        <f t="shared" si="7"/>
        <v>0</v>
      </c>
      <c r="AZ46" s="30">
        <f t="shared" si="8"/>
        <v>0</v>
      </c>
      <c r="BA46" s="106" t="s">
        <v>193</v>
      </c>
      <c r="BB46" s="96">
        <f>BA7-BB45</f>
        <v>492</v>
      </c>
      <c r="BC46" s="96">
        <f>BB7-BC45</f>
        <v>11438</v>
      </c>
      <c r="BD46" s="96">
        <f>BC7-BD45</f>
        <v>13689</v>
      </c>
      <c r="BE46" s="96">
        <f>BD7-BE45</f>
        <v>9760</v>
      </c>
      <c r="BF46" s="96">
        <f>BE7-BF45</f>
        <v>4794</v>
      </c>
      <c r="BG46" s="96"/>
      <c r="BH46" s="96">
        <f>SUM(BB46:BG46)</f>
        <v>40173</v>
      </c>
    </row>
    <row r="47" spans="1:60" s="17" customFormat="1" ht="19.5" customHeight="1" x14ac:dyDescent="0.35">
      <c r="A47" s="41">
        <f t="shared" si="3"/>
        <v>45439</v>
      </c>
      <c r="B47" s="37" t="str">
        <f t="shared" si="3"/>
        <v>BANT GİRİŞ</v>
      </c>
      <c r="C47" s="65" t="s">
        <v>289</v>
      </c>
      <c r="D47" s="67">
        <f t="shared" si="5"/>
        <v>120</v>
      </c>
      <c r="E47" s="57"/>
      <c r="F47" s="52"/>
      <c r="G47" s="52"/>
      <c r="H47" s="58"/>
      <c r="I47" s="57"/>
      <c r="J47" s="52"/>
      <c r="K47" s="52"/>
      <c r="L47" s="58"/>
      <c r="M47" s="57"/>
      <c r="N47" s="52"/>
      <c r="O47" s="52"/>
      <c r="P47" s="58"/>
      <c r="Q47" s="57"/>
      <c r="R47" s="52"/>
      <c r="S47" s="52"/>
      <c r="T47" s="52"/>
      <c r="U47" s="58"/>
      <c r="V47" s="57"/>
      <c r="W47" s="52"/>
      <c r="X47" s="52"/>
      <c r="Y47" s="58"/>
      <c r="Z47" s="57"/>
      <c r="AA47" s="52"/>
      <c r="AB47" s="52"/>
      <c r="AC47" s="58"/>
      <c r="AD47" s="57"/>
      <c r="AE47" s="52"/>
      <c r="AF47" s="52"/>
      <c r="AG47" s="58"/>
      <c r="AH47" s="57"/>
      <c r="AI47" s="52"/>
      <c r="AJ47" s="52"/>
      <c r="AK47" s="58"/>
      <c r="AL47" s="57"/>
      <c r="AM47" s="52"/>
      <c r="AN47" s="52"/>
      <c r="AO47" s="58"/>
      <c r="AP47" s="57"/>
      <c r="AQ47" s="52"/>
      <c r="AR47" s="52"/>
      <c r="AS47" s="58"/>
      <c r="AT47" s="57"/>
      <c r="AU47" s="52"/>
      <c r="AV47" s="52"/>
      <c r="AW47" s="58"/>
      <c r="AX47" s="33">
        <f t="shared" si="6"/>
        <v>0</v>
      </c>
      <c r="AY47" s="31">
        <f t="shared" si="7"/>
        <v>0</v>
      </c>
      <c r="AZ47" s="30">
        <f t="shared" si="8"/>
        <v>0</v>
      </c>
      <c r="BA47" s="34"/>
      <c r="BB47" s="34"/>
      <c r="BC47" s="34"/>
      <c r="BD47" s="76"/>
      <c r="BE47" s="34"/>
      <c r="BF47" s="34"/>
      <c r="BG47" s="34"/>
      <c r="BH47" s="34"/>
    </row>
    <row r="48" spans="1:60" s="17" customFormat="1" ht="19.5" customHeight="1" x14ac:dyDescent="0.35">
      <c r="A48" s="41">
        <f>A45</f>
        <v>45439</v>
      </c>
      <c r="B48" s="37" t="str">
        <f t="shared" si="3"/>
        <v>BANT GİRİŞ</v>
      </c>
      <c r="C48" s="65" t="s">
        <v>291</v>
      </c>
      <c r="D48" s="67">
        <f t="shared" si="5"/>
        <v>120</v>
      </c>
      <c r="E48" s="57"/>
      <c r="F48" s="52"/>
      <c r="G48" s="52"/>
      <c r="H48" s="58"/>
      <c r="I48" s="57"/>
      <c r="J48" s="52"/>
      <c r="K48" s="52"/>
      <c r="L48" s="58"/>
      <c r="M48" s="57"/>
      <c r="N48" s="52"/>
      <c r="O48" s="52"/>
      <c r="P48" s="58"/>
      <c r="Q48" s="57"/>
      <c r="R48" s="52"/>
      <c r="S48" s="52"/>
      <c r="T48" s="52"/>
      <c r="U48" s="58"/>
      <c r="V48" s="57"/>
      <c r="W48" s="52"/>
      <c r="X48" s="52"/>
      <c r="Y48" s="58"/>
      <c r="Z48" s="57"/>
      <c r="AA48" s="52"/>
      <c r="AB48" s="52"/>
      <c r="AC48" s="58"/>
      <c r="AD48" s="57"/>
      <c r="AE48" s="52"/>
      <c r="AF48" s="52"/>
      <c r="AG48" s="58"/>
      <c r="AH48" s="57"/>
      <c r="AI48" s="52"/>
      <c r="AJ48" s="52"/>
      <c r="AK48" s="58"/>
      <c r="AL48" s="57"/>
      <c r="AM48" s="52"/>
      <c r="AN48" s="52"/>
      <c r="AO48" s="58"/>
      <c r="AP48" s="57"/>
      <c r="AQ48" s="52"/>
      <c r="AR48" s="52"/>
      <c r="AS48" s="58"/>
      <c r="AT48" s="57"/>
      <c r="AU48" s="52"/>
      <c r="AV48" s="52"/>
      <c r="AW48" s="58"/>
      <c r="AX48" s="33">
        <f t="shared" si="6"/>
        <v>0</v>
      </c>
      <c r="AY48" s="31">
        <f t="shared" si="7"/>
        <v>0</v>
      </c>
      <c r="AZ48" s="30">
        <f t="shared" si="8"/>
        <v>0</v>
      </c>
      <c r="BA48" s="34"/>
      <c r="BB48" s="34"/>
      <c r="BC48" s="34"/>
      <c r="BD48" s="76"/>
      <c r="BE48" s="34"/>
      <c r="BF48" s="34"/>
      <c r="BG48" s="34"/>
      <c r="BH48" s="34"/>
    </row>
    <row r="49" spans="1:60" s="17" customFormat="1" ht="19.5" customHeight="1" x14ac:dyDescent="0.35">
      <c r="A49" s="41">
        <f t="shared" ref="A49:B59" si="9">A48</f>
        <v>45439</v>
      </c>
      <c r="B49" s="37" t="str">
        <f t="shared" si="9"/>
        <v>BANT GİRİŞ</v>
      </c>
      <c r="C49" s="65"/>
      <c r="D49" s="67">
        <f t="shared" si="5"/>
        <v>120</v>
      </c>
      <c r="E49" s="57"/>
      <c r="F49" s="52"/>
      <c r="G49" s="52"/>
      <c r="H49" s="58"/>
      <c r="I49" s="57"/>
      <c r="J49" s="52"/>
      <c r="K49" s="52"/>
      <c r="L49" s="58"/>
      <c r="M49" s="57"/>
      <c r="N49" s="52"/>
      <c r="O49" s="52"/>
      <c r="P49" s="58"/>
      <c r="Q49" s="57"/>
      <c r="R49" s="52"/>
      <c r="S49" s="52"/>
      <c r="T49" s="52"/>
      <c r="U49" s="58"/>
      <c r="V49" s="57"/>
      <c r="W49" s="52"/>
      <c r="X49" s="52"/>
      <c r="Y49" s="58"/>
      <c r="Z49" s="57"/>
      <c r="AA49" s="52"/>
      <c r="AB49" s="52"/>
      <c r="AC49" s="58"/>
      <c r="AD49" s="57"/>
      <c r="AE49" s="52"/>
      <c r="AF49" s="52"/>
      <c r="AG49" s="58"/>
      <c r="AH49" s="57"/>
      <c r="AI49" s="52"/>
      <c r="AJ49" s="52"/>
      <c r="AK49" s="58"/>
      <c r="AL49" s="57"/>
      <c r="AM49" s="52"/>
      <c r="AN49" s="52"/>
      <c r="AO49" s="58"/>
      <c r="AP49" s="57"/>
      <c r="AQ49" s="52"/>
      <c r="AR49" s="52"/>
      <c r="AS49" s="58"/>
      <c r="AT49" s="57"/>
      <c r="AU49" s="52"/>
      <c r="AV49" s="52"/>
      <c r="AW49" s="58"/>
      <c r="AX49" s="33">
        <f t="shared" si="6"/>
        <v>0</v>
      </c>
      <c r="AY49" s="31">
        <f t="shared" si="7"/>
        <v>0</v>
      </c>
      <c r="AZ49" s="30">
        <f t="shared" si="8"/>
        <v>0</v>
      </c>
      <c r="BA49" s="34"/>
      <c r="BB49" s="34"/>
      <c r="BC49" s="34"/>
      <c r="BD49" s="76"/>
      <c r="BE49" s="34"/>
      <c r="BF49" s="34"/>
      <c r="BG49" s="34"/>
      <c r="BH49" s="34"/>
    </row>
    <row r="50" spans="1:60" s="17" customFormat="1" ht="19.5" customHeight="1" thickBot="1" x14ac:dyDescent="0.4">
      <c r="A50" s="41">
        <f t="shared" si="9"/>
        <v>45439</v>
      </c>
      <c r="B50" s="37" t="str">
        <f t="shared" si="9"/>
        <v>BANT GİRİŞ</v>
      </c>
      <c r="C50" s="66"/>
      <c r="D50" s="67">
        <f t="shared" si="5"/>
        <v>120</v>
      </c>
      <c r="E50" s="59"/>
      <c r="F50" s="60"/>
      <c r="G50" s="61"/>
      <c r="H50" s="62"/>
      <c r="I50" s="59"/>
      <c r="J50" s="60"/>
      <c r="K50" s="61"/>
      <c r="L50" s="62"/>
      <c r="M50" s="59"/>
      <c r="N50" s="60"/>
      <c r="O50" s="61"/>
      <c r="P50" s="62"/>
      <c r="Q50" s="64"/>
      <c r="R50" s="61"/>
      <c r="S50" s="61"/>
      <c r="T50" s="61"/>
      <c r="U50" s="62"/>
      <c r="V50" s="59"/>
      <c r="W50" s="60"/>
      <c r="X50" s="61"/>
      <c r="Y50" s="62"/>
      <c r="Z50" s="59"/>
      <c r="AA50" s="60"/>
      <c r="AB50" s="61"/>
      <c r="AC50" s="62"/>
      <c r="AD50" s="59"/>
      <c r="AE50" s="60"/>
      <c r="AF50" s="61"/>
      <c r="AG50" s="62"/>
      <c r="AH50" s="59"/>
      <c r="AI50" s="60"/>
      <c r="AJ50" s="61"/>
      <c r="AK50" s="62"/>
      <c r="AL50" s="59"/>
      <c r="AM50" s="60"/>
      <c r="AN50" s="61"/>
      <c r="AO50" s="62"/>
      <c r="AP50" s="59"/>
      <c r="AQ50" s="60"/>
      <c r="AR50" s="61"/>
      <c r="AS50" s="62"/>
      <c r="AT50" s="59"/>
      <c r="AU50" s="60"/>
      <c r="AV50" s="61"/>
      <c r="AW50" s="62"/>
      <c r="AX50" s="33">
        <f t="shared" si="6"/>
        <v>0</v>
      </c>
      <c r="AY50" s="31">
        <f t="shared" si="7"/>
        <v>0</v>
      </c>
      <c r="AZ50" s="30">
        <f t="shared" si="8"/>
        <v>0</v>
      </c>
      <c r="BA50" s="34"/>
      <c r="BB50" s="34"/>
      <c r="BC50" s="34"/>
      <c r="BD50" s="76"/>
      <c r="BE50" s="34"/>
      <c r="BF50" s="34"/>
      <c r="BG50" s="34"/>
      <c r="BH50" s="34"/>
    </row>
    <row r="51" spans="1:60" s="17" customFormat="1" ht="19.5" customHeight="1" thickBot="1" x14ac:dyDescent="0.45">
      <c r="A51" s="41">
        <f t="shared" si="9"/>
        <v>45439</v>
      </c>
      <c r="B51" s="139" t="str">
        <f>B44</f>
        <v>BANT GİRİŞ</v>
      </c>
      <c r="C51" s="140"/>
      <c r="D51" s="40">
        <f>C6/8</f>
        <v>500</v>
      </c>
      <c r="E51" s="147">
        <f>SUM(E44:H50)</f>
        <v>0</v>
      </c>
      <c r="F51" s="148"/>
      <c r="G51" s="148"/>
      <c r="H51" s="149"/>
      <c r="I51" s="147">
        <f>SUM(I44:L50)</f>
        <v>0</v>
      </c>
      <c r="J51" s="148"/>
      <c r="K51" s="148"/>
      <c r="L51" s="149"/>
      <c r="M51" s="147">
        <f>SUM(M44:P50)</f>
        <v>0</v>
      </c>
      <c r="N51" s="148"/>
      <c r="O51" s="148"/>
      <c r="P51" s="149"/>
      <c r="Q51" s="147">
        <f>SUM(Q44:U50)</f>
        <v>0</v>
      </c>
      <c r="R51" s="148"/>
      <c r="S51" s="148"/>
      <c r="T51" s="148"/>
      <c r="U51" s="149"/>
      <c r="V51" s="147">
        <f>SUM(V44:Y50)</f>
        <v>0</v>
      </c>
      <c r="W51" s="148"/>
      <c r="X51" s="148"/>
      <c r="Y51" s="149"/>
      <c r="Z51" s="147">
        <f>SUM(Z44:AC50)</f>
        <v>0</v>
      </c>
      <c r="AA51" s="148"/>
      <c r="AB51" s="148"/>
      <c r="AC51" s="149"/>
      <c r="AD51" s="147">
        <f>SUM(AD44:AG50)</f>
        <v>0</v>
      </c>
      <c r="AE51" s="148"/>
      <c r="AF51" s="148"/>
      <c r="AG51" s="149"/>
      <c r="AH51" s="147">
        <f>SUM(AH44:AK50)</f>
        <v>0</v>
      </c>
      <c r="AI51" s="148"/>
      <c r="AJ51" s="148"/>
      <c r="AK51" s="149"/>
      <c r="AL51" s="147">
        <f>SUM(AL44:AO50)</f>
        <v>0</v>
      </c>
      <c r="AM51" s="148"/>
      <c r="AN51" s="148"/>
      <c r="AO51" s="149"/>
      <c r="AP51" s="147">
        <f>SUM(AP44:AS50)</f>
        <v>0</v>
      </c>
      <c r="AQ51" s="148"/>
      <c r="AR51" s="148"/>
      <c r="AS51" s="149"/>
      <c r="AT51" s="147">
        <f>SUM(AT44:AW50)</f>
        <v>0</v>
      </c>
      <c r="AU51" s="148"/>
      <c r="AV51" s="148"/>
      <c r="AW51" s="149"/>
      <c r="AX51" s="87">
        <f>SUM(AX44:AX50)</f>
        <v>0</v>
      </c>
      <c r="AY51" s="88">
        <f>IFERROR(AVERAGEIF(E51:AV51,"&lt;&gt;0",(E51:AV51)),)</f>
        <v>0</v>
      </c>
      <c r="AZ51" s="46">
        <f>IFERROR(AX51/BB45,0)</f>
        <v>0</v>
      </c>
      <c r="BA51" s="34"/>
      <c r="BB51" s="34"/>
      <c r="BC51" s="34"/>
      <c r="BD51" s="76"/>
      <c r="BE51" s="34"/>
      <c r="BF51" s="34"/>
      <c r="BG51" s="34"/>
      <c r="BH51" s="34"/>
    </row>
    <row r="52" spans="1:60" s="17" customFormat="1" ht="19.5" customHeight="1" thickBot="1" x14ac:dyDescent="0.4">
      <c r="A52" s="42">
        <f t="shared" si="9"/>
        <v>45439</v>
      </c>
      <c r="B52" s="38" t="str">
        <f>B53</f>
        <v>Omuz Çatma</v>
      </c>
      <c r="C52" s="39" t="s">
        <v>180</v>
      </c>
      <c r="D52" s="69" t="s">
        <v>181</v>
      </c>
      <c r="E52" s="48">
        <v>0.34375</v>
      </c>
      <c r="F52" s="49">
        <v>0.35416666666666669</v>
      </c>
      <c r="G52" s="49">
        <v>0.36458333333333331</v>
      </c>
      <c r="H52" s="50">
        <v>0.375</v>
      </c>
      <c r="I52" s="48">
        <v>0.38541666666666702</v>
      </c>
      <c r="J52" s="49">
        <v>0.39583333333333298</v>
      </c>
      <c r="K52" s="49">
        <v>0.40625</v>
      </c>
      <c r="L52" s="50">
        <v>0.41666666666666702</v>
      </c>
      <c r="M52" s="48">
        <v>0.4375</v>
      </c>
      <c r="N52" s="49">
        <v>0.44791666666666702</v>
      </c>
      <c r="O52" s="49">
        <v>0.45833333333333398</v>
      </c>
      <c r="P52" s="50">
        <v>0.46875</v>
      </c>
      <c r="Q52" s="48">
        <v>0.47916666666666702</v>
      </c>
      <c r="R52" s="49">
        <v>0.48958333333333398</v>
      </c>
      <c r="S52" s="49">
        <v>0.5</v>
      </c>
      <c r="T52" s="50">
        <v>0.51041666666666696</v>
      </c>
      <c r="U52" s="51">
        <v>0.52083333333333204</v>
      </c>
      <c r="V52" s="48">
        <v>0.5625</v>
      </c>
      <c r="W52" s="49">
        <v>0.57291666666666663</v>
      </c>
      <c r="X52" s="49">
        <v>0.58333333333333304</v>
      </c>
      <c r="Y52" s="50">
        <v>0.59375</v>
      </c>
      <c r="Z52" s="48">
        <v>0.60416666666666696</v>
      </c>
      <c r="AA52" s="49">
        <v>0.61458333333333304</v>
      </c>
      <c r="AB52" s="49">
        <v>0.625</v>
      </c>
      <c r="AC52" s="50">
        <v>0.63541666666666596</v>
      </c>
      <c r="AD52" s="48">
        <v>0.65625</v>
      </c>
      <c r="AE52" s="49">
        <v>0.66666666666666663</v>
      </c>
      <c r="AF52" s="49">
        <v>0.67708333333333304</v>
      </c>
      <c r="AG52" s="50">
        <v>0.6875</v>
      </c>
      <c r="AH52" s="48">
        <v>0.69791666666666696</v>
      </c>
      <c r="AI52" s="49">
        <v>0.70833333333333304</v>
      </c>
      <c r="AJ52" s="49">
        <v>0.71875</v>
      </c>
      <c r="AK52" s="50">
        <v>0.72916666666666696</v>
      </c>
      <c r="AL52" s="48">
        <v>0.73958333333333404</v>
      </c>
      <c r="AM52" s="49">
        <v>0.750000000000001</v>
      </c>
      <c r="AN52" s="49">
        <v>0.76041666666666796</v>
      </c>
      <c r="AO52" s="50">
        <v>0.77083333333333504</v>
      </c>
      <c r="AP52" s="48">
        <v>0.781250000000002</v>
      </c>
      <c r="AQ52" s="49">
        <v>0.79166666666666896</v>
      </c>
      <c r="AR52" s="49">
        <v>0.80208333333333603</v>
      </c>
      <c r="AS52" s="50">
        <v>0.812500000000003</v>
      </c>
      <c r="AT52" s="48">
        <v>0.82291666666666996</v>
      </c>
      <c r="AU52" s="49">
        <v>0.83333333333333703</v>
      </c>
      <c r="AV52" s="49">
        <v>0.843750000000004</v>
      </c>
      <c r="AW52" s="50">
        <v>0.85416666666666663</v>
      </c>
      <c r="AX52" s="68" t="s">
        <v>260</v>
      </c>
      <c r="AY52" s="28" t="s">
        <v>261</v>
      </c>
      <c r="AZ52" s="29" t="s">
        <v>262</v>
      </c>
      <c r="BA52" s="136" t="str">
        <f>B53</f>
        <v>Omuz Çatma</v>
      </c>
      <c r="BB52" s="137"/>
      <c r="BC52" s="137"/>
      <c r="BD52" s="137"/>
      <c r="BE52" s="137"/>
      <c r="BF52" s="137"/>
      <c r="BG52" s="137"/>
      <c r="BH52" s="138"/>
    </row>
    <row r="53" spans="1:60" s="17" customFormat="1" ht="19.5" customHeight="1" thickBot="1" x14ac:dyDescent="0.4">
      <c r="A53" s="41">
        <f t="shared" si="9"/>
        <v>45439</v>
      </c>
      <c r="B53" s="37" t="s">
        <v>15</v>
      </c>
      <c r="C53" s="65"/>
      <c r="D53" s="71">
        <v>60</v>
      </c>
      <c r="E53" s="53"/>
      <c r="F53" s="54"/>
      <c r="G53" s="55"/>
      <c r="H53" s="56"/>
      <c r="I53" s="53"/>
      <c r="J53" s="54"/>
      <c r="K53" s="55"/>
      <c r="L53" s="56"/>
      <c r="M53" s="53"/>
      <c r="N53" s="54"/>
      <c r="O53" s="55"/>
      <c r="P53" s="56"/>
      <c r="Q53" s="63"/>
      <c r="R53" s="55"/>
      <c r="S53" s="55"/>
      <c r="T53" s="55"/>
      <c r="U53" s="56"/>
      <c r="V53" s="53"/>
      <c r="W53" s="54"/>
      <c r="X53" s="55"/>
      <c r="Y53" s="56"/>
      <c r="Z53" s="53"/>
      <c r="AA53" s="54"/>
      <c r="AB53" s="55"/>
      <c r="AC53" s="56"/>
      <c r="AD53" s="63"/>
      <c r="AE53" s="55"/>
      <c r="AF53" s="55"/>
      <c r="AG53" s="56"/>
      <c r="AH53" s="63"/>
      <c r="AI53" s="55"/>
      <c r="AJ53" s="55"/>
      <c r="AK53" s="56"/>
      <c r="AL53" s="63"/>
      <c r="AM53" s="55"/>
      <c r="AN53" s="55"/>
      <c r="AO53" s="56"/>
      <c r="AP53" s="53"/>
      <c r="AQ53" s="54"/>
      <c r="AR53" s="55"/>
      <c r="AS53" s="56"/>
      <c r="AT53" s="53"/>
      <c r="AU53" s="54"/>
      <c r="AV53" s="55"/>
      <c r="AW53" s="56"/>
      <c r="AX53" s="33">
        <f>SUM(E53:AW53)</f>
        <v>0</v>
      </c>
      <c r="AY53" s="31">
        <f>IFERROR(AVERAGEIF(E53:AW53,"&lt;&gt;0",(E53:AW53)),)</f>
        <v>0</v>
      </c>
      <c r="AZ53" s="30">
        <f>IFERROR(AY53/D53,0)</f>
        <v>0</v>
      </c>
      <c r="BA53" s="104" t="s">
        <v>182</v>
      </c>
      <c r="BB53" s="100" t="s">
        <v>183</v>
      </c>
      <c r="BC53" s="100" t="s">
        <v>184</v>
      </c>
      <c r="BD53" s="101" t="s">
        <v>185</v>
      </c>
      <c r="BE53" s="100" t="s">
        <v>186</v>
      </c>
      <c r="BF53" s="102" t="s">
        <v>187</v>
      </c>
      <c r="BG53" s="100" t="s">
        <v>188</v>
      </c>
      <c r="BH53" s="102" t="s">
        <v>189</v>
      </c>
    </row>
    <row r="54" spans="1:60" s="17" customFormat="1" ht="19.5" customHeight="1" thickBot="1" x14ac:dyDescent="0.4">
      <c r="A54" s="41">
        <f t="shared" si="9"/>
        <v>45439</v>
      </c>
      <c r="B54" s="37" t="str">
        <f t="shared" si="9"/>
        <v>Omuz Çatma</v>
      </c>
      <c r="C54" s="65"/>
      <c r="D54" s="67">
        <f t="shared" ref="D54:D59" si="10">D53</f>
        <v>60</v>
      </c>
      <c r="E54" s="57"/>
      <c r="F54" s="52"/>
      <c r="G54" s="52"/>
      <c r="H54" s="58"/>
      <c r="I54" s="57"/>
      <c r="J54" s="52"/>
      <c r="K54" s="52"/>
      <c r="L54" s="58"/>
      <c r="M54" s="57"/>
      <c r="N54" s="52"/>
      <c r="O54" s="52"/>
      <c r="P54" s="58"/>
      <c r="Q54" s="57"/>
      <c r="R54" s="52"/>
      <c r="S54" s="52"/>
      <c r="T54" s="52"/>
      <c r="U54" s="58"/>
      <c r="V54" s="57"/>
      <c r="W54" s="52"/>
      <c r="X54" s="52"/>
      <c r="Y54" s="58"/>
      <c r="Z54" s="57"/>
      <c r="AA54" s="52"/>
      <c r="AB54" s="52"/>
      <c r="AC54" s="58"/>
      <c r="AD54" s="57"/>
      <c r="AE54" s="52"/>
      <c r="AF54" s="52"/>
      <c r="AG54" s="58"/>
      <c r="AH54" s="57"/>
      <c r="AI54" s="52"/>
      <c r="AJ54" s="52"/>
      <c r="AK54" s="58"/>
      <c r="AL54" s="57"/>
      <c r="AM54" s="52"/>
      <c r="AN54" s="52"/>
      <c r="AO54" s="58"/>
      <c r="AP54" s="57"/>
      <c r="AQ54" s="52"/>
      <c r="AR54" s="52"/>
      <c r="AS54" s="58"/>
      <c r="AT54" s="57"/>
      <c r="AU54" s="52"/>
      <c r="AV54" s="52"/>
      <c r="AW54" s="58"/>
      <c r="AX54" s="33">
        <f t="shared" ref="AX54:AX59" si="11">SUM(E54:AW54)</f>
        <v>0</v>
      </c>
      <c r="AY54" s="31">
        <f t="shared" ref="AY54:AY59" si="12">IFERROR(AVERAGEIF(E54:AW54,"&lt;&gt;0",(E54:AW54)),)</f>
        <v>0</v>
      </c>
      <c r="AZ54" s="30">
        <f t="shared" ref="AZ54:AZ59" si="13">IFERROR(AY54/D54,0)</f>
        <v>0</v>
      </c>
      <c r="BA54" s="94">
        <f>AX60</f>
        <v>0</v>
      </c>
      <c r="BB54" s="95">
        <f>(D60*8)</f>
        <v>4000</v>
      </c>
      <c r="BC54" s="96">
        <f>C5-BA54</f>
        <v>42311</v>
      </c>
      <c r="BD54" s="96">
        <f>BH45-BA54</f>
        <v>0</v>
      </c>
      <c r="BE54" s="97">
        <f>IFERROR(BC54/E60,0)</f>
        <v>0</v>
      </c>
      <c r="BF54" s="98">
        <f>IFERROR(BE54/9,0)</f>
        <v>0</v>
      </c>
      <c r="BG54" s="97">
        <f>IFERROR(BC54/AY60,0)</f>
        <v>0</v>
      </c>
      <c r="BH54" s="97">
        <f>IFERROR(BG54/9,0)</f>
        <v>0</v>
      </c>
    </row>
    <row r="55" spans="1:60" s="17" customFormat="1" ht="19.5" customHeight="1" x14ac:dyDescent="0.35">
      <c r="A55" s="41">
        <f t="shared" si="9"/>
        <v>45439</v>
      </c>
      <c r="B55" s="37" t="str">
        <f t="shared" si="9"/>
        <v>Omuz Çatma</v>
      </c>
      <c r="C55" s="65"/>
      <c r="D55" s="67">
        <f t="shared" si="10"/>
        <v>60</v>
      </c>
      <c r="E55" s="57"/>
      <c r="F55" s="52"/>
      <c r="G55" s="52"/>
      <c r="H55" s="58"/>
      <c r="I55" s="57"/>
      <c r="J55" s="52"/>
      <c r="K55" s="52"/>
      <c r="L55" s="58"/>
      <c r="M55" s="57"/>
      <c r="N55" s="52"/>
      <c r="O55" s="52"/>
      <c r="P55" s="58"/>
      <c r="Q55" s="57"/>
      <c r="R55" s="52"/>
      <c r="S55" s="52"/>
      <c r="T55" s="52"/>
      <c r="U55" s="58"/>
      <c r="V55" s="57"/>
      <c r="W55" s="52"/>
      <c r="X55" s="52"/>
      <c r="Y55" s="58"/>
      <c r="Z55" s="57"/>
      <c r="AA55" s="52"/>
      <c r="AB55" s="52"/>
      <c r="AC55" s="58"/>
      <c r="AD55" s="57"/>
      <c r="AE55" s="52"/>
      <c r="AF55" s="52"/>
      <c r="AG55" s="58"/>
      <c r="AH55" s="57"/>
      <c r="AI55" s="52"/>
      <c r="AJ55" s="52"/>
      <c r="AK55" s="58"/>
      <c r="AL55" s="57"/>
      <c r="AM55" s="52"/>
      <c r="AN55" s="52"/>
      <c r="AO55" s="58"/>
      <c r="AP55" s="57"/>
      <c r="AQ55" s="52"/>
      <c r="AR55" s="52"/>
      <c r="AS55" s="58"/>
      <c r="AT55" s="57"/>
      <c r="AU55" s="52"/>
      <c r="AV55" s="52"/>
      <c r="AW55" s="58"/>
      <c r="AX55" s="33">
        <f t="shared" si="11"/>
        <v>0</v>
      </c>
      <c r="AY55" s="31">
        <f t="shared" si="12"/>
        <v>0</v>
      </c>
      <c r="AZ55" s="30">
        <f t="shared" si="13"/>
        <v>0</v>
      </c>
      <c r="BA55" s="34"/>
      <c r="BB55" s="34"/>
      <c r="BC55" s="34"/>
      <c r="BD55" s="76"/>
      <c r="BE55" s="34"/>
      <c r="BF55" s="34"/>
      <c r="BG55" s="34"/>
      <c r="BH55" s="34"/>
    </row>
    <row r="56" spans="1:60" s="17" customFormat="1" ht="19.5" customHeight="1" x14ac:dyDescent="0.35">
      <c r="A56" s="41">
        <f t="shared" si="9"/>
        <v>45439</v>
      </c>
      <c r="B56" s="37" t="str">
        <f t="shared" si="9"/>
        <v>Omuz Çatma</v>
      </c>
      <c r="C56" s="65"/>
      <c r="D56" s="67">
        <f t="shared" si="10"/>
        <v>60</v>
      </c>
      <c r="E56" s="57"/>
      <c r="F56" s="52"/>
      <c r="G56" s="52"/>
      <c r="H56" s="58"/>
      <c r="I56" s="57"/>
      <c r="J56" s="52"/>
      <c r="K56" s="52"/>
      <c r="L56" s="58"/>
      <c r="M56" s="57"/>
      <c r="N56" s="52"/>
      <c r="O56" s="52"/>
      <c r="P56" s="58"/>
      <c r="Q56" s="57"/>
      <c r="R56" s="52"/>
      <c r="S56" s="52"/>
      <c r="T56" s="52"/>
      <c r="U56" s="58"/>
      <c r="V56" s="57"/>
      <c r="W56" s="52"/>
      <c r="X56" s="52"/>
      <c r="Y56" s="58"/>
      <c r="Z56" s="57"/>
      <c r="AA56" s="52"/>
      <c r="AB56" s="52"/>
      <c r="AC56" s="58"/>
      <c r="AD56" s="57"/>
      <c r="AE56" s="52"/>
      <c r="AF56" s="52"/>
      <c r="AG56" s="58"/>
      <c r="AH56" s="57"/>
      <c r="AI56" s="52"/>
      <c r="AJ56" s="52"/>
      <c r="AK56" s="58"/>
      <c r="AL56" s="57"/>
      <c r="AM56" s="52"/>
      <c r="AN56" s="52"/>
      <c r="AO56" s="58"/>
      <c r="AP56" s="57"/>
      <c r="AQ56" s="52"/>
      <c r="AR56" s="52"/>
      <c r="AS56" s="58"/>
      <c r="AT56" s="57"/>
      <c r="AU56" s="52"/>
      <c r="AV56" s="52"/>
      <c r="AW56" s="58"/>
      <c r="AX56" s="33">
        <f t="shared" si="11"/>
        <v>0</v>
      </c>
      <c r="AY56" s="31">
        <f t="shared" si="12"/>
        <v>0</v>
      </c>
      <c r="AZ56" s="30">
        <f t="shared" si="13"/>
        <v>0</v>
      </c>
      <c r="BA56" s="34"/>
      <c r="BB56" s="34"/>
      <c r="BC56" s="34"/>
      <c r="BD56" s="76"/>
      <c r="BE56" s="34"/>
      <c r="BF56" s="34"/>
      <c r="BG56" s="34"/>
      <c r="BH56" s="34"/>
    </row>
    <row r="57" spans="1:60" s="17" customFormat="1" ht="19.5" customHeight="1" x14ac:dyDescent="0.35">
      <c r="A57" s="41">
        <f>A54</f>
        <v>45439</v>
      </c>
      <c r="B57" s="37" t="str">
        <f t="shared" si="9"/>
        <v>Omuz Çatma</v>
      </c>
      <c r="C57" s="65"/>
      <c r="D57" s="67">
        <f t="shared" si="10"/>
        <v>60</v>
      </c>
      <c r="E57" s="57"/>
      <c r="F57" s="52"/>
      <c r="G57" s="52"/>
      <c r="H57" s="58"/>
      <c r="I57" s="57"/>
      <c r="J57" s="52"/>
      <c r="K57" s="52"/>
      <c r="L57" s="58"/>
      <c r="M57" s="57"/>
      <c r="N57" s="52"/>
      <c r="O57" s="52"/>
      <c r="P57" s="58"/>
      <c r="Q57" s="57"/>
      <c r="R57" s="52"/>
      <c r="S57" s="52"/>
      <c r="T57" s="52"/>
      <c r="U57" s="58"/>
      <c r="V57" s="57"/>
      <c r="W57" s="52"/>
      <c r="X57" s="52"/>
      <c r="Y57" s="58"/>
      <c r="Z57" s="57"/>
      <c r="AA57" s="52"/>
      <c r="AB57" s="52"/>
      <c r="AC57" s="58"/>
      <c r="AD57" s="57"/>
      <c r="AE57" s="52"/>
      <c r="AF57" s="52"/>
      <c r="AG57" s="58"/>
      <c r="AH57" s="57"/>
      <c r="AI57" s="52"/>
      <c r="AJ57" s="52"/>
      <c r="AK57" s="58"/>
      <c r="AL57" s="57"/>
      <c r="AM57" s="52"/>
      <c r="AN57" s="52"/>
      <c r="AO57" s="58"/>
      <c r="AP57" s="57"/>
      <c r="AQ57" s="52"/>
      <c r="AR57" s="52"/>
      <c r="AS57" s="58"/>
      <c r="AT57" s="57"/>
      <c r="AU57" s="52"/>
      <c r="AV57" s="52"/>
      <c r="AW57" s="58"/>
      <c r="AX57" s="33">
        <f t="shared" si="11"/>
        <v>0</v>
      </c>
      <c r="AY57" s="31">
        <f t="shared" si="12"/>
        <v>0</v>
      </c>
      <c r="AZ57" s="30">
        <f t="shared" si="13"/>
        <v>0</v>
      </c>
      <c r="BA57" s="34"/>
      <c r="BB57" s="34"/>
      <c r="BC57" s="34"/>
      <c r="BD57" s="76"/>
      <c r="BE57" s="34"/>
      <c r="BF57" s="34"/>
      <c r="BG57" s="34"/>
      <c r="BH57" s="34"/>
    </row>
    <row r="58" spans="1:60" s="17" customFormat="1" ht="19.5" customHeight="1" x14ac:dyDescent="0.35">
      <c r="A58" s="41">
        <f t="shared" ref="A58:B68" si="14">A57</f>
        <v>45439</v>
      </c>
      <c r="B58" s="37" t="str">
        <f t="shared" si="9"/>
        <v>Omuz Çatma</v>
      </c>
      <c r="C58" s="65"/>
      <c r="D58" s="67">
        <f t="shared" si="10"/>
        <v>60</v>
      </c>
      <c r="E58" s="57"/>
      <c r="F58" s="52"/>
      <c r="G58" s="52"/>
      <c r="H58" s="58"/>
      <c r="I58" s="57"/>
      <c r="J58" s="52"/>
      <c r="K58" s="52"/>
      <c r="L58" s="58"/>
      <c r="M58" s="57"/>
      <c r="N58" s="52"/>
      <c r="O58" s="52"/>
      <c r="P58" s="58"/>
      <c r="Q58" s="57"/>
      <c r="R58" s="52"/>
      <c r="S58" s="52"/>
      <c r="T58" s="52"/>
      <c r="U58" s="58"/>
      <c r="V58" s="57"/>
      <c r="W58" s="52"/>
      <c r="X58" s="52"/>
      <c r="Y58" s="58"/>
      <c r="Z58" s="57"/>
      <c r="AA58" s="52"/>
      <c r="AB58" s="52"/>
      <c r="AC58" s="58"/>
      <c r="AD58" s="57"/>
      <c r="AE58" s="52"/>
      <c r="AF58" s="52"/>
      <c r="AG58" s="58"/>
      <c r="AH58" s="57"/>
      <c r="AI58" s="52"/>
      <c r="AJ58" s="52"/>
      <c r="AK58" s="58"/>
      <c r="AL58" s="57"/>
      <c r="AM58" s="52"/>
      <c r="AN58" s="52"/>
      <c r="AO58" s="58"/>
      <c r="AP58" s="57"/>
      <c r="AQ58" s="52"/>
      <c r="AR58" s="52"/>
      <c r="AS58" s="58"/>
      <c r="AT58" s="57"/>
      <c r="AU58" s="52"/>
      <c r="AV58" s="52"/>
      <c r="AW58" s="58"/>
      <c r="AX58" s="33">
        <f t="shared" si="11"/>
        <v>0</v>
      </c>
      <c r="AY58" s="31">
        <f t="shared" si="12"/>
        <v>0</v>
      </c>
      <c r="AZ58" s="30">
        <f t="shared" si="13"/>
        <v>0</v>
      </c>
      <c r="BA58" s="34"/>
      <c r="BB58" s="34"/>
      <c r="BC58" s="34"/>
      <c r="BD58" s="76"/>
      <c r="BE58" s="34"/>
      <c r="BF58" s="34"/>
      <c r="BG58" s="34"/>
      <c r="BH58" s="34"/>
    </row>
    <row r="59" spans="1:60" s="17" customFormat="1" ht="19.5" customHeight="1" thickBot="1" x14ac:dyDescent="0.4">
      <c r="A59" s="41">
        <f t="shared" si="14"/>
        <v>45439</v>
      </c>
      <c r="B59" s="37" t="str">
        <f t="shared" si="9"/>
        <v>Omuz Çatma</v>
      </c>
      <c r="C59" s="66"/>
      <c r="D59" s="67">
        <f t="shared" si="10"/>
        <v>60</v>
      </c>
      <c r="E59" s="59"/>
      <c r="F59" s="60"/>
      <c r="G59" s="61"/>
      <c r="H59" s="62"/>
      <c r="I59" s="59"/>
      <c r="J59" s="60"/>
      <c r="K59" s="61"/>
      <c r="L59" s="62"/>
      <c r="M59" s="59"/>
      <c r="N59" s="60"/>
      <c r="O59" s="61"/>
      <c r="P59" s="62"/>
      <c r="Q59" s="64"/>
      <c r="R59" s="61"/>
      <c r="S59" s="61"/>
      <c r="T59" s="61"/>
      <c r="U59" s="62"/>
      <c r="V59" s="59"/>
      <c r="W59" s="60"/>
      <c r="X59" s="61"/>
      <c r="Y59" s="62"/>
      <c r="Z59" s="59"/>
      <c r="AA59" s="60"/>
      <c r="AB59" s="61"/>
      <c r="AC59" s="62"/>
      <c r="AD59" s="59"/>
      <c r="AE59" s="60"/>
      <c r="AF59" s="61"/>
      <c r="AG59" s="62"/>
      <c r="AH59" s="59"/>
      <c r="AI59" s="60"/>
      <c r="AJ59" s="61"/>
      <c r="AK59" s="62"/>
      <c r="AL59" s="59"/>
      <c r="AM59" s="60"/>
      <c r="AN59" s="61"/>
      <c r="AO59" s="62"/>
      <c r="AP59" s="59"/>
      <c r="AQ59" s="60"/>
      <c r="AR59" s="61"/>
      <c r="AS59" s="62"/>
      <c r="AT59" s="59"/>
      <c r="AU59" s="60"/>
      <c r="AV59" s="61"/>
      <c r="AW59" s="62"/>
      <c r="AX59" s="33">
        <f t="shared" si="11"/>
        <v>0</v>
      </c>
      <c r="AY59" s="31">
        <f t="shared" si="12"/>
        <v>0</v>
      </c>
      <c r="AZ59" s="30">
        <f t="shared" si="13"/>
        <v>0</v>
      </c>
      <c r="BA59" s="34"/>
      <c r="BB59" s="34"/>
      <c r="BC59" s="34"/>
      <c r="BD59" s="76"/>
      <c r="BE59" s="34"/>
      <c r="BF59" s="34"/>
      <c r="BG59" s="34"/>
      <c r="BH59" s="34"/>
    </row>
    <row r="60" spans="1:60" s="17" customFormat="1" ht="19.5" customHeight="1" thickBot="1" x14ac:dyDescent="0.45">
      <c r="A60" s="41">
        <f t="shared" si="14"/>
        <v>45439</v>
      </c>
      <c r="B60" s="139" t="str">
        <f>B53</f>
        <v>Omuz Çatma</v>
      </c>
      <c r="C60" s="140"/>
      <c r="D60" s="40">
        <f>C6/8</f>
        <v>500</v>
      </c>
      <c r="E60" s="147">
        <f>SUM(E53:H59)</f>
        <v>0</v>
      </c>
      <c r="F60" s="148"/>
      <c r="G60" s="148"/>
      <c r="H60" s="149"/>
      <c r="I60" s="147">
        <f>SUM(I53:L59)</f>
        <v>0</v>
      </c>
      <c r="J60" s="148"/>
      <c r="K60" s="148"/>
      <c r="L60" s="149"/>
      <c r="M60" s="147">
        <f>SUM(M53:P59)</f>
        <v>0</v>
      </c>
      <c r="N60" s="148"/>
      <c r="O60" s="148"/>
      <c r="P60" s="149"/>
      <c r="Q60" s="147">
        <f>SUM(Q53:U59)</f>
        <v>0</v>
      </c>
      <c r="R60" s="148"/>
      <c r="S60" s="148"/>
      <c r="T60" s="148"/>
      <c r="U60" s="149"/>
      <c r="V60" s="147">
        <f>SUM(V53:Y59)</f>
        <v>0</v>
      </c>
      <c r="W60" s="148"/>
      <c r="X60" s="148"/>
      <c r="Y60" s="149"/>
      <c r="Z60" s="147">
        <f>SUM(Z53:AC59)</f>
        <v>0</v>
      </c>
      <c r="AA60" s="148"/>
      <c r="AB60" s="148"/>
      <c r="AC60" s="149"/>
      <c r="AD60" s="147">
        <f>SUM(AD53:AG59)</f>
        <v>0</v>
      </c>
      <c r="AE60" s="148"/>
      <c r="AF60" s="148"/>
      <c r="AG60" s="149"/>
      <c r="AH60" s="147">
        <f>SUM(AH53:AK59)</f>
        <v>0</v>
      </c>
      <c r="AI60" s="148"/>
      <c r="AJ60" s="148"/>
      <c r="AK60" s="149"/>
      <c r="AL60" s="147">
        <f>SUM(AL53:AO59)</f>
        <v>0</v>
      </c>
      <c r="AM60" s="148"/>
      <c r="AN60" s="148"/>
      <c r="AO60" s="149"/>
      <c r="AP60" s="147">
        <f>SUM(AP53:AS59)</f>
        <v>0</v>
      </c>
      <c r="AQ60" s="148"/>
      <c r="AR60" s="148"/>
      <c r="AS60" s="149"/>
      <c r="AT60" s="147">
        <f>SUM(AT53:AW59)</f>
        <v>0</v>
      </c>
      <c r="AU60" s="148"/>
      <c r="AV60" s="148"/>
      <c r="AW60" s="149"/>
      <c r="AX60" s="87">
        <f>SUM(AX53:AX59)</f>
        <v>0</v>
      </c>
      <c r="AY60" s="88">
        <f>IFERROR(AVERAGEIF(E60:AV60,"&lt;&gt;0",(E60:AV60)),)</f>
        <v>0</v>
      </c>
      <c r="AZ60" s="46">
        <f>IFERROR(AX60/BB54,0)</f>
        <v>0</v>
      </c>
      <c r="BA60" s="34"/>
      <c r="BB60" s="34"/>
      <c r="BC60" s="34"/>
      <c r="BD60" s="76"/>
      <c r="BE60" s="34"/>
      <c r="BF60" s="34"/>
      <c r="BG60" s="34"/>
      <c r="BH60" s="34"/>
    </row>
    <row r="61" spans="1:60" s="17" customFormat="1" ht="19.5" customHeight="1" thickBot="1" x14ac:dyDescent="0.4">
      <c r="A61" s="42">
        <f t="shared" si="14"/>
        <v>45439</v>
      </c>
      <c r="B61" s="38" t="str">
        <f>B62</f>
        <v>Yaka Takma</v>
      </c>
      <c r="C61" s="39" t="s">
        <v>180</v>
      </c>
      <c r="D61" s="69" t="s">
        <v>181</v>
      </c>
      <c r="E61" s="48">
        <v>0.34375</v>
      </c>
      <c r="F61" s="49">
        <v>0.35416666666666669</v>
      </c>
      <c r="G61" s="49">
        <v>0.36458333333333331</v>
      </c>
      <c r="H61" s="50">
        <v>0.375</v>
      </c>
      <c r="I61" s="48">
        <v>0.38541666666666702</v>
      </c>
      <c r="J61" s="49">
        <v>0.39583333333333298</v>
      </c>
      <c r="K61" s="49">
        <v>0.40625</v>
      </c>
      <c r="L61" s="50">
        <v>0.41666666666666702</v>
      </c>
      <c r="M61" s="48">
        <v>0.4375</v>
      </c>
      <c r="N61" s="49">
        <v>0.44791666666666702</v>
      </c>
      <c r="O61" s="49">
        <v>0.45833333333333398</v>
      </c>
      <c r="P61" s="50">
        <v>0.46875</v>
      </c>
      <c r="Q61" s="48">
        <v>0.47916666666666702</v>
      </c>
      <c r="R61" s="49">
        <v>0.48958333333333398</v>
      </c>
      <c r="S61" s="49">
        <v>0.5</v>
      </c>
      <c r="T61" s="50">
        <v>0.51041666666666696</v>
      </c>
      <c r="U61" s="51">
        <v>0.52083333333333204</v>
      </c>
      <c r="V61" s="48">
        <v>0.5625</v>
      </c>
      <c r="W61" s="49">
        <v>0.57291666666666663</v>
      </c>
      <c r="X61" s="49">
        <v>0.58333333333333304</v>
      </c>
      <c r="Y61" s="50">
        <v>0.59375</v>
      </c>
      <c r="Z61" s="48">
        <v>0.60416666666666696</v>
      </c>
      <c r="AA61" s="49">
        <v>0.61458333333333304</v>
      </c>
      <c r="AB61" s="49">
        <v>0.625</v>
      </c>
      <c r="AC61" s="50">
        <v>0.63541666666666596</v>
      </c>
      <c r="AD61" s="48">
        <v>0.65625</v>
      </c>
      <c r="AE61" s="49">
        <v>0.66666666666666663</v>
      </c>
      <c r="AF61" s="49">
        <v>0.67708333333333304</v>
      </c>
      <c r="AG61" s="50">
        <v>0.6875</v>
      </c>
      <c r="AH61" s="48">
        <v>0.69791666666666696</v>
      </c>
      <c r="AI61" s="49">
        <v>0.70833333333333304</v>
      </c>
      <c r="AJ61" s="49">
        <v>0.71875</v>
      </c>
      <c r="AK61" s="50">
        <v>0.72916666666666696</v>
      </c>
      <c r="AL61" s="48">
        <v>0.73958333333333404</v>
      </c>
      <c r="AM61" s="49">
        <v>0.750000000000001</v>
      </c>
      <c r="AN61" s="49">
        <v>0.76041666666666796</v>
      </c>
      <c r="AO61" s="50">
        <v>0.77083333333333504</v>
      </c>
      <c r="AP61" s="48">
        <v>0.781250000000002</v>
      </c>
      <c r="AQ61" s="49">
        <v>0.79166666666666896</v>
      </c>
      <c r="AR61" s="49">
        <v>0.80208333333333603</v>
      </c>
      <c r="AS61" s="50">
        <v>0.812500000000003</v>
      </c>
      <c r="AT61" s="48">
        <v>0.82291666666666996</v>
      </c>
      <c r="AU61" s="49">
        <v>0.83333333333333703</v>
      </c>
      <c r="AV61" s="49">
        <v>0.843750000000004</v>
      </c>
      <c r="AW61" s="50">
        <v>0.85416666666666663</v>
      </c>
      <c r="AX61" s="68" t="s">
        <v>260</v>
      </c>
      <c r="AY61" s="28" t="s">
        <v>261</v>
      </c>
      <c r="AZ61" s="29" t="s">
        <v>262</v>
      </c>
      <c r="BA61" s="136" t="str">
        <f>B62</f>
        <v>Yaka Takma</v>
      </c>
      <c r="BB61" s="137"/>
      <c r="BC61" s="137"/>
      <c r="BD61" s="137"/>
      <c r="BE61" s="137"/>
      <c r="BF61" s="137"/>
      <c r="BG61" s="137"/>
      <c r="BH61" s="138"/>
    </row>
    <row r="62" spans="1:60" s="17" customFormat="1" ht="19.5" customHeight="1" thickBot="1" x14ac:dyDescent="0.4">
      <c r="A62" s="41">
        <f t="shared" si="14"/>
        <v>45439</v>
      </c>
      <c r="B62" s="37" t="s">
        <v>9</v>
      </c>
      <c r="C62" s="65"/>
      <c r="D62" s="71">
        <v>70</v>
      </c>
      <c r="E62" s="53"/>
      <c r="F62" s="54"/>
      <c r="G62" s="55"/>
      <c r="H62" s="56"/>
      <c r="I62" s="53"/>
      <c r="J62" s="54"/>
      <c r="K62" s="55"/>
      <c r="L62" s="56"/>
      <c r="M62" s="53"/>
      <c r="N62" s="54"/>
      <c r="O62" s="55"/>
      <c r="P62" s="56"/>
      <c r="Q62" s="63"/>
      <c r="R62" s="55"/>
      <c r="S62" s="55"/>
      <c r="T62" s="55"/>
      <c r="U62" s="56"/>
      <c r="V62" s="53"/>
      <c r="W62" s="54"/>
      <c r="X62" s="55"/>
      <c r="Y62" s="56"/>
      <c r="Z62" s="53"/>
      <c r="AA62" s="54"/>
      <c r="AB62" s="55"/>
      <c r="AC62" s="56"/>
      <c r="AD62" s="63"/>
      <c r="AE62" s="55"/>
      <c r="AF62" s="55"/>
      <c r="AG62" s="56"/>
      <c r="AH62" s="63"/>
      <c r="AI62" s="55"/>
      <c r="AJ62" s="55"/>
      <c r="AK62" s="56"/>
      <c r="AL62" s="63"/>
      <c r="AM62" s="55"/>
      <c r="AN62" s="55"/>
      <c r="AO62" s="56"/>
      <c r="AP62" s="53"/>
      <c r="AQ62" s="54"/>
      <c r="AR62" s="55"/>
      <c r="AS62" s="56"/>
      <c r="AT62" s="53"/>
      <c r="AU62" s="54"/>
      <c r="AV62" s="55"/>
      <c r="AW62" s="56"/>
      <c r="AX62" s="33">
        <f>SUM(E62:AW62)</f>
        <v>0</v>
      </c>
      <c r="AY62" s="31">
        <f>IFERROR(AVERAGEIF(E62:AW62,"&lt;&gt;0",(E62:AW62)),)</f>
        <v>0</v>
      </c>
      <c r="AZ62" s="30">
        <f>IFERROR(AY62/D62,0)</f>
        <v>0</v>
      </c>
      <c r="BA62" s="104" t="s">
        <v>182</v>
      </c>
      <c r="BB62" s="100" t="s">
        <v>183</v>
      </c>
      <c r="BC62" s="100" t="s">
        <v>184</v>
      </c>
      <c r="BD62" s="101" t="s">
        <v>185</v>
      </c>
      <c r="BE62" s="100" t="s">
        <v>186</v>
      </c>
      <c r="BF62" s="102" t="s">
        <v>187</v>
      </c>
      <c r="BG62" s="100" t="s">
        <v>188</v>
      </c>
      <c r="BH62" s="102" t="s">
        <v>189</v>
      </c>
    </row>
    <row r="63" spans="1:60" s="17" customFormat="1" ht="19.5" customHeight="1" thickBot="1" x14ac:dyDescent="0.4">
      <c r="A63" s="41">
        <f t="shared" si="14"/>
        <v>45439</v>
      </c>
      <c r="B63" s="37" t="str">
        <f t="shared" si="14"/>
        <v>Yaka Takma</v>
      </c>
      <c r="C63" s="65"/>
      <c r="D63" s="67">
        <f t="shared" ref="D63:D68" si="15">D62</f>
        <v>70</v>
      </c>
      <c r="E63" s="57"/>
      <c r="F63" s="52"/>
      <c r="G63" s="52"/>
      <c r="H63" s="58"/>
      <c r="I63" s="57"/>
      <c r="J63" s="52"/>
      <c r="K63" s="52"/>
      <c r="L63" s="58"/>
      <c r="M63" s="57"/>
      <c r="N63" s="52"/>
      <c r="O63" s="52"/>
      <c r="P63" s="58"/>
      <c r="Q63" s="57"/>
      <c r="R63" s="52"/>
      <c r="S63" s="52"/>
      <c r="T63" s="52"/>
      <c r="U63" s="58"/>
      <c r="V63" s="57"/>
      <c r="W63" s="52"/>
      <c r="X63" s="52"/>
      <c r="Y63" s="58"/>
      <c r="Z63" s="57"/>
      <c r="AA63" s="52"/>
      <c r="AB63" s="52"/>
      <c r="AC63" s="58"/>
      <c r="AD63" s="57"/>
      <c r="AE63" s="52"/>
      <c r="AF63" s="52"/>
      <c r="AG63" s="58"/>
      <c r="AH63" s="57"/>
      <c r="AI63" s="52"/>
      <c r="AJ63" s="52"/>
      <c r="AK63" s="58"/>
      <c r="AL63" s="57"/>
      <c r="AM63" s="52"/>
      <c r="AN63" s="52"/>
      <c r="AO63" s="58"/>
      <c r="AP63" s="57"/>
      <c r="AQ63" s="52"/>
      <c r="AR63" s="52"/>
      <c r="AS63" s="58"/>
      <c r="AT63" s="57"/>
      <c r="AU63" s="52"/>
      <c r="AV63" s="52"/>
      <c r="AW63" s="58"/>
      <c r="AX63" s="33">
        <f t="shared" ref="AX63:AX68" si="16">SUM(E63:AW63)</f>
        <v>0</v>
      </c>
      <c r="AY63" s="31">
        <f t="shared" ref="AY63:AY68" si="17">IFERROR(AVERAGEIF(E63:AW63,"&lt;&gt;0",(E63:AW63)),)</f>
        <v>0</v>
      </c>
      <c r="AZ63" s="30">
        <f t="shared" ref="AZ63:AZ68" si="18">IFERROR(AY63/D63,0)</f>
        <v>0</v>
      </c>
      <c r="BA63" s="94">
        <f>AX69</f>
        <v>0</v>
      </c>
      <c r="BB63" s="95">
        <f>(D69*8)</f>
        <v>4000</v>
      </c>
      <c r="BC63" s="96">
        <f>C5-BA63</f>
        <v>42311</v>
      </c>
      <c r="BD63" s="96">
        <f>BA54-BA63</f>
        <v>0</v>
      </c>
      <c r="BE63" s="97">
        <f>IFERROR(BC63/E69,0)</f>
        <v>0</v>
      </c>
      <c r="BF63" s="98">
        <f>IFERROR(BE63/9,0)</f>
        <v>0</v>
      </c>
      <c r="BG63" s="97">
        <f>IFERROR(BC63/AY69,0)</f>
        <v>0</v>
      </c>
      <c r="BH63" s="97">
        <f>IFERROR(BG63/9,0)</f>
        <v>0</v>
      </c>
    </row>
    <row r="64" spans="1:60" s="17" customFormat="1" ht="19.5" customHeight="1" x14ac:dyDescent="0.35">
      <c r="A64" s="41">
        <f t="shared" si="14"/>
        <v>45439</v>
      </c>
      <c r="B64" s="37" t="str">
        <f t="shared" si="14"/>
        <v>Yaka Takma</v>
      </c>
      <c r="C64" s="65"/>
      <c r="D64" s="67">
        <f t="shared" si="15"/>
        <v>70</v>
      </c>
      <c r="E64" s="57"/>
      <c r="F64" s="52"/>
      <c r="G64" s="52"/>
      <c r="H64" s="58"/>
      <c r="I64" s="57"/>
      <c r="J64" s="52"/>
      <c r="K64" s="52"/>
      <c r="L64" s="58"/>
      <c r="M64" s="57"/>
      <c r="N64" s="52"/>
      <c r="O64" s="52"/>
      <c r="P64" s="58"/>
      <c r="Q64" s="57"/>
      <c r="R64" s="52"/>
      <c r="S64" s="52"/>
      <c r="T64" s="52"/>
      <c r="U64" s="58"/>
      <c r="V64" s="57"/>
      <c r="W64" s="52"/>
      <c r="X64" s="52"/>
      <c r="Y64" s="58"/>
      <c r="Z64" s="57"/>
      <c r="AA64" s="52"/>
      <c r="AB64" s="52"/>
      <c r="AC64" s="58"/>
      <c r="AD64" s="57"/>
      <c r="AE64" s="52"/>
      <c r="AF64" s="52"/>
      <c r="AG64" s="58"/>
      <c r="AH64" s="57"/>
      <c r="AI64" s="52"/>
      <c r="AJ64" s="52"/>
      <c r="AK64" s="58"/>
      <c r="AL64" s="57"/>
      <c r="AM64" s="52"/>
      <c r="AN64" s="52"/>
      <c r="AO64" s="58"/>
      <c r="AP64" s="57"/>
      <c r="AQ64" s="52"/>
      <c r="AR64" s="52"/>
      <c r="AS64" s="58"/>
      <c r="AT64" s="57"/>
      <c r="AU64" s="52"/>
      <c r="AV64" s="52"/>
      <c r="AW64" s="58"/>
      <c r="AX64" s="33">
        <f t="shared" si="16"/>
        <v>0</v>
      </c>
      <c r="AY64" s="31">
        <f t="shared" si="17"/>
        <v>0</v>
      </c>
      <c r="AZ64" s="30">
        <f t="shared" si="18"/>
        <v>0</v>
      </c>
      <c r="BA64" s="34"/>
      <c r="BB64" s="34"/>
      <c r="BC64" s="34"/>
      <c r="BD64" s="76"/>
      <c r="BE64" s="34"/>
      <c r="BF64" s="34"/>
      <c r="BG64" s="34"/>
      <c r="BH64" s="34"/>
    </row>
    <row r="65" spans="1:60" s="17" customFormat="1" ht="19.5" customHeight="1" x14ac:dyDescent="0.35">
      <c r="A65" s="41">
        <f t="shared" si="14"/>
        <v>45439</v>
      </c>
      <c r="B65" s="37" t="str">
        <f t="shared" si="14"/>
        <v>Yaka Takma</v>
      </c>
      <c r="C65" s="65"/>
      <c r="D65" s="67">
        <f t="shared" si="15"/>
        <v>70</v>
      </c>
      <c r="E65" s="57"/>
      <c r="F65" s="52"/>
      <c r="G65" s="52"/>
      <c r="H65" s="58"/>
      <c r="I65" s="57"/>
      <c r="J65" s="52"/>
      <c r="K65" s="52"/>
      <c r="L65" s="58"/>
      <c r="M65" s="57"/>
      <c r="N65" s="52"/>
      <c r="O65" s="52"/>
      <c r="P65" s="58"/>
      <c r="Q65" s="57"/>
      <c r="R65" s="52"/>
      <c r="S65" s="52"/>
      <c r="T65" s="52"/>
      <c r="U65" s="58"/>
      <c r="V65" s="57"/>
      <c r="W65" s="52"/>
      <c r="X65" s="52"/>
      <c r="Y65" s="58"/>
      <c r="Z65" s="57"/>
      <c r="AA65" s="52"/>
      <c r="AB65" s="52"/>
      <c r="AC65" s="58"/>
      <c r="AD65" s="57"/>
      <c r="AE65" s="52"/>
      <c r="AF65" s="52"/>
      <c r="AG65" s="58"/>
      <c r="AH65" s="57"/>
      <c r="AI65" s="52"/>
      <c r="AJ65" s="52"/>
      <c r="AK65" s="58"/>
      <c r="AL65" s="57"/>
      <c r="AM65" s="52"/>
      <c r="AN65" s="52"/>
      <c r="AO65" s="58"/>
      <c r="AP65" s="57"/>
      <c r="AQ65" s="52"/>
      <c r="AR65" s="52"/>
      <c r="AS65" s="58"/>
      <c r="AT65" s="57"/>
      <c r="AU65" s="52"/>
      <c r="AV65" s="52"/>
      <c r="AW65" s="58"/>
      <c r="AX65" s="33">
        <f t="shared" si="16"/>
        <v>0</v>
      </c>
      <c r="AY65" s="31">
        <f t="shared" si="17"/>
        <v>0</v>
      </c>
      <c r="AZ65" s="30">
        <f t="shared" si="18"/>
        <v>0</v>
      </c>
      <c r="BA65" s="34"/>
      <c r="BB65" s="34"/>
      <c r="BC65" s="34"/>
      <c r="BD65" s="76"/>
      <c r="BE65" s="34"/>
      <c r="BF65" s="34"/>
      <c r="BG65" s="34"/>
      <c r="BH65" s="34"/>
    </row>
    <row r="66" spans="1:60" s="17" customFormat="1" ht="19.5" customHeight="1" x14ac:dyDescent="0.35">
      <c r="A66" s="41">
        <f>A63</f>
        <v>45439</v>
      </c>
      <c r="B66" s="37" t="str">
        <f t="shared" si="14"/>
        <v>Yaka Takma</v>
      </c>
      <c r="C66" s="65"/>
      <c r="D66" s="67">
        <f t="shared" si="15"/>
        <v>70</v>
      </c>
      <c r="E66" s="57"/>
      <c r="F66" s="52"/>
      <c r="G66" s="52"/>
      <c r="H66" s="58"/>
      <c r="I66" s="57"/>
      <c r="J66" s="52"/>
      <c r="K66" s="52"/>
      <c r="L66" s="58"/>
      <c r="M66" s="57"/>
      <c r="N66" s="52"/>
      <c r="O66" s="52"/>
      <c r="P66" s="58"/>
      <c r="Q66" s="57"/>
      <c r="R66" s="52"/>
      <c r="S66" s="52"/>
      <c r="T66" s="52"/>
      <c r="U66" s="58"/>
      <c r="V66" s="57"/>
      <c r="W66" s="52"/>
      <c r="X66" s="52"/>
      <c r="Y66" s="58"/>
      <c r="Z66" s="57"/>
      <c r="AA66" s="52"/>
      <c r="AB66" s="52"/>
      <c r="AC66" s="58"/>
      <c r="AD66" s="57"/>
      <c r="AE66" s="52"/>
      <c r="AF66" s="52"/>
      <c r="AG66" s="58"/>
      <c r="AH66" s="57"/>
      <c r="AI66" s="52"/>
      <c r="AJ66" s="52"/>
      <c r="AK66" s="58"/>
      <c r="AL66" s="57"/>
      <c r="AM66" s="52"/>
      <c r="AN66" s="52"/>
      <c r="AO66" s="58"/>
      <c r="AP66" s="57"/>
      <c r="AQ66" s="52"/>
      <c r="AR66" s="52"/>
      <c r="AS66" s="58"/>
      <c r="AT66" s="57"/>
      <c r="AU66" s="52"/>
      <c r="AV66" s="52"/>
      <c r="AW66" s="58"/>
      <c r="AX66" s="33">
        <f t="shared" si="16"/>
        <v>0</v>
      </c>
      <c r="AY66" s="31">
        <f t="shared" si="17"/>
        <v>0</v>
      </c>
      <c r="AZ66" s="30">
        <f t="shared" si="18"/>
        <v>0</v>
      </c>
      <c r="BA66" s="34"/>
      <c r="BB66" s="34"/>
      <c r="BC66" s="34"/>
      <c r="BD66" s="76"/>
      <c r="BE66" s="34"/>
      <c r="BF66" s="34"/>
      <c r="BG66" s="34"/>
      <c r="BH66" s="34"/>
    </row>
    <row r="67" spans="1:60" s="17" customFormat="1" ht="19.5" customHeight="1" x14ac:dyDescent="0.35">
      <c r="A67" s="41">
        <f t="shared" ref="A67:B77" si="19">A66</f>
        <v>45439</v>
      </c>
      <c r="B67" s="37" t="str">
        <f t="shared" si="14"/>
        <v>Yaka Takma</v>
      </c>
      <c r="C67" s="65"/>
      <c r="D67" s="67">
        <f t="shared" si="15"/>
        <v>70</v>
      </c>
      <c r="E67" s="57"/>
      <c r="F67" s="52"/>
      <c r="G67" s="52"/>
      <c r="H67" s="58"/>
      <c r="I67" s="57"/>
      <c r="J67" s="52"/>
      <c r="K67" s="52"/>
      <c r="L67" s="58"/>
      <c r="M67" s="57"/>
      <c r="N67" s="52"/>
      <c r="O67" s="52"/>
      <c r="P67" s="58"/>
      <c r="Q67" s="57"/>
      <c r="R67" s="52"/>
      <c r="S67" s="52"/>
      <c r="T67" s="52"/>
      <c r="U67" s="58"/>
      <c r="V67" s="57"/>
      <c r="W67" s="52"/>
      <c r="X67" s="52"/>
      <c r="Y67" s="58"/>
      <c r="Z67" s="57"/>
      <c r="AA67" s="52"/>
      <c r="AB67" s="52"/>
      <c r="AC67" s="58"/>
      <c r="AD67" s="57"/>
      <c r="AE67" s="52"/>
      <c r="AF67" s="52"/>
      <c r="AG67" s="58"/>
      <c r="AH67" s="57"/>
      <c r="AI67" s="52"/>
      <c r="AJ67" s="52"/>
      <c r="AK67" s="58"/>
      <c r="AL67" s="57"/>
      <c r="AM67" s="52"/>
      <c r="AN67" s="52"/>
      <c r="AO67" s="58"/>
      <c r="AP67" s="57"/>
      <c r="AQ67" s="52"/>
      <c r="AR67" s="52"/>
      <c r="AS67" s="58"/>
      <c r="AT67" s="57"/>
      <c r="AU67" s="52"/>
      <c r="AV67" s="52"/>
      <c r="AW67" s="58"/>
      <c r="AX67" s="33">
        <f t="shared" si="16"/>
        <v>0</v>
      </c>
      <c r="AY67" s="31">
        <f t="shared" si="17"/>
        <v>0</v>
      </c>
      <c r="AZ67" s="30">
        <f t="shared" si="18"/>
        <v>0</v>
      </c>
      <c r="BA67" s="34"/>
      <c r="BB67" s="34"/>
      <c r="BC67" s="34"/>
      <c r="BD67" s="76"/>
      <c r="BE67" s="34"/>
      <c r="BF67" s="34"/>
      <c r="BG67" s="34"/>
      <c r="BH67" s="34"/>
    </row>
    <row r="68" spans="1:60" s="17" customFormat="1" ht="19.5" customHeight="1" thickBot="1" x14ac:dyDescent="0.4">
      <c r="A68" s="41">
        <f t="shared" si="19"/>
        <v>45439</v>
      </c>
      <c r="B68" s="37" t="str">
        <f t="shared" si="14"/>
        <v>Yaka Takma</v>
      </c>
      <c r="C68" s="66"/>
      <c r="D68" s="67">
        <f t="shared" si="15"/>
        <v>70</v>
      </c>
      <c r="E68" s="59"/>
      <c r="F68" s="60"/>
      <c r="G68" s="61"/>
      <c r="H68" s="62"/>
      <c r="I68" s="59"/>
      <c r="J68" s="60"/>
      <c r="K68" s="61"/>
      <c r="L68" s="62"/>
      <c r="M68" s="59"/>
      <c r="N68" s="60"/>
      <c r="O68" s="61"/>
      <c r="P68" s="62"/>
      <c r="Q68" s="64"/>
      <c r="R68" s="61"/>
      <c r="S68" s="61"/>
      <c r="T68" s="61"/>
      <c r="U68" s="62"/>
      <c r="V68" s="59"/>
      <c r="W68" s="60"/>
      <c r="X68" s="61"/>
      <c r="Y68" s="62"/>
      <c r="Z68" s="59"/>
      <c r="AA68" s="60"/>
      <c r="AB68" s="61"/>
      <c r="AC68" s="62"/>
      <c r="AD68" s="59"/>
      <c r="AE68" s="60"/>
      <c r="AF68" s="61"/>
      <c r="AG68" s="62"/>
      <c r="AH68" s="59"/>
      <c r="AI68" s="60"/>
      <c r="AJ68" s="61"/>
      <c r="AK68" s="62"/>
      <c r="AL68" s="59"/>
      <c r="AM68" s="60"/>
      <c r="AN68" s="61"/>
      <c r="AO68" s="62"/>
      <c r="AP68" s="59"/>
      <c r="AQ68" s="60"/>
      <c r="AR68" s="61"/>
      <c r="AS68" s="62"/>
      <c r="AT68" s="59"/>
      <c r="AU68" s="60"/>
      <c r="AV68" s="61"/>
      <c r="AW68" s="62"/>
      <c r="AX68" s="33">
        <f t="shared" si="16"/>
        <v>0</v>
      </c>
      <c r="AY68" s="31">
        <f t="shared" si="17"/>
        <v>0</v>
      </c>
      <c r="AZ68" s="30">
        <f t="shared" si="18"/>
        <v>0</v>
      </c>
      <c r="BA68" s="34"/>
      <c r="BB68" s="34"/>
      <c r="BC68" s="34"/>
      <c r="BD68" s="76"/>
      <c r="BE68" s="34"/>
      <c r="BF68" s="34"/>
      <c r="BG68" s="34"/>
      <c r="BH68" s="34"/>
    </row>
    <row r="69" spans="1:60" s="17" customFormat="1" ht="19.5" customHeight="1" thickBot="1" x14ac:dyDescent="0.45">
      <c r="A69" s="41">
        <f t="shared" si="19"/>
        <v>45439</v>
      </c>
      <c r="B69" s="139" t="str">
        <f>B62</f>
        <v>Yaka Takma</v>
      </c>
      <c r="C69" s="140"/>
      <c r="D69" s="40">
        <f>C6/8</f>
        <v>500</v>
      </c>
      <c r="E69" s="147">
        <f>SUM(E62:H68)</f>
        <v>0</v>
      </c>
      <c r="F69" s="148"/>
      <c r="G69" s="148"/>
      <c r="H69" s="149"/>
      <c r="I69" s="147">
        <f>SUM(I62:L68)</f>
        <v>0</v>
      </c>
      <c r="J69" s="148"/>
      <c r="K69" s="148"/>
      <c r="L69" s="149"/>
      <c r="M69" s="147">
        <f>SUM(M62:P68)</f>
        <v>0</v>
      </c>
      <c r="N69" s="148"/>
      <c r="O69" s="148"/>
      <c r="P69" s="149"/>
      <c r="Q69" s="147">
        <f>SUM(Q62:U68)</f>
        <v>0</v>
      </c>
      <c r="R69" s="148"/>
      <c r="S69" s="148"/>
      <c r="T69" s="148"/>
      <c r="U69" s="149"/>
      <c r="V69" s="147">
        <f>SUM(V62:Y68)</f>
        <v>0</v>
      </c>
      <c r="W69" s="148"/>
      <c r="X69" s="148"/>
      <c r="Y69" s="149"/>
      <c r="Z69" s="147">
        <f>SUM(Z62:AC68)</f>
        <v>0</v>
      </c>
      <c r="AA69" s="148"/>
      <c r="AB69" s="148"/>
      <c r="AC69" s="149"/>
      <c r="AD69" s="147">
        <f>SUM(AD62:AG68)</f>
        <v>0</v>
      </c>
      <c r="AE69" s="148"/>
      <c r="AF69" s="148"/>
      <c r="AG69" s="149"/>
      <c r="AH69" s="147">
        <f>SUM(AH62:AK68)</f>
        <v>0</v>
      </c>
      <c r="AI69" s="148"/>
      <c r="AJ69" s="148"/>
      <c r="AK69" s="149"/>
      <c r="AL69" s="147">
        <f>SUM(AL62:AO68)</f>
        <v>0</v>
      </c>
      <c r="AM69" s="148"/>
      <c r="AN69" s="148"/>
      <c r="AO69" s="149"/>
      <c r="AP69" s="147">
        <f>SUM(AP62:AS68)</f>
        <v>0</v>
      </c>
      <c r="AQ69" s="148"/>
      <c r="AR69" s="148"/>
      <c r="AS69" s="149"/>
      <c r="AT69" s="147">
        <f>SUM(AT62:AW68)</f>
        <v>0</v>
      </c>
      <c r="AU69" s="148"/>
      <c r="AV69" s="148"/>
      <c r="AW69" s="149"/>
      <c r="AX69" s="87">
        <f>SUM(AX62:AX68)</f>
        <v>0</v>
      </c>
      <c r="AY69" s="88">
        <f>IFERROR(AVERAGEIF(E69:AV69,"&lt;&gt;0",(E69:AV69)),)</f>
        <v>0</v>
      </c>
      <c r="AZ69" s="46">
        <f>IFERROR(AX69/BB63,0)</f>
        <v>0</v>
      </c>
      <c r="BA69" s="34"/>
      <c r="BB69" s="34"/>
      <c r="BC69" s="34"/>
      <c r="BD69" s="76"/>
      <c r="BE69" s="34"/>
      <c r="BF69" s="34"/>
      <c r="BG69" s="34"/>
      <c r="BH69" s="34"/>
    </row>
    <row r="70" spans="1:60" s="17" customFormat="1" ht="19.5" customHeight="1" thickBot="1" x14ac:dyDescent="0.4">
      <c r="A70" s="42">
        <f t="shared" si="19"/>
        <v>45439</v>
      </c>
      <c r="B70" s="38" t="str">
        <f>B71</f>
        <v>Ense Biye</v>
      </c>
      <c r="C70" s="39" t="s">
        <v>180</v>
      </c>
      <c r="D70" s="69" t="s">
        <v>181</v>
      </c>
      <c r="E70" s="48">
        <v>0.34375</v>
      </c>
      <c r="F70" s="49">
        <v>0.35416666666666669</v>
      </c>
      <c r="G70" s="49">
        <v>0.36458333333333331</v>
      </c>
      <c r="H70" s="50">
        <v>0.375</v>
      </c>
      <c r="I70" s="48">
        <v>0.38541666666666702</v>
      </c>
      <c r="J70" s="49">
        <v>0.39583333333333298</v>
      </c>
      <c r="K70" s="49">
        <v>0.40625</v>
      </c>
      <c r="L70" s="50">
        <v>0.41666666666666702</v>
      </c>
      <c r="M70" s="48">
        <v>0.4375</v>
      </c>
      <c r="N70" s="49">
        <v>0.44791666666666702</v>
      </c>
      <c r="O70" s="49">
        <v>0.45833333333333398</v>
      </c>
      <c r="P70" s="50">
        <v>0.46875</v>
      </c>
      <c r="Q70" s="48">
        <v>0.47916666666666702</v>
      </c>
      <c r="R70" s="49">
        <v>0.48958333333333398</v>
      </c>
      <c r="S70" s="49">
        <v>0.5</v>
      </c>
      <c r="T70" s="50">
        <v>0.51041666666666696</v>
      </c>
      <c r="U70" s="51">
        <v>0.52083333333333204</v>
      </c>
      <c r="V70" s="48">
        <v>0.5625</v>
      </c>
      <c r="W70" s="49">
        <v>0.57291666666666663</v>
      </c>
      <c r="X70" s="49">
        <v>0.58333333333333304</v>
      </c>
      <c r="Y70" s="50">
        <v>0.59375</v>
      </c>
      <c r="Z70" s="48">
        <v>0.60416666666666696</v>
      </c>
      <c r="AA70" s="49">
        <v>0.61458333333333304</v>
      </c>
      <c r="AB70" s="49">
        <v>0.625</v>
      </c>
      <c r="AC70" s="50">
        <v>0.63541666666666596</v>
      </c>
      <c r="AD70" s="48">
        <v>0.65625</v>
      </c>
      <c r="AE70" s="49">
        <v>0.66666666666666663</v>
      </c>
      <c r="AF70" s="49">
        <v>0.67708333333333304</v>
      </c>
      <c r="AG70" s="50">
        <v>0.6875</v>
      </c>
      <c r="AH70" s="48">
        <v>0.69791666666666696</v>
      </c>
      <c r="AI70" s="49">
        <v>0.70833333333333304</v>
      </c>
      <c r="AJ70" s="49">
        <v>0.71875</v>
      </c>
      <c r="AK70" s="50">
        <v>0.72916666666666696</v>
      </c>
      <c r="AL70" s="48">
        <v>0.73958333333333404</v>
      </c>
      <c r="AM70" s="49">
        <v>0.750000000000001</v>
      </c>
      <c r="AN70" s="49">
        <v>0.76041666666666796</v>
      </c>
      <c r="AO70" s="50">
        <v>0.77083333333333504</v>
      </c>
      <c r="AP70" s="48">
        <v>0.781250000000002</v>
      </c>
      <c r="AQ70" s="49">
        <v>0.79166666666666896</v>
      </c>
      <c r="AR70" s="49">
        <v>0.80208333333333603</v>
      </c>
      <c r="AS70" s="50">
        <v>0.812500000000003</v>
      </c>
      <c r="AT70" s="48">
        <v>0.82291666666666996</v>
      </c>
      <c r="AU70" s="49">
        <v>0.83333333333333703</v>
      </c>
      <c r="AV70" s="49">
        <v>0.843750000000004</v>
      </c>
      <c r="AW70" s="50">
        <v>0.85416666666666663</v>
      </c>
      <c r="AX70" s="68" t="s">
        <v>260</v>
      </c>
      <c r="AY70" s="28" t="s">
        <v>261</v>
      </c>
      <c r="AZ70" s="29" t="s">
        <v>262</v>
      </c>
      <c r="BA70" s="136" t="str">
        <f>B71</f>
        <v>Ense Biye</v>
      </c>
      <c r="BB70" s="137"/>
      <c r="BC70" s="137"/>
      <c r="BD70" s="137"/>
      <c r="BE70" s="137"/>
      <c r="BF70" s="137"/>
      <c r="BG70" s="137"/>
      <c r="BH70" s="138"/>
    </row>
    <row r="71" spans="1:60" s="17" customFormat="1" ht="19.5" customHeight="1" thickBot="1" x14ac:dyDescent="0.4">
      <c r="A71" s="41">
        <f t="shared" si="19"/>
        <v>45439</v>
      </c>
      <c r="B71" s="37" t="s">
        <v>10</v>
      </c>
      <c r="C71" s="65"/>
      <c r="D71" s="71">
        <v>100</v>
      </c>
      <c r="E71" s="53"/>
      <c r="F71" s="54"/>
      <c r="G71" s="55"/>
      <c r="H71" s="56"/>
      <c r="I71" s="53"/>
      <c r="J71" s="54"/>
      <c r="K71" s="55"/>
      <c r="L71" s="56"/>
      <c r="M71" s="53"/>
      <c r="N71" s="54"/>
      <c r="O71" s="55"/>
      <c r="P71" s="56"/>
      <c r="Q71" s="63"/>
      <c r="R71" s="55"/>
      <c r="S71" s="55"/>
      <c r="T71" s="55"/>
      <c r="U71" s="56"/>
      <c r="V71" s="53"/>
      <c r="W71" s="54"/>
      <c r="X71" s="55"/>
      <c r="Y71" s="56"/>
      <c r="Z71" s="53"/>
      <c r="AA71" s="54"/>
      <c r="AB71" s="55"/>
      <c r="AC71" s="56"/>
      <c r="AD71" s="53"/>
      <c r="AE71" s="54"/>
      <c r="AF71" s="55"/>
      <c r="AG71" s="56"/>
      <c r="AH71" s="53"/>
      <c r="AI71" s="55"/>
      <c r="AJ71" s="55"/>
      <c r="AK71" s="56"/>
      <c r="AL71" s="63"/>
      <c r="AM71" s="54"/>
      <c r="AN71" s="55"/>
      <c r="AO71" s="56"/>
      <c r="AP71" s="53"/>
      <c r="AQ71" s="54"/>
      <c r="AR71" s="55"/>
      <c r="AS71" s="56"/>
      <c r="AT71" s="53"/>
      <c r="AU71" s="54"/>
      <c r="AV71" s="55"/>
      <c r="AW71" s="56"/>
      <c r="AX71" s="33">
        <f>SUM(E71:AW71)</f>
        <v>0</v>
      </c>
      <c r="AY71" s="31">
        <f>IFERROR(AVERAGEIF(E71:AW71,"&lt;&gt;0",(E71:AW71)),)</f>
        <v>0</v>
      </c>
      <c r="AZ71" s="30">
        <f>IFERROR(AY71/D71,0)</f>
        <v>0</v>
      </c>
      <c r="BA71" s="103" t="s">
        <v>182</v>
      </c>
      <c r="BB71" s="100" t="s">
        <v>183</v>
      </c>
      <c r="BC71" s="100" t="s">
        <v>184</v>
      </c>
      <c r="BD71" s="101" t="s">
        <v>185</v>
      </c>
      <c r="BE71" s="100" t="s">
        <v>186</v>
      </c>
      <c r="BF71" s="102" t="s">
        <v>187</v>
      </c>
      <c r="BG71" s="100" t="s">
        <v>188</v>
      </c>
      <c r="BH71" s="102" t="s">
        <v>189</v>
      </c>
    </row>
    <row r="72" spans="1:60" s="17" customFormat="1" ht="19.5" customHeight="1" thickBot="1" x14ac:dyDescent="0.4">
      <c r="A72" s="41">
        <f t="shared" si="19"/>
        <v>45439</v>
      </c>
      <c r="B72" s="37" t="str">
        <f t="shared" si="19"/>
        <v>Ense Biye</v>
      </c>
      <c r="C72" s="65"/>
      <c r="D72" s="67">
        <f t="shared" ref="D72:D77" si="20">D71</f>
        <v>100</v>
      </c>
      <c r="E72" s="57"/>
      <c r="F72" s="52"/>
      <c r="G72" s="52"/>
      <c r="H72" s="58"/>
      <c r="I72" s="57"/>
      <c r="J72" s="52"/>
      <c r="K72" s="52"/>
      <c r="L72" s="58"/>
      <c r="M72" s="57"/>
      <c r="N72" s="52"/>
      <c r="O72" s="52"/>
      <c r="P72" s="58"/>
      <c r="Q72" s="57"/>
      <c r="R72" s="52"/>
      <c r="S72" s="52"/>
      <c r="T72" s="52"/>
      <c r="U72" s="58"/>
      <c r="V72" s="57"/>
      <c r="W72" s="52"/>
      <c r="X72" s="52"/>
      <c r="Y72" s="58"/>
      <c r="Z72" s="57"/>
      <c r="AA72" s="52"/>
      <c r="AB72" s="52"/>
      <c r="AC72" s="58"/>
      <c r="AD72" s="57"/>
      <c r="AE72" s="52"/>
      <c r="AF72" s="52"/>
      <c r="AG72" s="58"/>
      <c r="AH72" s="57"/>
      <c r="AI72" s="52"/>
      <c r="AJ72" s="52"/>
      <c r="AK72" s="58"/>
      <c r="AL72" s="57"/>
      <c r="AM72" s="52"/>
      <c r="AN72" s="52"/>
      <c r="AO72" s="58"/>
      <c r="AP72" s="57"/>
      <c r="AQ72" s="52"/>
      <c r="AR72" s="52"/>
      <c r="AS72" s="58"/>
      <c r="AT72" s="57"/>
      <c r="AU72" s="52"/>
      <c r="AV72" s="52"/>
      <c r="AW72" s="58"/>
      <c r="AX72" s="33">
        <f t="shared" ref="AX72:AX77" si="21">SUM(E72:AW72)</f>
        <v>0</v>
      </c>
      <c r="AY72" s="31">
        <f t="shared" ref="AY72:AY77" si="22">IFERROR(AVERAGEIF(E72:AW72,"&lt;&gt;0",(E72:AW72)),)</f>
        <v>0</v>
      </c>
      <c r="AZ72" s="30">
        <f t="shared" ref="AZ72:AZ77" si="23">IFERROR(AY72/D72,0)</f>
        <v>0</v>
      </c>
      <c r="BA72" s="94">
        <f>AX78</f>
        <v>0</v>
      </c>
      <c r="BB72" s="95">
        <f>(D78*8)</f>
        <v>4000</v>
      </c>
      <c r="BC72" s="96">
        <f>C5-BA72</f>
        <v>42311</v>
      </c>
      <c r="BD72" s="96">
        <f>BA63-BA72</f>
        <v>0</v>
      </c>
      <c r="BE72" s="97">
        <f>IFERROR(BC72/E78,0)</f>
        <v>0</v>
      </c>
      <c r="BF72" s="98">
        <f>IFERROR(BE72/9,0)</f>
        <v>0</v>
      </c>
      <c r="BG72" s="97">
        <f>IFERROR(BC72/AY78,0)</f>
        <v>0</v>
      </c>
      <c r="BH72" s="97">
        <f>IFERROR(BG72/9,0)</f>
        <v>0</v>
      </c>
    </row>
    <row r="73" spans="1:60" s="17" customFormat="1" ht="19.5" customHeight="1" x14ac:dyDescent="0.35">
      <c r="A73" s="41">
        <f t="shared" si="19"/>
        <v>45439</v>
      </c>
      <c r="B73" s="37" t="str">
        <f t="shared" si="19"/>
        <v>Ense Biye</v>
      </c>
      <c r="C73" s="65"/>
      <c r="D73" s="67">
        <f t="shared" si="20"/>
        <v>100</v>
      </c>
      <c r="E73" s="57"/>
      <c r="F73" s="52"/>
      <c r="G73" s="52"/>
      <c r="H73" s="58"/>
      <c r="I73" s="57"/>
      <c r="J73" s="52"/>
      <c r="K73" s="52"/>
      <c r="L73" s="58"/>
      <c r="M73" s="57"/>
      <c r="N73" s="52"/>
      <c r="O73" s="52"/>
      <c r="P73" s="58"/>
      <c r="Q73" s="57"/>
      <c r="R73" s="52"/>
      <c r="S73" s="52"/>
      <c r="T73" s="52"/>
      <c r="U73" s="58"/>
      <c r="V73" s="57"/>
      <c r="W73" s="52"/>
      <c r="X73" s="52"/>
      <c r="Y73" s="58"/>
      <c r="Z73" s="57"/>
      <c r="AA73" s="52"/>
      <c r="AB73" s="52"/>
      <c r="AC73" s="58"/>
      <c r="AD73" s="57"/>
      <c r="AE73" s="52"/>
      <c r="AF73" s="52"/>
      <c r="AG73" s="58"/>
      <c r="AH73" s="57"/>
      <c r="AI73" s="52"/>
      <c r="AJ73" s="52"/>
      <c r="AK73" s="58"/>
      <c r="AL73" s="57"/>
      <c r="AM73" s="52"/>
      <c r="AN73" s="52"/>
      <c r="AO73" s="58"/>
      <c r="AP73" s="57"/>
      <c r="AQ73" s="52"/>
      <c r="AR73" s="52"/>
      <c r="AS73" s="58"/>
      <c r="AT73" s="57"/>
      <c r="AU73" s="52"/>
      <c r="AV73" s="52"/>
      <c r="AW73" s="58"/>
      <c r="AX73" s="33">
        <f t="shared" si="21"/>
        <v>0</v>
      </c>
      <c r="AY73" s="31">
        <f t="shared" si="22"/>
        <v>0</v>
      </c>
      <c r="AZ73" s="30">
        <f t="shared" si="23"/>
        <v>0</v>
      </c>
      <c r="BA73" s="34"/>
      <c r="BB73" s="34"/>
      <c r="BC73" s="34"/>
      <c r="BD73" s="76"/>
      <c r="BE73" s="34"/>
      <c r="BF73" s="34"/>
      <c r="BG73" s="34"/>
      <c r="BH73" s="34"/>
    </row>
    <row r="74" spans="1:60" s="17" customFormat="1" ht="19.5" customHeight="1" x14ac:dyDescent="0.35">
      <c r="A74" s="41">
        <f t="shared" si="19"/>
        <v>45439</v>
      </c>
      <c r="B74" s="37" t="str">
        <f t="shared" si="19"/>
        <v>Ense Biye</v>
      </c>
      <c r="C74" s="65"/>
      <c r="D74" s="67">
        <f t="shared" si="20"/>
        <v>100</v>
      </c>
      <c r="E74" s="57"/>
      <c r="F74" s="52"/>
      <c r="G74" s="52"/>
      <c r="H74" s="58"/>
      <c r="I74" s="57"/>
      <c r="J74" s="52"/>
      <c r="K74" s="52"/>
      <c r="L74" s="58"/>
      <c r="M74" s="57"/>
      <c r="N74" s="52"/>
      <c r="O74" s="52"/>
      <c r="P74" s="58"/>
      <c r="Q74" s="57"/>
      <c r="R74" s="52"/>
      <c r="S74" s="52"/>
      <c r="T74" s="52"/>
      <c r="U74" s="58"/>
      <c r="V74" s="57"/>
      <c r="W74" s="52"/>
      <c r="X74" s="52"/>
      <c r="Y74" s="58"/>
      <c r="Z74" s="57"/>
      <c r="AA74" s="52"/>
      <c r="AB74" s="52"/>
      <c r="AC74" s="58"/>
      <c r="AD74" s="57"/>
      <c r="AE74" s="52"/>
      <c r="AF74" s="52"/>
      <c r="AG74" s="58"/>
      <c r="AH74" s="57"/>
      <c r="AI74" s="52"/>
      <c r="AJ74" s="52"/>
      <c r="AK74" s="58"/>
      <c r="AL74" s="57"/>
      <c r="AM74" s="52"/>
      <c r="AN74" s="52"/>
      <c r="AO74" s="58"/>
      <c r="AP74" s="57"/>
      <c r="AQ74" s="52"/>
      <c r="AR74" s="52"/>
      <c r="AS74" s="58"/>
      <c r="AT74" s="57"/>
      <c r="AU74" s="52"/>
      <c r="AV74" s="52"/>
      <c r="AW74" s="58"/>
      <c r="AX74" s="33">
        <f t="shared" si="21"/>
        <v>0</v>
      </c>
      <c r="AY74" s="31">
        <f t="shared" si="22"/>
        <v>0</v>
      </c>
      <c r="AZ74" s="30">
        <f t="shared" si="23"/>
        <v>0</v>
      </c>
      <c r="BA74" s="34"/>
      <c r="BB74" s="34"/>
      <c r="BC74" s="34"/>
      <c r="BD74" s="76"/>
      <c r="BE74" s="34"/>
      <c r="BF74" s="34"/>
      <c r="BG74" s="34"/>
      <c r="BH74" s="34"/>
    </row>
    <row r="75" spans="1:60" s="17" customFormat="1" ht="19.5" customHeight="1" x14ac:dyDescent="0.35">
      <c r="A75" s="41">
        <f>A72</f>
        <v>45439</v>
      </c>
      <c r="B75" s="37" t="str">
        <f t="shared" si="19"/>
        <v>Ense Biye</v>
      </c>
      <c r="C75" s="65"/>
      <c r="D75" s="67">
        <f t="shared" si="20"/>
        <v>100</v>
      </c>
      <c r="E75" s="57"/>
      <c r="F75" s="52"/>
      <c r="G75" s="52"/>
      <c r="H75" s="58"/>
      <c r="I75" s="57"/>
      <c r="J75" s="52"/>
      <c r="K75" s="52"/>
      <c r="L75" s="58"/>
      <c r="M75" s="57"/>
      <c r="N75" s="52"/>
      <c r="O75" s="52"/>
      <c r="P75" s="58"/>
      <c r="Q75" s="57"/>
      <c r="R75" s="52"/>
      <c r="S75" s="52"/>
      <c r="T75" s="52"/>
      <c r="U75" s="58"/>
      <c r="V75" s="57"/>
      <c r="W75" s="52"/>
      <c r="X75" s="52"/>
      <c r="Y75" s="58"/>
      <c r="Z75" s="57"/>
      <c r="AA75" s="52"/>
      <c r="AB75" s="52"/>
      <c r="AC75" s="58"/>
      <c r="AD75" s="57"/>
      <c r="AE75" s="52"/>
      <c r="AF75" s="52"/>
      <c r="AG75" s="58"/>
      <c r="AH75" s="57"/>
      <c r="AI75" s="52"/>
      <c r="AJ75" s="52"/>
      <c r="AK75" s="58"/>
      <c r="AL75" s="57"/>
      <c r="AM75" s="52"/>
      <c r="AN75" s="52"/>
      <c r="AO75" s="58"/>
      <c r="AP75" s="57"/>
      <c r="AQ75" s="52"/>
      <c r="AR75" s="52"/>
      <c r="AS75" s="58"/>
      <c r="AT75" s="57"/>
      <c r="AU75" s="52"/>
      <c r="AV75" s="52"/>
      <c r="AW75" s="58"/>
      <c r="AX75" s="33">
        <f t="shared" si="21"/>
        <v>0</v>
      </c>
      <c r="AY75" s="31">
        <f t="shared" si="22"/>
        <v>0</v>
      </c>
      <c r="AZ75" s="30">
        <f t="shared" si="23"/>
        <v>0</v>
      </c>
      <c r="BA75" s="34"/>
      <c r="BB75" s="34"/>
      <c r="BC75" s="34"/>
      <c r="BD75" s="76"/>
      <c r="BE75" s="34"/>
      <c r="BF75" s="34"/>
      <c r="BG75" s="34"/>
      <c r="BH75" s="34"/>
    </row>
    <row r="76" spans="1:60" s="17" customFormat="1" ht="19.5" customHeight="1" x14ac:dyDescent="0.35">
      <c r="A76" s="41">
        <f>A75</f>
        <v>45439</v>
      </c>
      <c r="B76" s="37" t="str">
        <f t="shared" si="19"/>
        <v>Ense Biye</v>
      </c>
      <c r="C76" s="65"/>
      <c r="D76" s="67">
        <f t="shared" si="20"/>
        <v>100</v>
      </c>
      <c r="E76" s="57"/>
      <c r="F76" s="52"/>
      <c r="G76" s="52"/>
      <c r="H76" s="58"/>
      <c r="I76" s="57"/>
      <c r="J76" s="52"/>
      <c r="K76" s="52"/>
      <c r="L76" s="58"/>
      <c r="M76" s="57"/>
      <c r="N76" s="52"/>
      <c r="O76" s="52"/>
      <c r="P76" s="58"/>
      <c r="Q76" s="57"/>
      <c r="R76" s="52"/>
      <c r="S76" s="52"/>
      <c r="T76" s="52"/>
      <c r="U76" s="58"/>
      <c r="V76" s="57"/>
      <c r="W76" s="52"/>
      <c r="X76" s="52"/>
      <c r="Y76" s="58"/>
      <c r="Z76" s="57"/>
      <c r="AA76" s="52"/>
      <c r="AB76" s="52"/>
      <c r="AC76" s="58"/>
      <c r="AD76" s="57"/>
      <c r="AE76" s="52"/>
      <c r="AF76" s="52"/>
      <c r="AG76" s="58"/>
      <c r="AH76" s="57"/>
      <c r="AI76" s="52"/>
      <c r="AJ76" s="52"/>
      <c r="AK76" s="58"/>
      <c r="AL76" s="57"/>
      <c r="AM76" s="52"/>
      <c r="AN76" s="52"/>
      <c r="AO76" s="58"/>
      <c r="AP76" s="57"/>
      <c r="AQ76" s="52"/>
      <c r="AR76" s="52"/>
      <c r="AS76" s="58"/>
      <c r="AT76" s="57"/>
      <c r="AU76" s="52"/>
      <c r="AV76" s="52"/>
      <c r="AW76" s="58"/>
      <c r="AX76" s="33">
        <f t="shared" si="21"/>
        <v>0</v>
      </c>
      <c r="AY76" s="31">
        <f t="shared" si="22"/>
        <v>0</v>
      </c>
      <c r="AZ76" s="30">
        <f t="shared" si="23"/>
        <v>0</v>
      </c>
      <c r="BA76" s="34"/>
      <c r="BB76" s="34"/>
      <c r="BC76" s="34"/>
      <c r="BD76" s="76"/>
      <c r="BE76" s="34"/>
      <c r="BF76" s="34"/>
      <c r="BG76" s="34"/>
      <c r="BH76" s="34"/>
    </row>
    <row r="77" spans="1:60" s="17" customFormat="1" ht="19.5" customHeight="1" thickBot="1" x14ac:dyDescent="0.4">
      <c r="A77" s="41">
        <f>A76</f>
        <v>45439</v>
      </c>
      <c r="B77" s="37" t="str">
        <f t="shared" si="19"/>
        <v>Ense Biye</v>
      </c>
      <c r="C77" s="66"/>
      <c r="D77" s="67">
        <f t="shared" si="20"/>
        <v>100</v>
      </c>
      <c r="E77" s="59"/>
      <c r="F77" s="60"/>
      <c r="G77" s="61"/>
      <c r="H77" s="62"/>
      <c r="I77" s="59"/>
      <c r="J77" s="60"/>
      <c r="K77" s="61"/>
      <c r="L77" s="62"/>
      <c r="M77" s="59"/>
      <c r="N77" s="60"/>
      <c r="O77" s="61"/>
      <c r="P77" s="62"/>
      <c r="Q77" s="64"/>
      <c r="R77" s="61"/>
      <c r="S77" s="61"/>
      <c r="T77" s="61"/>
      <c r="U77" s="62"/>
      <c r="V77" s="59"/>
      <c r="W77" s="60"/>
      <c r="X77" s="61"/>
      <c r="Y77" s="62"/>
      <c r="Z77" s="59"/>
      <c r="AA77" s="60"/>
      <c r="AB77" s="61"/>
      <c r="AC77" s="62"/>
      <c r="AD77" s="59"/>
      <c r="AE77" s="60"/>
      <c r="AF77" s="61"/>
      <c r="AG77" s="62"/>
      <c r="AH77" s="59"/>
      <c r="AI77" s="60"/>
      <c r="AJ77" s="61"/>
      <c r="AK77" s="62"/>
      <c r="AL77" s="59"/>
      <c r="AM77" s="60"/>
      <c r="AN77" s="61"/>
      <c r="AO77" s="62"/>
      <c r="AP77" s="59"/>
      <c r="AQ77" s="60"/>
      <c r="AR77" s="61"/>
      <c r="AS77" s="62"/>
      <c r="AT77" s="59"/>
      <c r="AU77" s="60"/>
      <c r="AV77" s="61"/>
      <c r="AW77" s="62"/>
      <c r="AX77" s="33">
        <f t="shared" si="21"/>
        <v>0</v>
      </c>
      <c r="AY77" s="31">
        <f t="shared" si="22"/>
        <v>0</v>
      </c>
      <c r="AZ77" s="30">
        <f t="shared" si="23"/>
        <v>0</v>
      </c>
      <c r="BA77" s="34"/>
      <c r="BB77" s="34"/>
      <c r="BC77" s="34"/>
      <c r="BD77" s="76"/>
      <c r="BE77" s="34"/>
      <c r="BF77" s="34"/>
      <c r="BG77" s="34"/>
      <c r="BH77" s="34"/>
    </row>
    <row r="78" spans="1:60" s="17" customFormat="1" ht="19.5" customHeight="1" thickBot="1" x14ac:dyDescent="0.45">
      <c r="A78" s="41">
        <f>A77</f>
        <v>45439</v>
      </c>
      <c r="B78" s="139" t="str">
        <f>B71</f>
        <v>Ense Biye</v>
      </c>
      <c r="C78" s="140"/>
      <c r="D78" s="40">
        <f>C6/8</f>
        <v>500</v>
      </c>
      <c r="E78" s="147">
        <f>SUM(E71:H77)</f>
        <v>0</v>
      </c>
      <c r="F78" s="148"/>
      <c r="G78" s="148"/>
      <c r="H78" s="149"/>
      <c r="I78" s="147">
        <f>SUM(I71:L77)</f>
        <v>0</v>
      </c>
      <c r="J78" s="148"/>
      <c r="K78" s="148"/>
      <c r="L78" s="149"/>
      <c r="M78" s="147">
        <f>SUM(M71:P77)</f>
        <v>0</v>
      </c>
      <c r="N78" s="148"/>
      <c r="O78" s="148"/>
      <c r="P78" s="149"/>
      <c r="Q78" s="147">
        <f>SUM(Q71:U77)</f>
        <v>0</v>
      </c>
      <c r="R78" s="148"/>
      <c r="S78" s="148"/>
      <c r="T78" s="148"/>
      <c r="U78" s="149"/>
      <c r="V78" s="147">
        <f>SUM(V71:Y77)</f>
        <v>0</v>
      </c>
      <c r="W78" s="148"/>
      <c r="X78" s="148"/>
      <c r="Y78" s="149"/>
      <c r="Z78" s="147">
        <f>SUM(Z71:AC77)</f>
        <v>0</v>
      </c>
      <c r="AA78" s="148"/>
      <c r="AB78" s="148"/>
      <c r="AC78" s="149"/>
      <c r="AD78" s="147">
        <f>SUM(AD71:AG77)</f>
        <v>0</v>
      </c>
      <c r="AE78" s="148"/>
      <c r="AF78" s="148"/>
      <c r="AG78" s="149"/>
      <c r="AH78" s="147">
        <f>SUM(AH71:AK77)</f>
        <v>0</v>
      </c>
      <c r="AI78" s="148"/>
      <c r="AJ78" s="148"/>
      <c r="AK78" s="149"/>
      <c r="AL78" s="147">
        <f>SUM(AL71:AO77)</f>
        <v>0</v>
      </c>
      <c r="AM78" s="148"/>
      <c r="AN78" s="148"/>
      <c r="AO78" s="149"/>
      <c r="AP78" s="147">
        <f>SUM(AP71:AS77)</f>
        <v>0</v>
      </c>
      <c r="AQ78" s="148"/>
      <c r="AR78" s="148"/>
      <c r="AS78" s="149"/>
      <c r="AT78" s="147">
        <f>SUM(AT71:AW77)</f>
        <v>0</v>
      </c>
      <c r="AU78" s="148"/>
      <c r="AV78" s="148"/>
      <c r="AW78" s="149"/>
      <c r="AX78" s="87">
        <f>SUM(AX71:AX77)</f>
        <v>0</v>
      </c>
      <c r="AY78" s="88">
        <f>IFERROR(AVERAGEIF(E78:AV78,"&lt;&gt;0",(E78:AV78)),)</f>
        <v>0</v>
      </c>
      <c r="AZ78" s="46">
        <f>IFERROR(AX78/BB72,0)</f>
        <v>0</v>
      </c>
      <c r="BA78" s="34"/>
      <c r="BB78" s="34"/>
      <c r="BC78" s="34"/>
      <c r="BD78" s="76"/>
      <c r="BE78" s="34"/>
      <c r="BF78" s="34"/>
      <c r="BG78" s="34"/>
      <c r="BH78" s="34"/>
    </row>
    <row r="79" spans="1:60" s="17" customFormat="1" ht="19.5" customHeight="1" thickBot="1" x14ac:dyDescent="0.4">
      <c r="A79" s="42">
        <f>A69</f>
        <v>45439</v>
      </c>
      <c r="B79" s="38" t="str">
        <f>B80</f>
        <v>Yaka Basma 1 Et.(Beden)</v>
      </c>
      <c r="C79" s="39" t="s">
        <v>180</v>
      </c>
      <c r="D79" s="69" t="s">
        <v>181</v>
      </c>
      <c r="E79" s="48">
        <v>0.34375</v>
      </c>
      <c r="F79" s="49">
        <v>0.35416666666666669</v>
      </c>
      <c r="G79" s="49">
        <v>0.36458333333333331</v>
      </c>
      <c r="H79" s="50">
        <v>0.375</v>
      </c>
      <c r="I79" s="48">
        <v>0.38541666666666702</v>
      </c>
      <c r="J79" s="49">
        <v>0.39583333333333298</v>
      </c>
      <c r="K79" s="49">
        <v>0.40625</v>
      </c>
      <c r="L79" s="50">
        <v>0.41666666666666702</v>
      </c>
      <c r="M79" s="48">
        <v>0.4375</v>
      </c>
      <c r="N79" s="49">
        <v>0.44791666666666702</v>
      </c>
      <c r="O79" s="49">
        <v>0.45833333333333398</v>
      </c>
      <c r="P79" s="50">
        <v>0.46875</v>
      </c>
      <c r="Q79" s="48">
        <v>0.47916666666666702</v>
      </c>
      <c r="R79" s="49">
        <v>0.48958333333333398</v>
      </c>
      <c r="S79" s="49">
        <v>0.5</v>
      </c>
      <c r="T79" s="50">
        <v>0.51041666666666696</v>
      </c>
      <c r="U79" s="51">
        <v>0.52083333333333204</v>
      </c>
      <c r="V79" s="48">
        <v>0.5625</v>
      </c>
      <c r="W79" s="49">
        <v>0.57291666666666663</v>
      </c>
      <c r="X79" s="49">
        <v>0.58333333333333304</v>
      </c>
      <c r="Y79" s="50">
        <v>0.59375</v>
      </c>
      <c r="Z79" s="48">
        <v>0.60416666666666696</v>
      </c>
      <c r="AA79" s="49">
        <v>0.61458333333333304</v>
      </c>
      <c r="AB79" s="49">
        <v>0.625</v>
      </c>
      <c r="AC79" s="50">
        <v>0.63541666666666596</v>
      </c>
      <c r="AD79" s="48">
        <v>0.65625</v>
      </c>
      <c r="AE79" s="49">
        <v>0.66666666666666663</v>
      </c>
      <c r="AF79" s="49">
        <v>0.67708333333333304</v>
      </c>
      <c r="AG79" s="50">
        <v>0.6875</v>
      </c>
      <c r="AH79" s="48">
        <v>0.69791666666666696</v>
      </c>
      <c r="AI79" s="49">
        <v>0.70833333333333304</v>
      </c>
      <c r="AJ79" s="49">
        <v>0.71875</v>
      </c>
      <c r="AK79" s="50">
        <v>0.72916666666666696</v>
      </c>
      <c r="AL79" s="48">
        <v>0.73958333333333404</v>
      </c>
      <c r="AM79" s="49">
        <v>0.750000000000001</v>
      </c>
      <c r="AN79" s="49">
        <v>0.76041666666666796</v>
      </c>
      <c r="AO79" s="50">
        <v>0.77083333333333504</v>
      </c>
      <c r="AP79" s="48">
        <v>0.781250000000002</v>
      </c>
      <c r="AQ79" s="49">
        <v>0.79166666666666896</v>
      </c>
      <c r="AR79" s="49">
        <v>0.80208333333333603</v>
      </c>
      <c r="AS79" s="50">
        <v>0.812500000000003</v>
      </c>
      <c r="AT79" s="48">
        <v>0.82291666666666996</v>
      </c>
      <c r="AU79" s="49">
        <v>0.83333333333333703</v>
      </c>
      <c r="AV79" s="49">
        <v>0.843750000000004</v>
      </c>
      <c r="AW79" s="50">
        <v>0.85416666666666663</v>
      </c>
      <c r="AX79" s="68" t="s">
        <v>260</v>
      </c>
      <c r="AY79" s="28" t="s">
        <v>261</v>
      </c>
      <c r="AZ79" s="29" t="s">
        <v>262</v>
      </c>
      <c r="BA79" s="136" t="str">
        <f>B80</f>
        <v>Yaka Basma 1 Et.(Beden)</v>
      </c>
      <c r="BB79" s="137"/>
      <c r="BC79" s="137"/>
      <c r="BD79" s="137"/>
      <c r="BE79" s="137"/>
      <c r="BF79" s="137"/>
      <c r="BG79" s="137"/>
      <c r="BH79" s="138"/>
    </row>
    <row r="80" spans="1:60" s="17" customFormat="1" ht="19.5" customHeight="1" thickBot="1" x14ac:dyDescent="0.4">
      <c r="A80" s="41">
        <f t="shared" ref="A80:B84" si="24">A79</f>
        <v>45439</v>
      </c>
      <c r="B80" s="37" t="s">
        <v>270</v>
      </c>
      <c r="C80" s="65"/>
      <c r="D80" s="71">
        <v>60</v>
      </c>
      <c r="E80" s="53"/>
      <c r="F80" s="54"/>
      <c r="G80" s="55"/>
      <c r="H80" s="56"/>
      <c r="I80" s="53"/>
      <c r="J80" s="54"/>
      <c r="K80" s="55"/>
      <c r="L80" s="56"/>
      <c r="M80" s="53"/>
      <c r="N80" s="54"/>
      <c r="O80" s="55"/>
      <c r="P80" s="56"/>
      <c r="Q80" s="63"/>
      <c r="R80" s="55"/>
      <c r="S80" s="55"/>
      <c r="T80" s="55"/>
      <c r="U80" s="56"/>
      <c r="V80" s="53"/>
      <c r="W80" s="54"/>
      <c r="X80" s="55"/>
      <c r="Y80" s="56"/>
      <c r="Z80" s="53"/>
      <c r="AA80" s="54"/>
      <c r="AB80" s="55"/>
      <c r="AC80" s="56"/>
      <c r="AD80" s="63"/>
      <c r="AE80" s="55"/>
      <c r="AF80" s="55"/>
      <c r="AG80" s="56"/>
      <c r="AH80" s="63"/>
      <c r="AI80" s="55"/>
      <c r="AJ80" s="55"/>
      <c r="AK80" s="56"/>
      <c r="AL80" s="63"/>
      <c r="AM80" s="55"/>
      <c r="AN80" s="55"/>
      <c r="AO80" s="56"/>
      <c r="AP80" s="53"/>
      <c r="AQ80" s="54"/>
      <c r="AR80" s="55"/>
      <c r="AS80" s="56"/>
      <c r="AT80" s="53"/>
      <c r="AU80" s="54"/>
      <c r="AV80" s="55"/>
      <c r="AW80" s="56"/>
      <c r="AX80" s="33">
        <f>SUM(E80:AW80)</f>
        <v>0</v>
      </c>
      <c r="AY80" s="31">
        <f>IFERROR(AVERAGEIF(E80:AW80,"&lt;&gt;0",(E80:AW80)),)</f>
        <v>0</v>
      </c>
      <c r="AZ80" s="30">
        <f>IFERROR(AY80/D80,0)</f>
        <v>0</v>
      </c>
      <c r="BA80" s="103" t="s">
        <v>182</v>
      </c>
      <c r="BB80" s="100" t="s">
        <v>183</v>
      </c>
      <c r="BC80" s="100" t="s">
        <v>184</v>
      </c>
      <c r="BD80" s="101" t="s">
        <v>185</v>
      </c>
      <c r="BE80" s="100" t="s">
        <v>186</v>
      </c>
      <c r="BF80" s="102" t="s">
        <v>187</v>
      </c>
      <c r="BG80" s="100" t="s">
        <v>188</v>
      </c>
      <c r="BH80" s="102" t="s">
        <v>189</v>
      </c>
    </row>
    <row r="81" spans="1:60" s="17" customFormat="1" ht="19.5" customHeight="1" thickBot="1" x14ac:dyDescent="0.4">
      <c r="A81" s="41">
        <f t="shared" si="24"/>
        <v>45439</v>
      </c>
      <c r="B81" s="37" t="str">
        <f t="shared" si="24"/>
        <v>Yaka Basma 1 Et.(Beden)</v>
      </c>
      <c r="C81" s="65"/>
      <c r="D81" s="67">
        <f t="shared" ref="D81:D86" si="25">D80</f>
        <v>60</v>
      </c>
      <c r="E81" s="57"/>
      <c r="F81" s="52"/>
      <c r="G81" s="52"/>
      <c r="H81" s="58"/>
      <c r="I81" s="57"/>
      <c r="J81" s="52"/>
      <c r="K81" s="52"/>
      <c r="L81" s="58"/>
      <c r="M81" s="57"/>
      <c r="N81" s="52"/>
      <c r="O81" s="52"/>
      <c r="P81" s="58"/>
      <c r="Q81" s="57"/>
      <c r="R81" s="52"/>
      <c r="S81" s="52"/>
      <c r="T81" s="52"/>
      <c r="U81" s="58"/>
      <c r="V81" s="57"/>
      <c r="W81" s="52"/>
      <c r="X81" s="52"/>
      <c r="Y81" s="58"/>
      <c r="Z81" s="57"/>
      <c r="AA81" s="52"/>
      <c r="AB81" s="52"/>
      <c r="AC81" s="58"/>
      <c r="AD81" s="57"/>
      <c r="AE81" s="52"/>
      <c r="AF81" s="52"/>
      <c r="AG81" s="58"/>
      <c r="AH81" s="57"/>
      <c r="AI81" s="52"/>
      <c r="AJ81" s="52"/>
      <c r="AK81" s="58"/>
      <c r="AL81" s="57"/>
      <c r="AM81" s="52"/>
      <c r="AN81" s="52"/>
      <c r="AO81" s="58"/>
      <c r="AP81" s="57"/>
      <c r="AQ81" s="52"/>
      <c r="AR81" s="52"/>
      <c r="AS81" s="58"/>
      <c r="AT81" s="57"/>
      <c r="AU81" s="52"/>
      <c r="AV81" s="52"/>
      <c r="AW81" s="58"/>
      <c r="AX81" s="33">
        <f t="shared" ref="AX81:AX86" si="26">SUM(E81:AW81)</f>
        <v>0</v>
      </c>
      <c r="AY81" s="31">
        <f t="shared" ref="AY81:AY86" si="27">IFERROR(AVERAGEIF(E81:AW81,"&lt;&gt;0",(E81:AW81)),)</f>
        <v>0</v>
      </c>
      <c r="AZ81" s="30">
        <f t="shared" ref="AZ81:AZ86" si="28">IFERROR(AY81/D81,0)</f>
        <v>0</v>
      </c>
      <c r="BA81" s="94">
        <f>AX87</f>
        <v>0</v>
      </c>
      <c r="BB81" s="95">
        <f>(D87*8)</f>
        <v>4000</v>
      </c>
      <c r="BC81" s="96">
        <f>C5-BA81</f>
        <v>42311</v>
      </c>
      <c r="BD81" s="96">
        <f>BA72-BA81</f>
        <v>0</v>
      </c>
      <c r="BE81" s="97">
        <f>IFERROR(BC81/E87,0)</f>
        <v>0</v>
      </c>
      <c r="BF81" s="98">
        <f>IFERROR(BE81/9,0)</f>
        <v>0</v>
      </c>
      <c r="BG81" s="97">
        <f>IFERROR(BC81/AY87,0)</f>
        <v>0</v>
      </c>
      <c r="BH81" s="97">
        <f>IFERROR(BG81/9,0)</f>
        <v>0</v>
      </c>
    </row>
    <row r="82" spans="1:60" s="17" customFormat="1" ht="19.5" customHeight="1" x14ac:dyDescent="0.35">
      <c r="A82" s="41">
        <f t="shared" si="24"/>
        <v>45439</v>
      </c>
      <c r="B82" s="37" t="str">
        <f t="shared" si="24"/>
        <v>Yaka Basma 1 Et.(Beden)</v>
      </c>
      <c r="C82" s="65"/>
      <c r="D82" s="67">
        <f t="shared" si="25"/>
        <v>60</v>
      </c>
      <c r="E82" s="57"/>
      <c r="F82" s="52"/>
      <c r="G82" s="52"/>
      <c r="H82" s="58"/>
      <c r="I82" s="57"/>
      <c r="J82" s="52"/>
      <c r="K82" s="52"/>
      <c r="L82" s="58"/>
      <c r="M82" s="57"/>
      <c r="N82" s="52"/>
      <c r="O82" s="52"/>
      <c r="P82" s="58"/>
      <c r="Q82" s="57"/>
      <c r="R82" s="52"/>
      <c r="S82" s="52"/>
      <c r="T82" s="52"/>
      <c r="U82" s="58"/>
      <c r="V82" s="57"/>
      <c r="W82" s="52"/>
      <c r="X82" s="52"/>
      <c r="Y82" s="58"/>
      <c r="Z82" s="57"/>
      <c r="AA82" s="52"/>
      <c r="AB82" s="52"/>
      <c r="AC82" s="58"/>
      <c r="AD82" s="57"/>
      <c r="AE82" s="52"/>
      <c r="AF82" s="52"/>
      <c r="AG82" s="58"/>
      <c r="AH82" s="57"/>
      <c r="AI82" s="52"/>
      <c r="AJ82" s="52"/>
      <c r="AK82" s="58"/>
      <c r="AL82" s="57"/>
      <c r="AM82" s="52"/>
      <c r="AN82" s="52"/>
      <c r="AO82" s="58"/>
      <c r="AP82" s="57"/>
      <c r="AQ82" s="52"/>
      <c r="AR82" s="52"/>
      <c r="AS82" s="58"/>
      <c r="AT82" s="57"/>
      <c r="AU82" s="52"/>
      <c r="AV82" s="52"/>
      <c r="AW82" s="58"/>
      <c r="AX82" s="33">
        <f t="shared" si="26"/>
        <v>0</v>
      </c>
      <c r="AY82" s="31">
        <f t="shared" si="27"/>
        <v>0</v>
      </c>
      <c r="AZ82" s="30">
        <f t="shared" si="28"/>
        <v>0</v>
      </c>
      <c r="BA82" s="34"/>
      <c r="BB82" s="34"/>
      <c r="BC82" s="34"/>
      <c r="BD82" s="76"/>
      <c r="BE82" s="34"/>
      <c r="BF82" s="34"/>
      <c r="BG82" s="34"/>
      <c r="BH82" s="34"/>
    </row>
    <row r="83" spans="1:60" s="17" customFormat="1" ht="19.5" customHeight="1" x14ac:dyDescent="0.35">
      <c r="A83" s="41">
        <f t="shared" si="24"/>
        <v>45439</v>
      </c>
      <c r="B83" s="37" t="str">
        <f t="shared" si="24"/>
        <v>Yaka Basma 1 Et.(Beden)</v>
      </c>
      <c r="C83" s="65"/>
      <c r="D83" s="67">
        <f t="shared" si="25"/>
        <v>60</v>
      </c>
      <c r="E83" s="57"/>
      <c r="F83" s="52"/>
      <c r="G83" s="52"/>
      <c r="H83" s="58"/>
      <c r="I83" s="57"/>
      <c r="J83" s="52"/>
      <c r="K83" s="52"/>
      <c r="L83" s="58"/>
      <c r="M83" s="57"/>
      <c r="N83" s="52"/>
      <c r="O83" s="52"/>
      <c r="P83" s="58"/>
      <c r="Q83" s="57"/>
      <c r="R83" s="52"/>
      <c r="S83" s="52"/>
      <c r="T83" s="52"/>
      <c r="U83" s="58"/>
      <c r="V83" s="57"/>
      <c r="W83" s="52"/>
      <c r="X83" s="52"/>
      <c r="Y83" s="58"/>
      <c r="Z83" s="57"/>
      <c r="AA83" s="52"/>
      <c r="AB83" s="52"/>
      <c r="AC83" s="58"/>
      <c r="AD83" s="57"/>
      <c r="AE83" s="52"/>
      <c r="AF83" s="52"/>
      <c r="AG83" s="58"/>
      <c r="AH83" s="57"/>
      <c r="AI83" s="52"/>
      <c r="AJ83" s="52"/>
      <c r="AK83" s="58"/>
      <c r="AL83" s="57"/>
      <c r="AM83" s="52"/>
      <c r="AN83" s="52"/>
      <c r="AO83" s="58"/>
      <c r="AP83" s="57"/>
      <c r="AQ83" s="52"/>
      <c r="AR83" s="52"/>
      <c r="AS83" s="58"/>
      <c r="AT83" s="57"/>
      <c r="AU83" s="52"/>
      <c r="AV83" s="52"/>
      <c r="AW83" s="58"/>
      <c r="AX83" s="33">
        <f t="shared" si="26"/>
        <v>0</v>
      </c>
      <c r="AY83" s="31">
        <f t="shared" si="27"/>
        <v>0</v>
      </c>
      <c r="AZ83" s="30">
        <f t="shared" si="28"/>
        <v>0</v>
      </c>
      <c r="BA83" s="34"/>
      <c r="BB83" s="34"/>
      <c r="BC83" s="34"/>
      <c r="BD83" s="76"/>
      <c r="BE83" s="34"/>
      <c r="BF83" s="34"/>
      <c r="BG83" s="34"/>
      <c r="BH83" s="34"/>
    </row>
    <row r="84" spans="1:60" s="17" customFormat="1" ht="19.5" customHeight="1" x14ac:dyDescent="0.35">
      <c r="A84" s="41">
        <f>A81</f>
        <v>45439</v>
      </c>
      <c r="B84" s="37" t="str">
        <f t="shared" si="24"/>
        <v>Yaka Basma 1 Et.(Beden)</v>
      </c>
      <c r="C84" s="65"/>
      <c r="D84" s="67">
        <f t="shared" si="25"/>
        <v>60</v>
      </c>
      <c r="E84" s="57"/>
      <c r="F84" s="52"/>
      <c r="G84" s="52"/>
      <c r="H84" s="58"/>
      <c r="I84" s="57"/>
      <c r="J84" s="52"/>
      <c r="K84" s="52"/>
      <c r="L84" s="58"/>
      <c r="M84" s="57"/>
      <c r="N84" s="52"/>
      <c r="O84" s="52"/>
      <c r="P84" s="58"/>
      <c r="Q84" s="57"/>
      <c r="R84" s="52"/>
      <c r="S84" s="52"/>
      <c r="T84" s="52"/>
      <c r="U84" s="58"/>
      <c r="V84" s="57"/>
      <c r="W84" s="52"/>
      <c r="X84" s="52"/>
      <c r="Y84" s="58"/>
      <c r="Z84" s="57"/>
      <c r="AA84" s="52"/>
      <c r="AB84" s="52"/>
      <c r="AC84" s="58"/>
      <c r="AD84" s="57"/>
      <c r="AE84" s="52"/>
      <c r="AF84" s="52"/>
      <c r="AG84" s="58"/>
      <c r="AH84" s="57"/>
      <c r="AI84" s="52"/>
      <c r="AJ84" s="52"/>
      <c r="AK84" s="58"/>
      <c r="AL84" s="57"/>
      <c r="AM84" s="52"/>
      <c r="AN84" s="52"/>
      <c r="AO84" s="58"/>
      <c r="AP84" s="57"/>
      <c r="AQ84" s="52"/>
      <c r="AR84" s="52"/>
      <c r="AS84" s="58"/>
      <c r="AT84" s="57"/>
      <c r="AU84" s="52"/>
      <c r="AV84" s="52"/>
      <c r="AW84" s="58"/>
      <c r="AX84" s="33">
        <f t="shared" si="26"/>
        <v>0</v>
      </c>
      <c r="AY84" s="31">
        <f t="shared" si="27"/>
        <v>0</v>
      </c>
      <c r="AZ84" s="30">
        <f t="shared" si="28"/>
        <v>0</v>
      </c>
      <c r="BA84" s="34"/>
      <c r="BB84" s="34"/>
      <c r="BC84" s="34"/>
      <c r="BD84" s="76"/>
      <c r="BE84" s="34"/>
      <c r="BF84" s="34"/>
      <c r="BG84" s="34"/>
      <c r="BH84" s="34"/>
    </row>
    <row r="85" spans="1:60" s="17" customFormat="1" ht="19.5" customHeight="1" x14ac:dyDescent="0.35">
      <c r="A85" s="41">
        <f t="shared" ref="A85:B87" si="29">A84</f>
        <v>45439</v>
      </c>
      <c r="B85" s="37" t="str">
        <f t="shared" si="29"/>
        <v>Yaka Basma 1 Et.(Beden)</v>
      </c>
      <c r="C85" s="65"/>
      <c r="D85" s="67">
        <f t="shared" si="25"/>
        <v>60</v>
      </c>
      <c r="E85" s="57"/>
      <c r="F85" s="52"/>
      <c r="G85" s="52"/>
      <c r="H85" s="58"/>
      <c r="I85" s="57"/>
      <c r="J85" s="52"/>
      <c r="K85" s="52"/>
      <c r="L85" s="58"/>
      <c r="M85" s="57"/>
      <c r="N85" s="52"/>
      <c r="O85" s="52"/>
      <c r="P85" s="58"/>
      <c r="Q85" s="57"/>
      <c r="R85" s="52"/>
      <c r="S85" s="52"/>
      <c r="T85" s="52"/>
      <c r="U85" s="58"/>
      <c r="V85" s="57"/>
      <c r="W85" s="52"/>
      <c r="X85" s="52"/>
      <c r="Y85" s="58"/>
      <c r="Z85" s="57"/>
      <c r="AA85" s="52"/>
      <c r="AB85" s="52"/>
      <c r="AC85" s="58"/>
      <c r="AD85" s="57"/>
      <c r="AE85" s="52"/>
      <c r="AF85" s="52"/>
      <c r="AG85" s="58"/>
      <c r="AH85" s="57"/>
      <c r="AI85" s="52"/>
      <c r="AJ85" s="52"/>
      <c r="AK85" s="58"/>
      <c r="AL85" s="57"/>
      <c r="AM85" s="52"/>
      <c r="AN85" s="52"/>
      <c r="AO85" s="58"/>
      <c r="AP85" s="57"/>
      <c r="AQ85" s="52"/>
      <c r="AR85" s="52"/>
      <c r="AS85" s="58"/>
      <c r="AT85" s="57"/>
      <c r="AU85" s="52"/>
      <c r="AV85" s="52"/>
      <c r="AW85" s="58"/>
      <c r="AX85" s="33">
        <f t="shared" si="26"/>
        <v>0</v>
      </c>
      <c r="AY85" s="31">
        <f t="shared" si="27"/>
        <v>0</v>
      </c>
      <c r="AZ85" s="30">
        <f t="shared" si="28"/>
        <v>0</v>
      </c>
      <c r="BA85" s="34"/>
      <c r="BB85" s="34"/>
      <c r="BC85" s="34"/>
      <c r="BD85" s="76"/>
      <c r="BE85" s="34"/>
      <c r="BF85" s="34"/>
      <c r="BG85" s="34"/>
      <c r="BH85" s="34"/>
    </row>
    <row r="86" spans="1:60" s="17" customFormat="1" ht="19.5" customHeight="1" thickBot="1" x14ac:dyDescent="0.4">
      <c r="A86" s="41">
        <f t="shared" si="29"/>
        <v>45439</v>
      </c>
      <c r="B86" s="37" t="str">
        <f t="shared" si="29"/>
        <v>Yaka Basma 1 Et.(Beden)</v>
      </c>
      <c r="C86" s="66"/>
      <c r="D86" s="67">
        <f t="shared" si="25"/>
        <v>60</v>
      </c>
      <c r="E86" s="59"/>
      <c r="F86" s="60"/>
      <c r="G86" s="61"/>
      <c r="H86" s="62"/>
      <c r="I86" s="59"/>
      <c r="J86" s="60"/>
      <c r="K86" s="61"/>
      <c r="L86" s="62"/>
      <c r="M86" s="59"/>
      <c r="N86" s="60"/>
      <c r="O86" s="61"/>
      <c r="P86" s="62"/>
      <c r="Q86" s="64"/>
      <c r="R86" s="61"/>
      <c r="S86" s="61"/>
      <c r="T86" s="61"/>
      <c r="U86" s="62"/>
      <c r="V86" s="59"/>
      <c r="W86" s="60"/>
      <c r="X86" s="61"/>
      <c r="Y86" s="62"/>
      <c r="Z86" s="59"/>
      <c r="AA86" s="60"/>
      <c r="AB86" s="61"/>
      <c r="AC86" s="62"/>
      <c r="AD86" s="59"/>
      <c r="AE86" s="60"/>
      <c r="AF86" s="61"/>
      <c r="AG86" s="62"/>
      <c r="AH86" s="59"/>
      <c r="AI86" s="60"/>
      <c r="AJ86" s="61"/>
      <c r="AK86" s="62"/>
      <c r="AL86" s="59"/>
      <c r="AM86" s="60"/>
      <c r="AN86" s="61"/>
      <c r="AO86" s="62"/>
      <c r="AP86" s="59"/>
      <c r="AQ86" s="60"/>
      <c r="AR86" s="61"/>
      <c r="AS86" s="62"/>
      <c r="AT86" s="59"/>
      <c r="AU86" s="60"/>
      <c r="AV86" s="61"/>
      <c r="AW86" s="62"/>
      <c r="AX86" s="33">
        <f t="shared" si="26"/>
        <v>0</v>
      </c>
      <c r="AY86" s="31">
        <f t="shared" si="27"/>
        <v>0</v>
      </c>
      <c r="AZ86" s="30">
        <f t="shared" si="28"/>
        <v>0</v>
      </c>
      <c r="BA86" s="34"/>
      <c r="BB86" s="34"/>
      <c r="BC86" s="34"/>
      <c r="BD86" s="76"/>
      <c r="BE86" s="34"/>
      <c r="BF86" s="34"/>
      <c r="BG86" s="34"/>
      <c r="BH86" s="34"/>
    </row>
    <row r="87" spans="1:60" s="17" customFormat="1" ht="19.5" customHeight="1" thickBot="1" x14ac:dyDescent="0.45">
      <c r="A87" s="41">
        <f t="shared" si="29"/>
        <v>45439</v>
      </c>
      <c r="B87" s="139" t="str">
        <f>B80</f>
        <v>Yaka Basma 1 Et.(Beden)</v>
      </c>
      <c r="C87" s="140"/>
      <c r="D87" s="40">
        <f>C6/8</f>
        <v>500</v>
      </c>
      <c r="E87" s="147">
        <f>SUM(E80:H86)</f>
        <v>0</v>
      </c>
      <c r="F87" s="148"/>
      <c r="G87" s="148"/>
      <c r="H87" s="149"/>
      <c r="I87" s="147">
        <f>SUM(I80:L86)</f>
        <v>0</v>
      </c>
      <c r="J87" s="148"/>
      <c r="K87" s="148"/>
      <c r="L87" s="149"/>
      <c r="M87" s="147">
        <f>SUM(M80:P86)</f>
        <v>0</v>
      </c>
      <c r="N87" s="148"/>
      <c r="O87" s="148"/>
      <c r="P87" s="149"/>
      <c r="Q87" s="147">
        <f>SUM(Q80:U86)</f>
        <v>0</v>
      </c>
      <c r="R87" s="148"/>
      <c r="S87" s="148"/>
      <c r="T87" s="148"/>
      <c r="U87" s="149"/>
      <c r="V87" s="147">
        <f>SUM(V80:Y86)</f>
        <v>0</v>
      </c>
      <c r="W87" s="148"/>
      <c r="X87" s="148"/>
      <c r="Y87" s="149"/>
      <c r="Z87" s="147">
        <f>SUM(Z80:AC86)</f>
        <v>0</v>
      </c>
      <c r="AA87" s="148"/>
      <c r="AB87" s="148"/>
      <c r="AC87" s="149"/>
      <c r="AD87" s="147">
        <f>SUM(AD80:AG86)</f>
        <v>0</v>
      </c>
      <c r="AE87" s="148"/>
      <c r="AF87" s="148"/>
      <c r="AG87" s="149"/>
      <c r="AH87" s="147">
        <f>SUM(AH80:AK86)</f>
        <v>0</v>
      </c>
      <c r="AI87" s="148"/>
      <c r="AJ87" s="148"/>
      <c r="AK87" s="149"/>
      <c r="AL87" s="147">
        <f>SUM(AL80:AO86)</f>
        <v>0</v>
      </c>
      <c r="AM87" s="148"/>
      <c r="AN87" s="148"/>
      <c r="AO87" s="149"/>
      <c r="AP87" s="147">
        <f>SUM(AP80:AS86)</f>
        <v>0</v>
      </c>
      <c r="AQ87" s="148"/>
      <c r="AR87" s="148"/>
      <c r="AS87" s="149"/>
      <c r="AT87" s="147">
        <f>SUM(AT80:AW86)</f>
        <v>0</v>
      </c>
      <c r="AU87" s="148"/>
      <c r="AV87" s="148"/>
      <c r="AW87" s="149"/>
      <c r="AX87" s="87">
        <f>SUM(AX80:AX86)</f>
        <v>0</v>
      </c>
      <c r="AY87" s="88">
        <f>IFERROR(AVERAGEIF(E87:AV87,"&lt;&gt;0",(E87:AV87)),)</f>
        <v>0</v>
      </c>
      <c r="AZ87" s="46">
        <f>IFERROR(AX87/BB81,0)</f>
        <v>0</v>
      </c>
      <c r="BA87" s="34"/>
      <c r="BB87" s="34"/>
      <c r="BC87" s="34"/>
      <c r="BD87" s="76"/>
      <c r="BE87" s="34"/>
      <c r="BF87" s="34"/>
      <c r="BG87" s="34"/>
      <c r="BH87" s="34"/>
    </row>
    <row r="88" spans="1:60" s="17" customFormat="1" ht="19.5" customHeight="1" thickBot="1" x14ac:dyDescent="0.4">
      <c r="A88" s="42">
        <f>A79</f>
        <v>45439</v>
      </c>
      <c r="B88" s="38" t="str">
        <f>B89</f>
        <v>Yaka Çıma</v>
      </c>
      <c r="C88" s="39" t="s">
        <v>180</v>
      </c>
      <c r="D88" s="69" t="s">
        <v>181</v>
      </c>
      <c r="E88" s="48">
        <v>0.34375</v>
      </c>
      <c r="F88" s="49">
        <v>0.35416666666666669</v>
      </c>
      <c r="G88" s="49">
        <v>0.36458333333333331</v>
      </c>
      <c r="H88" s="50">
        <v>0.375</v>
      </c>
      <c r="I88" s="48">
        <v>0.38541666666666702</v>
      </c>
      <c r="J88" s="49">
        <v>0.39583333333333298</v>
      </c>
      <c r="K88" s="49">
        <v>0.40625</v>
      </c>
      <c r="L88" s="50">
        <v>0.41666666666666702</v>
      </c>
      <c r="M88" s="48">
        <v>0.4375</v>
      </c>
      <c r="N88" s="49">
        <v>0.44791666666666702</v>
      </c>
      <c r="O88" s="49">
        <v>0.45833333333333398</v>
      </c>
      <c r="P88" s="50">
        <v>0.46875</v>
      </c>
      <c r="Q88" s="48">
        <v>0.47916666666666702</v>
      </c>
      <c r="R88" s="49">
        <v>0.48958333333333398</v>
      </c>
      <c r="S88" s="49">
        <v>0.5</v>
      </c>
      <c r="T88" s="50">
        <v>0.51041666666666696</v>
      </c>
      <c r="U88" s="51">
        <v>0.52083333333333204</v>
      </c>
      <c r="V88" s="48">
        <v>0.5625</v>
      </c>
      <c r="W88" s="49">
        <v>0.57291666666666663</v>
      </c>
      <c r="X88" s="49">
        <v>0.58333333333333304</v>
      </c>
      <c r="Y88" s="50">
        <v>0.59375</v>
      </c>
      <c r="Z88" s="48">
        <v>0.60416666666666696</v>
      </c>
      <c r="AA88" s="49">
        <v>0.61458333333333304</v>
      </c>
      <c r="AB88" s="49">
        <v>0.625</v>
      </c>
      <c r="AC88" s="50">
        <v>0.63541666666666596</v>
      </c>
      <c r="AD88" s="48">
        <v>0.65625</v>
      </c>
      <c r="AE88" s="49">
        <v>0.66666666666666663</v>
      </c>
      <c r="AF88" s="49">
        <v>0.67708333333333304</v>
      </c>
      <c r="AG88" s="50">
        <v>0.6875</v>
      </c>
      <c r="AH88" s="48">
        <v>0.69791666666666696</v>
      </c>
      <c r="AI88" s="49">
        <v>0.70833333333333304</v>
      </c>
      <c r="AJ88" s="49">
        <v>0.71875</v>
      </c>
      <c r="AK88" s="50">
        <v>0.72916666666666696</v>
      </c>
      <c r="AL88" s="48">
        <v>0.73958333333333404</v>
      </c>
      <c r="AM88" s="49">
        <v>0.750000000000001</v>
      </c>
      <c r="AN88" s="49">
        <v>0.76041666666666796</v>
      </c>
      <c r="AO88" s="50">
        <v>0.77083333333333504</v>
      </c>
      <c r="AP88" s="48">
        <v>0.781250000000002</v>
      </c>
      <c r="AQ88" s="49">
        <v>0.79166666666666896</v>
      </c>
      <c r="AR88" s="49">
        <v>0.80208333333333603</v>
      </c>
      <c r="AS88" s="50">
        <v>0.812500000000003</v>
      </c>
      <c r="AT88" s="48">
        <v>0.82291666666666996</v>
      </c>
      <c r="AU88" s="49">
        <v>0.83333333333333703</v>
      </c>
      <c r="AV88" s="49">
        <v>0.843750000000004</v>
      </c>
      <c r="AW88" s="50">
        <v>0.85416666666666663</v>
      </c>
      <c r="AX88" s="68" t="s">
        <v>260</v>
      </c>
      <c r="AY88" s="28" t="s">
        <v>261</v>
      </c>
      <c r="AZ88" s="29" t="s">
        <v>262</v>
      </c>
      <c r="BA88" s="136" t="str">
        <f>B89</f>
        <v>Yaka Çıma</v>
      </c>
      <c r="BB88" s="137"/>
      <c r="BC88" s="137"/>
      <c r="BD88" s="137"/>
      <c r="BE88" s="137"/>
      <c r="BF88" s="137"/>
      <c r="BG88" s="137"/>
      <c r="BH88" s="138"/>
    </row>
    <row r="89" spans="1:60" s="17" customFormat="1" ht="19.5" customHeight="1" thickBot="1" x14ac:dyDescent="0.4">
      <c r="A89" s="41">
        <f t="shared" ref="A89:B93" si="30">A88</f>
        <v>45439</v>
      </c>
      <c r="B89" s="37" t="s">
        <v>39</v>
      </c>
      <c r="C89" s="65"/>
      <c r="D89" s="71">
        <v>120</v>
      </c>
      <c r="E89" s="53"/>
      <c r="F89" s="54"/>
      <c r="G89" s="55"/>
      <c r="H89" s="56"/>
      <c r="I89" s="53"/>
      <c r="J89" s="54"/>
      <c r="K89" s="55"/>
      <c r="L89" s="56"/>
      <c r="M89" s="53"/>
      <c r="N89" s="54"/>
      <c r="O89" s="55"/>
      <c r="P89" s="56"/>
      <c r="Q89" s="63"/>
      <c r="R89" s="55"/>
      <c r="S89" s="55"/>
      <c r="T89" s="55"/>
      <c r="U89" s="56"/>
      <c r="V89" s="53"/>
      <c r="W89" s="54"/>
      <c r="X89" s="55"/>
      <c r="Y89" s="56"/>
      <c r="Z89" s="53"/>
      <c r="AA89" s="54"/>
      <c r="AB89" s="55"/>
      <c r="AC89" s="56"/>
      <c r="AD89" s="63"/>
      <c r="AE89" s="55"/>
      <c r="AF89" s="55"/>
      <c r="AG89" s="56"/>
      <c r="AH89" s="63"/>
      <c r="AI89" s="55"/>
      <c r="AJ89" s="55"/>
      <c r="AK89" s="56"/>
      <c r="AL89" s="63"/>
      <c r="AM89" s="55"/>
      <c r="AN89" s="55"/>
      <c r="AO89" s="56"/>
      <c r="AP89" s="53"/>
      <c r="AQ89" s="54"/>
      <c r="AR89" s="55"/>
      <c r="AS89" s="56"/>
      <c r="AT89" s="53"/>
      <c r="AU89" s="54"/>
      <c r="AV89" s="55"/>
      <c r="AW89" s="56"/>
      <c r="AX89" s="33">
        <f>SUM(E89:AW89)</f>
        <v>0</v>
      </c>
      <c r="AY89" s="31">
        <f>IFERROR(AVERAGEIF(E89:AW89,"&lt;&gt;0",(E89:AW89)),)</f>
        <v>0</v>
      </c>
      <c r="AZ89" s="30">
        <f>IFERROR(AY89/D89,0)</f>
        <v>0</v>
      </c>
      <c r="BA89" s="103" t="s">
        <v>182</v>
      </c>
      <c r="BB89" s="100" t="s">
        <v>183</v>
      </c>
      <c r="BC89" s="100" t="s">
        <v>184</v>
      </c>
      <c r="BD89" s="101" t="s">
        <v>185</v>
      </c>
      <c r="BE89" s="100" t="s">
        <v>186</v>
      </c>
      <c r="BF89" s="102" t="s">
        <v>187</v>
      </c>
      <c r="BG89" s="100" t="s">
        <v>188</v>
      </c>
      <c r="BH89" s="102" t="s">
        <v>189</v>
      </c>
    </row>
    <row r="90" spans="1:60" s="17" customFormat="1" ht="19.5" customHeight="1" thickBot="1" x14ac:dyDescent="0.4">
      <c r="A90" s="41">
        <f t="shared" si="30"/>
        <v>45439</v>
      </c>
      <c r="B90" s="37" t="str">
        <f t="shared" si="30"/>
        <v>Yaka Çıma</v>
      </c>
      <c r="C90" s="65"/>
      <c r="D90" s="67">
        <f t="shared" ref="D90:D95" si="31">D89</f>
        <v>120</v>
      </c>
      <c r="E90" s="57"/>
      <c r="F90" s="52"/>
      <c r="G90" s="52"/>
      <c r="H90" s="58"/>
      <c r="I90" s="57"/>
      <c r="J90" s="52"/>
      <c r="K90" s="52"/>
      <c r="L90" s="58"/>
      <c r="M90" s="57"/>
      <c r="N90" s="52"/>
      <c r="O90" s="52"/>
      <c r="P90" s="58"/>
      <c r="Q90" s="57"/>
      <c r="R90" s="52"/>
      <c r="S90" s="52"/>
      <c r="T90" s="52"/>
      <c r="U90" s="58"/>
      <c r="V90" s="57"/>
      <c r="W90" s="52"/>
      <c r="X90" s="52"/>
      <c r="Y90" s="58"/>
      <c r="Z90" s="57"/>
      <c r="AA90" s="52"/>
      <c r="AB90" s="52"/>
      <c r="AC90" s="58"/>
      <c r="AD90" s="57"/>
      <c r="AE90" s="52"/>
      <c r="AF90" s="52"/>
      <c r="AG90" s="58"/>
      <c r="AH90" s="57"/>
      <c r="AI90" s="52"/>
      <c r="AJ90" s="52"/>
      <c r="AK90" s="58"/>
      <c r="AL90" s="57"/>
      <c r="AM90" s="52"/>
      <c r="AN90" s="52"/>
      <c r="AO90" s="58"/>
      <c r="AP90" s="57"/>
      <c r="AQ90" s="52"/>
      <c r="AR90" s="52"/>
      <c r="AS90" s="58"/>
      <c r="AT90" s="57"/>
      <c r="AU90" s="52"/>
      <c r="AV90" s="52"/>
      <c r="AW90" s="58"/>
      <c r="AX90" s="33">
        <f t="shared" ref="AX90:AX95" si="32">SUM(E90:AW90)</f>
        <v>0</v>
      </c>
      <c r="AY90" s="31">
        <f t="shared" ref="AY90:AY95" si="33">IFERROR(AVERAGEIF(E90:AW90,"&lt;&gt;0",(E90:AW90)),)</f>
        <v>0</v>
      </c>
      <c r="AZ90" s="30">
        <f t="shared" ref="AZ90:AZ95" si="34">IFERROR(AY90/D90,0)</f>
        <v>0</v>
      </c>
      <c r="BA90" s="94">
        <f>AX96</f>
        <v>0</v>
      </c>
      <c r="BB90" s="95">
        <f>(D87*8)</f>
        <v>4000</v>
      </c>
      <c r="BC90" s="96">
        <f>C5-BA90</f>
        <v>42311</v>
      </c>
      <c r="BD90" s="96">
        <f>BA81-BA90</f>
        <v>0</v>
      </c>
      <c r="BE90" s="97">
        <f>IFERROR(BC90/E96,0)</f>
        <v>0</v>
      </c>
      <c r="BF90" s="98">
        <f>IFERROR(BE90/9,0)</f>
        <v>0</v>
      </c>
      <c r="BG90" s="97">
        <f>IFERROR(BC90/AY96,0)</f>
        <v>0</v>
      </c>
      <c r="BH90" s="97">
        <f>IFERROR(BG90/9,0)</f>
        <v>0</v>
      </c>
    </row>
    <row r="91" spans="1:60" s="17" customFormat="1" ht="19.5" customHeight="1" x14ac:dyDescent="0.35">
      <c r="A91" s="41">
        <f t="shared" si="30"/>
        <v>45439</v>
      </c>
      <c r="B91" s="37" t="str">
        <f t="shared" si="30"/>
        <v>Yaka Çıma</v>
      </c>
      <c r="C91" s="65"/>
      <c r="D91" s="67">
        <f t="shared" si="31"/>
        <v>120</v>
      </c>
      <c r="E91" s="57"/>
      <c r="F91" s="52"/>
      <c r="G91" s="52"/>
      <c r="H91" s="58"/>
      <c r="I91" s="57"/>
      <c r="J91" s="52"/>
      <c r="K91" s="52"/>
      <c r="L91" s="58"/>
      <c r="M91" s="57"/>
      <c r="N91" s="52"/>
      <c r="O91" s="52"/>
      <c r="P91" s="58"/>
      <c r="Q91" s="57"/>
      <c r="R91" s="52"/>
      <c r="S91" s="52"/>
      <c r="T91" s="52"/>
      <c r="U91" s="58"/>
      <c r="V91" s="57"/>
      <c r="W91" s="52"/>
      <c r="X91" s="52"/>
      <c r="Y91" s="58"/>
      <c r="Z91" s="57"/>
      <c r="AA91" s="52"/>
      <c r="AB91" s="52"/>
      <c r="AC91" s="58"/>
      <c r="AD91" s="57"/>
      <c r="AE91" s="52"/>
      <c r="AF91" s="52"/>
      <c r="AG91" s="58"/>
      <c r="AH91" s="57"/>
      <c r="AI91" s="52"/>
      <c r="AJ91" s="52"/>
      <c r="AK91" s="58"/>
      <c r="AL91" s="57"/>
      <c r="AM91" s="52"/>
      <c r="AN91" s="52"/>
      <c r="AO91" s="58"/>
      <c r="AP91" s="57"/>
      <c r="AQ91" s="52"/>
      <c r="AR91" s="52"/>
      <c r="AS91" s="58"/>
      <c r="AT91" s="57"/>
      <c r="AU91" s="52"/>
      <c r="AV91" s="52"/>
      <c r="AW91" s="58"/>
      <c r="AX91" s="33">
        <f t="shared" si="32"/>
        <v>0</v>
      </c>
      <c r="AY91" s="31">
        <f t="shared" si="33"/>
        <v>0</v>
      </c>
      <c r="AZ91" s="30">
        <f t="shared" si="34"/>
        <v>0</v>
      </c>
      <c r="BA91" s="34"/>
      <c r="BB91" s="34"/>
      <c r="BC91" s="34"/>
      <c r="BD91" s="76"/>
      <c r="BE91" s="34"/>
      <c r="BF91" s="34"/>
      <c r="BG91" s="34"/>
      <c r="BH91" s="34"/>
    </row>
    <row r="92" spans="1:60" s="17" customFormat="1" ht="19.5" customHeight="1" x14ac:dyDescent="0.35">
      <c r="A92" s="41">
        <f t="shared" si="30"/>
        <v>45439</v>
      </c>
      <c r="B92" s="37" t="str">
        <f t="shared" si="30"/>
        <v>Yaka Çıma</v>
      </c>
      <c r="C92" s="65"/>
      <c r="D92" s="67">
        <f t="shared" si="31"/>
        <v>120</v>
      </c>
      <c r="E92" s="57"/>
      <c r="F92" s="52"/>
      <c r="G92" s="52"/>
      <c r="H92" s="58"/>
      <c r="I92" s="57"/>
      <c r="J92" s="52"/>
      <c r="K92" s="52"/>
      <c r="L92" s="58"/>
      <c r="M92" s="57"/>
      <c r="N92" s="52"/>
      <c r="O92" s="52"/>
      <c r="P92" s="58"/>
      <c r="Q92" s="57"/>
      <c r="R92" s="52"/>
      <c r="S92" s="52"/>
      <c r="T92" s="52"/>
      <c r="U92" s="58"/>
      <c r="V92" s="57"/>
      <c r="W92" s="52"/>
      <c r="X92" s="52"/>
      <c r="Y92" s="58"/>
      <c r="Z92" s="57"/>
      <c r="AA92" s="52"/>
      <c r="AB92" s="52"/>
      <c r="AC92" s="58"/>
      <c r="AD92" s="57"/>
      <c r="AE92" s="52"/>
      <c r="AF92" s="52"/>
      <c r="AG92" s="58"/>
      <c r="AH92" s="57"/>
      <c r="AI92" s="52"/>
      <c r="AJ92" s="52"/>
      <c r="AK92" s="58"/>
      <c r="AL92" s="57"/>
      <c r="AM92" s="52"/>
      <c r="AN92" s="52"/>
      <c r="AO92" s="58"/>
      <c r="AP92" s="57"/>
      <c r="AQ92" s="52"/>
      <c r="AR92" s="52"/>
      <c r="AS92" s="58"/>
      <c r="AT92" s="57"/>
      <c r="AU92" s="52"/>
      <c r="AV92" s="52"/>
      <c r="AW92" s="58"/>
      <c r="AX92" s="33">
        <f t="shared" si="32"/>
        <v>0</v>
      </c>
      <c r="AY92" s="31">
        <f t="shared" si="33"/>
        <v>0</v>
      </c>
      <c r="AZ92" s="30">
        <f t="shared" si="34"/>
        <v>0</v>
      </c>
      <c r="BA92" s="34"/>
      <c r="BB92" s="34"/>
      <c r="BC92" s="34"/>
      <c r="BD92" s="76"/>
      <c r="BE92" s="34"/>
      <c r="BF92" s="34"/>
      <c r="BG92" s="34"/>
      <c r="BH92" s="34"/>
    </row>
    <row r="93" spans="1:60" s="17" customFormat="1" ht="19.5" customHeight="1" x14ac:dyDescent="0.35">
      <c r="A93" s="41">
        <f>A90</f>
        <v>45439</v>
      </c>
      <c r="B93" s="37" t="str">
        <f t="shared" si="30"/>
        <v>Yaka Çıma</v>
      </c>
      <c r="C93" s="65"/>
      <c r="D93" s="67">
        <f t="shared" si="31"/>
        <v>120</v>
      </c>
      <c r="E93" s="57"/>
      <c r="F93" s="52"/>
      <c r="G93" s="52"/>
      <c r="H93" s="58"/>
      <c r="I93" s="57"/>
      <c r="J93" s="52"/>
      <c r="K93" s="52"/>
      <c r="L93" s="58"/>
      <c r="M93" s="57"/>
      <c r="N93" s="52"/>
      <c r="O93" s="52"/>
      <c r="P93" s="58"/>
      <c r="Q93" s="57"/>
      <c r="R93" s="52"/>
      <c r="S93" s="52"/>
      <c r="T93" s="52"/>
      <c r="U93" s="58"/>
      <c r="V93" s="57"/>
      <c r="W93" s="52"/>
      <c r="X93" s="52"/>
      <c r="Y93" s="58"/>
      <c r="Z93" s="57"/>
      <c r="AA93" s="52"/>
      <c r="AB93" s="52"/>
      <c r="AC93" s="58"/>
      <c r="AD93" s="57"/>
      <c r="AE93" s="52"/>
      <c r="AF93" s="52"/>
      <c r="AG93" s="58"/>
      <c r="AH93" s="57"/>
      <c r="AI93" s="52"/>
      <c r="AJ93" s="52"/>
      <c r="AK93" s="58"/>
      <c r="AL93" s="57"/>
      <c r="AM93" s="52"/>
      <c r="AN93" s="52"/>
      <c r="AO93" s="58"/>
      <c r="AP93" s="57"/>
      <c r="AQ93" s="52"/>
      <c r="AR93" s="52"/>
      <c r="AS93" s="58"/>
      <c r="AT93" s="57"/>
      <c r="AU93" s="52"/>
      <c r="AV93" s="52"/>
      <c r="AW93" s="58"/>
      <c r="AX93" s="33">
        <f t="shared" si="32"/>
        <v>0</v>
      </c>
      <c r="AY93" s="31">
        <f t="shared" si="33"/>
        <v>0</v>
      </c>
      <c r="AZ93" s="30">
        <f t="shared" si="34"/>
        <v>0</v>
      </c>
      <c r="BA93" s="34"/>
      <c r="BB93" s="34"/>
      <c r="BC93" s="34"/>
      <c r="BD93" s="76"/>
      <c r="BE93" s="34"/>
      <c r="BF93" s="34"/>
      <c r="BG93" s="34"/>
      <c r="BH93" s="34"/>
    </row>
    <row r="94" spans="1:60" s="17" customFormat="1" ht="19.5" customHeight="1" x14ac:dyDescent="0.35">
      <c r="A94" s="41">
        <f t="shared" ref="A94:B96" si="35">A93</f>
        <v>45439</v>
      </c>
      <c r="B94" s="37" t="str">
        <f t="shared" si="35"/>
        <v>Yaka Çıma</v>
      </c>
      <c r="C94" s="65"/>
      <c r="D94" s="67">
        <f t="shared" si="31"/>
        <v>120</v>
      </c>
      <c r="E94" s="57"/>
      <c r="F94" s="52"/>
      <c r="G94" s="52"/>
      <c r="H94" s="58"/>
      <c r="I94" s="57"/>
      <c r="J94" s="52"/>
      <c r="K94" s="52"/>
      <c r="L94" s="58"/>
      <c r="M94" s="57"/>
      <c r="N94" s="52"/>
      <c r="O94" s="52"/>
      <c r="P94" s="58"/>
      <c r="Q94" s="57"/>
      <c r="R94" s="52"/>
      <c r="S94" s="52"/>
      <c r="T94" s="52"/>
      <c r="U94" s="58"/>
      <c r="V94" s="57"/>
      <c r="W94" s="52"/>
      <c r="X94" s="52"/>
      <c r="Y94" s="58"/>
      <c r="Z94" s="57"/>
      <c r="AA94" s="52"/>
      <c r="AB94" s="52"/>
      <c r="AC94" s="58"/>
      <c r="AD94" s="57"/>
      <c r="AE94" s="52"/>
      <c r="AF94" s="52"/>
      <c r="AG94" s="58"/>
      <c r="AH94" s="57"/>
      <c r="AI94" s="52"/>
      <c r="AJ94" s="52"/>
      <c r="AK94" s="58"/>
      <c r="AL94" s="57"/>
      <c r="AM94" s="52"/>
      <c r="AN94" s="52"/>
      <c r="AO94" s="58"/>
      <c r="AP94" s="57"/>
      <c r="AQ94" s="52"/>
      <c r="AR94" s="52"/>
      <c r="AS94" s="58"/>
      <c r="AT94" s="57"/>
      <c r="AU94" s="52"/>
      <c r="AV94" s="52"/>
      <c r="AW94" s="58"/>
      <c r="AX94" s="33">
        <f t="shared" si="32"/>
        <v>0</v>
      </c>
      <c r="AY94" s="31">
        <f t="shared" si="33"/>
        <v>0</v>
      </c>
      <c r="AZ94" s="30">
        <f t="shared" si="34"/>
        <v>0</v>
      </c>
      <c r="BA94" s="34"/>
      <c r="BB94" s="34"/>
      <c r="BC94" s="34"/>
      <c r="BD94" s="76"/>
      <c r="BE94" s="34"/>
      <c r="BF94" s="34"/>
      <c r="BG94" s="34"/>
      <c r="BH94" s="34"/>
    </row>
    <row r="95" spans="1:60" s="17" customFormat="1" ht="19.5" customHeight="1" thickBot="1" x14ac:dyDescent="0.4">
      <c r="A95" s="41">
        <f t="shared" si="35"/>
        <v>45439</v>
      </c>
      <c r="B95" s="37" t="str">
        <f t="shared" si="35"/>
        <v>Yaka Çıma</v>
      </c>
      <c r="C95" s="66"/>
      <c r="D95" s="67">
        <f t="shared" si="31"/>
        <v>120</v>
      </c>
      <c r="E95" s="59"/>
      <c r="F95" s="60"/>
      <c r="G95" s="61"/>
      <c r="H95" s="62"/>
      <c r="I95" s="59"/>
      <c r="J95" s="60"/>
      <c r="K95" s="61"/>
      <c r="L95" s="62"/>
      <c r="M95" s="59"/>
      <c r="N95" s="60"/>
      <c r="O95" s="61"/>
      <c r="P95" s="62"/>
      <c r="Q95" s="64"/>
      <c r="R95" s="61"/>
      <c r="S95" s="61"/>
      <c r="T95" s="61"/>
      <c r="U95" s="62"/>
      <c r="V95" s="59"/>
      <c r="W95" s="60"/>
      <c r="X95" s="61"/>
      <c r="Y95" s="62"/>
      <c r="Z95" s="59"/>
      <c r="AA95" s="60"/>
      <c r="AB95" s="61"/>
      <c r="AC95" s="62"/>
      <c r="AD95" s="59"/>
      <c r="AE95" s="60"/>
      <c r="AF95" s="61"/>
      <c r="AG95" s="62"/>
      <c r="AH95" s="59"/>
      <c r="AI95" s="60"/>
      <c r="AJ95" s="61"/>
      <c r="AK95" s="62"/>
      <c r="AL95" s="59"/>
      <c r="AM95" s="60"/>
      <c r="AN95" s="61"/>
      <c r="AO95" s="62"/>
      <c r="AP95" s="59"/>
      <c r="AQ95" s="60"/>
      <c r="AR95" s="61"/>
      <c r="AS95" s="62"/>
      <c r="AT95" s="59"/>
      <c r="AU95" s="60"/>
      <c r="AV95" s="61"/>
      <c r="AW95" s="62"/>
      <c r="AX95" s="33">
        <f t="shared" si="32"/>
        <v>0</v>
      </c>
      <c r="AY95" s="31">
        <f t="shared" si="33"/>
        <v>0</v>
      </c>
      <c r="AZ95" s="30">
        <f t="shared" si="34"/>
        <v>0</v>
      </c>
      <c r="BA95" s="34"/>
      <c r="BB95" s="34"/>
      <c r="BC95" s="34"/>
      <c r="BD95" s="76"/>
      <c r="BE95" s="34"/>
      <c r="BF95" s="34"/>
      <c r="BG95" s="34"/>
      <c r="BH95" s="34"/>
    </row>
    <row r="96" spans="1:60" s="17" customFormat="1" ht="19.5" customHeight="1" thickBot="1" x14ac:dyDescent="0.45">
      <c r="A96" s="41">
        <f t="shared" si="35"/>
        <v>45439</v>
      </c>
      <c r="B96" s="139" t="str">
        <f>B89</f>
        <v>Yaka Çıma</v>
      </c>
      <c r="C96" s="140"/>
      <c r="D96" s="40">
        <f>C6/8</f>
        <v>500</v>
      </c>
      <c r="E96" s="147">
        <f>SUM(E89:H95)</f>
        <v>0</v>
      </c>
      <c r="F96" s="148"/>
      <c r="G96" s="148"/>
      <c r="H96" s="149"/>
      <c r="I96" s="147">
        <f>SUM(I89:L95)</f>
        <v>0</v>
      </c>
      <c r="J96" s="148"/>
      <c r="K96" s="148"/>
      <c r="L96" s="149"/>
      <c r="M96" s="147">
        <f>SUM(M89:P95)</f>
        <v>0</v>
      </c>
      <c r="N96" s="148"/>
      <c r="O96" s="148"/>
      <c r="P96" s="149"/>
      <c r="Q96" s="147">
        <f>SUM(Q89:U95)</f>
        <v>0</v>
      </c>
      <c r="R96" s="148"/>
      <c r="S96" s="148"/>
      <c r="T96" s="148"/>
      <c r="U96" s="149"/>
      <c r="V96" s="147">
        <f>SUM(V89:Y95)</f>
        <v>0</v>
      </c>
      <c r="W96" s="148"/>
      <c r="X96" s="148"/>
      <c r="Y96" s="149"/>
      <c r="Z96" s="147">
        <f>SUM(Z89:AC95)</f>
        <v>0</v>
      </c>
      <c r="AA96" s="148"/>
      <c r="AB96" s="148"/>
      <c r="AC96" s="149"/>
      <c r="AD96" s="147">
        <f>SUM(AD89:AG95)</f>
        <v>0</v>
      </c>
      <c r="AE96" s="148"/>
      <c r="AF96" s="148"/>
      <c r="AG96" s="149"/>
      <c r="AH96" s="147">
        <f>SUM(AH89:AK95)</f>
        <v>0</v>
      </c>
      <c r="AI96" s="148"/>
      <c r="AJ96" s="148"/>
      <c r="AK96" s="149"/>
      <c r="AL96" s="147">
        <f>SUM(AL89:AO95)</f>
        <v>0</v>
      </c>
      <c r="AM96" s="148"/>
      <c r="AN96" s="148"/>
      <c r="AO96" s="149"/>
      <c r="AP96" s="147">
        <f>SUM(AP89:AS95)</f>
        <v>0</v>
      </c>
      <c r="AQ96" s="148"/>
      <c r="AR96" s="148"/>
      <c r="AS96" s="149"/>
      <c r="AT96" s="147">
        <f>SUM(AT89:AW95)</f>
        <v>0</v>
      </c>
      <c r="AU96" s="148"/>
      <c r="AV96" s="148"/>
      <c r="AW96" s="149"/>
      <c r="AX96" s="87">
        <f>SUM(AX89:AX95)</f>
        <v>0</v>
      </c>
      <c r="AY96" s="88">
        <f>IFERROR(AVERAGEIF(E96:AV96,"&lt;&gt;0",(E96:AV96)),)</f>
        <v>0</v>
      </c>
      <c r="AZ96" s="46">
        <f>IFERROR(AX96/BB90,0)</f>
        <v>0</v>
      </c>
      <c r="BA96" s="34"/>
      <c r="BB96" s="34"/>
      <c r="BC96" s="34"/>
      <c r="BD96" s="76"/>
      <c r="BE96" s="34"/>
      <c r="BF96" s="34"/>
      <c r="BG96" s="34"/>
      <c r="BH96" s="34"/>
    </row>
    <row r="97" spans="1:60" s="17" customFormat="1" ht="19.5" customHeight="1" thickBot="1" x14ac:dyDescent="0.4">
      <c r="A97" s="42">
        <f>A88</f>
        <v>45439</v>
      </c>
      <c r="B97" s="38" t="str">
        <f>B98</f>
        <v>Kol Takma</v>
      </c>
      <c r="C97" s="39" t="s">
        <v>180</v>
      </c>
      <c r="D97" s="69" t="s">
        <v>181</v>
      </c>
      <c r="E97" s="48">
        <v>0.34375</v>
      </c>
      <c r="F97" s="49">
        <v>0.35416666666666669</v>
      </c>
      <c r="G97" s="49">
        <v>0.36458333333333331</v>
      </c>
      <c r="H97" s="50">
        <v>0.375</v>
      </c>
      <c r="I97" s="48">
        <v>0.38541666666666702</v>
      </c>
      <c r="J97" s="49">
        <v>0.39583333333333298</v>
      </c>
      <c r="K97" s="49">
        <v>0.40625</v>
      </c>
      <c r="L97" s="50">
        <v>0.41666666666666702</v>
      </c>
      <c r="M97" s="48">
        <v>0.4375</v>
      </c>
      <c r="N97" s="49">
        <v>0.44791666666666702</v>
      </c>
      <c r="O97" s="49">
        <v>0.45833333333333398</v>
      </c>
      <c r="P97" s="50">
        <v>0.46875</v>
      </c>
      <c r="Q97" s="48">
        <v>0.47916666666666702</v>
      </c>
      <c r="R97" s="49">
        <v>0.48958333333333398</v>
      </c>
      <c r="S97" s="49">
        <v>0.5</v>
      </c>
      <c r="T97" s="50">
        <v>0.51041666666666696</v>
      </c>
      <c r="U97" s="51">
        <v>0.52083333333333204</v>
      </c>
      <c r="V97" s="48">
        <v>0.5625</v>
      </c>
      <c r="W97" s="49">
        <v>0.57291666666666663</v>
      </c>
      <c r="X97" s="49">
        <v>0.58333333333333304</v>
      </c>
      <c r="Y97" s="50">
        <v>0.59375</v>
      </c>
      <c r="Z97" s="48">
        <v>0.60416666666666696</v>
      </c>
      <c r="AA97" s="49">
        <v>0.61458333333333304</v>
      </c>
      <c r="AB97" s="49">
        <v>0.625</v>
      </c>
      <c r="AC97" s="50">
        <v>0.63541666666666596</v>
      </c>
      <c r="AD97" s="48">
        <v>0.65625</v>
      </c>
      <c r="AE97" s="49">
        <v>0.66666666666666663</v>
      </c>
      <c r="AF97" s="49">
        <v>0.67708333333333304</v>
      </c>
      <c r="AG97" s="50">
        <v>0.6875</v>
      </c>
      <c r="AH97" s="48">
        <v>0.69791666666666696</v>
      </c>
      <c r="AI97" s="49">
        <v>0.70833333333333304</v>
      </c>
      <c r="AJ97" s="49">
        <v>0.71875</v>
      </c>
      <c r="AK97" s="50">
        <v>0.72916666666666696</v>
      </c>
      <c r="AL97" s="48">
        <v>0.73958333333333404</v>
      </c>
      <c r="AM97" s="49">
        <v>0.750000000000001</v>
      </c>
      <c r="AN97" s="49">
        <v>0.76041666666666796</v>
      </c>
      <c r="AO97" s="50">
        <v>0.77083333333333504</v>
      </c>
      <c r="AP97" s="48">
        <v>0.781250000000002</v>
      </c>
      <c r="AQ97" s="49">
        <v>0.79166666666666896</v>
      </c>
      <c r="AR97" s="49">
        <v>0.80208333333333603</v>
      </c>
      <c r="AS97" s="50">
        <v>0.812500000000003</v>
      </c>
      <c r="AT97" s="48">
        <v>0.82291666666666996</v>
      </c>
      <c r="AU97" s="49">
        <v>0.83333333333333703</v>
      </c>
      <c r="AV97" s="49">
        <v>0.843750000000004</v>
      </c>
      <c r="AW97" s="50">
        <v>0.85416666666666663</v>
      </c>
      <c r="AX97" s="68" t="s">
        <v>260</v>
      </c>
      <c r="AY97" s="28" t="s">
        <v>261</v>
      </c>
      <c r="AZ97" s="29" t="s">
        <v>262</v>
      </c>
      <c r="BA97" s="136" t="str">
        <f>B98</f>
        <v>Kol Takma</v>
      </c>
      <c r="BB97" s="137"/>
      <c r="BC97" s="137"/>
      <c r="BD97" s="137"/>
      <c r="BE97" s="137"/>
      <c r="BF97" s="137"/>
      <c r="BG97" s="137"/>
      <c r="BH97" s="138"/>
    </row>
    <row r="98" spans="1:60" s="17" customFormat="1" ht="19.5" customHeight="1" thickBot="1" x14ac:dyDescent="0.4">
      <c r="A98" s="41">
        <f t="shared" ref="A98:B104" si="36">A97</f>
        <v>45439</v>
      </c>
      <c r="B98" s="37" t="s">
        <v>21</v>
      </c>
      <c r="C98" s="65"/>
      <c r="D98" s="71">
        <v>35</v>
      </c>
      <c r="E98" s="53"/>
      <c r="F98" s="54"/>
      <c r="G98" s="55"/>
      <c r="H98" s="56"/>
      <c r="I98" s="53"/>
      <c r="J98" s="54"/>
      <c r="K98" s="55"/>
      <c r="L98" s="56"/>
      <c r="M98" s="53"/>
      <c r="N98" s="54"/>
      <c r="O98" s="55"/>
      <c r="P98" s="56"/>
      <c r="Q98" s="63"/>
      <c r="R98" s="55"/>
      <c r="S98" s="55"/>
      <c r="T98" s="55"/>
      <c r="U98" s="56"/>
      <c r="V98" s="53"/>
      <c r="W98" s="54"/>
      <c r="X98" s="55"/>
      <c r="Y98" s="56"/>
      <c r="Z98" s="53"/>
      <c r="AA98" s="54"/>
      <c r="AB98" s="55"/>
      <c r="AC98" s="56"/>
      <c r="AD98" s="63"/>
      <c r="AE98" s="55"/>
      <c r="AF98" s="55"/>
      <c r="AG98" s="56"/>
      <c r="AH98" s="63"/>
      <c r="AI98" s="55"/>
      <c r="AJ98" s="55"/>
      <c r="AK98" s="56"/>
      <c r="AL98" s="63"/>
      <c r="AM98" s="55"/>
      <c r="AN98" s="55"/>
      <c r="AO98" s="56"/>
      <c r="AP98" s="53"/>
      <c r="AQ98" s="54"/>
      <c r="AR98" s="55"/>
      <c r="AS98" s="56"/>
      <c r="AT98" s="53"/>
      <c r="AU98" s="54"/>
      <c r="AV98" s="55"/>
      <c r="AW98" s="56"/>
      <c r="AX98" s="33">
        <f>SUM(E98:AW98)</f>
        <v>0</v>
      </c>
      <c r="AY98" s="31">
        <f>IFERROR(AVERAGEIF(E98:AW98,"&lt;&gt;0",(E98:AW98)),)</f>
        <v>0</v>
      </c>
      <c r="AZ98" s="30">
        <f>IFERROR(AY98/D98,0)</f>
        <v>0</v>
      </c>
      <c r="BA98" s="103" t="s">
        <v>182</v>
      </c>
      <c r="BB98" s="100" t="s">
        <v>183</v>
      </c>
      <c r="BC98" s="100" t="s">
        <v>184</v>
      </c>
      <c r="BD98" s="101" t="s">
        <v>185</v>
      </c>
      <c r="BE98" s="100" t="s">
        <v>186</v>
      </c>
      <c r="BF98" s="102" t="s">
        <v>187</v>
      </c>
      <c r="BG98" s="100" t="s">
        <v>188</v>
      </c>
      <c r="BH98" s="102" t="s">
        <v>189</v>
      </c>
    </row>
    <row r="99" spans="1:60" s="17" customFormat="1" ht="19.5" customHeight="1" thickBot="1" x14ac:dyDescent="0.4">
      <c r="A99" s="41">
        <f t="shared" si="36"/>
        <v>45439</v>
      </c>
      <c r="B99" s="37" t="str">
        <f t="shared" si="36"/>
        <v>Kol Takma</v>
      </c>
      <c r="C99" s="65"/>
      <c r="D99" s="67">
        <f t="shared" ref="D99:D104" si="37">D98</f>
        <v>35</v>
      </c>
      <c r="E99" s="57"/>
      <c r="F99" s="52"/>
      <c r="G99" s="52"/>
      <c r="H99" s="58"/>
      <c r="I99" s="57"/>
      <c r="J99" s="52"/>
      <c r="K99" s="52"/>
      <c r="L99" s="58"/>
      <c r="M99" s="57"/>
      <c r="N99" s="52"/>
      <c r="O99" s="52"/>
      <c r="P99" s="58"/>
      <c r="Q99" s="57"/>
      <c r="R99" s="52"/>
      <c r="S99" s="52"/>
      <c r="T99" s="52"/>
      <c r="U99" s="58"/>
      <c r="V99" s="57"/>
      <c r="W99" s="52"/>
      <c r="X99" s="52"/>
      <c r="Y99" s="58"/>
      <c r="Z99" s="57"/>
      <c r="AA99" s="52"/>
      <c r="AB99" s="52"/>
      <c r="AC99" s="58"/>
      <c r="AD99" s="57"/>
      <c r="AE99" s="52"/>
      <c r="AF99" s="52"/>
      <c r="AG99" s="58"/>
      <c r="AH99" s="57"/>
      <c r="AI99" s="52"/>
      <c r="AJ99" s="52"/>
      <c r="AK99" s="58"/>
      <c r="AL99" s="57"/>
      <c r="AM99" s="52"/>
      <c r="AN99" s="52"/>
      <c r="AO99" s="58"/>
      <c r="AP99" s="57"/>
      <c r="AQ99" s="52"/>
      <c r="AR99" s="52"/>
      <c r="AS99" s="58"/>
      <c r="AT99" s="57"/>
      <c r="AU99" s="52"/>
      <c r="AV99" s="52"/>
      <c r="AW99" s="58"/>
      <c r="AX99" s="33">
        <f t="shared" ref="AX99:AX104" si="38">SUM(E99:AW99)</f>
        <v>0</v>
      </c>
      <c r="AY99" s="31">
        <f t="shared" ref="AY99:AY104" si="39">IFERROR(AVERAGEIF(E99:AW99,"&lt;&gt;0",(E99:AW99)),)</f>
        <v>0</v>
      </c>
      <c r="AZ99" s="30">
        <f t="shared" ref="AZ99:AZ104" si="40">IFERROR(AY99/D99,0)</f>
        <v>0</v>
      </c>
      <c r="BA99" s="94">
        <f>AX105</f>
        <v>0</v>
      </c>
      <c r="BB99" s="95">
        <f>(D105*8)</f>
        <v>4000</v>
      </c>
      <c r="BC99" s="96">
        <f>C5-BA99</f>
        <v>42311</v>
      </c>
      <c r="BD99" s="96">
        <f>BA90-BA99</f>
        <v>0</v>
      </c>
      <c r="BE99" s="97">
        <f>IFERROR(BC99/E105,0)</f>
        <v>0</v>
      </c>
      <c r="BF99" s="98">
        <f>IFERROR(BE99/9,0)</f>
        <v>0</v>
      </c>
      <c r="BG99" s="97">
        <f>IFERROR(BC99/AY105,0)</f>
        <v>0</v>
      </c>
      <c r="BH99" s="97">
        <f>IFERROR(BG99/9,0)</f>
        <v>0</v>
      </c>
    </row>
    <row r="100" spans="1:60" s="17" customFormat="1" ht="19.5" customHeight="1" x14ac:dyDescent="0.35">
      <c r="A100" s="41">
        <f t="shared" si="36"/>
        <v>45439</v>
      </c>
      <c r="B100" s="37" t="str">
        <f t="shared" si="36"/>
        <v>Kol Takma</v>
      </c>
      <c r="C100" s="65"/>
      <c r="D100" s="67">
        <f t="shared" si="37"/>
        <v>35</v>
      </c>
      <c r="E100" s="57"/>
      <c r="F100" s="52"/>
      <c r="G100" s="52"/>
      <c r="H100" s="58"/>
      <c r="I100" s="57"/>
      <c r="J100" s="52"/>
      <c r="K100" s="52"/>
      <c r="L100" s="58"/>
      <c r="M100" s="57"/>
      <c r="N100" s="52"/>
      <c r="O100" s="52"/>
      <c r="P100" s="58"/>
      <c r="Q100" s="57"/>
      <c r="R100" s="52"/>
      <c r="S100" s="52"/>
      <c r="T100" s="52"/>
      <c r="U100" s="58"/>
      <c r="V100" s="57"/>
      <c r="W100" s="52"/>
      <c r="X100" s="52"/>
      <c r="Y100" s="58"/>
      <c r="Z100" s="57"/>
      <c r="AA100" s="52"/>
      <c r="AB100" s="52"/>
      <c r="AC100" s="58"/>
      <c r="AD100" s="57"/>
      <c r="AE100" s="52"/>
      <c r="AF100" s="52"/>
      <c r="AG100" s="58"/>
      <c r="AH100" s="57"/>
      <c r="AI100" s="52"/>
      <c r="AJ100" s="52"/>
      <c r="AK100" s="58"/>
      <c r="AL100" s="57"/>
      <c r="AM100" s="52"/>
      <c r="AN100" s="52"/>
      <c r="AO100" s="58"/>
      <c r="AP100" s="57"/>
      <c r="AQ100" s="52"/>
      <c r="AR100" s="52"/>
      <c r="AS100" s="58"/>
      <c r="AT100" s="57"/>
      <c r="AU100" s="52"/>
      <c r="AV100" s="52"/>
      <c r="AW100" s="58"/>
      <c r="AX100" s="33">
        <f t="shared" si="38"/>
        <v>0</v>
      </c>
      <c r="AY100" s="31">
        <f t="shared" si="39"/>
        <v>0</v>
      </c>
      <c r="AZ100" s="30">
        <f t="shared" si="40"/>
        <v>0</v>
      </c>
      <c r="BA100" s="34"/>
      <c r="BB100" s="34"/>
      <c r="BC100" s="34"/>
      <c r="BD100" s="76"/>
      <c r="BE100" s="34"/>
      <c r="BF100" s="34"/>
      <c r="BG100" s="34"/>
      <c r="BH100" s="34"/>
    </row>
    <row r="101" spans="1:60" s="17" customFormat="1" ht="19.5" customHeight="1" x14ac:dyDescent="0.35">
      <c r="A101" s="41">
        <f t="shared" si="36"/>
        <v>45439</v>
      </c>
      <c r="B101" s="37" t="str">
        <f t="shared" si="36"/>
        <v>Kol Takma</v>
      </c>
      <c r="C101" s="65"/>
      <c r="D101" s="67">
        <f t="shared" si="37"/>
        <v>35</v>
      </c>
      <c r="E101" s="57"/>
      <c r="F101" s="52"/>
      <c r="G101" s="52"/>
      <c r="H101" s="58"/>
      <c r="I101" s="57"/>
      <c r="J101" s="52"/>
      <c r="K101" s="52"/>
      <c r="L101" s="58"/>
      <c r="M101" s="57"/>
      <c r="N101" s="52"/>
      <c r="O101" s="52"/>
      <c r="P101" s="58"/>
      <c r="Q101" s="57"/>
      <c r="R101" s="52"/>
      <c r="S101" s="52"/>
      <c r="T101" s="52"/>
      <c r="U101" s="58"/>
      <c r="V101" s="57"/>
      <c r="W101" s="52"/>
      <c r="X101" s="52"/>
      <c r="Y101" s="58"/>
      <c r="Z101" s="57"/>
      <c r="AA101" s="52"/>
      <c r="AB101" s="52"/>
      <c r="AC101" s="58"/>
      <c r="AD101" s="57"/>
      <c r="AE101" s="52"/>
      <c r="AF101" s="52"/>
      <c r="AG101" s="58"/>
      <c r="AH101" s="57"/>
      <c r="AI101" s="52"/>
      <c r="AJ101" s="52"/>
      <c r="AK101" s="58"/>
      <c r="AL101" s="57"/>
      <c r="AM101" s="52"/>
      <c r="AN101" s="52"/>
      <c r="AO101" s="58"/>
      <c r="AP101" s="57"/>
      <c r="AQ101" s="52"/>
      <c r="AR101" s="52"/>
      <c r="AS101" s="58"/>
      <c r="AT101" s="57"/>
      <c r="AU101" s="52"/>
      <c r="AV101" s="52"/>
      <c r="AW101" s="58"/>
      <c r="AX101" s="33">
        <f t="shared" si="38"/>
        <v>0</v>
      </c>
      <c r="AY101" s="31">
        <f t="shared" si="39"/>
        <v>0</v>
      </c>
      <c r="AZ101" s="30">
        <f t="shared" si="40"/>
        <v>0</v>
      </c>
      <c r="BA101" s="34"/>
      <c r="BB101" s="34"/>
      <c r="BC101" s="34"/>
      <c r="BD101" s="76"/>
      <c r="BE101" s="34"/>
      <c r="BF101" s="34"/>
      <c r="BG101" s="34"/>
      <c r="BH101" s="34"/>
    </row>
    <row r="102" spans="1:60" s="17" customFormat="1" ht="19.5" customHeight="1" x14ac:dyDescent="0.35">
      <c r="A102" s="41">
        <f>A99</f>
        <v>45439</v>
      </c>
      <c r="B102" s="37" t="str">
        <f t="shared" si="36"/>
        <v>Kol Takma</v>
      </c>
      <c r="C102" s="65"/>
      <c r="D102" s="67">
        <f t="shared" si="37"/>
        <v>35</v>
      </c>
      <c r="E102" s="57"/>
      <c r="F102" s="52"/>
      <c r="G102" s="52"/>
      <c r="H102" s="58"/>
      <c r="I102" s="57"/>
      <c r="J102" s="52"/>
      <c r="K102" s="52"/>
      <c r="L102" s="58"/>
      <c r="M102" s="57"/>
      <c r="N102" s="52"/>
      <c r="O102" s="52"/>
      <c r="P102" s="58"/>
      <c r="Q102" s="57"/>
      <c r="R102" s="52"/>
      <c r="S102" s="52"/>
      <c r="T102" s="52"/>
      <c r="U102" s="58"/>
      <c r="V102" s="57"/>
      <c r="W102" s="52"/>
      <c r="X102" s="52"/>
      <c r="Y102" s="58"/>
      <c r="Z102" s="57"/>
      <c r="AA102" s="52"/>
      <c r="AB102" s="52"/>
      <c r="AC102" s="58"/>
      <c r="AD102" s="57"/>
      <c r="AE102" s="52"/>
      <c r="AF102" s="52"/>
      <c r="AG102" s="58"/>
      <c r="AH102" s="57"/>
      <c r="AI102" s="52"/>
      <c r="AJ102" s="52"/>
      <c r="AK102" s="58"/>
      <c r="AL102" s="57"/>
      <c r="AM102" s="52"/>
      <c r="AN102" s="52"/>
      <c r="AO102" s="58"/>
      <c r="AP102" s="57"/>
      <c r="AQ102" s="52"/>
      <c r="AR102" s="52"/>
      <c r="AS102" s="58"/>
      <c r="AT102" s="57"/>
      <c r="AU102" s="52"/>
      <c r="AV102" s="52"/>
      <c r="AW102" s="58"/>
      <c r="AX102" s="33">
        <f t="shared" si="38"/>
        <v>0</v>
      </c>
      <c r="AY102" s="31">
        <f t="shared" si="39"/>
        <v>0</v>
      </c>
      <c r="AZ102" s="30">
        <f t="shared" si="40"/>
        <v>0</v>
      </c>
      <c r="BA102" s="34"/>
      <c r="BB102" s="34"/>
      <c r="BC102" s="34"/>
      <c r="BD102" s="76"/>
      <c r="BE102" s="34"/>
      <c r="BF102" s="34"/>
      <c r="BG102" s="34"/>
      <c r="BH102" s="34"/>
    </row>
    <row r="103" spans="1:60" s="17" customFormat="1" ht="19.5" customHeight="1" x14ac:dyDescent="0.35">
      <c r="A103" s="41">
        <f t="shared" ref="A103:B113" si="41">A102</f>
        <v>45439</v>
      </c>
      <c r="B103" s="37" t="str">
        <f t="shared" si="36"/>
        <v>Kol Takma</v>
      </c>
      <c r="C103" s="65"/>
      <c r="D103" s="67">
        <f t="shared" si="37"/>
        <v>35</v>
      </c>
      <c r="E103" s="57"/>
      <c r="F103" s="52"/>
      <c r="G103" s="52"/>
      <c r="H103" s="58"/>
      <c r="I103" s="57"/>
      <c r="J103" s="52"/>
      <c r="K103" s="52"/>
      <c r="L103" s="58"/>
      <c r="M103" s="57"/>
      <c r="N103" s="52"/>
      <c r="O103" s="52"/>
      <c r="P103" s="58"/>
      <c r="Q103" s="57"/>
      <c r="R103" s="52"/>
      <c r="S103" s="52"/>
      <c r="T103" s="52"/>
      <c r="U103" s="58"/>
      <c r="V103" s="57"/>
      <c r="W103" s="52"/>
      <c r="X103" s="52"/>
      <c r="Y103" s="58"/>
      <c r="Z103" s="57"/>
      <c r="AA103" s="52"/>
      <c r="AB103" s="52"/>
      <c r="AC103" s="58"/>
      <c r="AD103" s="57"/>
      <c r="AE103" s="52"/>
      <c r="AF103" s="52"/>
      <c r="AG103" s="58"/>
      <c r="AH103" s="57"/>
      <c r="AI103" s="52"/>
      <c r="AJ103" s="52"/>
      <c r="AK103" s="58"/>
      <c r="AL103" s="57"/>
      <c r="AM103" s="52"/>
      <c r="AN103" s="52"/>
      <c r="AO103" s="58"/>
      <c r="AP103" s="57"/>
      <c r="AQ103" s="52"/>
      <c r="AR103" s="52"/>
      <c r="AS103" s="58"/>
      <c r="AT103" s="57"/>
      <c r="AU103" s="52"/>
      <c r="AV103" s="52"/>
      <c r="AW103" s="58"/>
      <c r="AX103" s="33">
        <f t="shared" si="38"/>
        <v>0</v>
      </c>
      <c r="AY103" s="31">
        <f t="shared" si="39"/>
        <v>0</v>
      </c>
      <c r="AZ103" s="30">
        <f t="shared" si="40"/>
        <v>0</v>
      </c>
      <c r="BA103" s="34"/>
      <c r="BB103" s="34"/>
      <c r="BC103" s="34"/>
      <c r="BD103" s="76"/>
      <c r="BE103" s="34"/>
      <c r="BF103" s="34"/>
      <c r="BG103" s="34"/>
      <c r="BH103" s="34"/>
    </row>
    <row r="104" spans="1:60" s="17" customFormat="1" ht="19.5" customHeight="1" thickBot="1" x14ac:dyDescent="0.4">
      <c r="A104" s="41">
        <f t="shared" si="41"/>
        <v>45439</v>
      </c>
      <c r="B104" s="37" t="str">
        <f t="shared" si="36"/>
        <v>Kol Takma</v>
      </c>
      <c r="C104" s="66"/>
      <c r="D104" s="67">
        <f t="shared" si="37"/>
        <v>35</v>
      </c>
      <c r="E104" s="59"/>
      <c r="F104" s="60"/>
      <c r="G104" s="61"/>
      <c r="H104" s="62"/>
      <c r="I104" s="59"/>
      <c r="J104" s="60"/>
      <c r="K104" s="61"/>
      <c r="L104" s="62"/>
      <c r="M104" s="59"/>
      <c r="N104" s="60"/>
      <c r="O104" s="61"/>
      <c r="P104" s="62"/>
      <c r="Q104" s="64"/>
      <c r="R104" s="61"/>
      <c r="S104" s="61"/>
      <c r="T104" s="61"/>
      <c r="U104" s="62"/>
      <c r="V104" s="59"/>
      <c r="W104" s="60"/>
      <c r="X104" s="61"/>
      <c r="Y104" s="62"/>
      <c r="Z104" s="59"/>
      <c r="AA104" s="60"/>
      <c r="AB104" s="61"/>
      <c r="AC104" s="62"/>
      <c r="AD104" s="59"/>
      <c r="AE104" s="60"/>
      <c r="AF104" s="61"/>
      <c r="AG104" s="62"/>
      <c r="AH104" s="59"/>
      <c r="AI104" s="60"/>
      <c r="AJ104" s="61"/>
      <c r="AK104" s="62"/>
      <c r="AL104" s="59"/>
      <c r="AM104" s="60"/>
      <c r="AN104" s="61"/>
      <c r="AO104" s="62"/>
      <c r="AP104" s="59"/>
      <c r="AQ104" s="60"/>
      <c r="AR104" s="61"/>
      <c r="AS104" s="62"/>
      <c r="AT104" s="59"/>
      <c r="AU104" s="60"/>
      <c r="AV104" s="61"/>
      <c r="AW104" s="62"/>
      <c r="AX104" s="33">
        <f t="shared" si="38"/>
        <v>0</v>
      </c>
      <c r="AY104" s="31">
        <f t="shared" si="39"/>
        <v>0</v>
      </c>
      <c r="AZ104" s="30">
        <f t="shared" si="40"/>
        <v>0</v>
      </c>
      <c r="BA104" s="34"/>
      <c r="BB104" s="34"/>
      <c r="BC104" s="34"/>
      <c r="BD104" s="76"/>
      <c r="BE104" s="34"/>
      <c r="BF104" s="34"/>
      <c r="BG104" s="34"/>
      <c r="BH104" s="34"/>
    </row>
    <row r="105" spans="1:60" s="17" customFormat="1" ht="19.5" customHeight="1" thickBot="1" x14ac:dyDescent="0.45">
      <c r="A105" s="41">
        <f t="shared" si="41"/>
        <v>45439</v>
      </c>
      <c r="B105" s="139" t="str">
        <f>B98</f>
        <v>Kol Takma</v>
      </c>
      <c r="C105" s="140"/>
      <c r="D105" s="40">
        <f>C6/8</f>
        <v>500</v>
      </c>
      <c r="E105" s="147">
        <f>SUM(E98:H104)</f>
        <v>0</v>
      </c>
      <c r="F105" s="148"/>
      <c r="G105" s="148"/>
      <c r="H105" s="149"/>
      <c r="I105" s="147">
        <f>SUM(I98:L104)</f>
        <v>0</v>
      </c>
      <c r="J105" s="148"/>
      <c r="K105" s="148"/>
      <c r="L105" s="149"/>
      <c r="M105" s="147">
        <f>SUM(M98:P104)</f>
        <v>0</v>
      </c>
      <c r="N105" s="148"/>
      <c r="O105" s="148"/>
      <c r="P105" s="149"/>
      <c r="Q105" s="147">
        <f>SUM(Q98:U104)</f>
        <v>0</v>
      </c>
      <c r="R105" s="148"/>
      <c r="S105" s="148"/>
      <c r="T105" s="148"/>
      <c r="U105" s="149"/>
      <c r="V105" s="147">
        <f>SUM(V98:Y104)</f>
        <v>0</v>
      </c>
      <c r="W105" s="148"/>
      <c r="X105" s="148"/>
      <c r="Y105" s="149"/>
      <c r="Z105" s="147">
        <f>SUM(Z98:AC104)</f>
        <v>0</v>
      </c>
      <c r="AA105" s="148"/>
      <c r="AB105" s="148"/>
      <c r="AC105" s="149"/>
      <c r="AD105" s="147">
        <f>SUM(AD98:AG104)</f>
        <v>0</v>
      </c>
      <c r="AE105" s="148"/>
      <c r="AF105" s="148"/>
      <c r="AG105" s="149"/>
      <c r="AH105" s="147">
        <f>SUM(AH98:AK104)</f>
        <v>0</v>
      </c>
      <c r="AI105" s="148"/>
      <c r="AJ105" s="148"/>
      <c r="AK105" s="149"/>
      <c r="AL105" s="147">
        <f>SUM(AL98:AO104)</f>
        <v>0</v>
      </c>
      <c r="AM105" s="148"/>
      <c r="AN105" s="148"/>
      <c r="AO105" s="149"/>
      <c r="AP105" s="147">
        <f>SUM(AP98:AS104)</f>
        <v>0</v>
      </c>
      <c r="AQ105" s="148"/>
      <c r="AR105" s="148"/>
      <c r="AS105" s="149"/>
      <c r="AT105" s="147">
        <f>SUM(AT98:AW104)</f>
        <v>0</v>
      </c>
      <c r="AU105" s="148"/>
      <c r="AV105" s="148"/>
      <c r="AW105" s="149"/>
      <c r="AX105" s="87">
        <f>SUM(AX98:AX104)</f>
        <v>0</v>
      </c>
      <c r="AY105" s="88">
        <f>IFERROR(AVERAGEIF(E105:AV105,"&lt;&gt;0",(E105:AV105)),)</f>
        <v>0</v>
      </c>
      <c r="AZ105" s="46">
        <f>IFERROR(AX105/BB99,0)</f>
        <v>0</v>
      </c>
      <c r="BA105" s="34"/>
      <c r="BB105" s="34"/>
      <c r="BC105" s="34"/>
      <c r="BD105" s="76"/>
      <c r="BE105" s="34"/>
      <c r="BF105" s="34"/>
      <c r="BG105" s="34"/>
      <c r="BH105" s="34"/>
    </row>
    <row r="106" spans="1:60" s="17" customFormat="1" ht="19.5" customHeight="1" thickBot="1" x14ac:dyDescent="0.4">
      <c r="A106" s="42">
        <f t="shared" si="41"/>
        <v>45439</v>
      </c>
      <c r="B106" s="38" t="str">
        <f>B107</f>
        <v>Yan Kapama</v>
      </c>
      <c r="C106" s="39" t="s">
        <v>180</v>
      </c>
      <c r="D106" s="69" t="s">
        <v>181</v>
      </c>
      <c r="E106" s="48">
        <v>0.34375</v>
      </c>
      <c r="F106" s="49">
        <v>0.35416666666666669</v>
      </c>
      <c r="G106" s="49">
        <v>0.36458333333333331</v>
      </c>
      <c r="H106" s="50">
        <v>0.375</v>
      </c>
      <c r="I106" s="48">
        <v>0.38541666666666702</v>
      </c>
      <c r="J106" s="49">
        <v>0.39583333333333298</v>
      </c>
      <c r="K106" s="49">
        <v>0.40625</v>
      </c>
      <c r="L106" s="50">
        <v>0.41666666666666702</v>
      </c>
      <c r="M106" s="48">
        <v>0.4375</v>
      </c>
      <c r="N106" s="49">
        <v>0.44791666666666702</v>
      </c>
      <c r="O106" s="49">
        <v>0.45833333333333398</v>
      </c>
      <c r="P106" s="50">
        <v>0.46875</v>
      </c>
      <c r="Q106" s="48">
        <v>0.47916666666666702</v>
      </c>
      <c r="R106" s="49">
        <v>0.48958333333333398</v>
      </c>
      <c r="S106" s="49">
        <v>0.5</v>
      </c>
      <c r="T106" s="50">
        <v>0.51041666666666696</v>
      </c>
      <c r="U106" s="51">
        <v>0.52083333333333204</v>
      </c>
      <c r="V106" s="48">
        <v>0.5625</v>
      </c>
      <c r="W106" s="49">
        <v>0.57291666666666663</v>
      </c>
      <c r="X106" s="49">
        <v>0.58333333333333304</v>
      </c>
      <c r="Y106" s="50">
        <v>0.59375</v>
      </c>
      <c r="Z106" s="48">
        <v>0.60416666666666696</v>
      </c>
      <c r="AA106" s="49">
        <v>0.61458333333333304</v>
      </c>
      <c r="AB106" s="49">
        <v>0.625</v>
      </c>
      <c r="AC106" s="50">
        <v>0.63541666666666596</v>
      </c>
      <c r="AD106" s="48">
        <v>0.65625</v>
      </c>
      <c r="AE106" s="49">
        <v>0.66666666666666663</v>
      </c>
      <c r="AF106" s="49">
        <v>0.67708333333333304</v>
      </c>
      <c r="AG106" s="50">
        <v>0.6875</v>
      </c>
      <c r="AH106" s="48">
        <v>0.69791666666666696</v>
      </c>
      <c r="AI106" s="49">
        <v>0.70833333333333304</v>
      </c>
      <c r="AJ106" s="49">
        <v>0.71875</v>
      </c>
      <c r="AK106" s="50">
        <v>0.72916666666666696</v>
      </c>
      <c r="AL106" s="48">
        <v>0.73958333333333404</v>
      </c>
      <c r="AM106" s="49">
        <v>0.750000000000001</v>
      </c>
      <c r="AN106" s="49">
        <v>0.76041666666666796</v>
      </c>
      <c r="AO106" s="50">
        <v>0.77083333333333504</v>
      </c>
      <c r="AP106" s="48">
        <v>0.781250000000002</v>
      </c>
      <c r="AQ106" s="49">
        <v>0.79166666666666896</v>
      </c>
      <c r="AR106" s="49">
        <v>0.80208333333333603</v>
      </c>
      <c r="AS106" s="50">
        <v>0.812500000000003</v>
      </c>
      <c r="AT106" s="48">
        <v>0.82291666666666996</v>
      </c>
      <c r="AU106" s="49">
        <v>0.83333333333333703</v>
      </c>
      <c r="AV106" s="49">
        <v>0.843750000000004</v>
      </c>
      <c r="AW106" s="50">
        <v>0.85416666666666663</v>
      </c>
      <c r="AX106" s="68" t="s">
        <v>260</v>
      </c>
      <c r="AY106" s="28" t="s">
        <v>261</v>
      </c>
      <c r="AZ106" s="29" t="s">
        <v>262</v>
      </c>
      <c r="BA106" s="136" t="str">
        <f>B107</f>
        <v>Yan Kapama</v>
      </c>
      <c r="BB106" s="137"/>
      <c r="BC106" s="137"/>
      <c r="BD106" s="137"/>
      <c r="BE106" s="137"/>
      <c r="BF106" s="137"/>
      <c r="BG106" s="137"/>
      <c r="BH106" s="138"/>
    </row>
    <row r="107" spans="1:60" s="17" customFormat="1" ht="19.5" customHeight="1" thickBot="1" x14ac:dyDescent="0.4">
      <c r="A107" s="41">
        <f t="shared" si="41"/>
        <v>45439</v>
      </c>
      <c r="B107" s="37" t="s">
        <v>23</v>
      </c>
      <c r="C107" s="65"/>
      <c r="D107" s="71">
        <v>40</v>
      </c>
      <c r="E107" s="53"/>
      <c r="F107" s="54"/>
      <c r="G107" s="55"/>
      <c r="H107" s="56"/>
      <c r="I107" s="53"/>
      <c r="J107" s="54"/>
      <c r="K107" s="55"/>
      <c r="L107" s="56"/>
      <c r="M107" s="53"/>
      <c r="N107" s="54"/>
      <c r="O107" s="55"/>
      <c r="P107" s="56"/>
      <c r="Q107" s="63"/>
      <c r="R107" s="55"/>
      <c r="S107" s="55"/>
      <c r="T107" s="55"/>
      <c r="U107" s="56"/>
      <c r="V107" s="53"/>
      <c r="W107" s="54"/>
      <c r="X107" s="55"/>
      <c r="Y107" s="56"/>
      <c r="Z107" s="53"/>
      <c r="AA107" s="54"/>
      <c r="AB107" s="55"/>
      <c r="AC107" s="56"/>
      <c r="AD107" s="53"/>
      <c r="AE107" s="54"/>
      <c r="AF107" s="55"/>
      <c r="AG107" s="56"/>
      <c r="AH107" s="53"/>
      <c r="AI107" s="54"/>
      <c r="AJ107" s="55"/>
      <c r="AK107" s="56"/>
      <c r="AL107" s="53"/>
      <c r="AM107" s="54"/>
      <c r="AN107" s="55"/>
      <c r="AO107" s="56"/>
      <c r="AP107" s="53"/>
      <c r="AQ107" s="54"/>
      <c r="AR107" s="55"/>
      <c r="AS107" s="56"/>
      <c r="AT107" s="53"/>
      <c r="AU107" s="54"/>
      <c r="AV107" s="55"/>
      <c r="AW107" s="56"/>
      <c r="AX107" s="33">
        <f>SUM(E107:AW107)</f>
        <v>0</v>
      </c>
      <c r="AY107" s="31">
        <f>IFERROR(AVERAGEIF(E107:AW107,"&lt;&gt;0",(E107:AW107)),)</f>
        <v>0</v>
      </c>
      <c r="AZ107" s="30">
        <f>IFERROR(AY107/D107,0)</f>
        <v>0</v>
      </c>
      <c r="BA107" s="103" t="s">
        <v>182</v>
      </c>
      <c r="BB107" s="100" t="s">
        <v>183</v>
      </c>
      <c r="BC107" s="100" t="s">
        <v>184</v>
      </c>
      <c r="BD107" s="101" t="s">
        <v>185</v>
      </c>
      <c r="BE107" s="100" t="s">
        <v>186</v>
      </c>
      <c r="BF107" s="102" t="s">
        <v>187</v>
      </c>
      <c r="BG107" s="100" t="s">
        <v>188</v>
      </c>
      <c r="BH107" s="102" t="s">
        <v>189</v>
      </c>
    </row>
    <row r="108" spans="1:60" s="17" customFormat="1" ht="19.5" customHeight="1" thickBot="1" x14ac:dyDescent="0.4">
      <c r="A108" s="41">
        <f t="shared" si="41"/>
        <v>45439</v>
      </c>
      <c r="B108" s="37" t="str">
        <f t="shared" si="41"/>
        <v>Yan Kapama</v>
      </c>
      <c r="C108" s="65"/>
      <c r="D108" s="67">
        <f t="shared" ref="D108:D113" si="42">D107</f>
        <v>40</v>
      </c>
      <c r="E108" s="57"/>
      <c r="F108" s="52"/>
      <c r="G108" s="52"/>
      <c r="H108" s="58"/>
      <c r="I108" s="57"/>
      <c r="J108" s="52"/>
      <c r="K108" s="52"/>
      <c r="L108" s="58"/>
      <c r="M108" s="57"/>
      <c r="N108" s="52"/>
      <c r="O108" s="52"/>
      <c r="P108" s="58"/>
      <c r="Q108" s="57"/>
      <c r="R108" s="52"/>
      <c r="S108" s="52"/>
      <c r="T108" s="52"/>
      <c r="U108" s="58"/>
      <c r="V108" s="57"/>
      <c r="W108" s="52"/>
      <c r="X108" s="52"/>
      <c r="Y108" s="58"/>
      <c r="Z108" s="57"/>
      <c r="AA108" s="52"/>
      <c r="AB108" s="52"/>
      <c r="AC108" s="58"/>
      <c r="AD108" s="57"/>
      <c r="AE108" s="52"/>
      <c r="AF108" s="52"/>
      <c r="AG108" s="58"/>
      <c r="AH108" s="57"/>
      <c r="AI108" s="52"/>
      <c r="AJ108" s="52"/>
      <c r="AK108" s="58"/>
      <c r="AL108" s="57"/>
      <c r="AM108" s="52"/>
      <c r="AN108" s="52"/>
      <c r="AO108" s="58"/>
      <c r="AP108" s="57"/>
      <c r="AQ108" s="52"/>
      <c r="AR108" s="52"/>
      <c r="AS108" s="58"/>
      <c r="AT108" s="57"/>
      <c r="AU108" s="52"/>
      <c r="AV108" s="52"/>
      <c r="AW108" s="58"/>
      <c r="AX108" s="33">
        <f t="shared" ref="AX108:AX113" si="43">SUM(E108:AW108)</f>
        <v>0</v>
      </c>
      <c r="AY108" s="31">
        <f t="shared" ref="AY108:AY113" si="44">IFERROR(AVERAGEIF(E108:AW108,"&lt;&gt;0",(E108:AW108)),)</f>
        <v>0</v>
      </c>
      <c r="AZ108" s="30">
        <f t="shared" ref="AZ108:AZ113" si="45">IFERROR(AY108/D108,0)</f>
        <v>0</v>
      </c>
      <c r="BA108" s="94">
        <f>AX114</f>
        <v>0</v>
      </c>
      <c r="BB108" s="95">
        <f>(D114*8)</f>
        <v>4000</v>
      </c>
      <c r="BC108" s="96">
        <f>C5-BA108</f>
        <v>42311</v>
      </c>
      <c r="BD108" s="96">
        <f>BA99-BA108</f>
        <v>0</v>
      </c>
      <c r="BE108" s="97">
        <f>IFERROR(BC108/E114,0)</f>
        <v>0</v>
      </c>
      <c r="BF108" s="98">
        <f>IFERROR(BE108/9,0)</f>
        <v>0</v>
      </c>
      <c r="BG108" s="97">
        <f>IFERROR(BC108/AY114,0)</f>
        <v>0</v>
      </c>
      <c r="BH108" s="97">
        <f>IFERROR(BG108/9,0)</f>
        <v>0</v>
      </c>
    </row>
    <row r="109" spans="1:60" s="17" customFormat="1" ht="19.5" customHeight="1" x14ac:dyDescent="0.35">
      <c r="A109" s="41">
        <f t="shared" si="41"/>
        <v>45439</v>
      </c>
      <c r="B109" s="37" t="str">
        <f t="shared" si="41"/>
        <v>Yan Kapama</v>
      </c>
      <c r="C109" s="65"/>
      <c r="D109" s="67">
        <f t="shared" si="42"/>
        <v>40</v>
      </c>
      <c r="E109" s="57"/>
      <c r="F109" s="52"/>
      <c r="G109" s="52"/>
      <c r="H109" s="58"/>
      <c r="I109" s="57"/>
      <c r="J109" s="52"/>
      <c r="K109" s="52"/>
      <c r="L109" s="58"/>
      <c r="M109" s="57"/>
      <c r="N109" s="52"/>
      <c r="O109" s="52"/>
      <c r="P109" s="58"/>
      <c r="Q109" s="57"/>
      <c r="R109" s="52"/>
      <c r="S109" s="52"/>
      <c r="T109" s="52"/>
      <c r="U109" s="58"/>
      <c r="V109" s="57"/>
      <c r="W109" s="52"/>
      <c r="X109" s="52"/>
      <c r="Y109" s="58"/>
      <c r="Z109" s="57"/>
      <c r="AA109" s="52"/>
      <c r="AB109" s="52"/>
      <c r="AC109" s="58"/>
      <c r="AD109" s="57"/>
      <c r="AE109" s="52"/>
      <c r="AF109" s="52"/>
      <c r="AG109" s="58"/>
      <c r="AH109" s="57"/>
      <c r="AI109" s="52"/>
      <c r="AJ109" s="52"/>
      <c r="AK109" s="58"/>
      <c r="AL109" s="57"/>
      <c r="AM109" s="52"/>
      <c r="AN109" s="52"/>
      <c r="AO109" s="58"/>
      <c r="AP109" s="57"/>
      <c r="AQ109" s="52"/>
      <c r="AR109" s="52"/>
      <c r="AS109" s="58"/>
      <c r="AT109" s="57"/>
      <c r="AU109" s="52"/>
      <c r="AV109" s="52"/>
      <c r="AW109" s="58"/>
      <c r="AX109" s="33">
        <f t="shared" si="43"/>
        <v>0</v>
      </c>
      <c r="AY109" s="31">
        <f t="shared" si="44"/>
        <v>0</v>
      </c>
      <c r="AZ109" s="30">
        <f t="shared" si="45"/>
        <v>0</v>
      </c>
      <c r="BA109" s="34"/>
      <c r="BB109" s="34"/>
      <c r="BC109" s="34"/>
      <c r="BD109" s="76"/>
      <c r="BE109" s="34"/>
      <c r="BF109" s="34"/>
      <c r="BG109" s="34"/>
      <c r="BH109" s="34"/>
    </row>
    <row r="110" spans="1:60" s="17" customFormat="1" ht="19.5" customHeight="1" x14ac:dyDescent="0.35">
      <c r="A110" s="41">
        <f t="shared" si="41"/>
        <v>45439</v>
      </c>
      <c r="B110" s="37" t="str">
        <f t="shared" si="41"/>
        <v>Yan Kapama</v>
      </c>
      <c r="C110" s="65"/>
      <c r="D110" s="67">
        <f t="shared" si="42"/>
        <v>40</v>
      </c>
      <c r="E110" s="57"/>
      <c r="F110" s="52"/>
      <c r="G110" s="52"/>
      <c r="H110" s="58"/>
      <c r="I110" s="57"/>
      <c r="J110" s="52"/>
      <c r="K110" s="52"/>
      <c r="L110" s="58"/>
      <c r="M110" s="57"/>
      <c r="N110" s="52"/>
      <c r="O110" s="52"/>
      <c r="P110" s="58"/>
      <c r="Q110" s="57"/>
      <c r="R110" s="52"/>
      <c r="S110" s="52"/>
      <c r="T110" s="52"/>
      <c r="U110" s="58"/>
      <c r="V110" s="57"/>
      <c r="W110" s="52"/>
      <c r="X110" s="52"/>
      <c r="Y110" s="58"/>
      <c r="Z110" s="57"/>
      <c r="AA110" s="52"/>
      <c r="AB110" s="52"/>
      <c r="AC110" s="58"/>
      <c r="AD110" s="57"/>
      <c r="AE110" s="52"/>
      <c r="AF110" s="52"/>
      <c r="AG110" s="58"/>
      <c r="AH110" s="57"/>
      <c r="AI110" s="52"/>
      <c r="AJ110" s="52"/>
      <c r="AK110" s="58"/>
      <c r="AL110" s="57"/>
      <c r="AM110" s="52"/>
      <c r="AN110" s="52"/>
      <c r="AO110" s="58"/>
      <c r="AP110" s="57"/>
      <c r="AQ110" s="52"/>
      <c r="AR110" s="52"/>
      <c r="AS110" s="58"/>
      <c r="AT110" s="57"/>
      <c r="AU110" s="52"/>
      <c r="AV110" s="52"/>
      <c r="AW110" s="58"/>
      <c r="AX110" s="33">
        <f t="shared" si="43"/>
        <v>0</v>
      </c>
      <c r="AY110" s="31">
        <f t="shared" si="44"/>
        <v>0</v>
      </c>
      <c r="AZ110" s="30">
        <f t="shared" si="45"/>
        <v>0</v>
      </c>
      <c r="BA110" s="34"/>
      <c r="BB110" s="34"/>
      <c r="BC110" s="34"/>
      <c r="BD110" s="76"/>
      <c r="BE110" s="34"/>
      <c r="BF110" s="34"/>
      <c r="BG110" s="34"/>
      <c r="BH110" s="34"/>
    </row>
    <row r="111" spans="1:60" s="17" customFormat="1" ht="19.5" customHeight="1" x14ac:dyDescent="0.35">
      <c r="A111" s="41">
        <f>A108</f>
        <v>45439</v>
      </c>
      <c r="B111" s="37" t="str">
        <f t="shared" si="41"/>
        <v>Yan Kapama</v>
      </c>
      <c r="C111" s="65"/>
      <c r="D111" s="67">
        <f t="shared" si="42"/>
        <v>40</v>
      </c>
      <c r="E111" s="57"/>
      <c r="F111" s="52"/>
      <c r="G111" s="52"/>
      <c r="H111" s="58"/>
      <c r="I111" s="57"/>
      <c r="J111" s="52"/>
      <c r="K111" s="52"/>
      <c r="L111" s="58"/>
      <c r="M111" s="57"/>
      <c r="N111" s="52"/>
      <c r="O111" s="52"/>
      <c r="P111" s="58"/>
      <c r="Q111" s="57"/>
      <c r="R111" s="52"/>
      <c r="S111" s="52"/>
      <c r="T111" s="52"/>
      <c r="U111" s="58"/>
      <c r="V111" s="57"/>
      <c r="W111" s="52"/>
      <c r="X111" s="52"/>
      <c r="Y111" s="58"/>
      <c r="Z111" s="57"/>
      <c r="AA111" s="52"/>
      <c r="AB111" s="52"/>
      <c r="AC111" s="58"/>
      <c r="AD111" s="57"/>
      <c r="AE111" s="52"/>
      <c r="AF111" s="52"/>
      <c r="AG111" s="58"/>
      <c r="AH111" s="57"/>
      <c r="AI111" s="52"/>
      <c r="AJ111" s="52"/>
      <c r="AK111" s="58"/>
      <c r="AL111" s="57"/>
      <c r="AM111" s="52"/>
      <c r="AN111" s="52"/>
      <c r="AO111" s="58"/>
      <c r="AP111" s="57"/>
      <c r="AQ111" s="52"/>
      <c r="AR111" s="52"/>
      <c r="AS111" s="58"/>
      <c r="AT111" s="57"/>
      <c r="AU111" s="52"/>
      <c r="AV111" s="52"/>
      <c r="AW111" s="58"/>
      <c r="AX111" s="33">
        <f t="shared" si="43"/>
        <v>0</v>
      </c>
      <c r="AY111" s="31">
        <f t="shared" si="44"/>
        <v>0</v>
      </c>
      <c r="AZ111" s="30">
        <f t="shared" si="45"/>
        <v>0</v>
      </c>
      <c r="BA111" s="34"/>
      <c r="BB111" s="34"/>
      <c r="BC111" s="34"/>
      <c r="BD111" s="76"/>
      <c r="BE111" s="34"/>
      <c r="BF111" s="34"/>
      <c r="BG111" s="34"/>
      <c r="BH111" s="34"/>
    </row>
    <row r="112" spans="1:60" s="17" customFormat="1" ht="19.5" customHeight="1" x14ac:dyDescent="0.35">
      <c r="A112" s="41">
        <f t="shared" ref="A112:B120" si="46">A111</f>
        <v>45439</v>
      </c>
      <c r="B112" s="37" t="str">
        <f t="shared" si="41"/>
        <v>Yan Kapama</v>
      </c>
      <c r="C112" s="65"/>
      <c r="D112" s="67">
        <f t="shared" si="42"/>
        <v>40</v>
      </c>
      <c r="E112" s="57"/>
      <c r="F112" s="52"/>
      <c r="G112" s="52"/>
      <c r="H112" s="58"/>
      <c r="I112" s="57"/>
      <c r="J112" s="52"/>
      <c r="K112" s="52"/>
      <c r="L112" s="58"/>
      <c r="M112" s="57"/>
      <c r="N112" s="52"/>
      <c r="O112" s="52"/>
      <c r="P112" s="58"/>
      <c r="Q112" s="57"/>
      <c r="R112" s="52"/>
      <c r="S112" s="52"/>
      <c r="T112" s="52"/>
      <c r="U112" s="58"/>
      <c r="V112" s="57"/>
      <c r="W112" s="52"/>
      <c r="X112" s="52"/>
      <c r="Y112" s="58"/>
      <c r="Z112" s="57"/>
      <c r="AA112" s="52"/>
      <c r="AB112" s="52"/>
      <c r="AC112" s="58"/>
      <c r="AD112" s="57"/>
      <c r="AE112" s="52"/>
      <c r="AF112" s="52"/>
      <c r="AG112" s="58"/>
      <c r="AH112" s="57"/>
      <c r="AI112" s="52"/>
      <c r="AJ112" s="52"/>
      <c r="AK112" s="58"/>
      <c r="AL112" s="57"/>
      <c r="AM112" s="52"/>
      <c r="AN112" s="52"/>
      <c r="AO112" s="58"/>
      <c r="AP112" s="57"/>
      <c r="AQ112" s="52"/>
      <c r="AR112" s="52"/>
      <c r="AS112" s="58"/>
      <c r="AT112" s="57"/>
      <c r="AU112" s="52"/>
      <c r="AV112" s="52"/>
      <c r="AW112" s="58"/>
      <c r="AX112" s="33">
        <f t="shared" si="43"/>
        <v>0</v>
      </c>
      <c r="AY112" s="31">
        <f t="shared" si="44"/>
        <v>0</v>
      </c>
      <c r="AZ112" s="30">
        <f t="shared" si="45"/>
        <v>0</v>
      </c>
      <c r="BA112" s="34"/>
      <c r="BB112" s="34"/>
      <c r="BC112" s="34"/>
      <c r="BD112" s="76"/>
      <c r="BE112" s="34"/>
      <c r="BF112" s="34"/>
      <c r="BG112" s="34"/>
      <c r="BH112" s="34"/>
    </row>
    <row r="113" spans="1:60" s="17" customFormat="1" ht="19.5" customHeight="1" thickBot="1" x14ac:dyDescent="0.4">
      <c r="A113" s="41">
        <f t="shared" si="46"/>
        <v>45439</v>
      </c>
      <c r="B113" s="37" t="str">
        <f t="shared" si="41"/>
        <v>Yan Kapama</v>
      </c>
      <c r="C113" s="66"/>
      <c r="D113" s="67">
        <f t="shared" si="42"/>
        <v>40</v>
      </c>
      <c r="E113" s="59"/>
      <c r="F113" s="60"/>
      <c r="G113" s="61"/>
      <c r="H113" s="62"/>
      <c r="I113" s="59"/>
      <c r="J113" s="60"/>
      <c r="K113" s="61"/>
      <c r="L113" s="62"/>
      <c r="M113" s="59"/>
      <c r="N113" s="60"/>
      <c r="O113" s="61"/>
      <c r="P113" s="62"/>
      <c r="Q113" s="64"/>
      <c r="R113" s="61"/>
      <c r="S113" s="61"/>
      <c r="T113" s="61"/>
      <c r="U113" s="62"/>
      <c r="V113" s="59"/>
      <c r="W113" s="60"/>
      <c r="X113" s="61"/>
      <c r="Y113" s="62"/>
      <c r="Z113" s="59"/>
      <c r="AA113" s="60"/>
      <c r="AB113" s="61"/>
      <c r="AC113" s="62"/>
      <c r="AD113" s="59"/>
      <c r="AE113" s="60"/>
      <c r="AF113" s="61"/>
      <c r="AG113" s="62"/>
      <c r="AH113" s="59"/>
      <c r="AI113" s="60"/>
      <c r="AJ113" s="61"/>
      <c r="AK113" s="62"/>
      <c r="AL113" s="59"/>
      <c r="AM113" s="60"/>
      <c r="AN113" s="61"/>
      <c r="AO113" s="62"/>
      <c r="AP113" s="59"/>
      <c r="AQ113" s="60"/>
      <c r="AR113" s="61"/>
      <c r="AS113" s="62"/>
      <c r="AT113" s="59"/>
      <c r="AU113" s="60"/>
      <c r="AV113" s="61"/>
      <c r="AW113" s="62"/>
      <c r="AX113" s="33">
        <f t="shared" si="43"/>
        <v>0</v>
      </c>
      <c r="AY113" s="31">
        <f t="shared" si="44"/>
        <v>0</v>
      </c>
      <c r="AZ113" s="30">
        <f t="shared" si="45"/>
        <v>0</v>
      </c>
      <c r="BA113" s="34"/>
      <c r="BB113" s="34"/>
      <c r="BC113" s="34"/>
      <c r="BD113" s="76"/>
      <c r="BE113" s="34"/>
      <c r="BF113" s="34"/>
      <c r="BG113" s="34"/>
      <c r="BH113" s="34"/>
    </row>
    <row r="114" spans="1:60" s="17" customFormat="1" ht="19.5" customHeight="1" thickBot="1" x14ac:dyDescent="0.45">
      <c r="A114" s="41">
        <f t="shared" si="46"/>
        <v>45439</v>
      </c>
      <c r="B114" s="139" t="str">
        <f>B107</f>
        <v>Yan Kapama</v>
      </c>
      <c r="C114" s="140"/>
      <c r="D114" s="40">
        <f>C6/8</f>
        <v>500</v>
      </c>
      <c r="E114" s="147">
        <f>SUM(E107:H113)</f>
        <v>0</v>
      </c>
      <c r="F114" s="148"/>
      <c r="G114" s="148"/>
      <c r="H114" s="149"/>
      <c r="I114" s="147">
        <f>SUM(I107:L113)</f>
        <v>0</v>
      </c>
      <c r="J114" s="148"/>
      <c r="K114" s="148"/>
      <c r="L114" s="149"/>
      <c r="M114" s="147">
        <f>SUM(M107:P113)</f>
        <v>0</v>
      </c>
      <c r="N114" s="148"/>
      <c r="O114" s="148"/>
      <c r="P114" s="149"/>
      <c r="Q114" s="147">
        <f>SUM(Q107:U113)</f>
        <v>0</v>
      </c>
      <c r="R114" s="148"/>
      <c r="S114" s="148"/>
      <c r="T114" s="148"/>
      <c r="U114" s="149"/>
      <c r="V114" s="147">
        <f>SUM(V107:Y113)</f>
        <v>0</v>
      </c>
      <c r="W114" s="148"/>
      <c r="X114" s="148"/>
      <c r="Y114" s="149"/>
      <c r="Z114" s="147">
        <f>SUM(Z107:AC113)</f>
        <v>0</v>
      </c>
      <c r="AA114" s="148"/>
      <c r="AB114" s="148"/>
      <c r="AC114" s="149"/>
      <c r="AD114" s="147">
        <f>SUM(AD107:AG113)</f>
        <v>0</v>
      </c>
      <c r="AE114" s="148"/>
      <c r="AF114" s="148"/>
      <c r="AG114" s="149"/>
      <c r="AH114" s="147">
        <f>SUM(AH107:AK113)</f>
        <v>0</v>
      </c>
      <c r="AI114" s="148"/>
      <c r="AJ114" s="148"/>
      <c r="AK114" s="149"/>
      <c r="AL114" s="147">
        <f>SUM(AL107:AO113)</f>
        <v>0</v>
      </c>
      <c r="AM114" s="148"/>
      <c r="AN114" s="148"/>
      <c r="AO114" s="149"/>
      <c r="AP114" s="147">
        <f>SUM(AP107:AS113)</f>
        <v>0</v>
      </c>
      <c r="AQ114" s="148"/>
      <c r="AR114" s="148"/>
      <c r="AS114" s="149"/>
      <c r="AT114" s="147">
        <f>SUM(AT107:AW113)</f>
        <v>0</v>
      </c>
      <c r="AU114" s="148"/>
      <c r="AV114" s="148"/>
      <c r="AW114" s="149"/>
      <c r="AX114" s="87">
        <f>SUM(AX107:AX113)</f>
        <v>0</v>
      </c>
      <c r="AY114" s="88">
        <f>IFERROR(AVERAGEIF(E114:AV114,"&lt;&gt;0",(E114:AV114)),)</f>
        <v>0</v>
      </c>
      <c r="AZ114" s="46">
        <f>IFERROR(AX114/BB108,0)</f>
        <v>0</v>
      </c>
      <c r="BA114" s="34"/>
      <c r="BB114" s="34"/>
      <c r="BC114" s="34"/>
      <c r="BD114" s="76"/>
      <c r="BE114" s="34"/>
      <c r="BF114" s="34"/>
      <c r="BG114" s="34"/>
      <c r="BH114" s="34"/>
    </row>
    <row r="115" spans="1:60" s="17" customFormat="1" ht="19.5" customHeight="1" thickBot="1" x14ac:dyDescent="0.4">
      <c r="A115" s="42">
        <f t="shared" si="46"/>
        <v>45439</v>
      </c>
      <c r="B115" s="38" t="str">
        <f>B116</f>
        <v>Yıkama Takma</v>
      </c>
      <c r="C115" s="39" t="s">
        <v>180</v>
      </c>
      <c r="D115" s="69" t="s">
        <v>181</v>
      </c>
      <c r="E115" s="48">
        <v>0.34375</v>
      </c>
      <c r="F115" s="49">
        <v>0.35416666666666669</v>
      </c>
      <c r="G115" s="49">
        <v>0.36458333333333331</v>
      </c>
      <c r="H115" s="50">
        <v>0.375</v>
      </c>
      <c r="I115" s="48">
        <v>0.38541666666666702</v>
      </c>
      <c r="J115" s="49">
        <v>0.39583333333333298</v>
      </c>
      <c r="K115" s="49">
        <v>0.40625</v>
      </c>
      <c r="L115" s="50">
        <v>0.41666666666666702</v>
      </c>
      <c r="M115" s="48">
        <v>0.4375</v>
      </c>
      <c r="N115" s="49">
        <v>0.44791666666666702</v>
      </c>
      <c r="O115" s="49">
        <v>0.45833333333333398</v>
      </c>
      <c r="P115" s="50">
        <v>0.46875</v>
      </c>
      <c r="Q115" s="48">
        <v>0.47916666666666702</v>
      </c>
      <c r="R115" s="49">
        <v>0.48958333333333398</v>
      </c>
      <c r="S115" s="49">
        <v>0.5</v>
      </c>
      <c r="T115" s="50">
        <v>0.51041666666666696</v>
      </c>
      <c r="U115" s="51">
        <v>0.52083333333333204</v>
      </c>
      <c r="V115" s="48">
        <v>0.5625</v>
      </c>
      <c r="W115" s="49">
        <v>0.57291666666666663</v>
      </c>
      <c r="X115" s="49">
        <v>0.58333333333333304</v>
      </c>
      <c r="Y115" s="50">
        <v>0.59375</v>
      </c>
      <c r="Z115" s="48">
        <v>0.60416666666666696</v>
      </c>
      <c r="AA115" s="49">
        <v>0.61458333333333304</v>
      </c>
      <c r="AB115" s="49">
        <v>0.625</v>
      </c>
      <c r="AC115" s="50">
        <v>0.63541666666666596</v>
      </c>
      <c r="AD115" s="48">
        <v>0.65625</v>
      </c>
      <c r="AE115" s="49">
        <v>0.66666666666666663</v>
      </c>
      <c r="AF115" s="49">
        <v>0.67708333333333304</v>
      </c>
      <c r="AG115" s="50">
        <v>0.6875</v>
      </c>
      <c r="AH115" s="48">
        <v>0.69791666666666696</v>
      </c>
      <c r="AI115" s="49">
        <v>0.70833333333333304</v>
      </c>
      <c r="AJ115" s="49">
        <v>0.71875</v>
      </c>
      <c r="AK115" s="50">
        <v>0.72916666666666696</v>
      </c>
      <c r="AL115" s="48">
        <v>0.73958333333333404</v>
      </c>
      <c r="AM115" s="49">
        <v>0.750000000000001</v>
      </c>
      <c r="AN115" s="49">
        <v>0.76041666666666796</v>
      </c>
      <c r="AO115" s="50">
        <v>0.77083333333333504</v>
      </c>
      <c r="AP115" s="48">
        <v>0.781250000000002</v>
      </c>
      <c r="AQ115" s="49">
        <v>0.79166666666666896</v>
      </c>
      <c r="AR115" s="49">
        <v>0.80208333333333603</v>
      </c>
      <c r="AS115" s="50">
        <v>0.812500000000003</v>
      </c>
      <c r="AT115" s="48">
        <v>0.82291666666666996</v>
      </c>
      <c r="AU115" s="49">
        <v>0.83333333333333703</v>
      </c>
      <c r="AV115" s="49">
        <v>0.843750000000004</v>
      </c>
      <c r="AW115" s="50">
        <v>0.85416666666666663</v>
      </c>
      <c r="AX115" s="68" t="s">
        <v>260</v>
      </c>
      <c r="AY115" s="28" t="s">
        <v>261</v>
      </c>
      <c r="AZ115" s="29" t="s">
        <v>262</v>
      </c>
      <c r="BA115" s="136" t="str">
        <f>B116</f>
        <v>Yıkama Takma</v>
      </c>
      <c r="BB115" s="137"/>
      <c r="BC115" s="137"/>
      <c r="BD115" s="137"/>
      <c r="BE115" s="137"/>
      <c r="BF115" s="137"/>
      <c r="BG115" s="137"/>
      <c r="BH115" s="138"/>
    </row>
    <row r="116" spans="1:60" s="17" customFormat="1" ht="19.5" customHeight="1" thickBot="1" x14ac:dyDescent="0.4">
      <c r="A116" s="41">
        <f t="shared" si="46"/>
        <v>45439</v>
      </c>
      <c r="B116" s="37" t="s">
        <v>25</v>
      </c>
      <c r="C116" s="65"/>
      <c r="D116" s="71">
        <v>125</v>
      </c>
      <c r="E116" s="53"/>
      <c r="F116" s="54"/>
      <c r="G116" s="55"/>
      <c r="H116" s="56"/>
      <c r="I116" s="53"/>
      <c r="J116" s="54"/>
      <c r="K116" s="55"/>
      <c r="L116" s="56"/>
      <c r="M116" s="53"/>
      <c r="N116" s="54"/>
      <c r="O116" s="55"/>
      <c r="P116" s="56"/>
      <c r="Q116" s="63"/>
      <c r="R116" s="55"/>
      <c r="S116" s="55"/>
      <c r="T116" s="55"/>
      <c r="U116" s="56"/>
      <c r="V116" s="53"/>
      <c r="W116" s="54"/>
      <c r="X116" s="55"/>
      <c r="Y116" s="56"/>
      <c r="Z116" s="53"/>
      <c r="AA116" s="54"/>
      <c r="AB116" s="55"/>
      <c r="AC116" s="56"/>
      <c r="AD116" s="63"/>
      <c r="AE116" s="55"/>
      <c r="AF116" s="55"/>
      <c r="AG116" s="56"/>
      <c r="AH116" s="63"/>
      <c r="AI116" s="55"/>
      <c r="AJ116" s="55"/>
      <c r="AK116" s="56"/>
      <c r="AL116" s="63"/>
      <c r="AM116" s="55"/>
      <c r="AN116" s="55"/>
      <c r="AO116" s="56"/>
      <c r="AP116" s="53"/>
      <c r="AQ116" s="54"/>
      <c r="AR116" s="55"/>
      <c r="AS116" s="56"/>
      <c r="AT116" s="53"/>
      <c r="AU116" s="54"/>
      <c r="AV116" s="55"/>
      <c r="AW116" s="56"/>
      <c r="AX116" s="33">
        <f>SUM(E116:AW116)</f>
        <v>0</v>
      </c>
      <c r="AY116" s="31">
        <f>IFERROR(AVERAGEIF(E116:AW116,"&lt;&gt;0",(E116:AW116)),)</f>
        <v>0</v>
      </c>
      <c r="AZ116" s="30">
        <f>IFERROR(AY116/D116,0)</f>
        <v>0</v>
      </c>
      <c r="BA116" s="103" t="s">
        <v>182</v>
      </c>
      <c r="BB116" s="100" t="s">
        <v>183</v>
      </c>
      <c r="BC116" s="100" t="s">
        <v>184</v>
      </c>
      <c r="BD116" s="101" t="s">
        <v>185</v>
      </c>
      <c r="BE116" s="100" t="s">
        <v>186</v>
      </c>
      <c r="BF116" s="102" t="s">
        <v>187</v>
      </c>
      <c r="BG116" s="100" t="s">
        <v>188</v>
      </c>
      <c r="BH116" s="102" t="s">
        <v>189</v>
      </c>
    </row>
    <row r="117" spans="1:60" s="17" customFormat="1" ht="19.5" customHeight="1" thickBot="1" x14ac:dyDescent="0.4">
      <c r="A117" s="41">
        <f t="shared" si="46"/>
        <v>45439</v>
      </c>
      <c r="B117" s="37" t="str">
        <f t="shared" si="46"/>
        <v>Yıkama Takma</v>
      </c>
      <c r="C117" s="65"/>
      <c r="D117" s="67">
        <f t="shared" ref="D117:D122" si="47">D116</f>
        <v>125</v>
      </c>
      <c r="E117" s="57"/>
      <c r="F117" s="52"/>
      <c r="G117" s="52"/>
      <c r="H117" s="58"/>
      <c r="I117" s="57"/>
      <c r="J117" s="52"/>
      <c r="K117" s="52"/>
      <c r="L117" s="58"/>
      <c r="M117" s="57"/>
      <c r="N117" s="52"/>
      <c r="O117" s="52"/>
      <c r="P117" s="58"/>
      <c r="Q117" s="57"/>
      <c r="R117" s="52"/>
      <c r="S117" s="52"/>
      <c r="T117" s="52"/>
      <c r="U117" s="58"/>
      <c r="V117" s="57"/>
      <c r="W117" s="52"/>
      <c r="X117" s="52"/>
      <c r="Y117" s="58"/>
      <c r="Z117" s="57"/>
      <c r="AA117" s="52"/>
      <c r="AB117" s="52"/>
      <c r="AC117" s="58"/>
      <c r="AD117" s="57"/>
      <c r="AE117" s="52"/>
      <c r="AF117" s="52"/>
      <c r="AG117" s="58"/>
      <c r="AH117" s="57"/>
      <c r="AI117" s="52"/>
      <c r="AJ117" s="52"/>
      <c r="AK117" s="58"/>
      <c r="AL117" s="57"/>
      <c r="AM117" s="52"/>
      <c r="AN117" s="52"/>
      <c r="AO117" s="58"/>
      <c r="AP117" s="57"/>
      <c r="AQ117" s="52"/>
      <c r="AR117" s="52"/>
      <c r="AS117" s="58"/>
      <c r="AT117" s="57"/>
      <c r="AU117" s="52"/>
      <c r="AV117" s="52"/>
      <c r="AW117" s="58"/>
      <c r="AX117" s="33">
        <f t="shared" ref="AX117:AX122" si="48">SUM(E117:AW117)</f>
        <v>0</v>
      </c>
      <c r="AY117" s="31">
        <f t="shared" ref="AY117:AY122" si="49">IFERROR(AVERAGEIF(E117:AW117,"&lt;&gt;0",(E117:AW117)),)</f>
        <v>0</v>
      </c>
      <c r="AZ117" s="30">
        <f t="shared" ref="AZ117:AZ122" si="50">IFERROR(AY117/D117,0)</f>
        <v>0</v>
      </c>
      <c r="BA117" s="94">
        <f>AX123</f>
        <v>0</v>
      </c>
      <c r="BB117" s="95">
        <f>(D123*8)</f>
        <v>4000</v>
      </c>
      <c r="BC117" s="96">
        <f>C5-BA117</f>
        <v>42311</v>
      </c>
      <c r="BD117" s="96">
        <f>BA108-BA117</f>
        <v>0</v>
      </c>
      <c r="BE117" s="97">
        <f>IFERROR(BC117/E123,0)</f>
        <v>0</v>
      </c>
      <c r="BF117" s="98">
        <f>IFERROR(BE117/9,0)</f>
        <v>0</v>
      </c>
      <c r="BG117" s="97">
        <f>IFERROR(BC117/AY123,0)</f>
        <v>0</v>
      </c>
      <c r="BH117" s="97">
        <f>IFERROR(BG117/9,0)</f>
        <v>0</v>
      </c>
    </row>
    <row r="118" spans="1:60" s="17" customFormat="1" ht="19.5" customHeight="1" x14ac:dyDescent="0.35">
      <c r="A118" s="41">
        <f t="shared" si="46"/>
        <v>45439</v>
      </c>
      <c r="B118" s="37" t="str">
        <f t="shared" si="46"/>
        <v>Yıkama Takma</v>
      </c>
      <c r="C118" s="65"/>
      <c r="D118" s="67">
        <f t="shared" si="47"/>
        <v>125</v>
      </c>
      <c r="E118" s="57"/>
      <c r="F118" s="52"/>
      <c r="G118" s="52"/>
      <c r="H118" s="58"/>
      <c r="I118" s="57"/>
      <c r="J118" s="52"/>
      <c r="K118" s="52"/>
      <c r="L118" s="58"/>
      <c r="M118" s="57"/>
      <c r="N118" s="52"/>
      <c r="O118" s="52"/>
      <c r="P118" s="58"/>
      <c r="Q118" s="57"/>
      <c r="R118" s="52"/>
      <c r="S118" s="52"/>
      <c r="T118" s="52"/>
      <c r="U118" s="58"/>
      <c r="V118" s="57"/>
      <c r="W118" s="52"/>
      <c r="X118" s="52"/>
      <c r="Y118" s="58"/>
      <c r="Z118" s="57"/>
      <c r="AA118" s="52"/>
      <c r="AB118" s="52"/>
      <c r="AC118" s="58"/>
      <c r="AD118" s="57"/>
      <c r="AE118" s="52"/>
      <c r="AF118" s="52"/>
      <c r="AG118" s="58"/>
      <c r="AH118" s="57"/>
      <c r="AI118" s="52"/>
      <c r="AJ118" s="52"/>
      <c r="AK118" s="58"/>
      <c r="AL118" s="57"/>
      <c r="AM118" s="52"/>
      <c r="AN118" s="52"/>
      <c r="AO118" s="58"/>
      <c r="AP118" s="57"/>
      <c r="AQ118" s="52"/>
      <c r="AR118" s="52"/>
      <c r="AS118" s="58"/>
      <c r="AT118" s="57"/>
      <c r="AU118" s="52"/>
      <c r="AV118" s="52"/>
      <c r="AW118" s="58"/>
      <c r="AX118" s="33">
        <f t="shared" si="48"/>
        <v>0</v>
      </c>
      <c r="AY118" s="31">
        <f t="shared" si="49"/>
        <v>0</v>
      </c>
      <c r="AZ118" s="30">
        <f t="shared" si="50"/>
        <v>0</v>
      </c>
      <c r="BA118" s="34"/>
      <c r="BB118" s="34"/>
      <c r="BC118" s="34"/>
      <c r="BD118" s="76"/>
      <c r="BE118" s="34"/>
      <c r="BF118" s="34"/>
      <c r="BG118" s="34"/>
      <c r="BH118" s="34"/>
    </row>
    <row r="119" spans="1:60" s="17" customFormat="1" ht="19.5" customHeight="1" x14ac:dyDescent="0.35">
      <c r="A119" s="41">
        <f t="shared" si="46"/>
        <v>45439</v>
      </c>
      <c r="B119" s="37" t="str">
        <f t="shared" si="46"/>
        <v>Yıkama Takma</v>
      </c>
      <c r="C119" s="65"/>
      <c r="D119" s="67">
        <f t="shared" si="47"/>
        <v>125</v>
      </c>
      <c r="E119" s="57"/>
      <c r="F119" s="52"/>
      <c r="G119" s="52"/>
      <c r="H119" s="58"/>
      <c r="I119" s="57"/>
      <c r="J119" s="52"/>
      <c r="K119" s="52"/>
      <c r="L119" s="58"/>
      <c r="M119" s="57"/>
      <c r="N119" s="52"/>
      <c r="O119" s="52"/>
      <c r="P119" s="58"/>
      <c r="Q119" s="57"/>
      <c r="R119" s="52"/>
      <c r="S119" s="52"/>
      <c r="T119" s="52"/>
      <c r="U119" s="58"/>
      <c r="V119" s="57"/>
      <c r="W119" s="52"/>
      <c r="X119" s="52"/>
      <c r="Y119" s="58"/>
      <c r="Z119" s="57"/>
      <c r="AA119" s="52"/>
      <c r="AB119" s="52"/>
      <c r="AC119" s="58"/>
      <c r="AD119" s="57"/>
      <c r="AE119" s="52"/>
      <c r="AF119" s="52"/>
      <c r="AG119" s="58"/>
      <c r="AH119" s="57"/>
      <c r="AI119" s="52"/>
      <c r="AJ119" s="52"/>
      <c r="AK119" s="58"/>
      <c r="AL119" s="57"/>
      <c r="AM119" s="52"/>
      <c r="AN119" s="52"/>
      <c r="AO119" s="58"/>
      <c r="AP119" s="57"/>
      <c r="AQ119" s="52"/>
      <c r="AR119" s="52"/>
      <c r="AS119" s="58"/>
      <c r="AT119" s="57"/>
      <c r="AU119" s="52"/>
      <c r="AV119" s="52"/>
      <c r="AW119" s="58"/>
      <c r="AX119" s="33">
        <f t="shared" si="48"/>
        <v>0</v>
      </c>
      <c r="AY119" s="31">
        <f t="shared" si="49"/>
        <v>0</v>
      </c>
      <c r="AZ119" s="30">
        <f t="shared" si="50"/>
        <v>0</v>
      </c>
      <c r="BA119" s="34"/>
      <c r="BB119" s="34"/>
      <c r="BC119" s="34"/>
      <c r="BD119" s="76"/>
      <c r="BE119" s="34"/>
      <c r="BF119" s="34"/>
      <c r="BG119" s="34"/>
      <c r="BH119" s="34"/>
    </row>
    <row r="120" spans="1:60" s="17" customFormat="1" ht="19.5" customHeight="1" x14ac:dyDescent="0.35">
      <c r="A120" s="41">
        <f>A117</f>
        <v>45439</v>
      </c>
      <c r="B120" s="37" t="str">
        <f t="shared" si="46"/>
        <v>Yıkama Takma</v>
      </c>
      <c r="C120" s="65"/>
      <c r="D120" s="67">
        <f t="shared" si="47"/>
        <v>125</v>
      </c>
      <c r="E120" s="57"/>
      <c r="F120" s="52"/>
      <c r="G120" s="52"/>
      <c r="H120" s="58"/>
      <c r="I120" s="57"/>
      <c r="J120" s="52"/>
      <c r="K120" s="52"/>
      <c r="L120" s="58"/>
      <c r="M120" s="57"/>
      <c r="N120" s="52"/>
      <c r="O120" s="52"/>
      <c r="P120" s="58"/>
      <c r="Q120" s="57"/>
      <c r="R120" s="52"/>
      <c r="S120" s="52"/>
      <c r="T120" s="52"/>
      <c r="U120" s="58"/>
      <c r="V120" s="57"/>
      <c r="W120" s="52"/>
      <c r="X120" s="52"/>
      <c r="Y120" s="58"/>
      <c r="Z120" s="57"/>
      <c r="AA120" s="52"/>
      <c r="AB120" s="52"/>
      <c r="AC120" s="58"/>
      <c r="AD120" s="57"/>
      <c r="AE120" s="52"/>
      <c r="AF120" s="52"/>
      <c r="AG120" s="58"/>
      <c r="AH120" s="57"/>
      <c r="AI120" s="52"/>
      <c r="AJ120" s="52"/>
      <c r="AK120" s="58"/>
      <c r="AL120" s="57"/>
      <c r="AM120" s="52"/>
      <c r="AN120" s="52"/>
      <c r="AO120" s="58"/>
      <c r="AP120" s="57"/>
      <c r="AQ120" s="52"/>
      <c r="AR120" s="52"/>
      <c r="AS120" s="58"/>
      <c r="AT120" s="57"/>
      <c r="AU120" s="52"/>
      <c r="AV120" s="52"/>
      <c r="AW120" s="58"/>
      <c r="AX120" s="33">
        <f t="shared" si="48"/>
        <v>0</v>
      </c>
      <c r="AY120" s="31">
        <f t="shared" si="49"/>
        <v>0</v>
      </c>
      <c r="AZ120" s="30">
        <f t="shared" si="50"/>
        <v>0</v>
      </c>
      <c r="BA120" s="34"/>
      <c r="BB120" s="34"/>
      <c r="BC120" s="34"/>
      <c r="BD120" s="76"/>
      <c r="BE120" s="34"/>
      <c r="BF120" s="34"/>
      <c r="BG120" s="34"/>
      <c r="BH120" s="34"/>
    </row>
    <row r="121" spans="1:60" s="17" customFormat="1" ht="19.5" customHeight="1" x14ac:dyDescent="0.35">
      <c r="A121" s="41">
        <f t="shared" ref="A121:B129" si="51">A120</f>
        <v>45439</v>
      </c>
      <c r="B121" s="37" t="str">
        <f t="shared" si="51"/>
        <v>Yıkama Takma</v>
      </c>
      <c r="C121" s="65"/>
      <c r="D121" s="67">
        <f t="shared" si="47"/>
        <v>125</v>
      </c>
      <c r="E121" s="57"/>
      <c r="F121" s="52"/>
      <c r="G121" s="52"/>
      <c r="H121" s="58"/>
      <c r="I121" s="57"/>
      <c r="J121" s="52"/>
      <c r="K121" s="52"/>
      <c r="L121" s="58"/>
      <c r="M121" s="57"/>
      <c r="N121" s="52"/>
      <c r="O121" s="52"/>
      <c r="P121" s="58"/>
      <c r="Q121" s="57"/>
      <c r="R121" s="52"/>
      <c r="S121" s="52"/>
      <c r="T121" s="52"/>
      <c r="U121" s="58"/>
      <c r="V121" s="57"/>
      <c r="W121" s="52"/>
      <c r="X121" s="52"/>
      <c r="Y121" s="58"/>
      <c r="Z121" s="57"/>
      <c r="AA121" s="52"/>
      <c r="AB121" s="52"/>
      <c r="AC121" s="58"/>
      <c r="AD121" s="57"/>
      <c r="AE121" s="52"/>
      <c r="AF121" s="52"/>
      <c r="AG121" s="58"/>
      <c r="AH121" s="57"/>
      <c r="AI121" s="52"/>
      <c r="AJ121" s="52"/>
      <c r="AK121" s="58"/>
      <c r="AL121" s="57"/>
      <c r="AM121" s="52"/>
      <c r="AN121" s="52"/>
      <c r="AO121" s="58"/>
      <c r="AP121" s="57"/>
      <c r="AQ121" s="52"/>
      <c r="AR121" s="52"/>
      <c r="AS121" s="58"/>
      <c r="AT121" s="57"/>
      <c r="AU121" s="52"/>
      <c r="AV121" s="52"/>
      <c r="AW121" s="58"/>
      <c r="AX121" s="33">
        <f t="shared" si="48"/>
        <v>0</v>
      </c>
      <c r="AY121" s="31">
        <f t="shared" si="49"/>
        <v>0</v>
      </c>
      <c r="AZ121" s="30">
        <f t="shared" si="50"/>
        <v>0</v>
      </c>
      <c r="BA121" s="34"/>
      <c r="BB121" s="34"/>
      <c r="BC121" s="34"/>
      <c r="BD121" s="76"/>
      <c r="BE121" s="34"/>
      <c r="BF121" s="34"/>
      <c r="BG121" s="34"/>
      <c r="BH121" s="34"/>
    </row>
    <row r="122" spans="1:60" s="17" customFormat="1" ht="19.5" customHeight="1" thickBot="1" x14ac:dyDescent="0.4">
      <c r="A122" s="41">
        <f t="shared" si="51"/>
        <v>45439</v>
      </c>
      <c r="B122" s="37" t="str">
        <f t="shared" si="51"/>
        <v>Yıkama Takma</v>
      </c>
      <c r="C122" s="66"/>
      <c r="D122" s="67">
        <f t="shared" si="47"/>
        <v>125</v>
      </c>
      <c r="E122" s="59"/>
      <c r="F122" s="60"/>
      <c r="G122" s="61"/>
      <c r="H122" s="62"/>
      <c r="I122" s="59"/>
      <c r="J122" s="60"/>
      <c r="K122" s="61"/>
      <c r="L122" s="62"/>
      <c r="M122" s="59"/>
      <c r="N122" s="60"/>
      <c r="O122" s="61"/>
      <c r="P122" s="62"/>
      <c r="Q122" s="64"/>
      <c r="R122" s="61"/>
      <c r="S122" s="61"/>
      <c r="T122" s="61"/>
      <c r="U122" s="62"/>
      <c r="V122" s="59"/>
      <c r="W122" s="60"/>
      <c r="X122" s="61"/>
      <c r="Y122" s="62"/>
      <c r="Z122" s="59"/>
      <c r="AA122" s="60"/>
      <c r="AB122" s="61"/>
      <c r="AC122" s="62"/>
      <c r="AD122" s="59"/>
      <c r="AE122" s="60"/>
      <c r="AF122" s="61"/>
      <c r="AG122" s="62"/>
      <c r="AH122" s="59"/>
      <c r="AI122" s="60"/>
      <c r="AJ122" s="61"/>
      <c r="AK122" s="62"/>
      <c r="AL122" s="59"/>
      <c r="AM122" s="60"/>
      <c r="AN122" s="61"/>
      <c r="AO122" s="62"/>
      <c r="AP122" s="59"/>
      <c r="AQ122" s="60"/>
      <c r="AR122" s="61"/>
      <c r="AS122" s="62"/>
      <c r="AT122" s="59"/>
      <c r="AU122" s="60"/>
      <c r="AV122" s="61"/>
      <c r="AW122" s="62"/>
      <c r="AX122" s="33">
        <f t="shared" si="48"/>
        <v>0</v>
      </c>
      <c r="AY122" s="31">
        <f t="shared" si="49"/>
        <v>0</v>
      </c>
      <c r="AZ122" s="30">
        <f t="shared" si="50"/>
        <v>0</v>
      </c>
      <c r="BA122" s="34"/>
      <c r="BB122" s="34"/>
      <c r="BC122" s="34"/>
      <c r="BD122" s="76"/>
      <c r="BE122" s="34"/>
      <c r="BF122" s="34"/>
      <c r="BG122" s="34"/>
      <c r="BH122" s="34"/>
    </row>
    <row r="123" spans="1:60" s="17" customFormat="1" ht="19.5" customHeight="1" thickBot="1" x14ac:dyDescent="0.45">
      <c r="A123" s="41">
        <f t="shared" si="51"/>
        <v>45439</v>
      </c>
      <c r="B123" s="139" t="str">
        <f>B116</f>
        <v>Yıkama Takma</v>
      </c>
      <c r="C123" s="140"/>
      <c r="D123" s="40">
        <f>C6/8</f>
        <v>500</v>
      </c>
      <c r="E123" s="147">
        <f>SUM(E116:H122)</f>
        <v>0</v>
      </c>
      <c r="F123" s="148"/>
      <c r="G123" s="148"/>
      <c r="H123" s="149"/>
      <c r="I123" s="147">
        <f>SUM(I116:L122)</f>
        <v>0</v>
      </c>
      <c r="J123" s="148"/>
      <c r="K123" s="148"/>
      <c r="L123" s="149"/>
      <c r="M123" s="147">
        <f>SUM(M116:P122)</f>
        <v>0</v>
      </c>
      <c r="N123" s="148"/>
      <c r="O123" s="148"/>
      <c r="P123" s="149"/>
      <c r="Q123" s="147">
        <f>SUM(Q116:U122)</f>
        <v>0</v>
      </c>
      <c r="R123" s="148"/>
      <c r="S123" s="148"/>
      <c r="T123" s="148"/>
      <c r="U123" s="149"/>
      <c r="V123" s="147">
        <f>SUM(V116:Y122)</f>
        <v>0</v>
      </c>
      <c r="W123" s="148"/>
      <c r="X123" s="148"/>
      <c r="Y123" s="149"/>
      <c r="Z123" s="147">
        <f>SUM(Z116:AC122)</f>
        <v>0</v>
      </c>
      <c r="AA123" s="148"/>
      <c r="AB123" s="148"/>
      <c r="AC123" s="149"/>
      <c r="AD123" s="147">
        <f>SUM(AD116:AG122)</f>
        <v>0</v>
      </c>
      <c r="AE123" s="148"/>
      <c r="AF123" s="148"/>
      <c r="AG123" s="149"/>
      <c r="AH123" s="147">
        <f>SUM(AH116:AK122)</f>
        <v>0</v>
      </c>
      <c r="AI123" s="148"/>
      <c r="AJ123" s="148"/>
      <c r="AK123" s="149"/>
      <c r="AL123" s="147">
        <f>SUM(AL116:AO122)</f>
        <v>0</v>
      </c>
      <c r="AM123" s="148"/>
      <c r="AN123" s="148"/>
      <c r="AO123" s="149"/>
      <c r="AP123" s="147">
        <f>SUM(AP116:AS122)</f>
        <v>0</v>
      </c>
      <c r="AQ123" s="148"/>
      <c r="AR123" s="148"/>
      <c r="AS123" s="149"/>
      <c r="AT123" s="147">
        <f>SUM(AT116:AW122)</f>
        <v>0</v>
      </c>
      <c r="AU123" s="148"/>
      <c r="AV123" s="148"/>
      <c r="AW123" s="149"/>
      <c r="AX123" s="87">
        <f>SUM(AX116:AX122)</f>
        <v>0</v>
      </c>
      <c r="AY123" s="88">
        <f>IFERROR(AVERAGEIF(E123:AV123,"&lt;&gt;0",(E123:AV123)),)</f>
        <v>0</v>
      </c>
      <c r="AZ123" s="46">
        <f>IFERROR(AX123/BB117,0)</f>
        <v>0</v>
      </c>
      <c r="BA123" s="34"/>
      <c r="BB123" s="34"/>
      <c r="BC123" s="34"/>
      <c r="BD123" s="76"/>
      <c r="BE123" s="34"/>
      <c r="BF123" s="34"/>
      <c r="BG123" s="34"/>
      <c r="BH123" s="34"/>
    </row>
    <row r="124" spans="1:60" s="17" customFormat="1" ht="19.5" customHeight="1" thickBot="1" x14ac:dyDescent="0.4">
      <c r="A124" s="42">
        <f t="shared" si="51"/>
        <v>45439</v>
      </c>
      <c r="B124" s="38" t="str">
        <f>B125</f>
        <v>Kol Reçme</v>
      </c>
      <c r="C124" s="39" t="s">
        <v>180</v>
      </c>
      <c r="D124" s="69" t="s">
        <v>181</v>
      </c>
      <c r="E124" s="48">
        <v>0.34375</v>
      </c>
      <c r="F124" s="49">
        <v>0.35416666666666669</v>
      </c>
      <c r="G124" s="49">
        <v>0.36458333333333331</v>
      </c>
      <c r="H124" s="50">
        <v>0.375</v>
      </c>
      <c r="I124" s="48">
        <v>0.38541666666666702</v>
      </c>
      <c r="J124" s="49">
        <v>0.39583333333333298</v>
      </c>
      <c r="K124" s="49">
        <v>0.40625</v>
      </c>
      <c r="L124" s="50">
        <v>0.41666666666666702</v>
      </c>
      <c r="M124" s="48">
        <v>0.4375</v>
      </c>
      <c r="N124" s="49">
        <v>0.44791666666666702</v>
      </c>
      <c r="O124" s="49">
        <v>0.45833333333333398</v>
      </c>
      <c r="P124" s="50">
        <v>0.46875</v>
      </c>
      <c r="Q124" s="48">
        <v>0.47916666666666702</v>
      </c>
      <c r="R124" s="49">
        <v>0.48958333333333398</v>
      </c>
      <c r="S124" s="49">
        <v>0.5</v>
      </c>
      <c r="T124" s="50">
        <v>0.51041666666666696</v>
      </c>
      <c r="U124" s="51">
        <v>0.52083333333333204</v>
      </c>
      <c r="V124" s="48">
        <v>0.5625</v>
      </c>
      <c r="W124" s="49">
        <v>0.57291666666666663</v>
      </c>
      <c r="X124" s="49">
        <v>0.58333333333333304</v>
      </c>
      <c r="Y124" s="50">
        <v>0.59375</v>
      </c>
      <c r="Z124" s="48">
        <v>0.60416666666666696</v>
      </c>
      <c r="AA124" s="49">
        <v>0.61458333333333304</v>
      </c>
      <c r="AB124" s="49">
        <v>0.625</v>
      </c>
      <c r="AC124" s="50">
        <v>0.63541666666666596</v>
      </c>
      <c r="AD124" s="48">
        <v>0.65625</v>
      </c>
      <c r="AE124" s="49">
        <v>0.66666666666666663</v>
      </c>
      <c r="AF124" s="49">
        <v>0.67708333333333304</v>
      </c>
      <c r="AG124" s="50">
        <v>0.6875</v>
      </c>
      <c r="AH124" s="48">
        <v>0.69791666666666696</v>
      </c>
      <c r="AI124" s="49">
        <v>0.70833333333333304</v>
      </c>
      <c r="AJ124" s="49">
        <v>0.71875</v>
      </c>
      <c r="AK124" s="50">
        <v>0.72916666666666696</v>
      </c>
      <c r="AL124" s="48">
        <v>0.73958333333333404</v>
      </c>
      <c r="AM124" s="49">
        <v>0.750000000000001</v>
      </c>
      <c r="AN124" s="49">
        <v>0.76041666666666796</v>
      </c>
      <c r="AO124" s="50">
        <v>0.77083333333333504</v>
      </c>
      <c r="AP124" s="48">
        <v>0.781250000000002</v>
      </c>
      <c r="AQ124" s="49">
        <v>0.79166666666666896</v>
      </c>
      <c r="AR124" s="49">
        <v>0.80208333333333603</v>
      </c>
      <c r="AS124" s="50">
        <v>0.812500000000003</v>
      </c>
      <c r="AT124" s="48">
        <v>0.82291666666666996</v>
      </c>
      <c r="AU124" s="49">
        <v>0.83333333333333703</v>
      </c>
      <c r="AV124" s="49">
        <v>0.843750000000004</v>
      </c>
      <c r="AW124" s="50">
        <v>0.85416666666666663</v>
      </c>
      <c r="AX124" s="68" t="s">
        <v>260</v>
      </c>
      <c r="AY124" s="28" t="s">
        <v>261</v>
      </c>
      <c r="AZ124" s="29" t="s">
        <v>262</v>
      </c>
      <c r="BA124" s="136" t="str">
        <f>B125</f>
        <v>Kol Reçme</v>
      </c>
      <c r="BB124" s="137"/>
      <c r="BC124" s="137"/>
      <c r="BD124" s="137"/>
      <c r="BE124" s="137"/>
      <c r="BF124" s="137"/>
      <c r="BG124" s="137"/>
      <c r="BH124" s="138"/>
    </row>
    <row r="125" spans="1:60" s="17" customFormat="1" ht="19.5" customHeight="1" thickBot="1" x14ac:dyDescent="0.4">
      <c r="A125" s="41">
        <f t="shared" si="51"/>
        <v>45439</v>
      </c>
      <c r="B125" s="37" t="s">
        <v>12</v>
      </c>
      <c r="C125" s="65"/>
      <c r="D125" s="71">
        <v>60</v>
      </c>
      <c r="E125" s="53"/>
      <c r="F125" s="54"/>
      <c r="G125" s="55"/>
      <c r="H125" s="56"/>
      <c r="I125" s="53"/>
      <c r="J125" s="54"/>
      <c r="K125" s="55"/>
      <c r="L125" s="56"/>
      <c r="M125" s="53"/>
      <c r="N125" s="54"/>
      <c r="O125" s="55"/>
      <c r="P125" s="56"/>
      <c r="Q125" s="63"/>
      <c r="R125" s="55"/>
      <c r="S125" s="55"/>
      <c r="T125" s="55"/>
      <c r="U125" s="56"/>
      <c r="V125" s="53"/>
      <c r="W125" s="54"/>
      <c r="X125" s="55"/>
      <c r="Y125" s="56"/>
      <c r="Z125" s="53"/>
      <c r="AA125" s="54"/>
      <c r="AB125" s="55"/>
      <c r="AC125" s="56"/>
      <c r="AD125" s="53"/>
      <c r="AE125" s="54"/>
      <c r="AF125" s="55"/>
      <c r="AG125" s="56"/>
      <c r="AH125" s="53"/>
      <c r="AI125" s="54"/>
      <c r="AJ125" s="55"/>
      <c r="AK125" s="56"/>
      <c r="AL125" s="53"/>
      <c r="AM125" s="54"/>
      <c r="AN125" s="55"/>
      <c r="AO125" s="56"/>
      <c r="AP125" s="53"/>
      <c r="AQ125" s="54"/>
      <c r="AR125" s="55"/>
      <c r="AS125" s="56"/>
      <c r="AT125" s="53"/>
      <c r="AU125" s="54"/>
      <c r="AV125" s="55"/>
      <c r="AW125" s="56"/>
      <c r="AX125" s="33">
        <f>SUM(E125:AW125)</f>
        <v>0</v>
      </c>
      <c r="AY125" s="31">
        <f>IFERROR(AVERAGEIF(E125:AW125,"&lt;&gt;0",(E125:AW125)),)</f>
        <v>0</v>
      </c>
      <c r="AZ125" s="30">
        <f>IFERROR(AY125/D125,0)</f>
        <v>0</v>
      </c>
      <c r="BA125" s="103" t="s">
        <v>182</v>
      </c>
      <c r="BB125" s="100" t="s">
        <v>183</v>
      </c>
      <c r="BC125" s="100" t="s">
        <v>184</v>
      </c>
      <c r="BD125" s="101" t="s">
        <v>185</v>
      </c>
      <c r="BE125" s="100" t="s">
        <v>186</v>
      </c>
      <c r="BF125" s="102" t="s">
        <v>187</v>
      </c>
      <c r="BG125" s="100" t="s">
        <v>188</v>
      </c>
      <c r="BH125" s="102" t="s">
        <v>189</v>
      </c>
    </row>
    <row r="126" spans="1:60" s="17" customFormat="1" ht="19.5" customHeight="1" thickBot="1" x14ac:dyDescent="0.4">
      <c r="A126" s="41">
        <f t="shared" si="51"/>
        <v>45439</v>
      </c>
      <c r="B126" s="37" t="str">
        <f t="shared" si="51"/>
        <v>Kol Reçme</v>
      </c>
      <c r="C126" s="65"/>
      <c r="D126" s="67">
        <f t="shared" ref="D126:D131" si="52">D125</f>
        <v>60</v>
      </c>
      <c r="E126" s="57"/>
      <c r="F126" s="52"/>
      <c r="G126" s="52"/>
      <c r="H126" s="58"/>
      <c r="I126" s="57"/>
      <c r="J126" s="52"/>
      <c r="K126" s="52"/>
      <c r="L126" s="58"/>
      <c r="M126" s="57"/>
      <c r="N126" s="52"/>
      <c r="O126" s="52"/>
      <c r="P126" s="58"/>
      <c r="Q126" s="57"/>
      <c r="R126" s="52"/>
      <c r="S126" s="52"/>
      <c r="T126" s="52"/>
      <c r="U126" s="58"/>
      <c r="V126" s="57"/>
      <c r="W126" s="52"/>
      <c r="X126" s="52"/>
      <c r="Y126" s="58"/>
      <c r="Z126" s="57"/>
      <c r="AA126" s="52"/>
      <c r="AB126" s="52"/>
      <c r="AC126" s="58"/>
      <c r="AD126" s="57"/>
      <c r="AE126" s="52"/>
      <c r="AF126" s="52"/>
      <c r="AG126" s="58"/>
      <c r="AH126" s="57"/>
      <c r="AI126" s="52"/>
      <c r="AJ126" s="52"/>
      <c r="AK126" s="58"/>
      <c r="AL126" s="57"/>
      <c r="AM126" s="52"/>
      <c r="AN126" s="52"/>
      <c r="AO126" s="58"/>
      <c r="AP126" s="57"/>
      <c r="AQ126" s="52"/>
      <c r="AR126" s="52"/>
      <c r="AS126" s="58"/>
      <c r="AT126" s="57"/>
      <c r="AU126" s="52"/>
      <c r="AV126" s="52"/>
      <c r="AW126" s="58"/>
      <c r="AX126" s="33">
        <f t="shared" ref="AX126:AX131" si="53">SUM(E126:AW126)</f>
        <v>0</v>
      </c>
      <c r="AY126" s="31">
        <f t="shared" ref="AY126:AY131" si="54">IFERROR(AVERAGEIF(E126:AW126,"&lt;&gt;0",(E126:AW126)),)</f>
        <v>0</v>
      </c>
      <c r="AZ126" s="30">
        <f t="shared" ref="AZ126:AZ131" si="55">IFERROR(AY126/D126,0)</f>
        <v>0</v>
      </c>
      <c r="BA126" s="94">
        <f>AX132</f>
        <v>0</v>
      </c>
      <c r="BB126" s="95">
        <f>(D132*8)</f>
        <v>4000</v>
      </c>
      <c r="BC126" s="96">
        <f>C5-BA126</f>
        <v>42311</v>
      </c>
      <c r="BD126" s="96">
        <f>BA117-BA126</f>
        <v>0</v>
      </c>
      <c r="BE126" s="97">
        <f>IFERROR(BC126/E132,0)</f>
        <v>0</v>
      </c>
      <c r="BF126" s="98">
        <f>IFERROR(BE126/9,0)</f>
        <v>0</v>
      </c>
      <c r="BG126" s="97">
        <f>IFERROR(BC126/AY132,0)</f>
        <v>0</v>
      </c>
      <c r="BH126" s="97">
        <f>IFERROR(BG126/9,0)</f>
        <v>0</v>
      </c>
    </row>
    <row r="127" spans="1:60" s="17" customFormat="1" ht="19.5" customHeight="1" x14ac:dyDescent="0.35">
      <c r="A127" s="41">
        <f t="shared" si="51"/>
        <v>45439</v>
      </c>
      <c r="B127" s="37" t="str">
        <f t="shared" si="51"/>
        <v>Kol Reçme</v>
      </c>
      <c r="C127" s="65"/>
      <c r="D127" s="67">
        <f t="shared" si="52"/>
        <v>60</v>
      </c>
      <c r="E127" s="57"/>
      <c r="F127" s="52"/>
      <c r="G127" s="52"/>
      <c r="H127" s="58"/>
      <c r="I127" s="57"/>
      <c r="J127" s="52"/>
      <c r="K127" s="52"/>
      <c r="L127" s="58"/>
      <c r="M127" s="57"/>
      <c r="N127" s="52"/>
      <c r="O127" s="52"/>
      <c r="P127" s="58"/>
      <c r="Q127" s="57"/>
      <c r="R127" s="52"/>
      <c r="S127" s="52"/>
      <c r="T127" s="52"/>
      <c r="U127" s="58"/>
      <c r="V127" s="57"/>
      <c r="W127" s="52"/>
      <c r="X127" s="52"/>
      <c r="Y127" s="58"/>
      <c r="Z127" s="57"/>
      <c r="AA127" s="52"/>
      <c r="AB127" s="52"/>
      <c r="AC127" s="58"/>
      <c r="AD127" s="57"/>
      <c r="AE127" s="52"/>
      <c r="AF127" s="52"/>
      <c r="AG127" s="58"/>
      <c r="AH127" s="57"/>
      <c r="AI127" s="52"/>
      <c r="AJ127" s="52"/>
      <c r="AK127" s="58"/>
      <c r="AL127" s="57"/>
      <c r="AM127" s="52"/>
      <c r="AN127" s="52"/>
      <c r="AO127" s="58"/>
      <c r="AP127" s="57"/>
      <c r="AQ127" s="52"/>
      <c r="AR127" s="52"/>
      <c r="AS127" s="58"/>
      <c r="AT127" s="57"/>
      <c r="AU127" s="52"/>
      <c r="AV127" s="52"/>
      <c r="AW127" s="58"/>
      <c r="AX127" s="33">
        <f t="shared" si="53"/>
        <v>0</v>
      </c>
      <c r="AY127" s="31">
        <f t="shared" si="54"/>
        <v>0</v>
      </c>
      <c r="AZ127" s="30">
        <f t="shared" si="55"/>
        <v>0</v>
      </c>
      <c r="BA127" s="34"/>
      <c r="BB127" s="34"/>
      <c r="BC127" s="34"/>
      <c r="BD127" s="76"/>
      <c r="BE127" s="34"/>
      <c r="BF127" s="34"/>
      <c r="BG127" s="34"/>
      <c r="BH127" s="34"/>
    </row>
    <row r="128" spans="1:60" s="17" customFormat="1" ht="19.5" customHeight="1" x14ac:dyDescent="0.35">
      <c r="A128" s="41">
        <f t="shared" si="51"/>
        <v>45439</v>
      </c>
      <c r="B128" s="37" t="str">
        <f t="shared" si="51"/>
        <v>Kol Reçme</v>
      </c>
      <c r="C128" s="65"/>
      <c r="D128" s="67">
        <f t="shared" si="52"/>
        <v>60</v>
      </c>
      <c r="E128" s="57"/>
      <c r="F128" s="52"/>
      <c r="G128" s="52"/>
      <c r="H128" s="58"/>
      <c r="I128" s="57"/>
      <c r="J128" s="52"/>
      <c r="K128" s="52"/>
      <c r="L128" s="58"/>
      <c r="M128" s="57"/>
      <c r="N128" s="52"/>
      <c r="O128" s="52"/>
      <c r="P128" s="58"/>
      <c r="Q128" s="57"/>
      <c r="R128" s="52"/>
      <c r="S128" s="52"/>
      <c r="T128" s="52"/>
      <c r="U128" s="58"/>
      <c r="V128" s="57"/>
      <c r="W128" s="52"/>
      <c r="X128" s="52"/>
      <c r="Y128" s="58"/>
      <c r="Z128" s="57"/>
      <c r="AA128" s="52"/>
      <c r="AB128" s="52"/>
      <c r="AC128" s="58"/>
      <c r="AD128" s="57"/>
      <c r="AE128" s="52"/>
      <c r="AF128" s="52"/>
      <c r="AG128" s="58"/>
      <c r="AH128" s="57"/>
      <c r="AI128" s="52"/>
      <c r="AJ128" s="52"/>
      <c r="AK128" s="58"/>
      <c r="AL128" s="57"/>
      <c r="AM128" s="52"/>
      <c r="AN128" s="52"/>
      <c r="AO128" s="58"/>
      <c r="AP128" s="57"/>
      <c r="AQ128" s="52"/>
      <c r="AR128" s="52"/>
      <c r="AS128" s="58"/>
      <c r="AT128" s="57"/>
      <c r="AU128" s="52"/>
      <c r="AV128" s="52"/>
      <c r="AW128" s="58"/>
      <c r="AX128" s="33">
        <f t="shared" si="53"/>
        <v>0</v>
      </c>
      <c r="AY128" s="31">
        <f t="shared" si="54"/>
        <v>0</v>
      </c>
      <c r="AZ128" s="30">
        <f t="shared" si="55"/>
        <v>0</v>
      </c>
      <c r="BA128" s="34"/>
      <c r="BB128" s="34"/>
      <c r="BC128" s="34"/>
      <c r="BD128" s="76"/>
      <c r="BE128" s="34"/>
      <c r="BF128" s="34"/>
      <c r="BG128" s="34"/>
      <c r="BH128" s="34"/>
    </row>
    <row r="129" spans="1:60" s="17" customFormat="1" ht="19.5" customHeight="1" x14ac:dyDescent="0.35">
      <c r="A129" s="41">
        <f>A126</f>
        <v>45439</v>
      </c>
      <c r="B129" s="37" t="str">
        <f t="shared" si="51"/>
        <v>Kol Reçme</v>
      </c>
      <c r="C129" s="65"/>
      <c r="D129" s="67">
        <f t="shared" si="52"/>
        <v>60</v>
      </c>
      <c r="E129" s="57"/>
      <c r="F129" s="52"/>
      <c r="G129" s="52"/>
      <c r="H129" s="58"/>
      <c r="I129" s="57"/>
      <c r="J129" s="52"/>
      <c r="K129" s="52"/>
      <c r="L129" s="58"/>
      <c r="M129" s="57"/>
      <c r="N129" s="52"/>
      <c r="O129" s="52"/>
      <c r="P129" s="58"/>
      <c r="Q129" s="57"/>
      <c r="R129" s="52"/>
      <c r="S129" s="52"/>
      <c r="T129" s="52"/>
      <c r="U129" s="58"/>
      <c r="V129" s="57"/>
      <c r="W129" s="52"/>
      <c r="X129" s="52"/>
      <c r="Y129" s="58"/>
      <c r="Z129" s="57"/>
      <c r="AA129" s="52"/>
      <c r="AB129" s="52"/>
      <c r="AC129" s="58"/>
      <c r="AD129" s="57"/>
      <c r="AE129" s="52"/>
      <c r="AF129" s="52"/>
      <c r="AG129" s="58"/>
      <c r="AH129" s="57"/>
      <c r="AI129" s="52"/>
      <c r="AJ129" s="52"/>
      <c r="AK129" s="58"/>
      <c r="AL129" s="57"/>
      <c r="AM129" s="52"/>
      <c r="AN129" s="52"/>
      <c r="AO129" s="58"/>
      <c r="AP129" s="57"/>
      <c r="AQ129" s="52"/>
      <c r="AR129" s="52"/>
      <c r="AS129" s="58"/>
      <c r="AT129" s="57"/>
      <c r="AU129" s="52"/>
      <c r="AV129" s="52"/>
      <c r="AW129" s="58"/>
      <c r="AX129" s="33">
        <f t="shared" si="53"/>
        <v>0</v>
      </c>
      <c r="AY129" s="31">
        <f t="shared" si="54"/>
        <v>0</v>
      </c>
      <c r="AZ129" s="30">
        <f t="shared" si="55"/>
        <v>0</v>
      </c>
      <c r="BA129" s="34"/>
      <c r="BB129" s="34"/>
      <c r="BC129" s="34"/>
      <c r="BD129" s="76"/>
      <c r="BE129" s="34"/>
      <c r="BF129" s="34"/>
      <c r="BG129" s="34"/>
      <c r="BH129" s="34"/>
    </row>
    <row r="130" spans="1:60" s="17" customFormat="1" ht="19.5" customHeight="1" x14ac:dyDescent="0.35">
      <c r="A130" s="41">
        <f t="shared" ref="A130:B138" si="56">A129</f>
        <v>45439</v>
      </c>
      <c r="B130" s="37" t="str">
        <f t="shared" si="56"/>
        <v>Kol Reçme</v>
      </c>
      <c r="C130" s="65"/>
      <c r="D130" s="67">
        <f t="shared" si="52"/>
        <v>60</v>
      </c>
      <c r="E130" s="57"/>
      <c r="F130" s="52"/>
      <c r="G130" s="52"/>
      <c r="H130" s="58"/>
      <c r="I130" s="57"/>
      <c r="J130" s="52"/>
      <c r="K130" s="52"/>
      <c r="L130" s="58"/>
      <c r="M130" s="57"/>
      <c r="N130" s="52"/>
      <c r="O130" s="52"/>
      <c r="P130" s="58"/>
      <c r="Q130" s="57"/>
      <c r="R130" s="52"/>
      <c r="S130" s="52"/>
      <c r="T130" s="52"/>
      <c r="U130" s="58"/>
      <c r="V130" s="57"/>
      <c r="W130" s="52"/>
      <c r="X130" s="52"/>
      <c r="Y130" s="58"/>
      <c r="Z130" s="57"/>
      <c r="AA130" s="52"/>
      <c r="AB130" s="52"/>
      <c r="AC130" s="58"/>
      <c r="AD130" s="57"/>
      <c r="AE130" s="52"/>
      <c r="AF130" s="52"/>
      <c r="AG130" s="58"/>
      <c r="AH130" s="57"/>
      <c r="AI130" s="52"/>
      <c r="AJ130" s="52"/>
      <c r="AK130" s="58"/>
      <c r="AL130" s="57"/>
      <c r="AM130" s="52"/>
      <c r="AN130" s="52"/>
      <c r="AO130" s="58"/>
      <c r="AP130" s="57"/>
      <c r="AQ130" s="52"/>
      <c r="AR130" s="52"/>
      <c r="AS130" s="58"/>
      <c r="AT130" s="57"/>
      <c r="AU130" s="52"/>
      <c r="AV130" s="52"/>
      <c r="AW130" s="58"/>
      <c r="AX130" s="33">
        <f t="shared" si="53"/>
        <v>0</v>
      </c>
      <c r="AY130" s="31">
        <f t="shared" si="54"/>
        <v>0</v>
      </c>
      <c r="AZ130" s="30">
        <f t="shared" si="55"/>
        <v>0</v>
      </c>
      <c r="BA130" s="34"/>
      <c r="BB130" s="34"/>
      <c r="BC130" s="34"/>
      <c r="BD130" s="76"/>
      <c r="BE130" s="34"/>
      <c r="BF130" s="34"/>
      <c r="BG130" s="34"/>
      <c r="BH130" s="34"/>
    </row>
    <row r="131" spans="1:60" s="17" customFormat="1" ht="19.5" customHeight="1" thickBot="1" x14ac:dyDescent="0.4">
      <c r="A131" s="41">
        <f t="shared" si="56"/>
        <v>45439</v>
      </c>
      <c r="B131" s="37" t="str">
        <f t="shared" si="56"/>
        <v>Kol Reçme</v>
      </c>
      <c r="C131" s="66"/>
      <c r="D131" s="67">
        <f t="shared" si="52"/>
        <v>60</v>
      </c>
      <c r="E131" s="59"/>
      <c r="F131" s="60"/>
      <c r="G131" s="61"/>
      <c r="H131" s="62"/>
      <c r="I131" s="59"/>
      <c r="J131" s="60"/>
      <c r="K131" s="61"/>
      <c r="L131" s="62"/>
      <c r="M131" s="59"/>
      <c r="N131" s="60"/>
      <c r="O131" s="61"/>
      <c r="P131" s="62"/>
      <c r="Q131" s="64"/>
      <c r="R131" s="61"/>
      <c r="S131" s="61"/>
      <c r="T131" s="61"/>
      <c r="U131" s="62"/>
      <c r="V131" s="59"/>
      <c r="W131" s="60"/>
      <c r="X131" s="61"/>
      <c r="Y131" s="62"/>
      <c r="Z131" s="59"/>
      <c r="AA131" s="60"/>
      <c r="AB131" s="61"/>
      <c r="AC131" s="62"/>
      <c r="AD131" s="59"/>
      <c r="AE131" s="60"/>
      <c r="AF131" s="61"/>
      <c r="AG131" s="62"/>
      <c r="AH131" s="59"/>
      <c r="AI131" s="60"/>
      <c r="AJ131" s="61"/>
      <c r="AK131" s="62"/>
      <c r="AL131" s="59"/>
      <c r="AM131" s="60"/>
      <c r="AN131" s="61"/>
      <c r="AO131" s="62"/>
      <c r="AP131" s="59"/>
      <c r="AQ131" s="60"/>
      <c r="AR131" s="61"/>
      <c r="AS131" s="62"/>
      <c r="AT131" s="59"/>
      <c r="AU131" s="60"/>
      <c r="AV131" s="61"/>
      <c r="AW131" s="62"/>
      <c r="AX131" s="33">
        <f t="shared" si="53"/>
        <v>0</v>
      </c>
      <c r="AY131" s="31">
        <f t="shared" si="54"/>
        <v>0</v>
      </c>
      <c r="AZ131" s="30">
        <f t="shared" si="55"/>
        <v>0</v>
      </c>
      <c r="BA131" s="34"/>
      <c r="BB131" s="34"/>
      <c r="BC131" s="34"/>
      <c r="BD131" s="76"/>
      <c r="BE131" s="34"/>
      <c r="BF131" s="34"/>
      <c r="BG131" s="34"/>
      <c r="BH131" s="34"/>
    </row>
    <row r="132" spans="1:60" s="17" customFormat="1" ht="19.5" customHeight="1" thickBot="1" x14ac:dyDescent="0.45">
      <c r="A132" s="41">
        <f t="shared" si="56"/>
        <v>45439</v>
      </c>
      <c r="B132" s="139" t="str">
        <f>B125</f>
        <v>Kol Reçme</v>
      </c>
      <c r="C132" s="140"/>
      <c r="D132" s="40">
        <f>C6/8</f>
        <v>500</v>
      </c>
      <c r="E132" s="147">
        <f>SUM(E125:H131)</f>
        <v>0</v>
      </c>
      <c r="F132" s="148"/>
      <c r="G132" s="148"/>
      <c r="H132" s="149"/>
      <c r="I132" s="147">
        <f>SUM(I125:L131)</f>
        <v>0</v>
      </c>
      <c r="J132" s="148"/>
      <c r="K132" s="148"/>
      <c r="L132" s="149"/>
      <c r="M132" s="147">
        <f>SUM(M125:P131)</f>
        <v>0</v>
      </c>
      <c r="N132" s="148"/>
      <c r="O132" s="148"/>
      <c r="P132" s="149"/>
      <c r="Q132" s="147">
        <f>SUM(Q125:U131)</f>
        <v>0</v>
      </c>
      <c r="R132" s="148"/>
      <c r="S132" s="148"/>
      <c r="T132" s="148"/>
      <c r="U132" s="149"/>
      <c r="V132" s="147">
        <f>SUM(V125:Y131)</f>
        <v>0</v>
      </c>
      <c r="W132" s="148"/>
      <c r="X132" s="148"/>
      <c r="Y132" s="149"/>
      <c r="Z132" s="147">
        <f>SUM(Z125:AC131)</f>
        <v>0</v>
      </c>
      <c r="AA132" s="148"/>
      <c r="AB132" s="148"/>
      <c r="AC132" s="149"/>
      <c r="AD132" s="147">
        <f>SUM(AD125:AG131)</f>
        <v>0</v>
      </c>
      <c r="AE132" s="148"/>
      <c r="AF132" s="148"/>
      <c r="AG132" s="149"/>
      <c r="AH132" s="147">
        <f>SUM(AH125:AK131)</f>
        <v>0</v>
      </c>
      <c r="AI132" s="148"/>
      <c r="AJ132" s="148"/>
      <c r="AK132" s="149"/>
      <c r="AL132" s="147">
        <f>SUM(AL125:AO131)</f>
        <v>0</v>
      </c>
      <c r="AM132" s="148"/>
      <c r="AN132" s="148"/>
      <c r="AO132" s="149"/>
      <c r="AP132" s="147">
        <f>SUM(AP125:AS131)</f>
        <v>0</v>
      </c>
      <c r="AQ132" s="148"/>
      <c r="AR132" s="148"/>
      <c r="AS132" s="149"/>
      <c r="AT132" s="147">
        <f>SUM(AT125:AW131)</f>
        <v>0</v>
      </c>
      <c r="AU132" s="148"/>
      <c r="AV132" s="148"/>
      <c r="AW132" s="149"/>
      <c r="AX132" s="87">
        <f>SUM(AX125:AX131)</f>
        <v>0</v>
      </c>
      <c r="AY132" s="88">
        <f>IFERROR(AVERAGEIF(E132:AV132,"&lt;&gt;0",(E132:AV132)),)</f>
        <v>0</v>
      </c>
      <c r="AZ132" s="46">
        <f>IFERROR(AX132/BB126,0)</f>
        <v>0</v>
      </c>
      <c r="BA132" s="34"/>
      <c r="BB132" s="34"/>
      <c r="BC132" s="34"/>
      <c r="BD132" s="76"/>
      <c r="BE132" s="34"/>
      <c r="BF132" s="34"/>
      <c r="BG132" s="34"/>
      <c r="BH132" s="34"/>
    </row>
    <row r="133" spans="1:60" s="17" customFormat="1" ht="19.5" customHeight="1" thickBot="1" x14ac:dyDescent="0.4">
      <c r="A133" s="42">
        <f t="shared" si="56"/>
        <v>45439</v>
      </c>
      <c r="B133" s="38" t="str">
        <f>B134</f>
        <v>Etek Reçme</v>
      </c>
      <c r="C133" s="39" t="s">
        <v>180</v>
      </c>
      <c r="D133" s="69" t="s">
        <v>181</v>
      </c>
      <c r="E133" s="48">
        <v>0.34375</v>
      </c>
      <c r="F133" s="49">
        <v>0.35416666666666669</v>
      </c>
      <c r="G133" s="49">
        <v>0.36458333333333331</v>
      </c>
      <c r="H133" s="50">
        <v>0.375</v>
      </c>
      <c r="I133" s="48">
        <v>0.38541666666666702</v>
      </c>
      <c r="J133" s="49">
        <v>0.39583333333333298</v>
      </c>
      <c r="K133" s="49">
        <v>0.40625</v>
      </c>
      <c r="L133" s="50">
        <v>0.41666666666666702</v>
      </c>
      <c r="M133" s="48">
        <v>0.4375</v>
      </c>
      <c r="N133" s="49">
        <v>0.44791666666666702</v>
      </c>
      <c r="O133" s="49">
        <v>0.45833333333333398</v>
      </c>
      <c r="P133" s="50">
        <v>0.46875</v>
      </c>
      <c r="Q133" s="48">
        <v>0.47916666666666702</v>
      </c>
      <c r="R133" s="49">
        <v>0.48958333333333398</v>
      </c>
      <c r="S133" s="49">
        <v>0.5</v>
      </c>
      <c r="T133" s="50">
        <v>0.51041666666666696</v>
      </c>
      <c r="U133" s="51">
        <v>0.52083333333333204</v>
      </c>
      <c r="V133" s="48">
        <v>0.5625</v>
      </c>
      <c r="W133" s="49">
        <v>0.57291666666666663</v>
      </c>
      <c r="X133" s="49">
        <v>0.58333333333333304</v>
      </c>
      <c r="Y133" s="50">
        <v>0.59375</v>
      </c>
      <c r="Z133" s="48">
        <v>0.60416666666666696</v>
      </c>
      <c r="AA133" s="49">
        <v>0.61458333333333304</v>
      </c>
      <c r="AB133" s="49">
        <v>0.625</v>
      </c>
      <c r="AC133" s="50">
        <v>0.63541666666666596</v>
      </c>
      <c r="AD133" s="48">
        <v>0.65625</v>
      </c>
      <c r="AE133" s="49">
        <v>0.66666666666666663</v>
      </c>
      <c r="AF133" s="49">
        <v>0.67708333333333304</v>
      </c>
      <c r="AG133" s="50">
        <v>0.6875</v>
      </c>
      <c r="AH133" s="48">
        <v>0.69791666666666696</v>
      </c>
      <c r="AI133" s="49">
        <v>0.70833333333333304</v>
      </c>
      <c r="AJ133" s="49">
        <v>0.71875</v>
      </c>
      <c r="AK133" s="50">
        <v>0.72916666666666696</v>
      </c>
      <c r="AL133" s="48">
        <v>0.73958333333333404</v>
      </c>
      <c r="AM133" s="49">
        <v>0.750000000000001</v>
      </c>
      <c r="AN133" s="49">
        <v>0.76041666666666796</v>
      </c>
      <c r="AO133" s="50">
        <v>0.77083333333333504</v>
      </c>
      <c r="AP133" s="48">
        <v>0.781250000000002</v>
      </c>
      <c r="AQ133" s="49">
        <v>0.79166666666666896</v>
      </c>
      <c r="AR133" s="49">
        <v>0.80208333333333603</v>
      </c>
      <c r="AS133" s="50">
        <v>0.812500000000003</v>
      </c>
      <c r="AT133" s="48">
        <v>0.82291666666666996</v>
      </c>
      <c r="AU133" s="49">
        <v>0.83333333333333703</v>
      </c>
      <c r="AV133" s="49">
        <v>0.843750000000004</v>
      </c>
      <c r="AW133" s="50">
        <v>0.85416666666666663</v>
      </c>
      <c r="AX133" s="68" t="s">
        <v>260</v>
      </c>
      <c r="AY133" s="28" t="s">
        <v>261</v>
      </c>
      <c r="AZ133" s="29" t="s">
        <v>262</v>
      </c>
      <c r="BA133" s="136" t="str">
        <f>B134</f>
        <v>Etek Reçme</v>
      </c>
      <c r="BB133" s="137"/>
      <c r="BC133" s="137"/>
      <c r="BD133" s="137"/>
      <c r="BE133" s="137"/>
      <c r="BF133" s="137"/>
      <c r="BG133" s="137"/>
      <c r="BH133" s="138"/>
    </row>
    <row r="134" spans="1:60" s="17" customFormat="1" ht="19.5" customHeight="1" thickBot="1" x14ac:dyDescent="0.4">
      <c r="A134" s="41">
        <f t="shared" si="56"/>
        <v>45439</v>
      </c>
      <c r="B134" s="37" t="s">
        <v>26</v>
      </c>
      <c r="C134" s="65"/>
      <c r="D134" s="71">
        <v>120</v>
      </c>
      <c r="E134" s="53"/>
      <c r="F134" s="54"/>
      <c r="G134" s="55"/>
      <c r="H134" s="56"/>
      <c r="I134" s="53"/>
      <c r="J134" s="54"/>
      <c r="K134" s="55"/>
      <c r="L134" s="56"/>
      <c r="M134" s="53"/>
      <c r="N134" s="54"/>
      <c r="O134" s="55"/>
      <c r="P134" s="56"/>
      <c r="Q134" s="63"/>
      <c r="R134" s="55"/>
      <c r="S134" s="55"/>
      <c r="T134" s="55"/>
      <c r="U134" s="56"/>
      <c r="V134" s="53"/>
      <c r="W134" s="54"/>
      <c r="X134" s="55"/>
      <c r="Y134" s="56"/>
      <c r="Z134" s="53"/>
      <c r="AA134" s="54"/>
      <c r="AB134" s="55"/>
      <c r="AC134" s="56"/>
      <c r="AD134" s="53"/>
      <c r="AE134" s="54"/>
      <c r="AF134" s="55"/>
      <c r="AG134" s="56"/>
      <c r="AH134" s="53"/>
      <c r="AI134" s="54"/>
      <c r="AJ134" s="55"/>
      <c r="AK134" s="56"/>
      <c r="AL134" s="53"/>
      <c r="AM134" s="54"/>
      <c r="AN134" s="55"/>
      <c r="AO134" s="56"/>
      <c r="AP134" s="53"/>
      <c r="AQ134" s="54"/>
      <c r="AR134" s="55"/>
      <c r="AS134" s="56"/>
      <c r="AT134" s="53"/>
      <c r="AU134" s="54"/>
      <c r="AV134" s="55"/>
      <c r="AW134" s="56"/>
      <c r="AX134" s="33">
        <f>SUM(E134:AW134)</f>
        <v>0</v>
      </c>
      <c r="AY134" s="31">
        <f>IFERROR(AVERAGEIF(E134:AW134,"&lt;&gt;0",(E134:AW134)),)</f>
        <v>0</v>
      </c>
      <c r="AZ134" s="30">
        <f>IFERROR(AY134/D134,0)</f>
        <v>0</v>
      </c>
      <c r="BA134" s="103" t="s">
        <v>182</v>
      </c>
      <c r="BB134" s="100" t="s">
        <v>183</v>
      </c>
      <c r="BC134" s="100" t="s">
        <v>184</v>
      </c>
      <c r="BD134" s="101" t="s">
        <v>185</v>
      </c>
      <c r="BE134" s="100" t="s">
        <v>186</v>
      </c>
      <c r="BF134" s="102" t="s">
        <v>187</v>
      </c>
      <c r="BG134" s="100" t="s">
        <v>188</v>
      </c>
      <c r="BH134" s="102" t="s">
        <v>189</v>
      </c>
    </row>
    <row r="135" spans="1:60" s="17" customFormat="1" ht="19.5" customHeight="1" thickBot="1" x14ac:dyDescent="0.4">
      <c r="A135" s="41">
        <f t="shared" si="56"/>
        <v>45439</v>
      </c>
      <c r="B135" s="37" t="str">
        <f t="shared" si="56"/>
        <v>Etek Reçme</v>
      </c>
      <c r="C135" s="65"/>
      <c r="D135" s="67">
        <f t="shared" ref="D135:D140" si="57">D134</f>
        <v>120</v>
      </c>
      <c r="E135" s="57"/>
      <c r="F135" s="52"/>
      <c r="G135" s="52"/>
      <c r="H135" s="58"/>
      <c r="I135" s="57"/>
      <c r="J135" s="52"/>
      <c r="K135" s="52"/>
      <c r="L135" s="58"/>
      <c r="M135" s="57"/>
      <c r="N135" s="52"/>
      <c r="O135" s="52"/>
      <c r="P135" s="58"/>
      <c r="Q135" s="57"/>
      <c r="R135" s="52"/>
      <c r="S135" s="52"/>
      <c r="T135" s="52"/>
      <c r="U135" s="58"/>
      <c r="V135" s="57"/>
      <c r="W135" s="52"/>
      <c r="X135" s="52"/>
      <c r="Y135" s="58"/>
      <c r="Z135" s="57"/>
      <c r="AA135" s="52"/>
      <c r="AB135" s="52"/>
      <c r="AC135" s="58"/>
      <c r="AD135" s="57"/>
      <c r="AE135" s="52"/>
      <c r="AF135" s="52"/>
      <c r="AG135" s="58"/>
      <c r="AH135" s="57"/>
      <c r="AI135" s="52"/>
      <c r="AJ135" s="52"/>
      <c r="AK135" s="58"/>
      <c r="AL135" s="57"/>
      <c r="AM135" s="52"/>
      <c r="AN135" s="52"/>
      <c r="AO135" s="58"/>
      <c r="AP135" s="57"/>
      <c r="AQ135" s="52"/>
      <c r="AR135" s="52"/>
      <c r="AS135" s="58"/>
      <c r="AT135" s="57"/>
      <c r="AU135" s="52"/>
      <c r="AV135" s="52"/>
      <c r="AW135" s="58"/>
      <c r="AX135" s="33">
        <f t="shared" ref="AX135:AX140" si="58">SUM(E135:AW135)</f>
        <v>0</v>
      </c>
      <c r="AY135" s="31">
        <f t="shared" ref="AY135:AY140" si="59">IFERROR(AVERAGEIF(E135:AW135,"&lt;&gt;0",(E135:AW135)),)</f>
        <v>0</v>
      </c>
      <c r="AZ135" s="30">
        <f t="shared" ref="AZ135:AZ140" si="60">IFERROR(AY135/D135,0)</f>
        <v>0</v>
      </c>
      <c r="BA135" s="94">
        <f>AX141</f>
        <v>0</v>
      </c>
      <c r="BB135" s="95">
        <f>(D141*8)</f>
        <v>4000</v>
      </c>
      <c r="BC135" s="96">
        <f>C5-BA135</f>
        <v>42311</v>
      </c>
      <c r="BD135" s="96">
        <f>BA126-BA135</f>
        <v>0</v>
      </c>
      <c r="BE135" s="97">
        <f>IFERROR(BC135/E141,0)</f>
        <v>0</v>
      </c>
      <c r="BF135" s="98">
        <f>IFERROR(BE135/9,0)</f>
        <v>0</v>
      </c>
      <c r="BG135" s="97">
        <f>IFERROR(BC135/AY141,0)</f>
        <v>0</v>
      </c>
      <c r="BH135" s="97">
        <f>IFERROR(BG135/9,0)</f>
        <v>0</v>
      </c>
    </row>
    <row r="136" spans="1:60" s="17" customFormat="1" ht="19.5" customHeight="1" x14ac:dyDescent="0.35">
      <c r="A136" s="41">
        <f t="shared" si="56"/>
        <v>45439</v>
      </c>
      <c r="B136" s="37" t="str">
        <f t="shared" si="56"/>
        <v>Etek Reçme</v>
      </c>
      <c r="C136" s="65"/>
      <c r="D136" s="67">
        <f t="shared" si="57"/>
        <v>120</v>
      </c>
      <c r="E136" s="57"/>
      <c r="F136" s="52"/>
      <c r="G136" s="52"/>
      <c r="H136" s="58"/>
      <c r="I136" s="57"/>
      <c r="J136" s="52"/>
      <c r="K136" s="52"/>
      <c r="L136" s="58"/>
      <c r="M136" s="57"/>
      <c r="N136" s="52"/>
      <c r="O136" s="52"/>
      <c r="P136" s="58"/>
      <c r="Q136" s="57"/>
      <c r="R136" s="52"/>
      <c r="S136" s="52"/>
      <c r="T136" s="52"/>
      <c r="U136" s="58"/>
      <c r="V136" s="57"/>
      <c r="W136" s="52"/>
      <c r="X136" s="52"/>
      <c r="Y136" s="58"/>
      <c r="Z136" s="57"/>
      <c r="AA136" s="52"/>
      <c r="AB136" s="52"/>
      <c r="AC136" s="58"/>
      <c r="AD136" s="57"/>
      <c r="AE136" s="52"/>
      <c r="AF136" s="52"/>
      <c r="AG136" s="58"/>
      <c r="AH136" s="57"/>
      <c r="AI136" s="52"/>
      <c r="AJ136" s="52"/>
      <c r="AK136" s="58"/>
      <c r="AL136" s="57"/>
      <c r="AM136" s="52"/>
      <c r="AN136" s="52"/>
      <c r="AO136" s="58"/>
      <c r="AP136" s="57"/>
      <c r="AQ136" s="52"/>
      <c r="AR136" s="52"/>
      <c r="AS136" s="58"/>
      <c r="AT136" s="57"/>
      <c r="AU136" s="52"/>
      <c r="AV136" s="52"/>
      <c r="AW136" s="58"/>
      <c r="AX136" s="33">
        <f t="shared" si="58"/>
        <v>0</v>
      </c>
      <c r="AY136" s="31">
        <f t="shared" si="59"/>
        <v>0</v>
      </c>
      <c r="AZ136" s="30">
        <f t="shared" si="60"/>
        <v>0</v>
      </c>
      <c r="BA136" s="34"/>
      <c r="BB136" s="34"/>
      <c r="BC136" s="34"/>
      <c r="BD136" s="76"/>
      <c r="BE136" s="34"/>
      <c r="BF136" s="34"/>
      <c r="BG136" s="34"/>
      <c r="BH136" s="34"/>
    </row>
    <row r="137" spans="1:60" s="17" customFormat="1" ht="19.5" customHeight="1" x14ac:dyDescent="0.35">
      <c r="A137" s="41">
        <f t="shared" si="56"/>
        <v>45439</v>
      </c>
      <c r="B137" s="37" t="str">
        <f t="shared" si="56"/>
        <v>Etek Reçme</v>
      </c>
      <c r="C137" s="65"/>
      <c r="D137" s="67">
        <f t="shared" si="57"/>
        <v>120</v>
      </c>
      <c r="E137" s="57"/>
      <c r="F137" s="52"/>
      <c r="G137" s="52"/>
      <c r="H137" s="58"/>
      <c r="I137" s="57"/>
      <c r="J137" s="52"/>
      <c r="K137" s="52"/>
      <c r="L137" s="58"/>
      <c r="M137" s="57"/>
      <c r="N137" s="52"/>
      <c r="O137" s="52"/>
      <c r="P137" s="58"/>
      <c r="Q137" s="57"/>
      <c r="R137" s="52"/>
      <c r="S137" s="52"/>
      <c r="T137" s="52"/>
      <c r="U137" s="58"/>
      <c r="V137" s="57"/>
      <c r="W137" s="52"/>
      <c r="X137" s="52"/>
      <c r="Y137" s="58"/>
      <c r="Z137" s="57"/>
      <c r="AA137" s="52"/>
      <c r="AB137" s="52"/>
      <c r="AC137" s="58"/>
      <c r="AD137" s="57"/>
      <c r="AE137" s="52"/>
      <c r="AF137" s="52"/>
      <c r="AG137" s="58"/>
      <c r="AH137" s="57"/>
      <c r="AI137" s="52"/>
      <c r="AJ137" s="52"/>
      <c r="AK137" s="58"/>
      <c r="AL137" s="57"/>
      <c r="AM137" s="52"/>
      <c r="AN137" s="52"/>
      <c r="AO137" s="58"/>
      <c r="AP137" s="57"/>
      <c r="AQ137" s="52"/>
      <c r="AR137" s="52"/>
      <c r="AS137" s="58"/>
      <c r="AT137" s="57"/>
      <c r="AU137" s="52"/>
      <c r="AV137" s="52"/>
      <c r="AW137" s="58"/>
      <c r="AX137" s="33">
        <f t="shared" si="58"/>
        <v>0</v>
      </c>
      <c r="AY137" s="31">
        <f t="shared" si="59"/>
        <v>0</v>
      </c>
      <c r="AZ137" s="30">
        <f t="shared" si="60"/>
        <v>0</v>
      </c>
      <c r="BA137" s="34"/>
      <c r="BB137" s="34"/>
      <c r="BC137" s="34"/>
      <c r="BD137" s="76"/>
      <c r="BE137" s="34"/>
      <c r="BF137" s="34"/>
      <c r="BG137" s="34"/>
      <c r="BH137" s="34"/>
    </row>
    <row r="138" spans="1:60" s="17" customFormat="1" ht="19.5" customHeight="1" x14ac:dyDescent="0.35">
      <c r="A138" s="41">
        <f>A135</f>
        <v>45439</v>
      </c>
      <c r="B138" s="37" t="str">
        <f t="shared" si="56"/>
        <v>Etek Reçme</v>
      </c>
      <c r="C138" s="65"/>
      <c r="D138" s="67">
        <f t="shared" si="57"/>
        <v>120</v>
      </c>
      <c r="E138" s="57"/>
      <c r="F138" s="52"/>
      <c r="G138" s="52"/>
      <c r="H138" s="58"/>
      <c r="I138" s="57"/>
      <c r="J138" s="52"/>
      <c r="K138" s="52"/>
      <c r="L138" s="58"/>
      <c r="M138" s="57"/>
      <c r="N138" s="52"/>
      <c r="O138" s="52"/>
      <c r="P138" s="58"/>
      <c r="Q138" s="57"/>
      <c r="R138" s="52"/>
      <c r="S138" s="52"/>
      <c r="T138" s="52"/>
      <c r="U138" s="58"/>
      <c r="V138" s="57"/>
      <c r="W138" s="52"/>
      <c r="X138" s="52"/>
      <c r="Y138" s="58"/>
      <c r="Z138" s="57"/>
      <c r="AA138" s="52"/>
      <c r="AB138" s="52"/>
      <c r="AC138" s="58"/>
      <c r="AD138" s="57"/>
      <c r="AE138" s="52"/>
      <c r="AF138" s="52"/>
      <c r="AG138" s="58"/>
      <c r="AH138" s="57"/>
      <c r="AI138" s="52"/>
      <c r="AJ138" s="52"/>
      <c r="AK138" s="58"/>
      <c r="AL138" s="57"/>
      <c r="AM138" s="52"/>
      <c r="AN138" s="52"/>
      <c r="AO138" s="58"/>
      <c r="AP138" s="57"/>
      <c r="AQ138" s="52"/>
      <c r="AR138" s="52"/>
      <c r="AS138" s="58"/>
      <c r="AT138" s="57"/>
      <c r="AU138" s="52"/>
      <c r="AV138" s="52"/>
      <c r="AW138" s="58"/>
      <c r="AX138" s="33">
        <f t="shared" si="58"/>
        <v>0</v>
      </c>
      <c r="AY138" s="31">
        <f t="shared" si="59"/>
        <v>0</v>
      </c>
      <c r="AZ138" s="30">
        <f t="shared" si="60"/>
        <v>0</v>
      </c>
      <c r="BA138" s="34"/>
      <c r="BB138" s="34"/>
      <c r="BC138" s="34"/>
      <c r="BD138" s="76"/>
      <c r="BE138" s="34"/>
      <c r="BF138" s="34"/>
      <c r="BG138" s="34"/>
      <c r="BH138" s="34"/>
    </row>
    <row r="139" spans="1:60" s="17" customFormat="1" ht="19.5" customHeight="1" x14ac:dyDescent="0.35">
      <c r="A139" s="41">
        <f t="shared" ref="A139:B141" si="61">A138</f>
        <v>45439</v>
      </c>
      <c r="B139" s="37" t="str">
        <f t="shared" si="61"/>
        <v>Etek Reçme</v>
      </c>
      <c r="C139" s="65"/>
      <c r="D139" s="67">
        <f t="shared" si="57"/>
        <v>120</v>
      </c>
      <c r="E139" s="57"/>
      <c r="F139" s="52"/>
      <c r="G139" s="52"/>
      <c r="H139" s="58"/>
      <c r="I139" s="57"/>
      <c r="J139" s="52"/>
      <c r="K139" s="52"/>
      <c r="L139" s="58"/>
      <c r="M139" s="57"/>
      <c r="N139" s="52"/>
      <c r="O139" s="52"/>
      <c r="P139" s="58"/>
      <c r="Q139" s="57"/>
      <c r="R139" s="52"/>
      <c r="S139" s="52"/>
      <c r="T139" s="52"/>
      <c r="U139" s="58"/>
      <c r="V139" s="57"/>
      <c r="W139" s="52"/>
      <c r="X139" s="52"/>
      <c r="Y139" s="58"/>
      <c r="Z139" s="57"/>
      <c r="AA139" s="52"/>
      <c r="AB139" s="52"/>
      <c r="AC139" s="58"/>
      <c r="AD139" s="57"/>
      <c r="AE139" s="52"/>
      <c r="AF139" s="52"/>
      <c r="AG139" s="58"/>
      <c r="AH139" s="57"/>
      <c r="AI139" s="52"/>
      <c r="AJ139" s="52"/>
      <c r="AK139" s="58"/>
      <c r="AL139" s="57"/>
      <c r="AM139" s="52"/>
      <c r="AN139" s="52"/>
      <c r="AO139" s="58"/>
      <c r="AP139" s="57"/>
      <c r="AQ139" s="52"/>
      <c r="AR139" s="52"/>
      <c r="AS139" s="58"/>
      <c r="AT139" s="57"/>
      <c r="AU139" s="52"/>
      <c r="AV139" s="52"/>
      <c r="AW139" s="58"/>
      <c r="AX139" s="33">
        <f t="shared" si="58"/>
        <v>0</v>
      </c>
      <c r="AY139" s="31">
        <f t="shared" si="59"/>
        <v>0</v>
      </c>
      <c r="AZ139" s="30">
        <f t="shared" si="60"/>
        <v>0</v>
      </c>
      <c r="BA139" s="34"/>
      <c r="BB139" s="34"/>
      <c r="BC139" s="34"/>
      <c r="BD139" s="76"/>
      <c r="BE139" s="34"/>
      <c r="BF139" s="34"/>
      <c r="BG139" s="34"/>
      <c r="BH139" s="34"/>
    </row>
    <row r="140" spans="1:60" s="17" customFormat="1" ht="19.5" customHeight="1" thickBot="1" x14ac:dyDescent="0.4">
      <c r="A140" s="41">
        <f t="shared" si="61"/>
        <v>45439</v>
      </c>
      <c r="B140" s="37" t="str">
        <f t="shared" si="61"/>
        <v>Etek Reçme</v>
      </c>
      <c r="C140" s="66"/>
      <c r="D140" s="67">
        <f t="shared" si="57"/>
        <v>120</v>
      </c>
      <c r="E140" s="59"/>
      <c r="F140" s="60"/>
      <c r="G140" s="61"/>
      <c r="H140" s="62"/>
      <c r="I140" s="59"/>
      <c r="J140" s="60"/>
      <c r="K140" s="61"/>
      <c r="L140" s="62"/>
      <c r="M140" s="59"/>
      <c r="N140" s="60"/>
      <c r="O140" s="61"/>
      <c r="P140" s="62"/>
      <c r="Q140" s="64"/>
      <c r="R140" s="61"/>
      <c r="S140" s="61"/>
      <c r="T140" s="61"/>
      <c r="U140" s="62"/>
      <c r="V140" s="59"/>
      <c r="W140" s="60"/>
      <c r="X140" s="61"/>
      <c r="Y140" s="62"/>
      <c r="Z140" s="59"/>
      <c r="AA140" s="60"/>
      <c r="AB140" s="61"/>
      <c r="AC140" s="62"/>
      <c r="AD140" s="59"/>
      <c r="AE140" s="60"/>
      <c r="AF140" s="61"/>
      <c r="AG140" s="62"/>
      <c r="AH140" s="59"/>
      <c r="AI140" s="60"/>
      <c r="AJ140" s="61"/>
      <c r="AK140" s="62"/>
      <c r="AL140" s="59"/>
      <c r="AM140" s="60"/>
      <c r="AN140" s="61"/>
      <c r="AO140" s="62"/>
      <c r="AP140" s="59"/>
      <c r="AQ140" s="60"/>
      <c r="AR140" s="61"/>
      <c r="AS140" s="62"/>
      <c r="AT140" s="59"/>
      <c r="AU140" s="60"/>
      <c r="AV140" s="61"/>
      <c r="AW140" s="62"/>
      <c r="AX140" s="33">
        <f t="shared" si="58"/>
        <v>0</v>
      </c>
      <c r="AY140" s="31">
        <f t="shared" si="59"/>
        <v>0</v>
      </c>
      <c r="AZ140" s="30">
        <f t="shared" si="60"/>
        <v>0</v>
      </c>
      <c r="BA140" s="34"/>
      <c r="BB140" s="34"/>
      <c r="BC140" s="34"/>
      <c r="BD140" s="76"/>
      <c r="BE140" s="34"/>
      <c r="BF140" s="34"/>
      <c r="BG140" s="34"/>
      <c r="BH140" s="34"/>
    </row>
    <row r="141" spans="1:60" s="17" customFormat="1" ht="19.5" customHeight="1" thickBot="1" x14ac:dyDescent="0.45">
      <c r="A141" s="41">
        <f t="shared" si="61"/>
        <v>45439</v>
      </c>
      <c r="B141" s="139" t="str">
        <f>B134</f>
        <v>Etek Reçme</v>
      </c>
      <c r="C141" s="140"/>
      <c r="D141" s="40">
        <f>C6/8</f>
        <v>500</v>
      </c>
      <c r="E141" s="147">
        <f>SUM(E134:H140)</f>
        <v>0</v>
      </c>
      <c r="F141" s="148"/>
      <c r="G141" s="148"/>
      <c r="H141" s="149"/>
      <c r="I141" s="147">
        <f>SUM(I134:L140)</f>
        <v>0</v>
      </c>
      <c r="J141" s="148"/>
      <c r="K141" s="148"/>
      <c r="L141" s="149"/>
      <c r="M141" s="147">
        <f>SUM(M134:P140)</f>
        <v>0</v>
      </c>
      <c r="N141" s="148"/>
      <c r="O141" s="148"/>
      <c r="P141" s="149"/>
      <c r="Q141" s="147">
        <f>SUM(Q134:U140)</f>
        <v>0</v>
      </c>
      <c r="R141" s="148"/>
      <c r="S141" s="148"/>
      <c r="T141" s="148"/>
      <c r="U141" s="149"/>
      <c r="V141" s="147">
        <f>SUM(V134:Y140)</f>
        <v>0</v>
      </c>
      <c r="W141" s="148"/>
      <c r="X141" s="148"/>
      <c r="Y141" s="149"/>
      <c r="Z141" s="147">
        <f>SUM(Z134:AC140)</f>
        <v>0</v>
      </c>
      <c r="AA141" s="148"/>
      <c r="AB141" s="148"/>
      <c r="AC141" s="149"/>
      <c r="AD141" s="147">
        <f>SUM(AD134:AG140)</f>
        <v>0</v>
      </c>
      <c r="AE141" s="148"/>
      <c r="AF141" s="148"/>
      <c r="AG141" s="149"/>
      <c r="AH141" s="147">
        <f>SUM(AH134:AK140)</f>
        <v>0</v>
      </c>
      <c r="AI141" s="148"/>
      <c r="AJ141" s="148"/>
      <c r="AK141" s="149"/>
      <c r="AL141" s="147">
        <f>SUM(AL134:AO140)</f>
        <v>0</v>
      </c>
      <c r="AM141" s="148"/>
      <c r="AN141" s="148"/>
      <c r="AO141" s="149"/>
      <c r="AP141" s="147">
        <f>SUM(AP134:AS140)</f>
        <v>0</v>
      </c>
      <c r="AQ141" s="148"/>
      <c r="AR141" s="148"/>
      <c r="AS141" s="149"/>
      <c r="AT141" s="147">
        <f>SUM(AT134:AW140)</f>
        <v>0</v>
      </c>
      <c r="AU141" s="148"/>
      <c r="AV141" s="148"/>
      <c r="AW141" s="149"/>
      <c r="AX141" s="87">
        <f>SUM(AX134:AX140)</f>
        <v>0</v>
      </c>
      <c r="AY141" s="88">
        <f>IFERROR(AVERAGEIF(E141:AV141,"&lt;&gt;0",(E141:AV141)),)</f>
        <v>0</v>
      </c>
      <c r="AZ141" s="46">
        <f>IFERROR(AX141/BB135,0)</f>
        <v>0</v>
      </c>
      <c r="BA141" s="34"/>
      <c r="BB141" s="34"/>
      <c r="BC141" s="34"/>
      <c r="BD141" s="76"/>
      <c r="BE141" s="34"/>
      <c r="BF141" s="34"/>
      <c r="BG141" s="34"/>
      <c r="BH141" s="34"/>
    </row>
    <row r="142" spans="1:60" s="17" customFormat="1" ht="19.5" customHeight="1" thickBot="1" x14ac:dyDescent="0.4">
      <c r="A142" s="42">
        <f>A114</f>
        <v>45439</v>
      </c>
      <c r="B142" s="38" t="str">
        <f>B143</f>
        <v>Çevirme</v>
      </c>
      <c r="C142" s="39" t="s">
        <v>180</v>
      </c>
      <c r="D142" s="69" t="s">
        <v>181</v>
      </c>
      <c r="E142" s="48">
        <v>0.34375</v>
      </c>
      <c r="F142" s="49">
        <v>0.35416666666666669</v>
      </c>
      <c r="G142" s="49">
        <v>0.36458333333333331</v>
      </c>
      <c r="H142" s="50">
        <v>0.375</v>
      </c>
      <c r="I142" s="48">
        <v>0.38541666666666702</v>
      </c>
      <c r="J142" s="49">
        <v>0.39583333333333298</v>
      </c>
      <c r="K142" s="49">
        <v>0.40625</v>
      </c>
      <c r="L142" s="50">
        <v>0.41666666666666702</v>
      </c>
      <c r="M142" s="48">
        <v>0.4375</v>
      </c>
      <c r="N142" s="49">
        <v>0.44791666666666702</v>
      </c>
      <c r="O142" s="49">
        <v>0.45833333333333398</v>
      </c>
      <c r="P142" s="50">
        <v>0.46875</v>
      </c>
      <c r="Q142" s="48">
        <v>0.47916666666666702</v>
      </c>
      <c r="R142" s="49">
        <v>0.48958333333333398</v>
      </c>
      <c r="S142" s="49">
        <v>0.5</v>
      </c>
      <c r="T142" s="50">
        <v>0.51041666666666696</v>
      </c>
      <c r="U142" s="51">
        <v>0.52083333333333204</v>
      </c>
      <c r="V142" s="48">
        <v>0.5625</v>
      </c>
      <c r="W142" s="49">
        <v>0.57291666666666663</v>
      </c>
      <c r="X142" s="49">
        <v>0.58333333333333304</v>
      </c>
      <c r="Y142" s="50">
        <v>0.59375</v>
      </c>
      <c r="Z142" s="48">
        <v>0.60416666666666696</v>
      </c>
      <c r="AA142" s="49">
        <v>0.61458333333333304</v>
      </c>
      <c r="AB142" s="49">
        <v>0.625</v>
      </c>
      <c r="AC142" s="50">
        <v>0.63541666666666596</v>
      </c>
      <c r="AD142" s="48">
        <v>0.65625</v>
      </c>
      <c r="AE142" s="49">
        <v>0.66666666666666663</v>
      </c>
      <c r="AF142" s="49">
        <v>0.67708333333333304</v>
      </c>
      <c r="AG142" s="50">
        <v>0.6875</v>
      </c>
      <c r="AH142" s="48">
        <v>0.69791666666666696</v>
      </c>
      <c r="AI142" s="49">
        <v>0.70833333333333304</v>
      </c>
      <c r="AJ142" s="49">
        <v>0.71875</v>
      </c>
      <c r="AK142" s="50">
        <v>0.72916666666666696</v>
      </c>
      <c r="AL142" s="48">
        <v>0.73958333333333404</v>
      </c>
      <c r="AM142" s="49">
        <v>0.750000000000001</v>
      </c>
      <c r="AN142" s="49">
        <v>0.76041666666666796</v>
      </c>
      <c r="AO142" s="50">
        <v>0.77083333333333504</v>
      </c>
      <c r="AP142" s="48">
        <v>0.781250000000002</v>
      </c>
      <c r="AQ142" s="49">
        <v>0.79166666666666896</v>
      </c>
      <c r="AR142" s="49">
        <v>0.80208333333333603</v>
      </c>
      <c r="AS142" s="50">
        <v>0.812500000000003</v>
      </c>
      <c r="AT142" s="48">
        <v>0.82291666666666996</v>
      </c>
      <c r="AU142" s="49">
        <v>0.83333333333333703</v>
      </c>
      <c r="AV142" s="49">
        <v>0.843750000000004</v>
      </c>
      <c r="AW142" s="50">
        <v>0.85416666666666663</v>
      </c>
      <c r="AX142" s="68" t="s">
        <v>260</v>
      </c>
      <c r="AY142" s="28" t="s">
        <v>261</v>
      </c>
      <c r="AZ142" s="29" t="s">
        <v>262</v>
      </c>
      <c r="BA142" s="136" t="str">
        <f>B143</f>
        <v>Çevirme</v>
      </c>
      <c r="BB142" s="137"/>
      <c r="BC142" s="137"/>
      <c r="BD142" s="137"/>
      <c r="BE142" s="137"/>
      <c r="BF142" s="137"/>
      <c r="BG142" s="137"/>
      <c r="BH142" s="138"/>
    </row>
    <row r="143" spans="1:60" s="17" customFormat="1" ht="19.5" customHeight="1" thickBot="1" x14ac:dyDescent="0.4">
      <c r="A143" s="41">
        <f t="shared" ref="A143:B149" si="62">A142</f>
        <v>45439</v>
      </c>
      <c r="B143" s="37" t="s">
        <v>27</v>
      </c>
      <c r="C143" s="65"/>
      <c r="D143" s="71">
        <v>35</v>
      </c>
      <c r="E143" s="53"/>
      <c r="F143" s="54"/>
      <c r="G143" s="55"/>
      <c r="H143" s="56"/>
      <c r="I143" s="53"/>
      <c r="J143" s="54"/>
      <c r="K143" s="55"/>
      <c r="L143" s="56"/>
      <c r="M143" s="53"/>
      <c r="N143" s="54"/>
      <c r="O143" s="55"/>
      <c r="P143" s="56"/>
      <c r="Q143" s="63"/>
      <c r="R143" s="55"/>
      <c r="S143" s="55"/>
      <c r="T143" s="55"/>
      <c r="U143" s="56"/>
      <c r="V143" s="53"/>
      <c r="W143" s="54"/>
      <c r="X143" s="55"/>
      <c r="Y143" s="56"/>
      <c r="Z143" s="53"/>
      <c r="AA143" s="54"/>
      <c r="AB143" s="55"/>
      <c r="AC143" s="56"/>
      <c r="AD143" s="53"/>
      <c r="AE143" s="54"/>
      <c r="AF143" s="55"/>
      <c r="AG143" s="56"/>
      <c r="AH143" s="53"/>
      <c r="AI143" s="54"/>
      <c r="AJ143" s="55"/>
      <c r="AK143" s="56"/>
      <c r="AL143" s="53"/>
      <c r="AM143" s="54"/>
      <c r="AN143" s="55"/>
      <c r="AO143" s="56"/>
      <c r="AP143" s="53"/>
      <c r="AQ143" s="54"/>
      <c r="AR143" s="55"/>
      <c r="AS143" s="56"/>
      <c r="AT143" s="53"/>
      <c r="AU143" s="54"/>
      <c r="AV143" s="55"/>
      <c r="AW143" s="56"/>
      <c r="AX143" s="33">
        <f>SUM(E143:AW143)</f>
        <v>0</v>
      </c>
      <c r="AY143" s="31">
        <f>IFERROR(AVERAGEIF(E143:AW143,"&lt;&gt;0",(E143:AW143)),)</f>
        <v>0</v>
      </c>
      <c r="AZ143" s="30">
        <f>IFERROR(AY143/D143,0)</f>
        <v>0</v>
      </c>
      <c r="BA143" s="103" t="s">
        <v>182</v>
      </c>
      <c r="BB143" s="100" t="s">
        <v>183</v>
      </c>
      <c r="BC143" s="100" t="s">
        <v>184</v>
      </c>
      <c r="BD143" s="101" t="s">
        <v>185</v>
      </c>
      <c r="BE143" s="100" t="s">
        <v>186</v>
      </c>
      <c r="BF143" s="102" t="s">
        <v>187</v>
      </c>
      <c r="BG143" s="100" t="s">
        <v>188</v>
      </c>
      <c r="BH143" s="102" t="s">
        <v>189</v>
      </c>
    </row>
    <row r="144" spans="1:60" s="17" customFormat="1" ht="19.5" customHeight="1" thickBot="1" x14ac:dyDescent="0.4">
      <c r="A144" s="41">
        <f t="shared" si="62"/>
        <v>45439</v>
      </c>
      <c r="B144" s="37" t="str">
        <f t="shared" si="62"/>
        <v>Çevirme</v>
      </c>
      <c r="C144" s="65"/>
      <c r="D144" s="67">
        <f t="shared" ref="D144:D149" si="63">D143</f>
        <v>35</v>
      </c>
      <c r="E144" s="57"/>
      <c r="F144" s="52"/>
      <c r="G144" s="52"/>
      <c r="H144" s="58"/>
      <c r="I144" s="57"/>
      <c r="J144" s="52"/>
      <c r="K144" s="52"/>
      <c r="L144" s="58"/>
      <c r="M144" s="57"/>
      <c r="N144" s="52"/>
      <c r="O144" s="52"/>
      <c r="P144" s="58"/>
      <c r="Q144" s="57"/>
      <c r="R144" s="52"/>
      <c r="S144" s="52"/>
      <c r="T144" s="52"/>
      <c r="U144" s="58"/>
      <c r="V144" s="57"/>
      <c r="W144" s="52"/>
      <c r="X144" s="52"/>
      <c r="Y144" s="58"/>
      <c r="Z144" s="57"/>
      <c r="AA144" s="52"/>
      <c r="AB144" s="52"/>
      <c r="AC144" s="58"/>
      <c r="AD144" s="57"/>
      <c r="AE144" s="52"/>
      <c r="AF144" s="52"/>
      <c r="AG144" s="58"/>
      <c r="AH144" s="57"/>
      <c r="AI144" s="52"/>
      <c r="AJ144" s="52"/>
      <c r="AK144" s="58"/>
      <c r="AL144" s="57"/>
      <c r="AM144" s="52"/>
      <c r="AN144" s="52"/>
      <c r="AO144" s="58"/>
      <c r="AP144" s="57"/>
      <c r="AQ144" s="52"/>
      <c r="AR144" s="52"/>
      <c r="AS144" s="58"/>
      <c r="AT144" s="57"/>
      <c r="AU144" s="52"/>
      <c r="AV144" s="52"/>
      <c r="AW144" s="58"/>
      <c r="AX144" s="33">
        <f t="shared" ref="AX144:AX149" si="64">SUM(E144:AW144)</f>
        <v>0</v>
      </c>
      <c r="AY144" s="31">
        <f t="shared" ref="AY144:AY149" si="65">IFERROR(AVERAGEIF(E144:AW144,"&lt;&gt;0",(E144:AW144)),)</f>
        <v>0</v>
      </c>
      <c r="AZ144" s="30">
        <f t="shared" ref="AZ144:AZ149" si="66">IFERROR(AY144/D144,0)</f>
        <v>0</v>
      </c>
      <c r="BA144" s="94">
        <f>AX150</f>
        <v>0</v>
      </c>
      <c r="BB144" s="95">
        <f>(D150*8)</f>
        <v>4000</v>
      </c>
      <c r="BC144" s="96">
        <f>C5-BA144</f>
        <v>42311</v>
      </c>
      <c r="BD144" s="96">
        <f>BA126-BA144</f>
        <v>0</v>
      </c>
      <c r="BE144" s="97">
        <f>IFERROR(BC144/E150,0)</f>
        <v>0</v>
      </c>
      <c r="BF144" s="98">
        <f>IFERROR(BE144/9,0)</f>
        <v>0</v>
      </c>
      <c r="BG144" s="97">
        <f>IFERROR(BC144/AY150,0)</f>
        <v>0</v>
      </c>
      <c r="BH144" s="97">
        <f>IFERROR(BG144/9,0)</f>
        <v>0</v>
      </c>
    </row>
    <row r="145" spans="1:60" s="17" customFormat="1" ht="19.5" customHeight="1" x14ac:dyDescent="0.35">
      <c r="A145" s="41">
        <f t="shared" si="62"/>
        <v>45439</v>
      </c>
      <c r="B145" s="37" t="str">
        <f t="shared" si="62"/>
        <v>Çevirme</v>
      </c>
      <c r="C145" s="65"/>
      <c r="D145" s="67">
        <f t="shared" si="63"/>
        <v>35</v>
      </c>
      <c r="E145" s="57"/>
      <c r="F145" s="52"/>
      <c r="G145" s="52"/>
      <c r="H145" s="58"/>
      <c r="I145" s="57"/>
      <c r="J145" s="52"/>
      <c r="K145" s="52"/>
      <c r="L145" s="58"/>
      <c r="M145" s="57"/>
      <c r="N145" s="52"/>
      <c r="O145" s="52"/>
      <c r="P145" s="58"/>
      <c r="Q145" s="57"/>
      <c r="R145" s="52"/>
      <c r="S145" s="52"/>
      <c r="T145" s="52"/>
      <c r="U145" s="58"/>
      <c r="V145" s="57"/>
      <c r="W145" s="52"/>
      <c r="X145" s="52"/>
      <c r="Y145" s="58"/>
      <c r="Z145" s="57"/>
      <c r="AA145" s="52"/>
      <c r="AB145" s="52"/>
      <c r="AC145" s="58"/>
      <c r="AD145" s="57"/>
      <c r="AE145" s="52"/>
      <c r="AF145" s="52"/>
      <c r="AG145" s="58"/>
      <c r="AH145" s="57"/>
      <c r="AI145" s="52"/>
      <c r="AJ145" s="52"/>
      <c r="AK145" s="58"/>
      <c r="AL145" s="57"/>
      <c r="AM145" s="52"/>
      <c r="AN145" s="52"/>
      <c r="AO145" s="58"/>
      <c r="AP145" s="57"/>
      <c r="AQ145" s="52"/>
      <c r="AR145" s="52"/>
      <c r="AS145" s="58"/>
      <c r="AT145" s="57"/>
      <c r="AU145" s="52"/>
      <c r="AV145" s="52"/>
      <c r="AW145" s="58"/>
      <c r="AX145" s="33">
        <f t="shared" si="64"/>
        <v>0</v>
      </c>
      <c r="AY145" s="31">
        <f t="shared" si="65"/>
        <v>0</v>
      </c>
      <c r="AZ145" s="30">
        <f t="shared" si="66"/>
        <v>0</v>
      </c>
      <c r="BA145" s="34"/>
      <c r="BB145" s="34"/>
      <c r="BC145" s="34"/>
      <c r="BD145" s="76"/>
      <c r="BE145" s="34"/>
      <c r="BF145" s="34"/>
      <c r="BG145" s="34"/>
      <c r="BH145" s="34"/>
    </row>
    <row r="146" spans="1:60" s="17" customFormat="1" ht="19.5" customHeight="1" x14ac:dyDescent="0.35">
      <c r="A146" s="41">
        <f t="shared" si="62"/>
        <v>45439</v>
      </c>
      <c r="B146" s="37" t="str">
        <f t="shared" si="62"/>
        <v>Çevirme</v>
      </c>
      <c r="C146" s="65"/>
      <c r="D146" s="67">
        <f t="shared" si="63"/>
        <v>35</v>
      </c>
      <c r="E146" s="57"/>
      <c r="F146" s="52"/>
      <c r="G146" s="52"/>
      <c r="H146" s="58"/>
      <c r="I146" s="57"/>
      <c r="J146" s="52"/>
      <c r="K146" s="52"/>
      <c r="L146" s="58"/>
      <c r="M146" s="57"/>
      <c r="N146" s="52"/>
      <c r="O146" s="52"/>
      <c r="P146" s="58"/>
      <c r="Q146" s="57"/>
      <c r="R146" s="52"/>
      <c r="S146" s="52"/>
      <c r="T146" s="52"/>
      <c r="U146" s="58"/>
      <c r="V146" s="57"/>
      <c r="W146" s="52"/>
      <c r="X146" s="52"/>
      <c r="Y146" s="58"/>
      <c r="Z146" s="57"/>
      <c r="AA146" s="52"/>
      <c r="AB146" s="52"/>
      <c r="AC146" s="58"/>
      <c r="AD146" s="57"/>
      <c r="AE146" s="52"/>
      <c r="AF146" s="52"/>
      <c r="AG146" s="58"/>
      <c r="AH146" s="57"/>
      <c r="AI146" s="52"/>
      <c r="AJ146" s="52"/>
      <c r="AK146" s="58"/>
      <c r="AL146" s="57"/>
      <c r="AM146" s="52"/>
      <c r="AN146" s="52"/>
      <c r="AO146" s="58"/>
      <c r="AP146" s="57"/>
      <c r="AQ146" s="52"/>
      <c r="AR146" s="52"/>
      <c r="AS146" s="58"/>
      <c r="AT146" s="57"/>
      <c r="AU146" s="52"/>
      <c r="AV146" s="52"/>
      <c r="AW146" s="58"/>
      <c r="AX146" s="33">
        <f t="shared" si="64"/>
        <v>0</v>
      </c>
      <c r="AY146" s="31">
        <f t="shared" si="65"/>
        <v>0</v>
      </c>
      <c r="AZ146" s="30">
        <f t="shared" si="66"/>
        <v>0</v>
      </c>
      <c r="BA146" s="34"/>
      <c r="BB146" s="34"/>
      <c r="BC146" s="34"/>
      <c r="BD146" s="76"/>
      <c r="BE146" s="34"/>
      <c r="BF146" s="34"/>
      <c r="BG146" s="34"/>
      <c r="BH146" s="34"/>
    </row>
    <row r="147" spans="1:60" s="17" customFormat="1" ht="19.5" customHeight="1" x14ac:dyDescent="0.35">
      <c r="A147" s="41">
        <f>A144</f>
        <v>45439</v>
      </c>
      <c r="B147" s="37" t="str">
        <f t="shared" si="62"/>
        <v>Çevirme</v>
      </c>
      <c r="C147" s="65"/>
      <c r="D147" s="67">
        <f t="shared" si="63"/>
        <v>35</v>
      </c>
      <c r="E147" s="57"/>
      <c r="F147" s="52"/>
      <c r="G147" s="52"/>
      <c r="H147" s="58"/>
      <c r="I147" s="57"/>
      <c r="J147" s="52"/>
      <c r="K147" s="52"/>
      <c r="L147" s="58"/>
      <c r="M147" s="57"/>
      <c r="N147" s="52"/>
      <c r="O147" s="52"/>
      <c r="P147" s="58"/>
      <c r="Q147" s="57"/>
      <c r="R147" s="52"/>
      <c r="S147" s="52"/>
      <c r="T147" s="52"/>
      <c r="U147" s="58"/>
      <c r="V147" s="57"/>
      <c r="W147" s="52"/>
      <c r="X147" s="52"/>
      <c r="Y147" s="58"/>
      <c r="Z147" s="57"/>
      <c r="AA147" s="52"/>
      <c r="AB147" s="52"/>
      <c r="AC147" s="58"/>
      <c r="AD147" s="57"/>
      <c r="AE147" s="52"/>
      <c r="AF147" s="52"/>
      <c r="AG147" s="58"/>
      <c r="AH147" s="57"/>
      <c r="AI147" s="52"/>
      <c r="AJ147" s="52"/>
      <c r="AK147" s="58"/>
      <c r="AL147" s="57"/>
      <c r="AM147" s="52"/>
      <c r="AN147" s="52"/>
      <c r="AO147" s="58"/>
      <c r="AP147" s="57"/>
      <c r="AQ147" s="52"/>
      <c r="AR147" s="52"/>
      <c r="AS147" s="58"/>
      <c r="AT147" s="57"/>
      <c r="AU147" s="52"/>
      <c r="AV147" s="52"/>
      <c r="AW147" s="58"/>
      <c r="AX147" s="33">
        <f t="shared" si="64"/>
        <v>0</v>
      </c>
      <c r="AY147" s="31">
        <f t="shared" si="65"/>
        <v>0</v>
      </c>
      <c r="AZ147" s="30">
        <f t="shared" si="66"/>
        <v>0</v>
      </c>
      <c r="BA147" s="34"/>
      <c r="BB147" s="34"/>
      <c r="BC147" s="34"/>
      <c r="BD147" s="76"/>
      <c r="BE147" s="34"/>
      <c r="BF147" s="34"/>
      <c r="BG147" s="34"/>
      <c r="BH147" s="34"/>
    </row>
    <row r="148" spans="1:60" s="17" customFormat="1" ht="19.5" customHeight="1" x14ac:dyDescent="0.35">
      <c r="A148" s="41">
        <f t="shared" ref="A148:B159" si="67">A147</f>
        <v>45439</v>
      </c>
      <c r="B148" s="37" t="str">
        <f t="shared" si="62"/>
        <v>Çevirme</v>
      </c>
      <c r="C148" s="65"/>
      <c r="D148" s="67">
        <f t="shared" si="63"/>
        <v>35</v>
      </c>
      <c r="E148" s="57"/>
      <c r="F148" s="52"/>
      <c r="G148" s="52"/>
      <c r="H148" s="58"/>
      <c r="I148" s="57"/>
      <c r="J148" s="52"/>
      <c r="K148" s="52"/>
      <c r="L148" s="58"/>
      <c r="M148" s="57"/>
      <c r="N148" s="52"/>
      <c r="O148" s="52"/>
      <c r="P148" s="58"/>
      <c r="Q148" s="57"/>
      <c r="R148" s="52"/>
      <c r="S148" s="52"/>
      <c r="T148" s="52"/>
      <c r="U148" s="58"/>
      <c r="V148" s="57"/>
      <c r="W148" s="52"/>
      <c r="X148" s="52"/>
      <c r="Y148" s="58"/>
      <c r="Z148" s="57"/>
      <c r="AA148" s="52"/>
      <c r="AB148" s="52"/>
      <c r="AC148" s="58"/>
      <c r="AD148" s="57"/>
      <c r="AE148" s="52"/>
      <c r="AF148" s="52"/>
      <c r="AG148" s="58"/>
      <c r="AH148" s="57"/>
      <c r="AI148" s="52"/>
      <c r="AJ148" s="52"/>
      <c r="AK148" s="58"/>
      <c r="AL148" s="57"/>
      <c r="AM148" s="52"/>
      <c r="AN148" s="52"/>
      <c r="AO148" s="58"/>
      <c r="AP148" s="57"/>
      <c r="AQ148" s="52"/>
      <c r="AR148" s="52"/>
      <c r="AS148" s="58"/>
      <c r="AT148" s="57"/>
      <c r="AU148" s="52"/>
      <c r="AV148" s="52"/>
      <c r="AW148" s="58"/>
      <c r="AX148" s="33">
        <f t="shared" si="64"/>
        <v>0</v>
      </c>
      <c r="AY148" s="31">
        <f t="shared" si="65"/>
        <v>0</v>
      </c>
      <c r="AZ148" s="30">
        <f t="shared" si="66"/>
        <v>0</v>
      </c>
      <c r="BA148" s="34"/>
      <c r="BB148" s="34"/>
      <c r="BC148" s="34"/>
      <c r="BD148" s="76"/>
      <c r="BE148" s="34"/>
      <c r="BF148" s="34"/>
      <c r="BG148" s="34"/>
      <c r="BH148" s="34"/>
    </row>
    <row r="149" spans="1:60" s="17" customFormat="1" ht="19.5" customHeight="1" thickBot="1" x14ac:dyDescent="0.4">
      <c r="A149" s="41">
        <f t="shared" si="67"/>
        <v>45439</v>
      </c>
      <c r="B149" s="37" t="str">
        <f t="shared" si="62"/>
        <v>Çevirme</v>
      </c>
      <c r="C149" s="66"/>
      <c r="D149" s="67">
        <f t="shared" si="63"/>
        <v>35</v>
      </c>
      <c r="E149" s="59"/>
      <c r="F149" s="60"/>
      <c r="G149" s="61"/>
      <c r="H149" s="62"/>
      <c r="I149" s="59"/>
      <c r="J149" s="60"/>
      <c r="K149" s="61"/>
      <c r="L149" s="62"/>
      <c r="M149" s="59"/>
      <c r="N149" s="60"/>
      <c r="O149" s="61"/>
      <c r="P149" s="62"/>
      <c r="Q149" s="64"/>
      <c r="R149" s="61"/>
      <c r="S149" s="61"/>
      <c r="T149" s="61"/>
      <c r="U149" s="62"/>
      <c r="V149" s="59"/>
      <c r="W149" s="60"/>
      <c r="X149" s="61"/>
      <c r="Y149" s="62"/>
      <c r="Z149" s="59"/>
      <c r="AA149" s="60"/>
      <c r="AB149" s="61"/>
      <c r="AC149" s="62"/>
      <c r="AD149" s="59"/>
      <c r="AE149" s="60"/>
      <c r="AF149" s="61"/>
      <c r="AG149" s="62"/>
      <c r="AH149" s="59"/>
      <c r="AI149" s="60"/>
      <c r="AJ149" s="61"/>
      <c r="AK149" s="62"/>
      <c r="AL149" s="59"/>
      <c r="AM149" s="60"/>
      <c r="AN149" s="61"/>
      <c r="AO149" s="62"/>
      <c r="AP149" s="59"/>
      <c r="AQ149" s="60"/>
      <c r="AR149" s="61"/>
      <c r="AS149" s="62"/>
      <c r="AT149" s="59"/>
      <c r="AU149" s="60"/>
      <c r="AV149" s="61"/>
      <c r="AW149" s="62"/>
      <c r="AX149" s="33">
        <f t="shared" si="64"/>
        <v>0</v>
      </c>
      <c r="AY149" s="31">
        <f t="shared" si="65"/>
        <v>0</v>
      </c>
      <c r="AZ149" s="30">
        <f t="shared" si="66"/>
        <v>0</v>
      </c>
      <c r="BA149" s="34"/>
      <c r="BB149" s="34"/>
      <c r="BC149" s="34"/>
      <c r="BD149" s="76"/>
      <c r="BE149" s="34"/>
      <c r="BF149" s="34"/>
      <c r="BG149" s="34"/>
      <c r="BH149" s="34"/>
    </row>
    <row r="150" spans="1:60" s="17" customFormat="1" ht="19.5" customHeight="1" thickBot="1" x14ac:dyDescent="0.45">
      <c r="A150" s="41">
        <f t="shared" si="67"/>
        <v>45439</v>
      </c>
      <c r="B150" s="139" t="str">
        <f>B143</f>
        <v>Çevirme</v>
      </c>
      <c r="C150" s="140"/>
      <c r="D150" s="40">
        <f>C6/8</f>
        <v>500</v>
      </c>
      <c r="E150" s="147">
        <f>SUM(E143:H149)</f>
        <v>0</v>
      </c>
      <c r="F150" s="148"/>
      <c r="G150" s="148"/>
      <c r="H150" s="149"/>
      <c r="I150" s="147">
        <f>SUM(I143:L149)</f>
        <v>0</v>
      </c>
      <c r="J150" s="148"/>
      <c r="K150" s="148"/>
      <c r="L150" s="149"/>
      <c r="M150" s="147">
        <f>SUM(M143:P149)</f>
        <v>0</v>
      </c>
      <c r="N150" s="148"/>
      <c r="O150" s="148"/>
      <c r="P150" s="149"/>
      <c r="Q150" s="147">
        <f>SUM(Q143:U149)</f>
        <v>0</v>
      </c>
      <c r="R150" s="148"/>
      <c r="S150" s="148"/>
      <c r="T150" s="148"/>
      <c r="U150" s="149"/>
      <c r="V150" s="147">
        <f>SUM(V143:Y149)</f>
        <v>0</v>
      </c>
      <c r="W150" s="148"/>
      <c r="X150" s="148"/>
      <c r="Y150" s="149"/>
      <c r="Z150" s="147">
        <f>SUM(Z143:AC149)</f>
        <v>0</v>
      </c>
      <c r="AA150" s="148"/>
      <c r="AB150" s="148"/>
      <c r="AC150" s="149"/>
      <c r="AD150" s="147">
        <f>SUM(AD143:AG149)</f>
        <v>0</v>
      </c>
      <c r="AE150" s="148"/>
      <c r="AF150" s="148"/>
      <c r="AG150" s="149"/>
      <c r="AH150" s="147">
        <f>SUM(AH143:AK149)</f>
        <v>0</v>
      </c>
      <c r="AI150" s="148"/>
      <c r="AJ150" s="148"/>
      <c r="AK150" s="149"/>
      <c r="AL150" s="147">
        <f>SUM(AL143:AO149)</f>
        <v>0</v>
      </c>
      <c r="AM150" s="148"/>
      <c r="AN150" s="148"/>
      <c r="AO150" s="149"/>
      <c r="AP150" s="147">
        <f>SUM(AP143:AS149)</f>
        <v>0</v>
      </c>
      <c r="AQ150" s="148"/>
      <c r="AR150" s="148"/>
      <c r="AS150" s="149"/>
      <c r="AT150" s="147">
        <f>SUM(AT143:AW149)</f>
        <v>0</v>
      </c>
      <c r="AU150" s="148"/>
      <c r="AV150" s="148"/>
      <c r="AW150" s="149"/>
      <c r="AX150" s="87">
        <f>SUM(AX143:AX149)</f>
        <v>0</v>
      </c>
      <c r="AY150" s="88">
        <f>IFERROR(AVERAGEIF(E150:AV150,"&lt;&gt;0",(E150:AV150)),)</f>
        <v>0</v>
      </c>
      <c r="AZ150" s="46">
        <f>IFERROR(AX150/BB144,0)</f>
        <v>0</v>
      </c>
      <c r="BA150" s="34"/>
      <c r="BB150" s="34"/>
      <c r="BC150" s="34"/>
      <c r="BD150" s="76"/>
      <c r="BE150" s="34"/>
      <c r="BF150" s="34"/>
      <c r="BG150" s="34"/>
      <c r="BH150" s="34"/>
    </row>
    <row r="151" spans="1:60" s="17" customFormat="1" ht="19.5" customHeight="1" thickBot="1" x14ac:dyDescent="0.4">
      <c r="A151" s="42">
        <f t="shared" si="67"/>
        <v>45439</v>
      </c>
      <c r="B151" s="38" t="str">
        <f>B152</f>
        <v>ÇEVİRME BEDEN</v>
      </c>
      <c r="C151" s="39" t="s">
        <v>180</v>
      </c>
      <c r="D151" s="69" t="s">
        <v>181</v>
      </c>
      <c r="E151" s="48">
        <v>0.34375</v>
      </c>
      <c r="F151" s="49">
        <v>0.35416666666666669</v>
      </c>
      <c r="G151" s="49">
        <v>0.36458333333333331</v>
      </c>
      <c r="H151" s="50">
        <v>0.375</v>
      </c>
      <c r="I151" s="48">
        <v>0.38541666666666702</v>
      </c>
      <c r="J151" s="49">
        <v>0.39583333333333298</v>
      </c>
      <c r="K151" s="49">
        <v>0.40625</v>
      </c>
      <c r="L151" s="50">
        <v>0.41666666666666702</v>
      </c>
      <c r="M151" s="48">
        <v>0.4375</v>
      </c>
      <c r="N151" s="49">
        <v>0.44791666666666702</v>
      </c>
      <c r="O151" s="49">
        <v>0.45833333333333398</v>
      </c>
      <c r="P151" s="50">
        <v>0.46875</v>
      </c>
      <c r="Q151" s="48">
        <v>0.47916666666666702</v>
      </c>
      <c r="R151" s="49">
        <v>0.48958333333333398</v>
      </c>
      <c r="S151" s="49">
        <v>0.5</v>
      </c>
      <c r="T151" s="50">
        <v>0.51041666666666696</v>
      </c>
      <c r="U151" s="51">
        <v>0.52083333333333204</v>
      </c>
      <c r="V151" s="48">
        <v>0.5625</v>
      </c>
      <c r="W151" s="49">
        <v>0.57291666666666663</v>
      </c>
      <c r="X151" s="49">
        <v>0.58333333333333304</v>
      </c>
      <c r="Y151" s="50">
        <v>0.59375</v>
      </c>
      <c r="Z151" s="48">
        <v>0.60416666666666696</v>
      </c>
      <c r="AA151" s="49">
        <v>0.61458333333333304</v>
      </c>
      <c r="AB151" s="49">
        <v>0.625</v>
      </c>
      <c r="AC151" s="50">
        <v>0.63541666666666596</v>
      </c>
      <c r="AD151" s="48">
        <v>0.65625</v>
      </c>
      <c r="AE151" s="49">
        <v>0.66666666666666663</v>
      </c>
      <c r="AF151" s="49">
        <v>0.67708333333333304</v>
      </c>
      <c r="AG151" s="50">
        <v>0.6875</v>
      </c>
      <c r="AH151" s="48">
        <v>0.69791666666666696</v>
      </c>
      <c r="AI151" s="49">
        <v>0.70833333333333304</v>
      </c>
      <c r="AJ151" s="49">
        <v>0.71875</v>
      </c>
      <c r="AK151" s="50">
        <v>0.72916666666666696</v>
      </c>
      <c r="AL151" s="48">
        <v>0.73958333333333404</v>
      </c>
      <c r="AM151" s="49">
        <v>0.750000000000001</v>
      </c>
      <c r="AN151" s="49">
        <v>0.76041666666666796</v>
      </c>
      <c r="AO151" s="50">
        <v>0.77083333333333504</v>
      </c>
      <c r="AP151" s="48">
        <v>0.781250000000002</v>
      </c>
      <c r="AQ151" s="49">
        <v>0.79166666666666896</v>
      </c>
      <c r="AR151" s="49">
        <v>0.80208333333333603</v>
      </c>
      <c r="AS151" s="50">
        <v>0.812500000000003</v>
      </c>
      <c r="AT151" s="48">
        <v>0.82291666666666996</v>
      </c>
      <c r="AU151" s="49">
        <v>0.83333333333333703</v>
      </c>
      <c r="AV151" s="49">
        <v>0.843750000000004</v>
      </c>
      <c r="AW151" s="50">
        <v>0.85416666666666663</v>
      </c>
      <c r="AX151" s="68" t="s">
        <v>260</v>
      </c>
      <c r="AY151" s="28" t="s">
        <v>261</v>
      </c>
      <c r="AZ151" s="29" t="s">
        <v>262</v>
      </c>
      <c r="BA151" s="136" t="str">
        <f>B152</f>
        <v>ÇEVİRME BEDEN</v>
      </c>
      <c r="BB151" s="137"/>
      <c r="BC151" s="137"/>
      <c r="BD151" s="137"/>
      <c r="BE151" s="137"/>
      <c r="BF151" s="137"/>
      <c r="BG151" s="137"/>
      <c r="BH151" s="138"/>
    </row>
    <row r="152" spans="1:60" s="17" customFormat="1" ht="19.5" customHeight="1" thickBot="1" x14ac:dyDescent="0.4">
      <c r="A152" s="41">
        <f t="shared" si="67"/>
        <v>45439</v>
      </c>
      <c r="B152" s="37" t="s">
        <v>162</v>
      </c>
      <c r="C152" s="65" t="s">
        <v>109</v>
      </c>
      <c r="D152" s="71">
        <v>35</v>
      </c>
      <c r="E152" s="53"/>
      <c r="F152" s="54"/>
      <c r="G152" s="55"/>
      <c r="H152" s="56"/>
      <c r="I152" s="53"/>
      <c r="J152" s="54"/>
      <c r="K152" s="55"/>
      <c r="L152" s="56"/>
      <c r="M152" s="53"/>
      <c r="N152" s="54"/>
      <c r="O152" s="55"/>
      <c r="P152" s="56"/>
      <c r="Q152" s="63"/>
      <c r="R152" s="55"/>
      <c r="S152" s="55"/>
      <c r="T152" s="55"/>
      <c r="U152" s="56"/>
      <c r="V152" s="53"/>
      <c r="W152" s="54"/>
      <c r="X152" s="55"/>
      <c r="Y152" s="56"/>
      <c r="Z152" s="53"/>
      <c r="AA152" s="54"/>
      <c r="AB152" s="55"/>
      <c r="AC152" s="56"/>
      <c r="AD152" s="53"/>
      <c r="AE152" s="54"/>
      <c r="AF152" s="55"/>
      <c r="AG152" s="56"/>
      <c r="AH152" s="53"/>
      <c r="AI152" s="54"/>
      <c r="AJ152" s="55"/>
      <c r="AK152" s="56"/>
      <c r="AL152" s="53"/>
      <c r="AM152" s="54"/>
      <c r="AN152" s="55"/>
      <c r="AO152" s="56"/>
      <c r="AP152" s="53"/>
      <c r="AQ152" s="54"/>
      <c r="AR152" s="55"/>
      <c r="AS152" s="56"/>
      <c r="AT152" s="53"/>
      <c r="AU152" s="54"/>
      <c r="AV152" s="55"/>
      <c r="AW152" s="56"/>
      <c r="AX152" s="33">
        <f>SUM(E152:AW152)</f>
        <v>0</v>
      </c>
      <c r="AY152" s="31">
        <f>IFERROR(AVERAGEIF(E152:AW152,"&lt;&gt;0",(E152:AW152)),)</f>
        <v>0</v>
      </c>
      <c r="AZ152" s="30">
        <f>IFERROR(AY152/D152,0)</f>
        <v>0</v>
      </c>
      <c r="BA152" s="93"/>
      <c r="BB152" s="93" t="str">
        <f t="shared" ref="BB152:BG152" si="68">BA6</f>
        <v>XS</v>
      </c>
      <c r="BC152" s="93" t="str">
        <f t="shared" si="68"/>
        <v>S</v>
      </c>
      <c r="BD152" s="93" t="str">
        <f t="shared" si="68"/>
        <v>M</v>
      </c>
      <c r="BE152" s="93" t="str">
        <f t="shared" si="68"/>
        <v>L</v>
      </c>
      <c r="BF152" s="93" t="str">
        <f t="shared" si="68"/>
        <v>XL</v>
      </c>
      <c r="BG152" s="93" t="str">
        <f t="shared" si="68"/>
        <v>XXL</v>
      </c>
      <c r="BH152" s="93"/>
    </row>
    <row r="153" spans="1:60" s="17" customFormat="1" ht="19.5" customHeight="1" thickBot="1" x14ac:dyDescent="0.4">
      <c r="A153" s="41">
        <f t="shared" si="67"/>
        <v>45439</v>
      </c>
      <c r="B153" s="37" t="str">
        <f t="shared" si="67"/>
        <v>ÇEVİRME BEDEN</v>
      </c>
      <c r="C153" s="65" t="s">
        <v>111</v>
      </c>
      <c r="D153" s="67">
        <f t="shared" ref="D153:D158" si="69">D152</f>
        <v>35</v>
      </c>
      <c r="E153" s="57"/>
      <c r="F153" s="52"/>
      <c r="G153" s="52"/>
      <c r="H153" s="58"/>
      <c r="I153" s="57"/>
      <c r="J153" s="52"/>
      <c r="K153" s="52"/>
      <c r="L153" s="58"/>
      <c r="M153" s="57"/>
      <c r="N153" s="52"/>
      <c r="O153" s="52"/>
      <c r="P153" s="58"/>
      <c r="Q153" s="57"/>
      <c r="R153" s="52"/>
      <c r="S153" s="52"/>
      <c r="T153" s="52"/>
      <c r="U153" s="58"/>
      <c r="V153" s="57"/>
      <c r="W153" s="52"/>
      <c r="X153" s="52"/>
      <c r="Y153" s="58"/>
      <c r="Z153" s="57"/>
      <c r="AA153" s="52"/>
      <c r="AB153" s="52"/>
      <c r="AC153" s="58"/>
      <c r="AD153" s="57"/>
      <c r="AE153" s="52"/>
      <c r="AF153" s="52"/>
      <c r="AG153" s="58"/>
      <c r="AH153" s="57"/>
      <c r="AI153" s="52"/>
      <c r="AJ153" s="52"/>
      <c r="AK153" s="58"/>
      <c r="AL153" s="57"/>
      <c r="AM153" s="52"/>
      <c r="AN153" s="52"/>
      <c r="AO153" s="58"/>
      <c r="AP153" s="57"/>
      <c r="AQ153" s="52"/>
      <c r="AR153" s="52"/>
      <c r="AS153" s="58"/>
      <c r="AT153" s="57"/>
      <c r="AU153" s="52"/>
      <c r="AV153" s="52"/>
      <c r="AW153" s="58"/>
      <c r="AX153" s="33">
        <f t="shared" ref="AX153:AX158" si="70">SUM(E153:AW153)</f>
        <v>0</v>
      </c>
      <c r="AY153" s="31">
        <f t="shared" ref="AY153:AY158" si="71">IFERROR(AVERAGEIF(E153:AW153,"&lt;&gt;0",(E153:AW153)),)</f>
        <v>0</v>
      </c>
      <c r="AZ153" s="30">
        <f t="shared" ref="AZ153:AZ158" si="72">IFERROR(AY153/D153,0)</f>
        <v>0</v>
      </c>
      <c r="BA153" s="94" t="s">
        <v>194</v>
      </c>
      <c r="BB153" s="96">
        <f t="shared" ref="BB153:BG153" si="73">BB45</f>
        <v>0</v>
      </c>
      <c r="BC153" s="96">
        <f t="shared" si="73"/>
        <v>0</v>
      </c>
      <c r="BD153" s="96">
        <f t="shared" si="73"/>
        <v>0</v>
      </c>
      <c r="BE153" s="96">
        <f t="shared" si="73"/>
        <v>0</v>
      </c>
      <c r="BF153" s="96">
        <f t="shared" si="73"/>
        <v>0</v>
      </c>
      <c r="BG153" s="96">
        <f t="shared" si="73"/>
        <v>0</v>
      </c>
      <c r="BH153" s="99">
        <f>SUM(BB153:BG153)</f>
        <v>0</v>
      </c>
    </row>
    <row r="154" spans="1:60" s="17" customFormat="1" ht="19.5" customHeight="1" thickBot="1" x14ac:dyDescent="0.4">
      <c r="A154" s="41">
        <f t="shared" si="67"/>
        <v>45439</v>
      </c>
      <c r="B154" s="37" t="str">
        <f t="shared" si="67"/>
        <v>ÇEVİRME BEDEN</v>
      </c>
      <c r="C154" s="65" t="s">
        <v>115</v>
      </c>
      <c r="D154" s="67">
        <f t="shared" si="69"/>
        <v>35</v>
      </c>
      <c r="E154" s="57"/>
      <c r="F154" s="52"/>
      <c r="G154" s="52"/>
      <c r="H154" s="58"/>
      <c r="I154" s="57"/>
      <c r="J154" s="52"/>
      <c r="K154" s="52"/>
      <c r="L154" s="58"/>
      <c r="M154" s="57"/>
      <c r="N154" s="52"/>
      <c r="O154" s="52"/>
      <c r="P154" s="58"/>
      <c r="Q154" s="57"/>
      <c r="R154" s="52"/>
      <c r="S154" s="52"/>
      <c r="T154" s="52"/>
      <c r="U154" s="58"/>
      <c r="V154" s="57"/>
      <c r="W154" s="52"/>
      <c r="X154" s="52"/>
      <c r="Y154" s="58"/>
      <c r="Z154" s="57"/>
      <c r="AA154" s="52"/>
      <c r="AB154" s="52"/>
      <c r="AC154" s="58"/>
      <c r="AD154" s="57"/>
      <c r="AE154" s="52"/>
      <c r="AF154" s="52"/>
      <c r="AG154" s="58"/>
      <c r="AH154" s="57"/>
      <c r="AI154" s="52"/>
      <c r="AJ154" s="52"/>
      <c r="AK154" s="58"/>
      <c r="AL154" s="57"/>
      <c r="AM154" s="52"/>
      <c r="AN154" s="52"/>
      <c r="AO154" s="58"/>
      <c r="AP154" s="57"/>
      <c r="AQ154" s="52"/>
      <c r="AR154" s="52"/>
      <c r="AS154" s="58"/>
      <c r="AT154" s="57"/>
      <c r="AU154" s="52"/>
      <c r="AV154" s="52"/>
      <c r="AW154" s="58"/>
      <c r="AX154" s="33">
        <f t="shared" si="70"/>
        <v>0</v>
      </c>
      <c r="AY154" s="31">
        <f t="shared" si="71"/>
        <v>0</v>
      </c>
      <c r="AZ154" s="30">
        <f t="shared" si="72"/>
        <v>0</v>
      </c>
      <c r="BA154" s="94" t="s">
        <v>195</v>
      </c>
      <c r="BB154" s="96">
        <f>SUMIF(C152:C158,BB152,AX152:AX158)</f>
        <v>0</v>
      </c>
      <c r="BC154" s="96">
        <f>SUMIF(C152:C158,BC152,AX152:AX158)</f>
        <v>0</v>
      </c>
      <c r="BD154" s="96">
        <f>SUMIF(C152:C158,BD152,AX152:AX158)</f>
        <v>0</v>
      </c>
      <c r="BE154" s="96">
        <f>SUMIF(C152:C158,BE152,AX152:AX158)</f>
        <v>0</v>
      </c>
      <c r="BF154" s="96">
        <f>SUMIF(C152:C158,BF152,AX152:AX158)</f>
        <v>0</v>
      </c>
      <c r="BG154" s="96">
        <f>SUMIF(C152:C158,BG152,AX152:AX158)</f>
        <v>0</v>
      </c>
      <c r="BH154" s="99">
        <f>SUM(BB154:BG154)</f>
        <v>0</v>
      </c>
    </row>
    <row r="155" spans="1:60" s="17" customFormat="1" ht="19.5" customHeight="1" thickBot="1" x14ac:dyDescent="0.4">
      <c r="A155" s="41">
        <f t="shared" si="67"/>
        <v>45439</v>
      </c>
      <c r="B155" s="37" t="str">
        <f t="shared" si="67"/>
        <v>ÇEVİRME BEDEN</v>
      </c>
      <c r="C155" s="65" t="s">
        <v>117</v>
      </c>
      <c r="D155" s="67">
        <f t="shared" si="69"/>
        <v>35</v>
      </c>
      <c r="E155" s="57"/>
      <c r="F155" s="52"/>
      <c r="G155" s="52"/>
      <c r="H155" s="58"/>
      <c r="I155" s="57"/>
      <c r="J155" s="52"/>
      <c r="K155" s="52"/>
      <c r="L155" s="58"/>
      <c r="M155" s="57"/>
      <c r="N155" s="52"/>
      <c r="O155" s="52"/>
      <c r="P155" s="58"/>
      <c r="Q155" s="57"/>
      <c r="R155" s="52"/>
      <c r="S155" s="52"/>
      <c r="T155" s="52"/>
      <c r="U155" s="58"/>
      <c r="V155" s="57"/>
      <c r="W155" s="52"/>
      <c r="X155" s="52"/>
      <c r="Y155" s="58"/>
      <c r="Z155" s="57"/>
      <c r="AA155" s="52"/>
      <c r="AB155" s="52"/>
      <c r="AC155" s="58"/>
      <c r="AD155" s="57"/>
      <c r="AE155" s="52"/>
      <c r="AF155" s="52"/>
      <c r="AG155" s="58"/>
      <c r="AH155" s="57"/>
      <c r="AI155" s="52"/>
      <c r="AJ155" s="52"/>
      <c r="AK155" s="58"/>
      <c r="AL155" s="57"/>
      <c r="AM155" s="52"/>
      <c r="AN155" s="52"/>
      <c r="AO155" s="58"/>
      <c r="AP155" s="57"/>
      <c r="AQ155" s="52"/>
      <c r="AR155" s="52"/>
      <c r="AS155" s="58"/>
      <c r="AT155" s="57"/>
      <c r="AU155" s="52"/>
      <c r="AV155" s="52"/>
      <c r="AW155" s="58"/>
      <c r="AX155" s="33">
        <f t="shared" si="70"/>
        <v>0</v>
      </c>
      <c r="AY155" s="31">
        <f t="shared" si="71"/>
        <v>0</v>
      </c>
      <c r="AZ155" s="30">
        <f t="shared" si="72"/>
        <v>0</v>
      </c>
      <c r="BA155" s="94" t="s">
        <v>196</v>
      </c>
      <c r="BB155" s="96">
        <f t="shared" ref="BB155:BG155" si="74">BB153-BB154</f>
        <v>0</v>
      </c>
      <c r="BC155" s="96">
        <f t="shared" si="74"/>
        <v>0</v>
      </c>
      <c r="BD155" s="96">
        <f t="shared" si="74"/>
        <v>0</v>
      </c>
      <c r="BE155" s="96">
        <f t="shared" si="74"/>
        <v>0</v>
      </c>
      <c r="BF155" s="96">
        <f t="shared" si="74"/>
        <v>0</v>
      </c>
      <c r="BG155" s="96">
        <f t="shared" si="74"/>
        <v>0</v>
      </c>
      <c r="BH155" s="99">
        <f>SUM(BB155:BG155)</f>
        <v>0</v>
      </c>
    </row>
    <row r="156" spans="1:60" s="17" customFormat="1" ht="19.5" customHeight="1" x14ac:dyDescent="0.35">
      <c r="A156" s="41">
        <f>A153</f>
        <v>45439</v>
      </c>
      <c r="B156" s="37" t="str">
        <f t="shared" si="67"/>
        <v>ÇEVİRME BEDEN</v>
      </c>
      <c r="C156" s="65" t="s">
        <v>121</v>
      </c>
      <c r="D156" s="67">
        <f t="shared" si="69"/>
        <v>35</v>
      </c>
      <c r="E156" s="57"/>
      <c r="F156" s="52"/>
      <c r="G156" s="52"/>
      <c r="H156" s="58"/>
      <c r="I156" s="57"/>
      <c r="J156" s="52"/>
      <c r="K156" s="52"/>
      <c r="L156" s="58"/>
      <c r="M156" s="57"/>
      <c r="N156" s="52"/>
      <c r="O156" s="52"/>
      <c r="P156" s="58"/>
      <c r="Q156" s="57"/>
      <c r="R156" s="52"/>
      <c r="S156" s="52"/>
      <c r="T156" s="52"/>
      <c r="U156" s="58"/>
      <c r="V156" s="57"/>
      <c r="W156" s="52"/>
      <c r="X156" s="52"/>
      <c r="Y156" s="58"/>
      <c r="Z156" s="57"/>
      <c r="AA156" s="52"/>
      <c r="AB156" s="52"/>
      <c r="AC156" s="58"/>
      <c r="AD156" s="57"/>
      <c r="AE156" s="52"/>
      <c r="AF156" s="52"/>
      <c r="AG156" s="58"/>
      <c r="AH156" s="57"/>
      <c r="AI156" s="52"/>
      <c r="AJ156" s="52"/>
      <c r="AK156" s="58"/>
      <c r="AL156" s="57"/>
      <c r="AM156" s="52"/>
      <c r="AN156" s="52"/>
      <c r="AO156" s="58"/>
      <c r="AP156" s="57"/>
      <c r="AQ156" s="52"/>
      <c r="AR156" s="52"/>
      <c r="AS156" s="58"/>
      <c r="AT156" s="57"/>
      <c r="AU156" s="52"/>
      <c r="AV156" s="52"/>
      <c r="AW156" s="58"/>
      <c r="AX156" s="33">
        <f t="shared" si="70"/>
        <v>0</v>
      </c>
      <c r="AY156" s="31">
        <f t="shared" si="71"/>
        <v>0</v>
      </c>
      <c r="AZ156" s="30">
        <f t="shared" si="72"/>
        <v>0</v>
      </c>
      <c r="BA156" s="34"/>
      <c r="BB156" s="34"/>
      <c r="BC156" s="34"/>
      <c r="BD156" s="76"/>
      <c r="BE156" s="34"/>
      <c r="BF156" s="34"/>
      <c r="BG156" s="34"/>
      <c r="BH156" s="34"/>
    </row>
    <row r="157" spans="1:60" s="17" customFormat="1" ht="19.5" customHeight="1" x14ac:dyDescent="0.35">
      <c r="A157" s="41">
        <f t="shared" si="67"/>
        <v>45439</v>
      </c>
      <c r="B157" s="37" t="str">
        <f t="shared" si="67"/>
        <v>ÇEVİRME BEDEN</v>
      </c>
      <c r="C157" s="65"/>
      <c r="D157" s="67">
        <f t="shared" si="69"/>
        <v>35</v>
      </c>
      <c r="E157" s="57"/>
      <c r="F157" s="52"/>
      <c r="G157" s="52"/>
      <c r="H157" s="58"/>
      <c r="I157" s="57"/>
      <c r="J157" s="52"/>
      <c r="K157" s="52"/>
      <c r="L157" s="58"/>
      <c r="M157" s="57"/>
      <c r="N157" s="52"/>
      <c r="O157" s="52"/>
      <c r="P157" s="58"/>
      <c r="Q157" s="57"/>
      <c r="R157" s="52"/>
      <c r="S157" s="52"/>
      <c r="T157" s="52"/>
      <c r="U157" s="58"/>
      <c r="V157" s="57"/>
      <c r="W157" s="52"/>
      <c r="X157" s="52"/>
      <c r="Y157" s="58"/>
      <c r="Z157" s="57"/>
      <c r="AA157" s="52"/>
      <c r="AB157" s="52"/>
      <c r="AC157" s="58"/>
      <c r="AD157" s="57"/>
      <c r="AE157" s="52"/>
      <c r="AF157" s="52"/>
      <c r="AG157" s="58"/>
      <c r="AH157" s="57"/>
      <c r="AI157" s="52"/>
      <c r="AJ157" s="52"/>
      <c r="AK157" s="58"/>
      <c r="AL157" s="57"/>
      <c r="AM157" s="52"/>
      <c r="AN157" s="52"/>
      <c r="AO157" s="58"/>
      <c r="AP157" s="57"/>
      <c r="AQ157" s="52"/>
      <c r="AR157" s="52"/>
      <c r="AS157" s="58"/>
      <c r="AT157" s="57"/>
      <c r="AU157" s="52"/>
      <c r="AV157" s="52"/>
      <c r="AW157" s="58"/>
      <c r="AX157" s="33">
        <f t="shared" si="70"/>
        <v>0</v>
      </c>
      <c r="AY157" s="31">
        <f t="shared" si="71"/>
        <v>0</v>
      </c>
      <c r="AZ157" s="30">
        <f t="shared" si="72"/>
        <v>0</v>
      </c>
      <c r="BA157" s="34"/>
      <c r="BB157" s="34"/>
      <c r="BC157" s="34"/>
      <c r="BD157" s="76"/>
      <c r="BE157" s="34"/>
      <c r="BF157" s="34"/>
      <c r="BG157" s="34"/>
      <c r="BH157" s="34"/>
    </row>
    <row r="158" spans="1:60" s="17" customFormat="1" ht="19.5" customHeight="1" thickBot="1" x14ac:dyDescent="0.4">
      <c r="A158" s="41">
        <f t="shared" si="67"/>
        <v>45439</v>
      </c>
      <c r="B158" s="37" t="str">
        <f t="shared" si="67"/>
        <v>ÇEVİRME BEDEN</v>
      </c>
      <c r="C158" s="66"/>
      <c r="D158" s="67">
        <f t="shared" si="69"/>
        <v>35</v>
      </c>
      <c r="E158" s="59"/>
      <c r="F158" s="60"/>
      <c r="G158" s="61"/>
      <c r="H158" s="62"/>
      <c r="I158" s="59"/>
      <c r="J158" s="60"/>
      <c r="K158" s="61"/>
      <c r="L158" s="62"/>
      <c r="M158" s="59"/>
      <c r="N158" s="60"/>
      <c r="O158" s="61"/>
      <c r="P158" s="62"/>
      <c r="Q158" s="64"/>
      <c r="R158" s="61"/>
      <c r="S158" s="61"/>
      <c r="T158" s="61"/>
      <c r="U158" s="62"/>
      <c r="V158" s="59"/>
      <c r="W158" s="60"/>
      <c r="X158" s="61"/>
      <c r="Y158" s="62"/>
      <c r="Z158" s="59"/>
      <c r="AA158" s="60"/>
      <c r="AB158" s="61"/>
      <c r="AC158" s="62"/>
      <c r="AD158" s="59"/>
      <c r="AE158" s="60"/>
      <c r="AF158" s="61"/>
      <c r="AG158" s="62"/>
      <c r="AH158" s="59"/>
      <c r="AI158" s="60"/>
      <c r="AJ158" s="61"/>
      <c r="AK158" s="62"/>
      <c r="AL158" s="59"/>
      <c r="AM158" s="60"/>
      <c r="AN158" s="61"/>
      <c r="AO158" s="62"/>
      <c r="AP158" s="59"/>
      <c r="AQ158" s="60"/>
      <c r="AR158" s="61"/>
      <c r="AS158" s="62"/>
      <c r="AT158" s="59"/>
      <c r="AU158" s="60"/>
      <c r="AV158" s="61"/>
      <c r="AW158" s="62"/>
      <c r="AX158" s="33">
        <f t="shared" si="70"/>
        <v>0</v>
      </c>
      <c r="AY158" s="31">
        <f t="shared" si="71"/>
        <v>0</v>
      </c>
      <c r="AZ158" s="30">
        <f t="shared" si="72"/>
        <v>0</v>
      </c>
      <c r="BA158" s="34"/>
      <c r="BB158" s="34"/>
      <c r="BC158" s="34"/>
      <c r="BD158" s="76"/>
      <c r="BE158" s="34"/>
      <c r="BF158" s="34"/>
      <c r="BG158" s="34"/>
      <c r="BH158" s="34"/>
    </row>
    <row r="159" spans="1:60" s="17" customFormat="1" ht="19.5" customHeight="1" thickBot="1" x14ac:dyDescent="0.45">
      <c r="A159" s="41">
        <f t="shared" si="67"/>
        <v>45439</v>
      </c>
      <c r="B159" s="139" t="str">
        <f>B152</f>
        <v>ÇEVİRME BEDEN</v>
      </c>
      <c r="C159" s="140"/>
      <c r="D159" s="40">
        <f>C6/8</f>
        <v>500</v>
      </c>
      <c r="E159" s="147">
        <f>SUM(E152:H158)</f>
        <v>0</v>
      </c>
      <c r="F159" s="148"/>
      <c r="G159" s="148"/>
      <c r="H159" s="149"/>
      <c r="I159" s="147">
        <f>SUM(I152:L158)</f>
        <v>0</v>
      </c>
      <c r="J159" s="148"/>
      <c r="K159" s="148"/>
      <c r="L159" s="149"/>
      <c r="M159" s="147">
        <f>SUM(M152:P158)</f>
        <v>0</v>
      </c>
      <c r="N159" s="148"/>
      <c r="O159" s="148"/>
      <c r="P159" s="149"/>
      <c r="Q159" s="147">
        <f>SUM(Q152:U158)</f>
        <v>0</v>
      </c>
      <c r="R159" s="148"/>
      <c r="S159" s="148"/>
      <c r="T159" s="148"/>
      <c r="U159" s="149"/>
      <c r="V159" s="147">
        <f>SUM(V152:Y158)</f>
        <v>0</v>
      </c>
      <c r="W159" s="148"/>
      <c r="X159" s="148"/>
      <c r="Y159" s="149"/>
      <c r="Z159" s="147">
        <f>SUM(Z152:AC158)</f>
        <v>0</v>
      </c>
      <c r="AA159" s="148"/>
      <c r="AB159" s="148"/>
      <c r="AC159" s="149"/>
      <c r="AD159" s="147">
        <f>SUM(AD152:AG158)</f>
        <v>0</v>
      </c>
      <c r="AE159" s="148"/>
      <c r="AF159" s="148"/>
      <c r="AG159" s="149"/>
      <c r="AH159" s="147">
        <f>SUM(AH152:AK158)</f>
        <v>0</v>
      </c>
      <c r="AI159" s="148"/>
      <c r="AJ159" s="148"/>
      <c r="AK159" s="149"/>
      <c r="AL159" s="147">
        <f>SUM(AL152:AO158)</f>
        <v>0</v>
      </c>
      <c r="AM159" s="148"/>
      <c r="AN159" s="148"/>
      <c r="AO159" s="149"/>
      <c r="AP159" s="147">
        <f>SUM(AP152:AS158)</f>
        <v>0</v>
      </c>
      <c r="AQ159" s="148"/>
      <c r="AR159" s="148"/>
      <c r="AS159" s="149"/>
      <c r="AT159" s="147">
        <f>SUM(AT152:AW158)</f>
        <v>0</v>
      </c>
      <c r="AU159" s="148"/>
      <c r="AV159" s="148"/>
      <c r="AW159" s="149"/>
      <c r="AX159" s="87">
        <f>SUM(AX152:AX158)</f>
        <v>0</v>
      </c>
      <c r="AY159" s="88">
        <f>IFERROR(AVERAGEIF(E159:AV159,"&lt;&gt;0",(E159:AV159)),)</f>
        <v>0</v>
      </c>
      <c r="AZ159" s="46">
        <f>IFERROR(AX159/BB153,0)</f>
        <v>0</v>
      </c>
      <c r="BA159" s="34"/>
      <c r="BB159" s="34"/>
      <c r="BC159" s="34"/>
      <c r="BD159" s="76"/>
      <c r="BE159" s="34"/>
      <c r="BF159" s="34"/>
      <c r="BG159" s="34"/>
      <c r="BH159" s="34"/>
    </row>
    <row r="160" spans="1:60" s="17" customFormat="1" ht="19.5" customHeight="1" thickBot="1" x14ac:dyDescent="0.4">
      <c r="A160" s="42">
        <f>A151</f>
        <v>45439</v>
      </c>
      <c r="B160" s="38" t="str">
        <f>B161</f>
        <v>Ütü</v>
      </c>
      <c r="C160" s="39" t="s">
        <v>180</v>
      </c>
      <c r="D160" s="69" t="s">
        <v>181</v>
      </c>
      <c r="E160" s="48">
        <v>0.34375</v>
      </c>
      <c r="F160" s="49">
        <v>0.35416666666666669</v>
      </c>
      <c r="G160" s="49">
        <v>0.36458333333333331</v>
      </c>
      <c r="H160" s="50">
        <v>0.375</v>
      </c>
      <c r="I160" s="48">
        <v>0.38541666666666702</v>
      </c>
      <c r="J160" s="49">
        <v>0.39583333333333298</v>
      </c>
      <c r="K160" s="49">
        <v>0.40625</v>
      </c>
      <c r="L160" s="50">
        <v>0.41666666666666702</v>
      </c>
      <c r="M160" s="48">
        <v>0.4375</v>
      </c>
      <c r="N160" s="49">
        <v>0.44791666666666702</v>
      </c>
      <c r="O160" s="49">
        <v>0.45833333333333398</v>
      </c>
      <c r="P160" s="50">
        <v>0.46875</v>
      </c>
      <c r="Q160" s="48">
        <v>0.47916666666666702</v>
      </c>
      <c r="R160" s="49">
        <v>0.48958333333333398</v>
      </c>
      <c r="S160" s="49">
        <v>0.5</v>
      </c>
      <c r="T160" s="50">
        <v>0.51041666666666696</v>
      </c>
      <c r="U160" s="51">
        <v>0.52083333333333204</v>
      </c>
      <c r="V160" s="48">
        <v>0.5625</v>
      </c>
      <c r="W160" s="49">
        <v>0.57291666666666663</v>
      </c>
      <c r="X160" s="49">
        <v>0.58333333333333304</v>
      </c>
      <c r="Y160" s="50">
        <v>0.59375</v>
      </c>
      <c r="Z160" s="48">
        <v>0.60416666666666696</v>
      </c>
      <c r="AA160" s="49">
        <v>0.61458333333333304</v>
      </c>
      <c r="AB160" s="49">
        <v>0.625</v>
      </c>
      <c r="AC160" s="50">
        <v>0.63541666666666596</v>
      </c>
      <c r="AD160" s="48">
        <v>0.65625</v>
      </c>
      <c r="AE160" s="49">
        <v>0.66666666666666663</v>
      </c>
      <c r="AF160" s="49">
        <v>0.67708333333333304</v>
      </c>
      <c r="AG160" s="50">
        <v>0.6875</v>
      </c>
      <c r="AH160" s="48">
        <v>0.69791666666666696</v>
      </c>
      <c r="AI160" s="49">
        <v>0.70833333333333304</v>
      </c>
      <c r="AJ160" s="49">
        <v>0.71875</v>
      </c>
      <c r="AK160" s="50">
        <v>0.72916666666666696</v>
      </c>
      <c r="AL160" s="48">
        <v>0.73958333333333404</v>
      </c>
      <c r="AM160" s="49">
        <v>0.750000000000001</v>
      </c>
      <c r="AN160" s="49">
        <v>0.76041666666666796</v>
      </c>
      <c r="AO160" s="50">
        <v>0.77083333333333504</v>
      </c>
      <c r="AP160" s="48">
        <v>0.781250000000002</v>
      </c>
      <c r="AQ160" s="49">
        <v>0.79166666666666896</v>
      </c>
      <c r="AR160" s="49">
        <v>0.80208333333333603</v>
      </c>
      <c r="AS160" s="50">
        <v>0.812500000000003</v>
      </c>
      <c r="AT160" s="48">
        <v>0.82291666666666996</v>
      </c>
      <c r="AU160" s="49">
        <v>0.83333333333333703</v>
      </c>
      <c r="AV160" s="49">
        <v>0.843750000000004</v>
      </c>
      <c r="AW160" s="50">
        <v>0.85416666666666663</v>
      </c>
      <c r="AX160" s="68" t="s">
        <v>260</v>
      </c>
      <c r="AY160" s="28" t="s">
        <v>261</v>
      </c>
      <c r="AZ160" s="29" t="s">
        <v>262</v>
      </c>
      <c r="BA160" s="136" t="str">
        <f>B161</f>
        <v>Ütü</v>
      </c>
      <c r="BB160" s="137"/>
      <c r="BC160" s="137"/>
      <c r="BD160" s="137"/>
      <c r="BE160" s="137"/>
      <c r="BF160" s="137"/>
      <c r="BG160" s="137"/>
      <c r="BH160" s="138"/>
    </row>
    <row r="161" spans="1:60" s="17" customFormat="1" ht="19.5" customHeight="1" thickBot="1" x14ac:dyDescent="0.4">
      <c r="A161" s="41">
        <f t="shared" ref="A161:B165" si="75">A160</f>
        <v>45439</v>
      </c>
      <c r="B161" s="37" t="s">
        <v>29</v>
      </c>
      <c r="C161" s="65"/>
      <c r="D161" s="71">
        <v>60</v>
      </c>
      <c r="E161" s="53"/>
      <c r="F161" s="54"/>
      <c r="G161" s="55"/>
      <c r="H161" s="56"/>
      <c r="I161" s="53"/>
      <c r="J161" s="54"/>
      <c r="K161" s="55"/>
      <c r="L161" s="56"/>
      <c r="M161" s="53"/>
      <c r="N161" s="54"/>
      <c r="O161" s="55"/>
      <c r="P161" s="56"/>
      <c r="Q161" s="63"/>
      <c r="R161" s="55"/>
      <c r="S161" s="55"/>
      <c r="T161" s="55"/>
      <c r="U161" s="56"/>
      <c r="V161" s="53"/>
      <c r="W161" s="54"/>
      <c r="X161" s="55"/>
      <c r="Y161" s="56"/>
      <c r="Z161" s="53"/>
      <c r="AA161" s="54"/>
      <c r="AB161" s="55"/>
      <c r="AC161" s="56"/>
      <c r="AD161" s="53"/>
      <c r="AE161" s="54"/>
      <c r="AF161" s="55"/>
      <c r="AG161" s="56"/>
      <c r="AH161" s="53"/>
      <c r="AI161" s="54"/>
      <c r="AJ161" s="55"/>
      <c r="AK161" s="56"/>
      <c r="AL161" s="53"/>
      <c r="AM161" s="54"/>
      <c r="AN161" s="55"/>
      <c r="AO161" s="56"/>
      <c r="AP161" s="53"/>
      <c r="AQ161" s="54"/>
      <c r="AR161" s="55"/>
      <c r="AS161" s="56"/>
      <c r="AT161" s="53"/>
      <c r="AU161" s="54"/>
      <c r="AV161" s="55"/>
      <c r="AW161" s="56"/>
      <c r="AX161" s="33">
        <f>SUM(E161:AW161)</f>
        <v>0</v>
      </c>
      <c r="AY161" s="31">
        <f>IFERROR(AVERAGEIF(E161:AW161,"&lt;&gt;0",(E161:AW161)),)</f>
        <v>0</v>
      </c>
      <c r="AZ161" s="30">
        <f>IFERROR(AY161/D161,0)</f>
        <v>0</v>
      </c>
      <c r="BA161" s="103" t="s">
        <v>182</v>
      </c>
      <c r="BB161" s="100" t="s">
        <v>183</v>
      </c>
      <c r="BC161" s="100" t="s">
        <v>184</v>
      </c>
      <c r="BD161" s="101" t="s">
        <v>185</v>
      </c>
      <c r="BE161" s="100" t="s">
        <v>186</v>
      </c>
      <c r="BF161" s="102" t="s">
        <v>187</v>
      </c>
      <c r="BG161" s="100" t="s">
        <v>188</v>
      </c>
      <c r="BH161" s="102" t="s">
        <v>189</v>
      </c>
    </row>
    <row r="162" spans="1:60" s="17" customFormat="1" ht="19.5" customHeight="1" thickBot="1" x14ac:dyDescent="0.4">
      <c r="A162" s="41">
        <f t="shared" si="75"/>
        <v>45439</v>
      </c>
      <c r="B162" s="37" t="str">
        <f t="shared" si="75"/>
        <v>Ütü</v>
      </c>
      <c r="C162" s="65"/>
      <c r="D162" s="67">
        <f t="shared" ref="D162:D167" si="76">D161</f>
        <v>60</v>
      </c>
      <c r="E162" s="57"/>
      <c r="F162" s="52"/>
      <c r="G162" s="52"/>
      <c r="H162" s="58"/>
      <c r="I162" s="57"/>
      <c r="J162" s="52"/>
      <c r="K162" s="52"/>
      <c r="L162" s="58"/>
      <c r="M162" s="57"/>
      <c r="N162" s="52"/>
      <c r="O162" s="52"/>
      <c r="P162" s="58"/>
      <c r="Q162" s="57"/>
      <c r="R162" s="52"/>
      <c r="S162" s="52"/>
      <c r="T162" s="52"/>
      <c r="U162" s="58"/>
      <c r="V162" s="57"/>
      <c r="W162" s="52"/>
      <c r="X162" s="52"/>
      <c r="Y162" s="58"/>
      <c r="Z162" s="57"/>
      <c r="AA162" s="52"/>
      <c r="AB162" s="52"/>
      <c r="AC162" s="58"/>
      <c r="AD162" s="57"/>
      <c r="AE162" s="52"/>
      <c r="AF162" s="52"/>
      <c r="AG162" s="58"/>
      <c r="AH162" s="57"/>
      <c r="AI162" s="52"/>
      <c r="AJ162" s="52"/>
      <c r="AK162" s="58"/>
      <c r="AL162" s="57"/>
      <c r="AM162" s="52"/>
      <c r="AN162" s="52"/>
      <c r="AO162" s="58"/>
      <c r="AP162" s="57"/>
      <c r="AQ162" s="52"/>
      <c r="AR162" s="52"/>
      <c r="AS162" s="58"/>
      <c r="AT162" s="57"/>
      <c r="AU162" s="52"/>
      <c r="AV162" s="52"/>
      <c r="AW162" s="58"/>
      <c r="AX162" s="33">
        <f t="shared" ref="AX162:AX167" si="77">SUM(E162:AW162)</f>
        <v>0</v>
      </c>
      <c r="AY162" s="31">
        <f t="shared" ref="AY162:AY167" si="78">IFERROR(AVERAGEIF(E162:AW162,"&lt;&gt;0",(E162:AW162)),)</f>
        <v>0</v>
      </c>
      <c r="AZ162" s="30">
        <f t="shared" ref="AZ162:AZ167" si="79">IFERROR(AY162/D162,0)</f>
        <v>0</v>
      </c>
      <c r="BA162" s="94">
        <f>AX168</f>
        <v>0</v>
      </c>
      <c r="BB162" s="95">
        <f>(D150*8)</f>
        <v>4000</v>
      </c>
      <c r="BC162" s="96">
        <f>C5-BA162</f>
        <v>42311</v>
      </c>
      <c r="BD162" s="96">
        <f>BA135-BA162</f>
        <v>0</v>
      </c>
      <c r="BE162" s="97">
        <f>IFERROR(BC162/E168,0)</f>
        <v>0</v>
      </c>
      <c r="BF162" s="98">
        <f>IFERROR(BE162/9,0)</f>
        <v>0</v>
      </c>
      <c r="BG162" s="97">
        <f>IFERROR(BC162/AY168,0)</f>
        <v>0</v>
      </c>
      <c r="BH162" s="97">
        <f>IFERROR(BG162/9,0)</f>
        <v>0</v>
      </c>
    </row>
    <row r="163" spans="1:60" s="17" customFormat="1" ht="19.5" customHeight="1" x14ac:dyDescent="0.35">
      <c r="A163" s="41">
        <f t="shared" si="75"/>
        <v>45439</v>
      </c>
      <c r="B163" s="37" t="str">
        <f t="shared" si="75"/>
        <v>Ütü</v>
      </c>
      <c r="C163" s="65"/>
      <c r="D163" s="67">
        <f t="shared" si="76"/>
        <v>60</v>
      </c>
      <c r="E163" s="57"/>
      <c r="F163" s="52"/>
      <c r="G163" s="52"/>
      <c r="H163" s="58"/>
      <c r="I163" s="57"/>
      <c r="J163" s="52"/>
      <c r="K163" s="52"/>
      <c r="L163" s="58"/>
      <c r="M163" s="57"/>
      <c r="N163" s="52"/>
      <c r="O163" s="52"/>
      <c r="P163" s="58"/>
      <c r="Q163" s="57"/>
      <c r="R163" s="52"/>
      <c r="S163" s="52"/>
      <c r="T163" s="52"/>
      <c r="U163" s="58"/>
      <c r="V163" s="57"/>
      <c r="W163" s="52"/>
      <c r="X163" s="52"/>
      <c r="Y163" s="58"/>
      <c r="Z163" s="57"/>
      <c r="AA163" s="52"/>
      <c r="AB163" s="52"/>
      <c r="AC163" s="58"/>
      <c r="AD163" s="57"/>
      <c r="AE163" s="52"/>
      <c r="AF163" s="52"/>
      <c r="AG163" s="58"/>
      <c r="AH163" s="57"/>
      <c r="AI163" s="52"/>
      <c r="AJ163" s="52"/>
      <c r="AK163" s="58"/>
      <c r="AL163" s="57"/>
      <c r="AM163" s="52"/>
      <c r="AN163" s="52"/>
      <c r="AO163" s="58"/>
      <c r="AP163" s="57"/>
      <c r="AQ163" s="52"/>
      <c r="AR163" s="52"/>
      <c r="AS163" s="58"/>
      <c r="AT163" s="57"/>
      <c r="AU163" s="52"/>
      <c r="AV163" s="52"/>
      <c r="AW163" s="58"/>
      <c r="AX163" s="33">
        <f t="shared" si="77"/>
        <v>0</v>
      </c>
      <c r="AY163" s="31">
        <f t="shared" si="78"/>
        <v>0</v>
      </c>
      <c r="AZ163" s="30">
        <f t="shared" si="79"/>
        <v>0</v>
      </c>
      <c r="BA163" s="34"/>
      <c r="BB163" s="34"/>
      <c r="BC163" s="34"/>
      <c r="BD163" s="76"/>
      <c r="BE163" s="34"/>
      <c r="BF163" s="34"/>
      <c r="BG163" s="34"/>
      <c r="BH163" s="34"/>
    </row>
    <row r="164" spans="1:60" s="17" customFormat="1" ht="19.5" customHeight="1" x14ac:dyDescent="0.35">
      <c r="A164" s="41">
        <f t="shared" si="75"/>
        <v>45439</v>
      </c>
      <c r="B164" s="37" t="str">
        <f t="shared" si="75"/>
        <v>Ütü</v>
      </c>
      <c r="C164" s="65"/>
      <c r="D164" s="67">
        <f t="shared" si="76"/>
        <v>60</v>
      </c>
      <c r="E164" s="57"/>
      <c r="F164" s="52"/>
      <c r="G164" s="52"/>
      <c r="H164" s="58"/>
      <c r="I164" s="57"/>
      <c r="J164" s="52"/>
      <c r="K164" s="52"/>
      <c r="L164" s="58"/>
      <c r="M164" s="57"/>
      <c r="N164" s="52"/>
      <c r="O164" s="52"/>
      <c r="P164" s="58"/>
      <c r="Q164" s="57"/>
      <c r="R164" s="52"/>
      <c r="S164" s="52"/>
      <c r="T164" s="52"/>
      <c r="U164" s="58"/>
      <c r="V164" s="57"/>
      <c r="W164" s="52"/>
      <c r="X164" s="52"/>
      <c r="Y164" s="58"/>
      <c r="Z164" s="57"/>
      <c r="AA164" s="52"/>
      <c r="AB164" s="52"/>
      <c r="AC164" s="58"/>
      <c r="AD164" s="57"/>
      <c r="AE164" s="52"/>
      <c r="AF164" s="52"/>
      <c r="AG164" s="58"/>
      <c r="AH164" s="57"/>
      <c r="AI164" s="52"/>
      <c r="AJ164" s="52"/>
      <c r="AK164" s="58"/>
      <c r="AL164" s="57"/>
      <c r="AM164" s="52"/>
      <c r="AN164" s="52"/>
      <c r="AO164" s="58"/>
      <c r="AP164" s="57"/>
      <c r="AQ164" s="52"/>
      <c r="AR164" s="52"/>
      <c r="AS164" s="58"/>
      <c r="AT164" s="57"/>
      <c r="AU164" s="52"/>
      <c r="AV164" s="52"/>
      <c r="AW164" s="58"/>
      <c r="AX164" s="33">
        <f t="shared" si="77"/>
        <v>0</v>
      </c>
      <c r="AY164" s="31">
        <f t="shared" si="78"/>
        <v>0</v>
      </c>
      <c r="AZ164" s="30">
        <f t="shared" si="79"/>
        <v>0</v>
      </c>
      <c r="BA164" s="34"/>
      <c r="BB164" s="34"/>
      <c r="BC164" s="34"/>
      <c r="BD164" s="76"/>
      <c r="BE164" s="34"/>
      <c r="BF164" s="34"/>
      <c r="BG164" s="34"/>
      <c r="BH164" s="34"/>
    </row>
    <row r="165" spans="1:60" s="17" customFormat="1" ht="19.5" customHeight="1" x14ac:dyDescent="0.35">
      <c r="A165" s="41">
        <f>A162</f>
        <v>45439</v>
      </c>
      <c r="B165" s="37" t="str">
        <f t="shared" si="75"/>
        <v>Ütü</v>
      </c>
      <c r="C165" s="65"/>
      <c r="D165" s="67">
        <f t="shared" si="76"/>
        <v>60</v>
      </c>
      <c r="E165" s="57"/>
      <c r="F165" s="52"/>
      <c r="G165" s="52"/>
      <c r="H165" s="58"/>
      <c r="I165" s="57"/>
      <c r="J165" s="52"/>
      <c r="K165" s="52"/>
      <c r="L165" s="58"/>
      <c r="M165" s="57"/>
      <c r="N165" s="52"/>
      <c r="O165" s="52"/>
      <c r="P165" s="58"/>
      <c r="Q165" s="57"/>
      <c r="R165" s="52"/>
      <c r="S165" s="52"/>
      <c r="T165" s="52"/>
      <c r="U165" s="58"/>
      <c r="V165" s="57"/>
      <c r="W165" s="52"/>
      <c r="X165" s="52"/>
      <c r="Y165" s="58"/>
      <c r="Z165" s="57"/>
      <c r="AA165" s="52"/>
      <c r="AB165" s="52"/>
      <c r="AC165" s="58"/>
      <c r="AD165" s="57"/>
      <c r="AE165" s="52"/>
      <c r="AF165" s="52"/>
      <c r="AG165" s="58"/>
      <c r="AH165" s="57"/>
      <c r="AI165" s="52"/>
      <c r="AJ165" s="52"/>
      <c r="AK165" s="58"/>
      <c r="AL165" s="57"/>
      <c r="AM165" s="52"/>
      <c r="AN165" s="52"/>
      <c r="AO165" s="58"/>
      <c r="AP165" s="57"/>
      <c r="AQ165" s="52"/>
      <c r="AR165" s="52"/>
      <c r="AS165" s="58"/>
      <c r="AT165" s="57"/>
      <c r="AU165" s="52"/>
      <c r="AV165" s="52"/>
      <c r="AW165" s="58"/>
      <c r="AX165" s="33">
        <f t="shared" si="77"/>
        <v>0</v>
      </c>
      <c r="AY165" s="31">
        <f t="shared" si="78"/>
        <v>0</v>
      </c>
      <c r="AZ165" s="30">
        <f t="shared" si="79"/>
        <v>0</v>
      </c>
      <c r="BA165" s="34"/>
      <c r="BB165" s="34"/>
      <c r="BC165" s="34"/>
      <c r="BD165" s="76"/>
      <c r="BE165" s="34"/>
      <c r="BF165" s="34"/>
      <c r="BG165" s="34"/>
      <c r="BH165" s="34"/>
    </row>
    <row r="166" spans="1:60" s="17" customFormat="1" ht="19.5" customHeight="1" x14ac:dyDescent="0.35">
      <c r="A166" s="41">
        <f t="shared" ref="A166:B168" si="80">A165</f>
        <v>45439</v>
      </c>
      <c r="B166" s="37" t="str">
        <f t="shared" si="80"/>
        <v>Ütü</v>
      </c>
      <c r="C166" s="65"/>
      <c r="D166" s="67">
        <f t="shared" si="76"/>
        <v>60</v>
      </c>
      <c r="E166" s="57"/>
      <c r="F166" s="52"/>
      <c r="G166" s="52"/>
      <c r="H166" s="58"/>
      <c r="I166" s="57"/>
      <c r="J166" s="52"/>
      <c r="K166" s="52"/>
      <c r="L166" s="58"/>
      <c r="M166" s="57"/>
      <c r="N166" s="52"/>
      <c r="O166" s="52"/>
      <c r="P166" s="58"/>
      <c r="Q166" s="57"/>
      <c r="R166" s="52"/>
      <c r="S166" s="52"/>
      <c r="T166" s="52"/>
      <c r="U166" s="58"/>
      <c r="V166" s="57"/>
      <c r="W166" s="52"/>
      <c r="X166" s="52"/>
      <c r="Y166" s="58"/>
      <c r="Z166" s="57"/>
      <c r="AA166" s="52"/>
      <c r="AB166" s="52"/>
      <c r="AC166" s="58"/>
      <c r="AD166" s="57"/>
      <c r="AE166" s="52"/>
      <c r="AF166" s="52"/>
      <c r="AG166" s="58"/>
      <c r="AH166" s="57"/>
      <c r="AI166" s="52"/>
      <c r="AJ166" s="52"/>
      <c r="AK166" s="58"/>
      <c r="AL166" s="57"/>
      <c r="AM166" s="52"/>
      <c r="AN166" s="52"/>
      <c r="AO166" s="58"/>
      <c r="AP166" s="57"/>
      <c r="AQ166" s="52"/>
      <c r="AR166" s="52"/>
      <c r="AS166" s="58"/>
      <c r="AT166" s="57"/>
      <c r="AU166" s="52"/>
      <c r="AV166" s="52"/>
      <c r="AW166" s="58"/>
      <c r="AX166" s="33">
        <f t="shared" si="77"/>
        <v>0</v>
      </c>
      <c r="AY166" s="31">
        <f t="shared" si="78"/>
        <v>0</v>
      </c>
      <c r="AZ166" s="30">
        <f t="shared" si="79"/>
        <v>0</v>
      </c>
      <c r="BA166" s="34"/>
      <c r="BB166" s="34"/>
      <c r="BC166" s="34"/>
      <c r="BD166" s="76"/>
      <c r="BE166" s="34"/>
      <c r="BF166" s="34"/>
      <c r="BG166" s="34"/>
      <c r="BH166" s="34"/>
    </row>
    <row r="167" spans="1:60" s="17" customFormat="1" ht="19.5" customHeight="1" thickBot="1" x14ac:dyDescent="0.4">
      <c r="A167" s="41">
        <f t="shared" si="80"/>
        <v>45439</v>
      </c>
      <c r="B167" s="37" t="str">
        <f t="shared" si="80"/>
        <v>Ütü</v>
      </c>
      <c r="C167" s="66"/>
      <c r="D167" s="67">
        <f t="shared" si="76"/>
        <v>60</v>
      </c>
      <c r="E167" s="59"/>
      <c r="F167" s="60"/>
      <c r="G167" s="61"/>
      <c r="H167" s="62"/>
      <c r="I167" s="59"/>
      <c r="J167" s="60"/>
      <c r="K167" s="61"/>
      <c r="L167" s="62"/>
      <c r="M167" s="59"/>
      <c r="N167" s="60"/>
      <c r="O167" s="61"/>
      <c r="P167" s="62"/>
      <c r="Q167" s="64"/>
      <c r="R167" s="61"/>
      <c r="S167" s="61"/>
      <c r="T167" s="61"/>
      <c r="U167" s="62"/>
      <c r="V167" s="59"/>
      <c r="W167" s="60"/>
      <c r="X167" s="61"/>
      <c r="Y167" s="62"/>
      <c r="Z167" s="59"/>
      <c r="AA167" s="60"/>
      <c r="AB167" s="61"/>
      <c r="AC167" s="62"/>
      <c r="AD167" s="59"/>
      <c r="AE167" s="60"/>
      <c r="AF167" s="61"/>
      <c r="AG167" s="62"/>
      <c r="AH167" s="59"/>
      <c r="AI167" s="60"/>
      <c r="AJ167" s="61"/>
      <c r="AK167" s="62"/>
      <c r="AL167" s="59"/>
      <c r="AM167" s="60"/>
      <c r="AN167" s="61"/>
      <c r="AO167" s="62"/>
      <c r="AP167" s="59"/>
      <c r="AQ167" s="60"/>
      <c r="AR167" s="61"/>
      <c r="AS167" s="62"/>
      <c r="AT167" s="59"/>
      <c r="AU167" s="60"/>
      <c r="AV167" s="61"/>
      <c r="AW167" s="62"/>
      <c r="AX167" s="33">
        <f t="shared" si="77"/>
        <v>0</v>
      </c>
      <c r="AY167" s="31">
        <f t="shared" si="78"/>
        <v>0</v>
      </c>
      <c r="AZ167" s="30">
        <f t="shared" si="79"/>
        <v>0</v>
      </c>
      <c r="BA167" s="34"/>
      <c r="BB167" s="34"/>
      <c r="BC167" s="34"/>
      <c r="BD167" s="76"/>
      <c r="BE167" s="34"/>
      <c r="BF167" s="34"/>
      <c r="BG167" s="34"/>
      <c r="BH167" s="34"/>
    </row>
    <row r="168" spans="1:60" s="17" customFormat="1" ht="19.5" customHeight="1" thickBot="1" x14ac:dyDescent="0.45">
      <c r="A168" s="41">
        <f t="shared" si="80"/>
        <v>45439</v>
      </c>
      <c r="B168" s="139" t="str">
        <f>B161</f>
        <v>Ütü</v>
      </c>
      <c r="C168" s="140"/>
      <c r="D168" s="40">
        <f>C6/8</f>
        <v>500</v>
      </c>
      <c r="E168" s="147">
        <f>SUM(E161:H167)</f>
        <v>0</v>
      </c>
      <c r="F168" s="148"/>
      <c r="G168" s="148"/>
      <c r="H168" s="149"/>
      <c r="I168" s="147">
        <f>SUM(I161:L167)</f>
        <v>0</v>
      </c>
      <c r="J168" s="148"/>
      <c r="K168" s="148"/>
      <c r="L168" s="149"/>
      <c r="M168" s="147">
        <f>SUM(M161:P167)</f>
        <v>0</v>
      </c>
      <c r="N168" s="148"/>
      <c r="O168" s="148"/>
      <c r="P168" s="149"/>
      <c r="Q168" s="147">
        <f>SUM(Q161:U167)</f>
        <v>0</v>
      </c>
      <c r="R168" s="148"/>
      <c r="S168" s="148"/>
      <c r="T168" s="148"/>
      <c r="U168" s="149"/>
      <c r="V168" s="147">
        <f>SUM(V161:Y167)</f>
        <v>0</v>
      </c>
      <c r="W168" s="148"/>
      <c r="X168" s="148"/>
      <c r="Y168" s="149"/>
      <c r="Z168" s="147">
        <f>SUM(Z161:AC167)</f>
        <v>0</v>
      </c>
      <c r="AA168" s="148"/>
      <c r="AB168" s="148"/>
      <c r="AC168" s="149"/>
      <c r="AD168" s="147">
        <f>SUM(AD161:AG167)</f>
        <v>0</v>
      </c>
      <c r="AE168" s="148"/>
      <c r="AF168" s="148"/>
      <c r="AG168" s="149"/>
      <c r="AH168" s="147">
        <f>SUM(AH161:AK167)</f>
        <v>0</v>
      </c>
      <c r="AI168" s="148"/>
      <c r="AJ168" s="148"/>
      <c r="AK168" s="149"/>
      <c r="AL168" s="147">
        <f>SUM(AL161:AO167)</f>
        <v>0</v>
      </c>
      <c r="AM168" s="148"/>
      <c r="AN168" s="148"/>
      <c r="AO168" s="149"/>
      <c r="AP168" s="147">
        <f>SUM(AP161:AS167)</f>
        <v>0</v>
      </c>
      <c r="AQ168" s="148"/>
      <c r="AR168" s="148"/>
      <c r="AS168" s="149"/>
      <c r="AT168" s="147">
        <f>SUM(AT161:AW167)</f>
        <v>0</v>
      </c>
      <c r="AU168" s="148"/>
      <c r="AV168" s="148"/>
      <c r="AW168" s="149"/>
      <c r="AX168" s="87">
        <f>SUM(AX161:AX167)</f>
        <v>0</v>
      </c>
      <c r="AY168" s="88">
        <f>IFERROR(AVERAGEIF(E168:AV168,"&lt;&gt;0",(E168:AV168)),)</f>
        <v>0</v>
      </c>
      <c r="AZ168" s="46">
        <f>IFERROR(AX168/BB162,0)</f>
        <v>0</v>
      </c>
      <c r="BA168" s="34"/>
      <c r="BB168" s="34"/>
      <c r="BC168" s="34"/>
      <c r="BD168" s="76"/>
      <c r="BE168" s="34"/>
      <c r="BF168" s="34"/>
      <c r="BG168" s="34"/>
      <c r="BH168" s="34"/>
    </row>
    <row r="169" spans="1:60" s="17" customFormat="1" ht="19.5" customHeight="1" thickBot="1" x14ac:dyDescent="0.4">
      <c r="A169" s="42">
        <f>A160</f>
        <v>45439</v>
      </c>
      <c r="B169" s="38" t="str">
        <f>B170</f>
        <v>Kalite</v>
      </c>
      <c r="C169" s="39" t="s">
        <v>180</v>
      </c>
      <c r="D169" s="69" t="s">
        <v>181</v>
      </c>
      <c r="E169" s="48">
        <v>0.34375</v>
      </c>
      <c r="F169" s="49">
        <v>0.35416666666666669</v>
      </c>
      <c r="G169" s="49">
        <v>0.36458333333333331</v>
      </c>
      <c r="H169" s="50">
        <v>0.375</v>
      </c>
      <c r="I169" s="48">
        <v>0.38541666666666702</v>
      </c>
      <c r="J169" s="49">
        <v>0.39583333333333298</v>
      </c>
      <c r="K169" s="49">
        <v>0.40625</v>
      </c>
      <c r="L169" s="50">
        <v>0.41666666666666702</v>
      </c>
      <c r="M169" s="48">
        <v>0.4375</v>
      </c>
      <c r="N169" s="49">
        <v>0.44791666666666702</v>
      </c>
      <c r="O169" s="49">
        <v>0.45833333333333398</v>
      </c>
      <c r="P169" s="50">
        <v>0.46875</v>
      </c>
      <c r="Q169" s="48">
        <v>0.47916666666666702</v>
      </c>
      <c r="R169" s="49">
        <v>0.48958333333333398</v>
      </c>
      <c r="S169" s="49">
        <v>0.5</v>
      </c>
      <c r="T169" s="50">
        <v>0.51041666666666696</v>
      </c>
      <c r="U169" s="51">
        <v>0.52083333333333204</v>
      </c>
      <c r="V169" s="48">
        <v>0.5625</v>
      </c>
      <c r="W169" s="49">
        <v>0.57291666666666663</v>
      </c>
      <c r="X169" s="49">
        <v>0.58333333333333304</v>
      </c>
      <c r="Y169" s="50">
        <v>0.59375</v>
      </c>
      <c r="Z169" s="48">
        <v>0.60416666666666696</v>
      </c>
      <c r="AA169" s="49">
        <v>0.61458333333333304</v>
      </c>
      <c r="AB169" s="49">
        <v>0.625</v>
      </c>
      <c r="AC169" s="50">
        <v>0.63541666666666596</v>
      </c>
      <c r="AD169" s="48">
        <v>0.65625</v>
      </c>
      <c r="AE169" s="49">
        <v>0.66666666666666663</v>
      </c>
      <c r="AF169" s="49">
        <v>0.67708333333333304</v>
      </c>
      <c r="AG169" s="50">
        <v>0.6875</v>
      </c>
      <c r="AH169" s="48">
        <v>0.69791666666666696</v>
      </c>
      <c r="AI169" s="49">
        <v>0.70833333333333304</v>
      </c>
      <c r="AJ169" s="49">
        <v>0.71875</v>
      </c>
      <c r="AK169" s="50">
        <v>0.72916666666666696</v>
      </c>
      <c r="AL169" s="48">
        <v>0.73958333333333404</v>
      </c>
      <c r="AM169" s="49">
        <v>0.750000000000001</v>
      </c>
      <c r="AN169" s="49">
        <v>0.76041666666666796</v>
      </c>
      <c r="AO169" s="50">
        <v>0.77083333333333504</v>
      </c>
      <c r="AP169" s="48">
        <v>0.781250000000002</v>
      </c>
      <c r="AQ169" s="49">
        <v>0.79166666666666896</v>
      </c>
      <c r="AR169" s="49">
        <v>0.80208333333333603</v>
      </c>
      <c r="AS169" s="50">
        <v>0.812500000000003</v>
      </c>
      <c r="AT169" s="48">
        <v>0.82291666666666996</v>
      </c>
      <c r="AU169" s="49">
        <v>0.83333333333333703</v>
      </c>
      <c r="AV169" s="49">
        <v>0.843750000000004</v>
      </c>
      <c r="AW169" s="50">
        <v>0.85416666666666663</v>
      </c>
      <c r="AX169" s="68" t="s">
        <v>260</v>
      </c>
      <c r="AY169" s="28" t="s">
        <v>261</v>
      </c>
      <c r="AZ169" s="29" t="s">
        <v>262</v>
      </c>
      <c r="BA169" s="136" t="str">
        <f>B170</f>
        <v>Kalite</v>
      </c>
      <c r="BB169" s="137"/>
      <c r="BC169" s="137"/>
      <c r="BD169" s="137"/>
      <c r="BE169" s="137"/>
      <c r="BF169" s="137"/>
      <c r="BG169" s="137"/>
      <c r="BH169" s="138"/>
    </row>
    <row r="170" spans="1:60" s="17" customFormat="1" ht="19.5" customHeight="1" thickBot="1" x14ac:dyDescent="0.4">
      <c r="A170" s="41">
        <f t="shared" ref="A170:B174" si="81">A169</f>
        <v>45439</v>
      </c>
      <c r="B170" s="37" t="s">
        <v>30</v>
      </c>
      <c r="C170" s="65"/>
      <c r="D170" s="71">
        <v>60</v>
      </c>
      <c r="E170" s="53"/>
      <c r="F170" s="54"/>
      <c r="G170" s="55"/>
      <c r="H170" s="56"/>
      <c r="I170" s="53"/>
      <c r="J170" s="54"/>
      <c r="K170" s="55"/>
      <c r="L170" s="56"/>
      <c r="M170" s="53"/>
      <c r="N170" s="54"/>
      <c r="O170" s="55"/>
      <c r="P170" s="56"/>
      <c r="Q170" s="63"/>
      <c r="R170" s="55"/>
      <c r="S170" s="55"/>
      <c r="T170" s="55"/>
      <c r="U170" s="56"/>
      <c r="V170" s="53"/>
      <c r="W170" s="54"/>
      <c r="X170" s="55"/>
      <c r="Y170" s="56"/>
      <c r="Z170" s="53"/>
      <c r="AA170" s="54"/>
      <c r="AB170" s="55"/>
      <c r="AC170" s="56"/>
      <c r="AD170" s="53"/>
      <c r="AE170" s="54"/>
      <c r="AF170" s="55"/>
      <c r="AG170" s="56"/>
      <c r="AH170" s="53"/>
      <c r="AI170" s="54"/>
      <c r="AJ170" s="55"/>
      <c r="AK170" s="56"/>
      <c r="AL170" s="53"/>
      <c r="AM170" s="54"/>
      <c r="AN170" s="55"/>
      <c r="AO170" s="56"/>
      <c r="AP170" s="53"/>
      <c r="AQ170" s="54"/>
      <c r="AR170" s="55"/>
      <c r="AS170" s="56"/>
      <c r="AT170" s="53"/>
      <c r="AU170" s="54"/>
      <c r="AV170" s="55"/>
      <c r="AW170" s="56"/>
      <c r="AX170" s="33">
        <f>SUM(E170:AW170)</f>
        <v>0</v>
      </c>
      <c r="AY170" s="31">
        <f>IFERROR(AVERAGEIF(E170:AW170,"&lt;&gt;0",(E170:AW170)),)</f>
        <v>0</v>
      </c>
      <c r="AZ170" s="30">
        <f>IFERROR(AY170/D170,0)</f>
        <v>0</v>
      </c>
      <c r="BA170" s="103" t="s">
        <v>182</v>
      </c>
      <c r="BB170" s="100" t="s">
        <v>183</v>
      </c>
      <c r="BC170" s="100" t="s">
        <v>184</v>
      </c>
      <c r="BD170" s="101" t="s">
        <v>185</v>
      </c>
      <c r="BE170" s="100" t="s">
        <v>186</v>
      </c>
      <c r="BF170" s="102" t="s">
        <v>187</v>
      </c>
      <c r="BG170" s="100" t="s">
        <v>188</v>
      </c>
      <c r="BH170" s="102" t="s">
        <v>189</v>
      </c>
    </row>
    <row r="171" spans="1:60" s="17" customFormat="1" ht="19.5" customHeight="1" thickBot="1" x14ac:dyDescent="0.4">
      <c r="A171" s="41">
        <f t="shared" si="81"/>
        <v>45439</v>
      </c>
      <c r="B171" s="37" t="str">
        <f t="shared" si="81"/>
        <v>Kalite</v>
      </c>
      <c r="C171" s="65"/>
      <c r="D171" s="67">
        <f t="shared" ref="D171:D176" si="82">D170</f>
        <v>60</v>
      </c>
      <c r="E171" s="57"/>
      <c r="F171" s="52"/>
      <c r="G171" s="52"/>
      <c r="H171" s="58"/>
      <c r="I171" s="57"/>
      <c r="J171" s="52"/>
      <c r="K171" s="52"/>
      <c r="L171" s="58"/>
      <c r="M171" s="57"/>
      <c r="N171" s="52"/>
      <c r="O171" s="52"/>
      <c r="P171" s="58"/>
      <c r="Q171" s="57"/>
      <c r="R171" s="52"/>
      <c r="S171" s="52"/>
      <c r="T171" s="52"/>
      <c r="U171" s="58"/>
      <c r="V171" s="57"/>
      <c r="W171" s="52"/>
      <c r="X171" s="52"/>
      <c r="Y171" s="58"/>
      <c r="Z171" s="57"/>
      <c r="AA171" s="52"/>
      <c r="AB171" s="52"/>
      <c r="AC171" s="58"/>
      <c r="AD171" s="57"/>
      <c r="AE171" s="52"/>
      <c r="AF171" s="52"/>
      <c r="AG171" s="58"/>
      <c r="AH171" s="57"/>
      <c r="AI171" s="52"/>
      <c r="AJ171" s="52"/>
      <c r="AK171" s="58"/>
      <c r="AL171" s="57"/>
      <c r="AM171" s="52"/>
      <c r="AN171" s="52"/>
      <c r="AO171" s="58"/>
      <c r="AP171" s="57"/>
      <c r="AQ171" s="52"/>
      <c r="AR171" s="52"/>
      <c r="AS171" s="58"/>
      <c r="AT171" s="57"/>
      <c r="AU171" s="52"/>
      <c r="AV171" s="52"/>
      <c r="AW171" s="58"/>
      <c r="AX171" s="33">
        <f t="shared" ref="AX171:AX176" si="83">SUM(E171:AW171)</f>
        <v>0</v>
      </c>
      <c r="AY171" s="31">
        <f t="shared" ref="AY171:AY176" si="84">IFERROR(AVERAGEIF(E171:AW171,"&lt;&gt;0",(E171:AW171)),)</f>
        <v>0</v>
      </c>
      <c r="AZ171" s="30">
        <f t="shared" ref="AZ171:AZ176" si="85">IFERROR(AY171/D171,0)</f>
        <v>0</v>
      </c>
      <c r="BA171" s="94">
        <f>AX177</f>
        <v>0</v>
      </c>
      <c r="BB171" s="95">
        <f>(D177*8)</f>
        <v>4000</v>
      </c>
      <c r="BC171" s="96">
        <f>C5-BA171</f>
        <v>42311</v>
      </c>
      <c r="BD171" s="96">
        <f>BA162-BA171</f>
        <v>0</v>
      </c>
      <c r="BE171" s="97">
        <f>IFERROR(BC171/E177,0)</f>
        <v>0</v>
      </c>
      <c r="BF171" s="98">
        <f>IFERROR(BE171/9,0)</f>
        <v>0</v>
      </c>
      <c r="BG171" s="97">
        <f>IFERROR(BC171/AY177,0)</f>
        <v>0</v>
      </c>
      <c r="BH171" s="97">
        <f>IFERROR(BG171/9,0)</f>
        <v>0</v>
      </c>
    </row>
    <row r="172" spans="1:60" s="17" customFormat="1" ht="19.5" customHeight="1" x14ac:dyDescent="0.35">
      <c r="A172" s="41">
        <f t="shared" si="81"/>
        <v>45439</v>
      </c>
      <c r="B172" s="37" t="str">
        <f t="shared" si="81"/>
        <v>Kalite</v>
      </c>
      <c r="C172" s="65"/>
      <c r="D172" s="67">
        <f t="shared" si="82"/>
        <v>60</v>
      </c>
      <c r="E172" s="57"/>
      <c r="F172" s="52"/>
      <c r="G172" s="52"/>
      <c r="H172" s="58"/>
      <c r="I172" s="57"/>
      <c r="J172" s="52"/>
      <c r="K172" s="52"/>
      <c r="L172" s="58"/>
      <c r="M172" s="57"/>
      <c r="N172" s="52"/>
      <c r="O172" s="52"/>
      <c r="P172" s="58"/>
      <c r="Q172" s="57"/>
      <c r="R172" s="52"/>
      <c r="S172" s="52"/>
      <c r="T172" s="52"/>
      <c r="U172" s="58"/>
      <c r="V172" s="57"/>
      <c r="W172" s="52"/>
      <c r="X172" s="52"/>
      <c r="Y172" s="58"/>
      <c r="Z172" s="57"/>
      <c r="AA172" s="52"/>
      <c r="AB172" s="52"/>
      <c r="AC172" s="58"/>
      <c r="AD172" s="57"/>
      <c r="AE172" s="52"/>
      <c r="AF172" s="52"/>
      <c r="AG172" s="58"/>
      <c r="AH172" s="57"/>
      <c r="AI172" s="52"/>
      <c r="AJ172" s="52"/>
      <c r="AK172" s="58"/>
      <c r="AL172" s="57"/>
      <c r="AM172" s="52"/>
      <c r="AN172" s="52"/>
      <c r="AO172" s="58"/>
      <c r="AP172" s="57"/>
      <c r="AQ172" s="52"/>
      <c r="AR172" s="52"/>
      <c r="AS172" s="58"/>
      <c r="AT172" s="57"/>
      <c r="AU172" s="52"/>
      <c r="AV172" s="52"/>
      <c r="AW172" s="58"/>
      <c r="AX172" s="33">
        <f t="shared" si="83"/>
        <v>0</v>
      </c>
      <c r="AY172" s="31">
        <f t="shared" si="84"/>
        <v>0</v>
      </c>
      <c r="AZ172" s="30">
        <f t="shared" si="85"/>
        <v>0</v>
      </c>
      <c r="BA172" s="34"/>
      <c r="BB172" s="34"/>
      <c r="BC172" s="34"/>
      <c r="BD172" s="76"/>
      <c r="BE172" s="34"/>
      <c r="BF172" s="34"/>
      <c r="BG172" s="34"/>
      <c r="BH172" s="34"/>
    </row>
    <row r="173" spans="1:60" s="17" customFormat="1" ht="19.5" customHeight="1" x14ac:dyDescent="0.35">
      <c r="A173" s="41">
        <f t="shared" si="81"/>
        <v>45439</v>
      </c>
      <c r="B173" s="37" t="str">
        <f t="shared" si="81"/>
        <v>Kalite</v>
      </c>
      <c r="C173" s="65"/>
      <c r="D173" s="67">
        <f t="shared" si="82"/>
        <v>60</v>
      </c>
      <c r="E173" s="57"/>
      <c r="F173" s="52"/>
      <c r="G173" s="52"/>
      <c r="H173" s="58"/>
      <c r="I173" s="57"/>
      <c r="J173" s="52"/>
      <c r="K173" s="52"/>
      <c r="L173" s="58"/>
      <c r="M173" s="57"/>
      <c r="N173" s="52"/>
      <c r="O173" s="52"/>
      <c r="P173" s="58"/>
      <c r="Q173" s="57"/>
      <c r="R173" s="52"/>
      <c r="S173" s="52"/>
      <c r="T173" s="52"/>
      <c r="U173" s="58"/>
      <c r="V173" s="57"/>
      <c r="W173" s="52"/>
      <c r="X173" s="52"/>
      <c r="Y173" s="58"/>
      <c r="Z173" s="57"/>
      <c r="AA173" s="52"/>
      <c r="AB173" s="52"/>
      <c r="AC173" s="58"/>
      <c r="AD173" s="57"/>
      <c r="AE173" s="52"/>
      <c r="AF173" s="52"/>
      <c r="AG173" s="58"/>
      <c r="AH173" s="57"/>
      <c r="AI173" s="52"/>
      <c r="AJ173" s="52"/>
      <c r="AK173" s="58"/>
      <c r="AL173" s="57"/>
      <c r="AM173" s="52"/>
      <c r="AN173" s="52"/>
      <c r="AO173" s="58"/>
      <c r="AP173" s="57"/>
      <c r="AQ173" s="52"/>
      <c r="AR173" s="52"/>
      <c r="AS173" s="58"/>
      <c r="AT173" s="57"/>
      <c r="AU173" s="52"/>
      <c r="AV173" s="52"/>
      <c r="AW173" s="58"/>
      <c r="AX173" s="33">
        <f t="shared" si="83"/>
        <v>0</v>
      </c>
      <c r="AY173" s="31">
        <f t="shared" si="84"/>
        <v>0</v>
      </c>
      <c r="AZ173" s="30">
        <f t="shared" si="85"/>
        <v>0</v>
      </c>
      <c r="BA173" s="34"/>
      <c r="BB173" s="34"/>
      <c r="BC173" s="34"/>
      <c r="BD173" s="76"/>
      <c r="BE173" s="34"/>
      <c r="BF173" s="34"/>
      <c r="BG173" s="34"/>
      <c r="BH173" s="34"/>
    </row>
    <row r="174" spans="1:60" s="17" customFormat="1" ht="19.5" customHeight="1" x14ac:dyDescent="0.35">
      <c r="A174" s="41">
        <f>A171</f>
        <v>45439</v>
      </c>
      <c r="B174" s="37" t="str">
        <f t="shared" si="81"/>
        <v>Kalite</v>
      </c>
      <c r="C174" s="65"/>
      <c r="D174" s="67">
        <f t="shared" si="82"/>
        <v>60</v>
      </c>
      <c r="E174" s="57"/>
      <c r="F174" s="52"/>
      <c r="G174" s="52"/>
      <c r="H174" s="58"/>
      <c r="I174" s="57"/>
      <c r="J174" s="52"/>
      <c r="K174" s="52"/>
      <c r="L174" s="58"/>
      <c r="M174" s="57"/>
      <c r="N174" s="52"/>
      <c r="O174" s="52"/>
      <c r="P174" s="58"/>
      <c r="Q174" s="57"/>
      <c r="R174" s="52"/>
      <c r="S174" s="52"/>
      <c r="T174" s="52"/>
      <c r="U174" s="58"/>
      <c r="V174" s="57"/>
      <c r="W174" s="52"/>
      <c r="X174" s="52"/>
      <c r="Y174" s="58"/>
      <c r="Z174" s="57"/>
      <c r="AA174" s="52"/>
      <c r="AB174" s="52"/>
      <c r="AC174" s="58"/>
      <c r="AD174" s="57"/>
      <c r="AE174" s="52"/>
      <c r="AF174" s="52"/>
      <c r="AG174" s="58"/>
      <c r="AH174" s="57"/>
      <c r="AI174" s="52"/>
      <c r="AJ174" s="52"/>
      <c r="AK174" s="58"/>
      <c r="AL174" s="57"/>
      <c r="AM174" s="52"/>
      <c r="AN174" s="52"/>
      <c r="AO174" s="58"/>
      <c r="AP174" s="57"/>
      <c r="AQ174" s="52"/>
      <c r="AR174" s="52"/>
      <c r="AS174" s="58"/>
      <c r="AT174" s="57"/>
      <c r="AU174" s="52"/>
      <c r="AV174" s="52"/>
      <c r="AW174" s="58"/>
      <c r="AX174" s="33">
        <f t="shared" si="83"/>
        <v>0</v>
      </c>
      <c r="AY174" s="31">
        <f t="shared" si="84"/>
        <v>0</v>
      </c>
      <c r="AZ174" s="30">
        <f t="shared" si="85"/>
        <v>0</v>
      </c>
      <c r="BA174" s="34"/>
      <c r="BB174" s="34"/>
      <c r="BC174" s="34"/>
      <c r="BD174" s="76"/>
      <c r="BE174" s="34"/>
      <c r="BF174" s="34"/>
      <c r="BG174" s="34"/>
      <c r="BH174" s="34"/>
    </row>
    <row r="175" spans="1:60" s="17" customFormat="1" ht="19.5" customHeight="1" x14ac:dyDescent="0.35">
      <c r="A175" s="41">
        <f t="shared" ref="A175:B177" si="86">A174</f>
        <v>45439</v>
      </c>
      <c r="B175" s="37" t="str">
        <f t="shared" si="86"/>
        <v>Kalite</v>
      </c>
      <c r="C175" s="65"/>
      <c r="D175" s="67">
        <f t="shared" si="82"/>
        <v>60</v>
      </c>
      <c r="E175" s="57"/>
      <c r="F175" s="52"/>
      <c r="G175" s="52"/>
      <c r="H175" s="58"/>
      <c r="I175" s="57"/>
      <c r="J175" s="52"/>
      <c r="K175" s="52"/>
      <c r="L175" s="58"/>
      <c r="M175" s="57"/>
      <c r="N175" s="52"/>
      <c r="O175" s="52"/>
      <c r="P175" s="58"/>
      <c r="Q175" s="57"/>
      <c r="R175" s="52"/>
      <c r="S175" s="52"/>
      <c r="T175" s="52"/>
      <c r="U175" s="58"/>
      <c r="V175" s="57"/>
      <c r="W175" s="52"/>
      <c r="X175" s="52"/>
      <c r="Y175" s="58"/>
      <c r="Z175" s="57"/>
      <c r="AA175" s="52"/>
      <c r="AB175" s="52"/>
      <c r="AC175" s="58"/>
      <c r="AD175" s="57"/>
      <c r="AE175" s="52"/>
      <c r="AF175" s="52"/>
      <c r="AG175" s="58"/>
      <c r="AH175" s="57"/>
      <c r="AI175" s="52"/>
      <c r="AJ175" s="52"/>
      <c r="AK175" s="58"/>
      <c r="AL175" s="57"/>
      <c r="AM175" s="52"/>
      <c r="AN175" s="52"/>
      <c r="AO175" s="58"/>
      <c r="AP175" s="57"/>
      <c r="AQ175" s="52"/>
      <c r="AR175" s="52"/>
      <c r="AS175" s="58"/>
      <c r="AT175" s="57"/>
      <c r="AU175" s="52"/>
      <c r="AV175" s="52"/>
      <c r="AW175" s="58"/>
      <c r="AX175" s="33">
        <f t="shared" si="83"/>
        <v>0</v>
      </c>
      <c r="AY175" s="31">
        <f t="shared" si="84"/>
        <v>0</v>
      </c>
      <c r="AZ175" s="30">
        <f t="shared" si="85"/>
        <v>0</v>
      </c>
      <c r="BA175" s="34"/>
      <c r="BB175" s="34"/>
      <c r="BC175" s="34"/>
      <c r="BD175" s="76"/>
      <c r="BE175" s="34"/>
      <c r="BF175" s="34"/>
      <c r="BG175" s="34"/>
      <c r="BH175" s="34"/>
    </row>
    <row r="176" spans="1:60" s="17" customFormat="1" ht="19.5" customHeight="1" thickBot="1" x14ac:dyDescent="0.4">
      <c r="A176" s="41">
        <f t="shared" si="86"/>
        <v>45439</v>
      </c>
      <c r="B176" s="37" t="str">
        <f t="shared" si="86"/>
        <v>Kalite</v>
      </c>
      <c r="C176" s="66"/>
      <c r="D176" s="67">
        <f t="shared" si="82"/>
        <v>60</v>
      </c>
      <c r="E176" s="59"/>
      <c r="F176" s="60"/>
      <c r="G176" s="61"/>
      <c r="H176" s="62"/>
      <c r="I176" s="59"/>
      <c r="J176" s="60"/>
      <c r="K176" s="61"/>
      <c r="L176" s="62"/>
      <c r="M176" s="59"/>
      <c r="N176" s="60"/>
      <c r="O176" s="61"/>
      <c r="P176" s="62"/>
      <c r="Q176" s="64"/>
      <c r="R176" s="61"/>
      <c r="S176" s="61"/>
      <c r="T176" s="61"/>
      <c r="U176" s="62"/>
      <c r="V176" s="59"/>
      <c r="W176" s="60"/>
      <c r="X176" s="61"/>
      <c r="Y176" s="62"/>
      <c r="Z176" s="59"/>
      <c r="AA176" s="60"/>
      <c r="AB176" s="61"/>
      <c r="AC176" s="62"/>
      <c r="AD176" s="59"/>
      <c r="AE176" s="60"/>
      <c r="AF176" s="61"/>
      <c r="AG176" s="62"/>
      <c r="AH176" s="59"/>
      <c r="AI176" s="60"/>
      <c r="AJ176" s="61"/>
      <c r="AK176" s="62"/>
      <c r="AL176" s="59"/>
      <c r="AM176" s="60"/>
      <c r="AN176" s="61"/>
      <c r="AO176" s="62"/>
      <c r="AP176" s="59"/>
      <c r="AQ176" s="60"/>
      <c r="AR176" s="61"/>
      <c r="AS176" s="62"/>
      <c r="AT176" s="59"/>
      <c r="AU176" s="60"/>
      <c r="AV176" s="61"/>
      <c r="AW176" s="62"/>
      <c r="AX176" s="33">
        <f t="shared" si="83"/>
        <v>0</v>
      </c>
      <c r="AY176" s="31">
        <f t="shared" si="84"/>
        <v>0</v>
      </c>
      <c r="AZ176" s="30">
        <f t="shared" si="85"/>
        <v>0</v>
      </c>
      <c r="BA176" s="34"/>
      <c r="BB176" s="34"/>
      <c r="BC176" s="34"/>
      <c r="BD176" s="76"/>
      <c r="BE176" s="34"/>
      <c r="BF176" s="34"/>
      <c r="BG176" s="34"/>
      <c r="BH176" s="34"/>
    </row>
    <row r="177" spans="1:60" s="17" customFormat="1" ht="19.5" customHeight="1" thickBot="1" x14ac:dyDescent="0.45">
      <c r="A177" s="41">
        <f t="shared" si="86"/>
        <v>45439</v>
      </c>
      <c r="B177" s="139" t="str">
        <f>B170</f>
        <v>Kalite</v>
      </c>
      <c r="C177" s="140"/>
      <c r="D177" s="40">
        <f>C6/8</f>
        <v>500</v>
      </c>
      <c r="E177" s="147">
        <f>SUM(E170:H176)</f>
        <v>0</v>
      </c>
      <c r="F177" s="148"/>
      <c r="G177" s="148"/>
      <c r="H177" s="149"/>
      <c r="I177" s="147">
        <f>SUM(I170:L176)</f>
        <v>0</v>
      </c>
      <c r="J177" s="148"/>
      <c r="K177" s="148"/>
      <c r="L177" s="149"/>
      <c r="M177" s="147">
        <f>SUM(M170:P176)</f>
        <v>0</v>
      </c>
      <c r="N177" s="148"/>
      <c r="O177" s="148"/>
      <c r="P177" s="149"/>
      <c r="Q177" s="147">
        <f>SUM(Q170:U176)</f>
        <v>0</v>
      </c>
      <c r="R177" s="148"/>
      <c r="S177" s="148"/>
      <c r="T177" s="148"/>
      <c r="U177" s="149"/>
      <c r="V177" s="147">
        <f>SUM(V170:Y176)</f>
        <v>0</v>
      </c>
      <c r="W177" s="148"/>
      <c r="X177" s="148"/>
      <c r="Y177" s="149"/>
      <c r="Z177" s="147">
        <f>SUM(Z170:AC176)</f>
        <v>0</v>
      </c>
      <c r="AA177" s="148"/>
      <c r="AB177" s="148"/>
      <c r="AC177" s="149"/>
      <c r="AD177" s="147">
        <f>SUM(AD170:AG176)</f>
        <v>0</v>
      </c>
      <c r="AE177" s="148"/>
      <c r="AF177" s="148"/>
      <c r="AG177" s="149"/>
      <c r="AH177" s="147">
        <f>SUM(AH170:AK176)</f>
        <v>0</v>
      </c>
      <c r="AI177" s="148"/>
      <c r="AJ177" s="148"/>
      <c r="AK177" s="149"/>
      <c r="AL177" s="147">
        <f>SUM(AL170:AO176)</f>
        <v>0</v>
      </c>
      <c r="AM177" s="148"/>
      <c r="AN177" s="148"/>
      <c r="AO177" s="149"/>
      <c r="AP177" s="147">
        <f>SUM(AP170:AS176)</f>
        <v>0</v>
      </c>
      <c r="AQ177" s="148"/>
      <c r="AR177" s="148"/>
      <c r="AS177" s="149"/>
      <c r="AT177" s="147">
        <f>SUM(AT170:AW176)</f>
        <v>0</v>
      </c>
      <c r="AU177" s="148"/>
      <c r="AV177" s="148"/>
      <c r="AW177" s="149"/>
      <c r="AX177" s="87">
        <f>SUM(AX170:AX176)</f>
        <v>0</v>
      </c>
      <c r="AY177" s="88">
        <f>IFERROR(AVERAGEIF(E177:AV177,"&lt;&gt;0",(E177:AV177)),)</f>
        <v>0</v>
      </c>
      <c r="AZ177" s="46">
        <f>IFERROR(AX177/BB171,0)</f>
        <v>0</v>
      </c>
      <c r="BA177" s="34"/>
      <c r="BB177" s="34"/>
      <c r="BC177" s="34"/>
      <c r="BD177" s="76"/>
      <c r="BE177" s="34"/>
      <c r="BF177" s="34"/>
      <c r="BG177" s="34"/>
      <c r="BH177" s="34"/>
    </row>
    <row r="178" spans="1:60" s="17" customFormat="1" ht="19.5" customHeight="1" x14ac:dyDescent="0.35">
      <c r="A178" s="72"/>
      <c r="B178" s="35" t="s">
        <v>168</v>
      </c>
      <c r="C178" s="24">
        <v>45425</v>
      </c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5"/>
      <c r="BE178" s="72"/>
      <c r="BF178" s="72"/>
      <c r="BG178" s="72"/>
      <c r="BH178" s="72"/>
    </row>
    <row r="179" spans="1:60" s="17" customFormat="1" ht="19.5" customHeight="1" x14ac:dyDescent="0.35">
      <c r="A179" s="72"/>
      <c r="B179" s="35" t="s">
        <v>169</v>
      </c>
      <c r="C179" s="77">
        <f>C3</f>
        <v>0</v>
      </c>
      <c r="D179" s="72"/>
      <c r="E179" s="72"/>
      <c r="F179" s="72"/>
      <c r="G179" s="72"/>
      <c r="H179" s="72"/>
      <c r="I179" s="72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20" t="s">
        <v>170</v>
      </c>
      <c r="BB179" s="21" t="s">
        <v>171</v>
      </c>
      <c r="BC179" s="26" t="s">
        <v>172</v>
      </c>
      <c r="BD179" s="75"/>
      <c r="BE179" s="72"/>
      <c r="BF179" s="72"/>
      <c r="BG179" s="72"/>
      <c r="BH179" s="72"/>
    </row>
    <row r="180" spans="1:60" s="17" customFormat="1" ht="19.5" customHeight="1" x14ac:dyDescent="0.35">
      <c r="A180" s="72"/>
      <c r="B180" s="35" t="s">
        <v>173</v>
      </c>
      <c r="C180" s="77" t="str">
        <f>C4</f>
        <v>H&amp;M MAN</v>
      </c>
      <c r="D180" s="72"/>
      <c r="E180" s="72"/>
      <c r="F180" s="72"/>
      <c r="G180" s="72"/>
      <c r="H180" s="72"/>
      <c r="I180" s="72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  <c r="AV180" s="72"/>
      <c r="AW180" s="72"/>
      <c r="AX180" s="72"/>
      <c r="AY180" s="72"/>
      <c r="AZ180" s="72"/>
      <c r="BA180" s="32" t="s">
        <v>174</v>
      </c>
      <c r="BB180" s="22" t="s">
        <v>175</v>
      </c>
      <c r="BC180" s="72"/>
      <c r="BD180" s="75"/>
      <c r="BE180" s="72"/>
      <c r="BF180" s="72"/>
      <c r="BG180" s="72"/>
      <c r="BH180" s="72"/>
    </row>
    <row r="181" spans="1:60" s="17" customFormat="1" ht="19.5" customHeight="1" thickBot="1" x14ac:dyDescent="0.4">
      <c r="A181" s="72"/>
      <c r="B181" s="35" t="s">
        <v>176</v>
      </c>
      <c r="C181" s="25">
        <f>C5</f>
        <v>42311</v>
      </c>
      <c r="D181" s="72"/>
      <c r="E181" s="72"/>
      <c r="F181" s="72"/>
      <c r="G181" s="72"/>
      <c r="H181" s="72"/>
      <c r="I181" s="72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27" t="s">
        <v>177</v>
      </c>
      <c r="BB181" s="23" t="s">
        <v>178</v>
      </c>
      <c r="BC181" s="72"/>
      <c r="BD181" s="75"/>
      <c r="BE181" s="72"/>
      <c r="BF181" s="72"/>
      <c r="BG181" s="72"/>
      <c r="BH181" s="72"/>
    </row>
    <row r="182" spans="1:60" s="17" customFormat="1" ht="19.5" customHeight="1" x14ac:dyDescent="0.35">
      <c r="A182" s="72"/>
      <c r="B182" s="36" t="s">
        <v>179</v>
      </c>
      <c r="C182" s="25">
        <f>C6</f>
        <v>4000</v>
      </c>
      <c r="D182" s="72"/>
      <c r="E182" s="72"/>
      <c r="F182" s="72"/>
      <c r="G182" s="72"/>
      <c r="H182" s="72"/>
      <c r="I182" s="72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12" t="str">
        <f t="shared" ref="BA182:BG183" si="87">BA6</f>
        <v>XS</v>
      </c>
      <c r="BB182" s="12" t="str">
        <f t="shared" si="87"/>
        <v>S</v>
      </c>
      <c r="BC182" s="12" t="str">
        <f t="shared" si="87"/>
        <v>M</v>
      </c>
      <c r="BD182" s="12" t="str">
        <f t="shared" si="87"/>
        <v>L</v>
      </c>
      <c r="BE182" s="12" t="str">
        <f t="shared" si="87"/>
        <v>XL</v>
      </c>
      <c r="BF182" s="12" t="str">
        <f t="shared" si="87"/>
        <v>XXL</v>
      </c>
      <c r="BG182" s="12">
        <f t="shared" si="87"/>
        <v>0</v>
      </c>
      <c r="BH182" s="13"/>
    </row>
    <row r="183" spans="1:60" s="17" customFormat="1" ht="19.5" customHeight="1" thickBot="1" x14ac:dyDescent="0.4">
      <c r="A183" s="72"/>
      <c r="B183" s="36" t="s">
        <v>197</v>
      </c>
      <c r="C183" s="25" t="str">
        <f>C7</f>
        <v>EKRU</v>
      </c>
      <c r="D183" s="72"/>
      <c r="E183" s="72"/>
      <c r="F183" s="72"/>
      <c r="G183" s="72"/>
      <c r="H183" s="72"/>
      <c r="I183" s="72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14">
        <f t="shared" si="87"/>
        <v>492</v>
      </c>
      <c r="BB183" s="14">
        <f t="shared" si="87"/>
        <v>11438</v>
      </c>
      <c r="BC183" s="14">
        <f t="shared" si="87"/>
        <v>13689</v>
      </c>
      <c r="BD183" s="14">
        <f t="shared" si="87"/>
        <v>9760</v>
      </c>
      <c r="BE183" s="14">
        <f t="shared" si="87"/>
        <v>4794</v>
      </c>
      <c r="BF183" s="14">
        <f t="shared" si="87"/>
        <v>2138</v>
      </c>
      <c r="BG183" s="14">
        <f t="shared" si="87"/>
        <v>0</v>
      </c>
      <c r="BH183" s="15">
        <f>SUM(BA183:BG183)</f>
        <v>42311</v>
      </c>
    </row>
    <row r="184" spans="1:60" s="17" customFormat="1" ht="19.5" customHeight="1" thickBot="1" x14ac:dyDescent="0.4">
      <c r="A184" s="42">
        <f>C178</f>
        <v>45425</v>
      </c>
      <c r="B184" s="38" t="str">
        <f>B185</f>
        <v>Yaka İç Dikiş</v>
      </c>
      <c r="C184" s="39" t="s">
        <v>180</v>
      </c>
      <c r="D184" s="69" t="s">
        <v>181</v>
      </c>
      <c r="E184" s="48">
        <v>0.34375</v>
      </c>
      <c r="F184" s="49">
        <v>0.35416666666666669</v>
      </c>
      <c r="G184" s="49">
        <v>0.36458333333333331</v>
      </c>
      <c r="H184" s="50">
        <v>0.375</v>
      </c>
      <c r="I184" s="48">
        <v>0.38541666666666702</v>
      </c>
      <c r="J184" s="49">
        <v>0.39583333333333298</v>
      </c>
      <c r="K184" s="49">
        <v>0.40625</v>
      </c>
      <c r="L184" s="50">
        <v>0.41666666666666702</v>
      </c>
      <c r="M184" s="48">
        <v>0.4375</v>
      </c>
      <c r="N184" s="49">
        <v>0.44791666666666702</v>
      </c>
      <c r="O184" s="49">
        <v>0.45833333333333398</v>
      </c>
      <c r="P184" s="50">
        <v>0.46875</v>
      </c>
      <c r="Q184" s="48">
        <v>0.47916666666666702</v>
      </c>
      <c r="R184" s="49">
        <v>0.48958333333333398</v>
      </c>
      <c r="S184" s="49">
        <v>0.5</v>
      </c>
      <c r="T184" s="50">
        <v>0.51041666666666696</v>
      </c>
      <c r="U184" s="51">
        <v>0.52083333333333204</v>
      </c>
      <c r="V184" s="48">
        <v>0.5625</v>
      </c>
      <c r="W184" s="49">
        <v>0.57291666666666663</v>
      </c>
      <c r="X184" s="49">
        <v>0.58333333333333304</v>
      </c>
      <c r="Y184" s="50">
        <v>0.59375</v>
      </c>
      <c r="Z184" s="48">
        <v>0.60416666666666696</v>
      </c>
      <c r="AA184" s="49">
        <v>0.61458333333333304</v>
      </c>
      <c r="AB184" s="49">
        <v>0.625</v>
      </c>
      <c r="AC184" s="50">
        <v>0.63541666666666596</v>
      </c>
      <c r="AD184" s="48">
        <v>0.65625</v>
      </c>
      <c r="AE184" s="49">
        <v>0.66666666666666663</v>
      </c>
      <c r="AF184" s="49">
        <v>0.67708333333333304</v>
      </c>
      <c r="AG184" s="50">
        <v>0.6875</v>
      </c>
      <c r="AH184" s="48">
        <v>0.69791666666666696</v>
      </c>
      <c r="AI184" s="49">
        <v>0.70833333333333304</v>
      </c>
      <c r="AJ184" s="49">
        <v>0.71875</v>
      </c>
      <c r="AK184" s="50">
        <v>0.72916666666666696</v>
      </c>
      <c r="AL184" s="48">
        <v>0.73958333333333404</v>
      </c>
      <c r="AM184" s="49">
        <v>0.750000000000001</v>
      </c>
      <c r="AN184" s="49">
        <v>0.76041666666666796</v>
      </c>
      <c r="AO184" s="50">
        <v>0.77083333333333504</v>
      </c>
      <c r="AP184" s="48">
        <v>0.781250000000002</v>
      </c>
      <c r="AQ184" s="49">
        <v>0.79166666666666896</v>
      </c>
      <c r="AR184" s="49">
        <v>0.80208333333333603</v>
      </c>
      <c r="AS184" s="50">
        <v>0.812500000000003</v>
      </c>
      <c r="AT184" s="48">
        <v>0.82291666666666996</v>
      </c>
      <c r="AU184" s="49">
        <v>0.83333333333333703</v>
      </c>
      <c r="AV184" s="49">
        <v>0.843750000000004</v>
      </c>
      <c r="AW184" s="50">
        <v>0.85416666666666663</v>
      </c>
      <c r="AX184" s="68" t="s">
        <v>260</v>
      </c>
      <c r="AY184" s="28" t="s">
        <v>261</v>
      </c>
      <c r="AZ184" s="29" t="s">
        <v>262</v>
      </c>
      <c r="BA184" s="136" t="str">
        <f>B185</f>
        <v>Yaka İç Dikiş</v>
      </c>
      <c r="BB184" s="137"/>
      <c r="BC184" s="137"/>
      <c r="BD184" s="137"/>
      <c r="BE184" s="137"/>
      <c r="BF184" s="137"/>
      <c r="BG184" s="137"/>
      <c r="BH184" s="138"/>
    </row>
    <row r="185" spans="1:60" s="17" customFormat="1" ht="19.5" customHeight="1" thickBot="1" x14ac:dyDescent="0.4">
      <c r="A185" s="41">
        <f t="shared" ref="A185:A190" si="88">A184</f>
        <v>45425</v>
      </c>
      <c r="B185" s="37" t="str">
        <f>B9</f>
        <v>Yaka İç Dikiş</v>
      </c>
      <c r="C185" s="66">
        <f>C9</f>
        <v>0</v>
      </c>
      <c r="D185" s="70">
        <f>D9</f>
        <v>200</v>
      </c>
      <c r="E185" s="63"/>
      <c r="F185" s="55"/>
      <c r="G185" s="55"/>
      <c r="H185" s="56"/>
      <c r="I185" s="63"/>
      <c r="J185" s="55"/>
      <c r="K185" s="55"/>
      <c r="L185" s="56"/>
      <c r="M185" s="63"/>
      <c r="N185" s="55"/>
      <c r="O185" s="55"/>
      <c r="P185" s="56"/>
      <c r="Q185" s="63"/>
      <c r="R185" s="55"/>
      <c r="S185" s="55"/>
      <c r="T185" s="55"/>
      <c r="U185" s="56"/>
      <c r="V185" s="63"/>
      <c r="W185" s="55"/>
      <c r="X185" s="55"/>
      <c r="Y185" s="56"/>
      <c r="Z185" s="63"/>
      <c r="AA185" s="55"/>
      <c r="AB185" s="55"/>
      <c r="AC185" s="56"/>
      <c r="AD185" s="63"/>
      <c r="AE185" s="55"/>
      <c r="AF185" s="55"/>
      <c r="AG185" s="56"/>
      <c r="AH185" s="63"/>
      <c r="AI185" s="55"/>
      <c r="AJ185" s="55"/>
      <c r="AK185" s="56"/>
      <c r="AL185" s="63"/>
      <c r="AM185" s="55"/>
      <c r="AN185" s="55"/>
      <c r="AO185" s="56"/>
      <c r="AP185" s="63"/>
      <c r="AQ185" s="54"/>
      <c r="AR185" s="55"/>
      <c r="AS185" s="56"/>
      <c r="AT185" s="53"/>
      <c r="AU185" s="54"/>
      <c r="AV185" s="55"/>
      <c r="AW185" s="56"/>
      <c r="AX185" s="33">
        <f>SUM(E185:AW185)</f>
        <v>0</v>
      </c>
      <c r="AY185" s="31">
        <f>IFERROR(AVERAGEIF(E185:AW185,"&lt;&gt;0",(E185:AW185)),)</f>
        <v>0</v>
      </c>
      <c r="AZ185" s="30">
        <f>IFERROR(AY185/D185,0)</f>
        <v>0</v>
      </c>
      <c r="BA185" s="103" t="s">
        <v>182</v>
      </c>
      <c r="BB185" s="100" t="s">
        <v>183</v>
      </c>
      <c r="BC185" s="100" t="s">
        <v>184</v>
      </c>
      <c r="BD185" s="101" t="s">
        <v>185</v>
      </c>
      <c r="BE185" s="100" t="s">
        <v>186</v>
      </c>
      <c r="BF185" s="102" t="s">
        <v>187</v>
      </c>
      <c r="BG185" s="100" t="s">
        <v>188</v>
      </c>
      <c r="BH185" s="102" t="s">
        <v>189</v>
      </c>
    </row>
    <row r="186" spans="1:60" s="17" customFormat="1" ht="19.5" customHeight="1" thickBot="1" x14ac:dyDescent="0.4">
      <c r="A186" s="41">
        <f t="shared" si="88"/>
        <v>45425</v>
      </c>
      <c r="B186" s="37" t="str">
        <f>B185</f>
        <v>Yaka İç Dikiş</v>
      </c>
      <c r="C186" s="66">
        <f>C10</f>
        <v>0</v>
      </c>
      <c r="D186" s="67">
        <f>D185</f>
        <v>200</v>
      </c>
      <c r="E186" s="57"/>
      <c r="F186" s="52"/>
      <c r="G186" s="52"/>
      <c r="H186" s="58"/>
      <c r="I186" s="57"/>
      <c r="J186" s="52"/>
      <c r="K186" s="52"/>
      <c r="L186" s="58"/>
      <c r="M186" s="57"/>
      <c r="N186" s="52"/>
      <c r="O186" s="52"/>
      <c r="P186" s="58"/>
      <c r="Q186" s="57"/>
      <c r="R186" s="52"/>
      <c r="S186" s="52"/>
      <c r="T186" s="52"/>
      <c r="U186" s="58"/>
      <c r="V186" s="57"/>
      <c r="W186" s="52"/>
      <c r="X186" s="52"/>
      <c r="Y186" s="58"/>
      <c r="Z186" s="57"/>
      <c r="AA186" s="52"/>
      <c r="AB186" s="52"/>
      <c r="AC186" s="58"/>
      <c r="AD186" s="57"/>
      <c r="AE186" s="52"/>
      <c r="AF186" s="52"/>
      <c r="AG186" s="58"/>
      <c r="AH186" s="57"/>
      <c r="AI186" s="52"/>
      <c r="AJ186" s="52"/>
      <c r="AK186" s="58"/>
      <c r="AL186" s="57"/>
      <c r="AM186" s="52"/>
      <c r="AN186" s="52"/>
      <c r="AO186" s="58"/>
      <c r="AP186" s="57"/>
      <c r="AQ186" s="52"/>
      <c r="AR186" s="52"/>
      <c r="AS186" s="58"/>
      <c r="AT186" s="57"/>
      <c r="AU186" s="52"/>
      <c r="AV186" s="52"/>
      <c r="AW186" s="58"/>
      <c r="AX186" s="33">
        <f>SUM(E186:AW186)</f>
        <v>0</v>
      </c>
      <c r="AY186" s="31">
        <f>IFERROR(AVERAGEIF(E186:AW186,"&lt;&gt;0",(E186:AW186)),)</f>
        <v>0</v>
      </c>
      <c r="AZ186" s="30">
        <f>IFERROR(AY186/D186,0)</f>
        <v>0</v>
      </c>
      <c r="BA186" s="94">
        <f>AX190+BA10</f>
        <v>100</v>
      </c>
      <c r="BB186" s="95">
        <f>(D190*8)</f>
        <v>4000</v>
      </c>
      <c r="BC186" s="96">
        <f>C181-BA186</f>
        <v>42211</v>
      </c>
      <c r="BD186" s="96">
        <f>BC186</f>
        <v>42211</v>
      </c>
      <c r="BE186" s="97">
        <f>IFERROR(BC186/E190,0)</f>
        <v>0</v>
      </c>
      <c r="BF186" s="98">
        <f>IFERROR(BE186/9,0)</f>
        <v>0</v>
      </c>
      <c r="BG186" s="97">
        <f>IFERROR(BC186/AY190,0)</f>
        <v>0</v>
      </c>
      <c r="BH186" s="97">
        <f>IFERROR(BG186/9,0)</f>
        <v>0</v>
      </c>
    </row>
    <row r="187" spans="1:60" s="17" customFormat="1" ht="19.5" customHeight="1" x14ac:dyDescent="0.35">
      <c r="A187" s="41">
        <f t="shared" si="88"/>
        <v>45425</v>
      </c>
      <c r="B187" s="37" t="str">
        <f>B186</f>
        <v>Yaka İç Dikiş</v>
      </c>
      <c r="C187" s="66">
        <f>C11</f>
        <v>0</v>
      </c>
      <c r="D187" s="67">
        <f>D186</f>
        <v>200</v>
      </c>
      <c r="E187" s="57"/>
      <c r="F187" s="52"/>
      <c r="G187" s="52"/>
      <c r="H187" s="58"/>
      <c r="I187" s="57"/>
      <c r="J187" s="52"/>
      <c r="K187" s="52"/>
      <c r="L187" s="58"/>
      <c r="M187" s="57"/>
      <c r="N187" s="52"/>
      <c r="O187" s="52"/>
      <c r="P187" s="58"/>
      <c r="Q187" s="57"/>
      <c r="R187" s="52"/>
      <c r="S187" s="52"/>
      <c r="T187" s="52"/>
      <c r="U187" s="58"/>
      <c r="V187" s="57"/>
      <c r="W187" s="52"/>
      <c r="X187" s="52"/>
      <c r="Y187" s="58"/>
      <c r="Z187" s="57"/>
      <c r="AA187" s="52"/>
      <c r="AB187" s="52"/>
      <c r="AC187" s="58"/>
      <c r="AD187" s="57"/>
      <c r="AE187" s="52"/>
      <c r="AF187" s="52"/>
      <c r="AG187" s="58"/>
      <c r="AH187" s="57"/>
      <c r="AI187" s="52"/>
      <c r="AJ187" s="52"/>
      <c r="AK187" s="58"/>
      <c r="AL187" s="57"/>
      <c r="AM187" s="52"/>
      <c r="AN187" s="52"/>
      <c r="AO187" s="58"/>
      <c r="AP187" s="57"/>
      <c r="AQ187" s="52"/>
      <c r="AR187" s="52"/>
      <c r="AS187" s="58"/>
      <c r="AT187" s="57"/>
      <c r="AU187" s="52"/>
      <c r="AV187" s="52"/>
      <c r="AW187" s="58"/>
      <c r="AX187" s="33">
        <f>SUM(E187:AW187)</f>
        <v>0</v>
      </c>
      <c r="AY187" s="31">
        <f>IFERROR(AVERAGEIF(E187:AW187,"&lt;&gt;0",(E187:AW187)),)</f>
        <v>0</v>
      </c>
      <c r="AZ187" s="30">
        <f>IFERROR(AY187/D187,0)</f>
        <v>0</v>
      </c>
      <c r="BA187" s="34"/>
      <c r="BB187" s="34"/>
      <c r="BC187" s="34"/>
      <c r="BD187" s="76"/>
      <c r="BE187" s="34"/>
      <c r="BF187" s="34"/>
      <c r="BG187" s="34"/>
      <c r="BH187" s="34"/>
    </row>
    <row r="188" spans="1:60" s="17" customFormat="1" ht="19.5" customHeight="1" x14ac:dyDescent="0.35">
      <c r="A188" s="41">
        <f t="shared" si="88"/>
        <v>45425</v>
      </c>
      <c r="B188" s="37" t="str">
        <f>B187</f>
        <v>Yaka İç Dikiş</v>
      </c>
      <c r="C188" s="66">
        <f>C12</f>
        <v>0</v>
      </c>
      <c r="D188" s="67">
        <f>D187</f>
        <v>200</v>
      </c>
      <c r="E188" s="57"/>
      <c r="F188" s="52"/>
      <c r="G188" s="52"/>
      <c r="H188" s="58"/>
      <c r="I188" s="57"/>
      <c r="J188" s="52"/>
      <c r="K188" s="52"/>
      <c r="L188" s="58"/>
      <c r="M188" s="57"/>
      <c r="N188" s="52"/>
      <c r="O188" s="52"/>
      <c r="P188" s="58"/>
      <c r="Q188" s="57"/>
      <c r="R188" s="52"/>
      <c r="S188" s="52"/>
      <c r="T188" s="52"/>
      <c r="U188" s="58"/>
      <c r="V188" s="57"/>
      <c r="W188" s="52"/>
      <c r="X188" s="52"/>
      <c r="Y188" s="58"/>
      <c r="Z188" s="57"/>
      <c r="AA188" s="52"/>
      <c r="AB188" s="52"/>
      <c r="AC188" s="58"/>
      <c r="AD188" s="57"/>
      <c r="AE188" s="52"/>
      <c r="AF188" s="52"/>
      <c r="AG188" s="58"/>
      <c r="AH188" s="57"/>
      <c r="AI188" s="52"/>
      <c r="AJ188" s="52"/>
      <c r="AK188" s="58"/>
      <c r="AL188" s="57"/>
      <c r="AM188" s="52"/>
      <c r="AN188" s="52"/>
      <c r="AO188" s="58"/>
      <c r="AP188" s="57"/>
      <c r="AQ188" s="52"/>
      <c r="AR188" s="52"/>
      <c r="AS188" s="58"/>
      <c r="AT188" s="57"/>
      <c r="AU188" s="52"/>
      <c r="AV188" s="52"/>
      <c r="AW188" s="58"/>
      <c r="AX188" s="33">
        <f>SUM(E188:AW188)</f>
        <v>0</v>
      </c>
      <c r="AY188" s="31">
        <f>IFERROR(AVERAGEIF(E188:AW188,"&lt;&gt;0",(E188:AW188)),)</f>
        <v>0</v>
      </c>
      <c r="AZ188" s="30">
        <f>IFERROR(AY188/D188,0)</f>
        <v>0</v>
      </c>
      <c r="BA188" s="34"/>
      <c r="BB188" s="34"/>
      <c r="BC188" s="34"/>
      <c r="BD188" s="76"/>
      <c r="BE188" s="34"/>
      <c r="BF188" s="34"/>
      <c r="BG188" s="34"/>
      <c r="BH188" s="34"/>
    </row>
    <row r="189" spans="1:60" s="17" customFormat="1" ht="19.5" customHeight="1" thickBot="1" x14ac:dyDescent="0.4">
      <c r="A189" s="41">
        <f t="shared" si="88"/>
        <v>45425</v>
      </c>
      <c r="B189" s="37" t="str">
        <f>B188</f>
        <v>Yaka İç Dikiş</v>
      </c>
      <c r="C189" s="66">
        <f>C13</f>
        <v>0</v>
      </c>
      <c r="D189" s="67">
        <f>D188</f>
        <v>200</v>
      </c>
      <c r="E189" s="64"/>
      <c r="F189" s="61"/>
      <c r="G189" s="61"/>
      <c r="H189" s="62"/>
      <c r="I189" s="64"/>
      <c r="J189" s="61"/>
      <c r="K189" s="61"/>
      <c r="L189" s="62"/>
      <c r="M189" s="64"/>
      <c r="N189" s="61"/>
      <c r="O189" s="61"/>
      <c r="P189" s="62"/>
      <c r="Q189" s="64"/>
      <c r="R189" s="61"/>
      <c r="S189" s="61"/>
      <c r="T189" s="61"/>
      <c r="U189" s="62"/>
      <c r="V189" s="64"/>
      <c r="W189" s="61"/>
      <c r="X189" s="61"/>
      <c r="Y189" s="62"/>
      <c r="Z189" s="59"/>
      <c r="AA189" s="60"/>
      <c r="AB189" s="61"/>
      <c r="AC189" s="62"/>
      <c r="AD189" s="59"/>
      <c r="AE189" s="60"/>
      <c r="AF189" s="61"/>
      <c r="AG189" s="62"/>
      <c r="AH189" s="59"/>
      <c r="AI189" s="60"/>
      <c r="AJ189" s="61"/>
      <c r="AK189" s="62"/>
      <c r="AL189" s="59"/>
      <c r="AM189" s="60"/>
      <c r="AN189" s="61"/>
      <c r="AO189" s="62"/>
      <c r="AP189" s="59"/>
      <c r="AQ189" s="60"/>
      <c r="AR189" s="61"/>
      <c r="AS189" s="62"/>
      <c r="AT189" s="59"/>
      <c r="AU189" s="60"/>
      <c r="AV189" s="61"/>
      <c r="AW189" s="62"/>
      <c r="AX189" s="43">
        <f>SUM(E189:AW189)</f>
        <v>0</v>
      </c>
      <c r="AY189" s="44">
        <f>IFERROR(AVERAGEIF(E189:AW189,"&lt;&gt;0",(E189:AW189)),)</f>
        <v>0</v>
      </c>
      <c r="AZ189" s="45">
        <f>IFERROR(AY189/D189,0)</f>
        <v>0</v>
      </c>
      <c r="BA189" s="34"/>
      <c r="BB189" s="34"/>
      <c r="BC189" s="34"/>
      <c r="BD189" s="76"/>
      <c r="BE189" s="34"/>
      <c r="BF189" s="34"/>
      <c r="BG189" s="34"/>
      <c r="BH189" s="34"/>
    </row>
    <row r="190" spans="1:60" s="17" customFormat="1" ht="19.5" customHeight="1" thickBot="1" x14ac:dyDescent="0.45">
      <c r="A190" s="41">
        <f t="shared" si="88"/>
        <v>45425</v>
      </c>
      <c r="B190" s="139" t="str">
        <f>B185</f>
        <v>Yaka İç Dikiş</v>
      </c>
      <c r="C190" s="140"/>
      <c r="D190" s="40">
        <f>C182/8</f>
        <v>500</v>
      </c>
      <c r="E190" s="151">
        <f>SUM(E185:H189)</f>
        <v>0</v>
      </c>
      <c r="F190" s="152"/>
      <c r="G190" s="152"/>
      <c r="H190" s="153"/>
      <c r="I190" s="151">
        <f>SUM(I185:L189)</f>
        <v>0</v>
      </c>
      <c r="J190" s="152"/>
      <c r="K190" s="152"/>
      <c r="L190" s="153"/>
      <c r="M190" s="151">
        <f>SUM(M185:P189)</f>
        <v>0</v>
      </c>
      <c r="N190" s="152"/>
      <c r="O190" s="152"/>
      <c r="P190" s="153"/>
      <c r="Q190" s="151">
        <f>SUM(Q185:U189)</f>
        <v>0</v>
      </c>
      <c r="R190" s="152"/>
      <c r="S190" s="152"/>
      <c r="T190" s="152"/>
      <c r="U190" s="153"/>
      <c r="V190" s="151">
        <f>SUM(V185:Y189)</f>
        <v>0</v>
      </c>
      <c r="W190" s="152"/>
      <c r="X190" s="152"/>
      <c r="Y190" s="153"/>
      <c r="Z190" s="151">
        <f>SUM(Z185:AC189)</f>
        <v>0</v>
      </c>
      <c r="AA190" s="152"/>
      <c r="AB190" s="152"/>
      <c r="AC190" s="153"/>
      <c r="AD190" s="151">
        <f>SUM(AD185:AG189)</f>
        <v>0</v>
      </c>
      <c r="AE190" s="152"/>
      <c r="AF190" s="152"/>
      <c r="AG190" s="153"/>
      <c r="AH190" s="151">
        <f>SUM(AH185:AK189)</f>
        <v>0</v>
      </c>
      <c r="AI190" s="152"/>
      <c r="AJ190" s="152"/>
      <c r="AK190" s="153"/>
      <c r="AL190" s="151">
        <f>SUM(AL185:AO189)</f>
        <v>0</v>
      </c>
      <c r="AM190" s="152"/>
      <c r="AN190" s="152"/>
      <c r="AO190" s="153"/>
      <c r="AP190" s="151">
        <f>SUM(AP185:AS189)</f>
        <v>0</v>
      </c>
      <c r="AQ190" s="152"/>
      <c r="AR190" s="152"/>
      <c r="AS190" s="153"/>
      <c r="AT190" s="151">
        <f>SUM(AT185:AW189)</f>
        <v>0</v>
      </c>
      <c r="AU190" s="152"/>
      <c r="AV190" s="152"/>
      <c r="AW190" s="153"/>
      <c r="AX190" s="87">
        <f>SUM(AX185:AX189)</f>
        <v>0</v>
      </c>
      <c r="AY190" s="88">
        <f>IFERROR(AVERAGEIF(E190:AV190,"&lt;&gt;0",(E190:AV190)),)</f>
        <v>0</v>
      </c>
      <c r="AZ190" s="46">
        <f>IFERROR(AX190/BB186,0)</f>
        <v>0</v>
      </c>
      <c r="BA190" s="34"/>
      <c r="BB190" s="34"/>
      <c r="BC190" s="34"/>
      <c r="BD190" s="76"/>
      <c r="BE190" s="34"/>
      <c r="BF190" s="34"/>
      <c r="BG190" s="34"/>
      <c r="BH190" s="34"/>
    </row>
    <row r="191" spans="1:60" s="17" customFormat="1" ht="19.5" customHeight="1" thickBot="1" x14ac:dyDescent="0.4">
      <c r="A191" s="42">
        <f>A184</f>
        <v>45425</v>
      </c>
      <c r="B191" s="38" t="str">
        <f>B192</f>
        <v>Yaka Tıktık</v>
      </c>
      <c r="C191" s="39" t="s">
        <v>180</v>
      </c>
      <c r="D191" s="69" t="s">
        <v>181</v>
      </c>
      <c r="E191" s="48">
        <v>0.34375</v>
      </c>
      <c r="F191" s="49">
        <v>0.35416666666666669</v>
      </c>
      <c r="G191" s="49">
        <v>0.36458333333333331</v>
      </c>
      <c r="H191" s="50">
        <v>0.375</v>
      </c>
      <c r="I191" s="48">
        <v>0.38541666666666702</v>
      </c>
      <c r="J191" s="49">
        <v>0.39583333333333298</v>
      </c>
      <c r="K191" s="49">
        <v>0.40625</v>
      </c>
      <c r="L191" s="50">
        <v>0.41666666666666702</v>
      </c>
      <c r="M191" s="48">
        <v>0.4375</v>
      </c>
      <c r="N191" s="49">
        <v>0.44791666666666702</v>
      </c>
      <c r="O191" s="49">
        <v>0.45833333333333398</v>
      </c>
      <c r="P191" s="50">
        <v>0.46875</v>
      </c>
      <c r="Q191" s="48">
        <v>0.47916666666666702</v>
      </c>
      <c r="R191" s="49">
        <v>0.48958333333333398</v>
      </c>
      <c r="S191" s="49">
        <v>0.5</v>
      </c>
      <c r="T191" s="50">
        <v>0.51041666666666696</v>
      </c>
      <c r="U191" s="51">
        <v>0.52083333333333204</v>
      </c>
      <c r="V191" s="48">
        <v>0.5625</v>
      </c>
      <c r="W191" s="49">
        <v>0.57291666666666663</v>
      </c>
      <c r="X191" s="49">
        <v>0.58333333333333304</v>
      </c>
      <c r="Y191" s="50">
        <v>0.59375</v>
      </c>
      <c r="Z191" s="48">
        <v>0.60416666666666696</v>
      </c>
      <c r="AA191" s="49">
        <v>0.61458333333333304</v>
      </c>
      <c r="AB191" s="49">
        <v>0.625</v>
      </c>
      <c r="AC191" s="50">
        <v>0.63541666666666596</v>
      </c>
      <c r="AD191" s="48">
        <v>0.65625</v>
      </c>
      <c r="AE191" s="49">
        <v>0.66666666666666663</v>
      </c>
      <c r="AF191" s="49">
        <v>0.67708333333333304</v>
      </c>
      <c r="AG191" s="50">
        <v>0.6875</v>
      </c>
      <c r="AH191" s="48">
        <v>0.69791666666666696</v>
      </c>
      <c r="AI191" s="49">
        <v>0.70833333333333304</v>
      </c>
      <c r="AJ191" s="49">
        <v>0.71875</v>
      </c>
      <c r="AK191" s="50">
        <v>0.72916666666666696</v>
      </c>
      <c r="AL191" s="48">
        <v>0.73958333333333404</v>
      </c>
      <c r="AM191" s="49">
        <v>0.750000000000001</v>
      </c>
      <c r="AN191" s="49">
        <v>0.76041666666666796</v>
      </c>
      <c r="AO191" s="50">
        <v>0.77083333333333504</v>
      </c>
      <c r="AP191" s="48">
        <v>0.781250000000002</v>
      </c>
      <c r="AQ191" s="49">
        <v>0.79166666666666896</v>
      </c>
      <c r="AR191" s="49">
        <v>0.80208333333333603</v>
      </c>
      <c r="AS191" s="50">
        <v>0.812500000000003</v>
      </c>
      <c r="AT191" s="48">
        <v>0.82291666666666996</v>
      </c>
      <c r="AU191" s="49">
        <v>0.83333333333333703</v>
      </c>
      <c r="AV191" s="49">
        <v>0.843750000000004</v>
      </c>
      <c r="AW191" s="50">
        <v>0.85416666666666663</v>
      </c>
      <c r="AX191" s="68" t="s">
        <v>260</v>
      </c>
      <c r="AY191" s="28" t="s">
        <v>261</v>
      </c>
      <c r="AZ191" s="29" t="s">
        <v>262</v>
      </c>
      <c r="BA191" s="136" t="str">
        <f>B192</f>
        <v>Yaka Tıktık</v>
      </c>
      <c r="BB191" s="137"/>
      <c r="BC191" s="137"/>
      <c r="BD191" s="137"/>
      <c r="BE191" s="137"/>
      <c r="BF191" s="137"/>
      <c r="BG191" s="137"/>
      <c r="BH191" s="138"/>
    </row>
    <row r="192" spans="1:60" s="17" customFormat="1" ht="19.5" customHeight="1" thickBot="1" x14ac:dyDescent="0.4">
      <c r="A192" s="41">
        <f>A184</f>
        <v>45425</v>
      </c>
      <c r="B192" s="37" t="str">
        <f>B16</f>
        <v>Yaka Tıktık</v>
      </c>
      <c r="C192" s="66">
        <f>C16</f>
        <v>0</v>
      </c>
      <c r="D192" s="70">
        <f>D16</f>
        <v>150</v>
      </c>
      <c r="E192" s="63"/>
      <c r="F192" s="55"/>
      <c r="G192" s="55"/>
      <c r="H192" s="56"/>
      <c r="I192" s="63"/>
      <c r="J192" s="55"/>
      <c r="K192" s="55"/>
      <c r="L192" s="56"/>
      <c r="M192" s="63"/>
      <c r="N192" s="55"/>
      <c r="O192" s="55"/>
      <c r="P192" s="56"/>
      <c r="Q192" s="63"/>
      <c r="R192" s="55"/>
      <c r="S192" s="55"/>
      <c r="T192" s="55"/>
      <c r="U192" s="56"/>
      <c r="V192" s="63"/>
      <c r="W192" s="55"/>
      <c r="X192" s="55"/>
      <c r="Y192" s="56"/>
      <c r="Z192" s="63"/>
      <c r="AA192" s="55"/>
      <c r="AB192" s="55"/>
      <c r="AC192" s="56"/>
      <c r="AD192" s="63"/>
      <c r="AE192" s="55"/>
      <c r="AF192" s="55"/>
      <c r="AG192" s="56"/>
      <c r="AH192" s="63"/>
      <c r="AI192" s="55"/>
      <c r="AJ192" s="55"/>
      <c r="AK192" s="56"/>
      <c r="AL192" s="63"/>
      <c r="AM192" s="55"/>
      <c r="AN192" s="55"/>
      <c r="AO192" s="56"/>
      <c r="AP192" s="63"/>
      <c r="AQ192" s="54"/>
      <c r="AR192" s="55"/>
      <c r="AS192" s="56"/>
      <c r="AT192" s="53"/>
      <c r="AU192" s="54"/>
      <c r="AV192" s="55"/>
      <c r="AW192" s="56"/>
      <c r="AX192" s="33">
        <f>SUM(E192:AW192)</f>
        <v>0</v>
      </c>
      <c r="AY192" s="31">
        <f>IFERROR(AVERAGEIF(E192:AW192,"&lt;&gt;0",(E192:AW192)),)</f>
        <v>0</v>
      </c>
      <c r="AZ192" s="30">
        <f>IFERROR(AY192/D192,0)</f>
        <v>0</v>
      </c>
      <c r="BA192" s="103" t="s">
        <v>182</v>
      </c>
      <c r="BB192" s="100" t="s">
        <v>183</v>
      </c>
      <c r="BC192" s="100" t="s">
        <v>184</v>
      </c>
      <c r="BD192" s="101" t="s">
        <v>185</v>
      </c>
      <c r="BE192" s="100" t="s">
        <v>186</v>
      </c>
      <c r="BF192" s="102" t="s">
        <v>187</v>
      </c>
      <c r="BG192" s="100" t="s">
        <v>188</v>
      </c>
      <c r="BH192" s="102" t="s">
        <v>189</v>
      </c>
    </row>
    <row r="193" spans="1:60" s="17" customFormat="1" ht="19.5" customHeight="1" thickBot="1" x14ac:dyDescent="0.4">
      <c r="A193" s="41">
        <f t="shared" ref="A193:B196" si="89">A192</f>
        <v>45425</v>
      </c>
      <c r="B193" s="37" t="str">
        <f t="shared" si="89"/>
        <v>Yaka Tıktık</v>
      </c>
      <c r="C193" s="66">
        <f>C17</f>
        <v>0</v>
      </c>
      <c r="D193" s="67">
        <f>D192</f>
        <v>150</v>
      </c>
      <c r="E193" s="57"/>
      <c r="F193" s="52"/>
      <c r="G193" s="52"/>
      <c r="H193" s="58"/>
      <c r="I193" s="57"/>
      <c r="J193" s="52"/>
      <c r="K193" s="52"/>
      <c r="L193" s="58"/>
      <c r="M193" s="57"/>
      <c r="N193" s="52"/>
      <c r="O193" s="52"/>
      <c r="P193" s="58"/>
      <c r="Q193" s="57"/>
      <c r="R193" s="52"/>
      <c r="S193" s="52"/>
      <c r="T193" s="52"/>
      <c r="U193" s="58"/>
      <c r="V193" s="57"/>
      <c r="W193" s="52"/>
      <c r="X193" s="52"/>
      <c r="Y193" s="58"/>
      <c r="Z193" s="57"/>
      <c r="AA193" s="52"/>
      <c r="AB193" s="52"/>
      <c r="AC193" s="58"/>
      <c r="AD193" s="57"/>
      <c r="AE193" s="52"/>
      <c r="AF193" s="52"/>
      <c r="AG193" s="58"/>
      <c r="AH193" s="57"/>
      <c r="AI193" s="52"/>
      <c r="AJ193" s="52"/>
      <c r="AK193" s="58"/>
      <c r="AL193" s="57"/>
      <c r="AM193" s="52"/>
      <c r="AN193" s="52"/>
      <c r="AO193" s="58"/>
      <c r="AP193" s="57"/>
      <c r="AQ193" s="52"/>
      <c r="AR193" s="52"/>
      <c r="AS193" s="58"/>
      <c r="AT193" s="57"/>
      <c r="AU193" s="52"/>
      <c r="AV193" s="52"/>
      <c r="AW193" s="58"/>
      <c r="AX193" s="33">
        <f>SUM(E193:AW193)</f>
        <v>0</v>
      </c>
      <c r="AY193" s="31">
        <f>IFERROR(AVERAGEIF(E193:AW193,"&lt;&gt;0",(E193:AW193)),)</f>
        <v>0</v>
      </c>
      <c r="AZ193" s="30">
        <f>IFERROR(AY193/D193,0)</f>
        <v>0</v>
      </c>
      <c r="BA193" s="94">
        <f>AX197+BA17</f>
        <v>0</v>
      </c>
      <c r="BB193" s="95">
        <f>(D197*8)</f>
        <v>4000</v>
      </c>
      <c r="BC193" s="96">
        <f>C181-BA193</f>
        <v>42311</v>
      </c>
      <c r="BD193" s="96">
        <f>BA186-BA193</f>
        <v>100</v>
      </c>
      <c r="BE193" s="97">
        <f>IFERROR(BC193/E197,0)</f>
        <v>0</v>
      </c>
      <c r="BF193" s="98">
        <f>IFERROR(BE193/9,0)</f>
        <v>0</v>
      </c>
      <c r="BG193" s="97">
        <f>IFERROR(BC193/AY197,0)</f>
        <v>0</v>
      </c>
      <c r="BH193" s="97">
        <f>IFERROR(BG193/9,0)</f>
        <v>0</v>
      </c>
    </row>
    <row r="194" spans="1:60" s="17" customFormat="1" ht="19.5" customHeight="1" x14ac:dyDescent="0.35">
      <c r="A194" s="41">
        <f t="shared" si="89"/>
        <v>45425</v>
      </c>
      <c r="B194" s="37" t="str">
        <f t="shared" si="89"/>
        <v>Yaka Tıktık</v>
      </c>
      <c r="C194" s="66">
        <f>C18</f>
        <v>0</v>
      </c>
      <c r="D194" s="67">
        <f>D193</f>
        <v>150</v>
      </c>
      <c r="E194" s="57"/>
      <c r="F194" s="52"/>
      <c r="G194" s="52"/>
      <c r="H194" s="58"/>
      <c r="I194" s="57"/>
      <c r="J194" s="52"/>
      <c r="K194" s="52"/>
      <c r="L194" s="58"/>
      <c r="M194" s="57"/>
      <c r="N194" s="52"/>
      <c r="O194" s="52"/>
      <c r="P194" s="58"/>
      <c r="Q194" s="57"/>
      <c r="R194" s="52"/>
      <c r="S194" s="52"/>
      <c r="T194" s="52"/>
      <c r="U194" s="58"/>
      <c r="V194" s="57"/>
      <c r="W194" s="52"/>
      <c r="X194" s="52"/>
      <c r="Y194" s="58"/>
      <c r="Z194" s="57"/>
      <c r="AA194" s="52"/>
      <c r="AB194" s="52"/>
      <c r="AC194" s="58"/>
      <c r="AD194" s="57"/>
      <c r="AE194" s="52"/>
      <c r="AF194" s="52"/>
      <c r="AG194" s="58"/>
      <c r="AH194" s="57"/>
      <c r="AI194" s="52"/>
      <c r="AJ194" s="52"/>
      <c r="AK194" s="58"/>
      <c r="AL194" s="57"/>
      <c r="AM194" s="52"/>
      <c r="AN194" s="52"/>
      <c r="AO194" s="58"/>
      <c r="AP194" s="57"/>
      <c r="AQ194" s="52"/>
      <c r="AR194" s="52"/>
      <c r="AS194" s="58"/>
      <c r="AT194" s="57"/>
      <c r="AU194" s="52"/>
      <c r="AV194" s="52"/>
      <c r="AW194" s="58"/>
      <c r="AX194" s="33">
        <f>SUM(E194:AW194)</f>
        <v>0</v>
      </c>
      <c r="AY194" s="31">
        <f>IFERROR(AVERAGEIF(E194:AW194,"&lt;&gt;0",(E194:AW194)),)</f>
        <v>0</v>
      </c>
      <c r="AZ194" s="30">
        <f>IFERROR(AY194/D194,0)</f>
        <v>0</v>
      </c>
      <c r="BA194" s="34"/>
      <c r="BB194" s="34"/>
      <c r="BC194" s="34"/>
      <c r="BD194" s="76"/>
      <c r="BE194" s="34"/>
      <c r="BF194" s="34"/>
      <c r="BG194" s="34"/>
      <c r="BH194" s="34"/>
    </row>
    <row r="195" spans="1:60" s="17" customFormat="1" ht="19.5" customHeight="1" x14ac:dyDescent="0.35">
      <c r="A195" s="41">
        <f t="shared" si="89"/>
        <v>45425</v>
      </c>
      <c r="B195" s="37" t="str">
        <f t="shared" si="89"/>
        <v>Yaka Tıktık</v>
      </c>
      <c r="C195" s="66">
        <f>C19</f>
        <v>0</v>
      </c>
      <c r="D195" s="67">
        <f>D194</f>
        <v>150</v>
      </c>
      <c r="E195" s="57"/>
      <c r="F195" s="52"/>
      <c r="G195" s="52"/>
      <c r="H195" s="58"/>
      <c r="I195" s="57"/>
      <c r="J195" s="52"/>
      <c r="K195" s="52"/>
      <c r="L195" s="58"/>
      <c r="M195" s="57"/>
      <c r="N195" s="52"/>
      <c r="O195" s="52"/>
      <c r="P195" s="58"/>
      <c r="Q195" s="57"/>
      <c r="R195" s="52"/>
      <c r="S195" s="52"/>
      <c r="T195" s="52"/>
      <c r="U195" s="58"/>
      <c r="V195" s="57"/>
      <c r="W195" s="52"/>
      <c r="X195" s="52"/>
      <c r="Y195" s="58"/>
      <c r="Z195" s="57"/>
      <c r="AA195" s="52"/>
      <c r="AB195" s="52"/>
      <c r="AC195" s="58"/>
      <c r="AD195" s="57"/>
      <c r="AE195" s="52"/>
      <c r="AF195" s="52"/>
      <c r="AG195" s="58"/>
      <c r="AH195" s="57"/>
      <c r="AI195" s="52"/>
      <c r="AJ195" s="52"/>
      <c r="AK195" s="58"/>
      <c r="AL195" s="57"/>
      <c r="AM195" s="52"/>
      <c r="AN195" s="52"/>
      <c r="AO195" s="58"/>
      <c r="AP195" s="57"/>
      <c r="AQ195" s="52"/>
      <c r="AR195" s="52"/>
      <c r="AS195" s="58"/>
      <c r="AT195" s="57"/>
      <c r="AU195" s="52"/>
      <c r="AV195" s="52"/>
      <c r="AW195" s="58"/>
      <c r="AX195" s="33">
        <f>SUM(E195:AW195)</f>
        <v>0</v>
      </c>
      <c r="AY195" s="31">
        <f>IFERROR(AVERAGEIF(E195:AW195,"&lt;&gt;0",(E195:AW195)),)</f>
        <v>0</v>
      </c>
      <c r="AZ195" s="30">
        <f>IFERROR(AY195/D195,0)</f>
        <v>0</v>
      </c>
      <c r="BA195" s="34"/>
      <c r="BB195" s="34"/>
      <c r="BC195" s="34"/>
      <c r="BD195" s="76"/>
      <c r="BE195" s="34"/>
      <c r="BF195" s="34"/>
      <c r="BG195" s="34"/>
      <c r="BH195" s="34"/>
    </row>
    <row r="196" spans="1:60" s="17" customFormat="1" ht="19.5" customHeight="1" thickBot="1" x14ac:dyDescent="0.4">
      <c r="A196" s="41">
        <f t="shared" si="89"/>
        <v>45425</v>
      </c>
      <c r="B196" s="37" t="str">
        <f t="shared" si="89"/>
        <v>Yaka Tıktık</v>
      </c>
      <c r="C196" s="66">
        <f>C20</f>
        <v>0</v>
      </c>
      <c r="D196" s="67">
        <f>D195</f>
        <v>150</v>
      </c>
      <c r="E196" s="64"/>
      <c r="F196" s="61"/>
      <c r="G196" s="61"/>
      <c r="H196" s="62"/>
      <c r="I196" s="64"/>
      <c r="J196" s="61"/>
      <c r="K196" s="61"/>
      <c r="L196" s="62"/>
      <c r="M196" s="64"/>
      <c r="N196" s="61"/>
      <c r="O196" s="61"/>
      <c r="P196" s="62"/>
      <c r="Q196" s="64"/>
      <c r="R196" s="61"/>
      <c r="S196" s="61"/>
      <c r="T196" s="61"/>
      <c r="U196" s="62"/>
      <c r="V196" s="64"/>
      <c r="W196" s="61"/>
      <c r="X196" s="61"/>
      <c r="Y196" s="62"/>
      <c r="Z196" s="59"/>
      <c r="AA196" s="60"/>
      <c r="AB196" s="61"/>
      <c r="AC196" s="62"/>
      <c r="AD196" s="59"/>
      <c r="AE196" s="60"/>
      <c r="AF196" s="61"/>
      <c r="AG196" s="62"/>
      <c r="AH196" s="59"/>
      <c r="AI196" s="60"/>
      <c r="AJ196" s="61"/>
      <c r="AK196" s="62"/>
      <c r="AL196" s="59"/>
      <c r="AM196" s="60"/>
      <c r="AN196" s="61"/>
      <c r="AO196" s="62"/>
      <c r="AP196" s="59"/>
      <c r="AQ196" s="60"/>
      <c r="AR196" s="61"/>
      <c r="AS196" s="62"/>
      <c r="AT196" s="59"/>
      <c r="AU196" s="60"/>
      <c r="AV196" s="61"/>
      <c r="AW196" s="62"/>
      <c r="AX196" s="43">
        <f>SUM(E196:AW196)</f>
        <v>0</v>
      </c>
      <c r="AY196" s="44">
        <f>IFERROR(AVERAGEIF(E196:AW196,"&lt;&gt;0",(E196:AW196)),)</f>
        <v>0</v>
      </c>
      <c r="AZ196" s="45">
        <f>IFERROR(AY196/D196,0)</f>
        <v>0</v>
      </c>
      <c r="BA196" s="34"/>
      <c r="BB196" s="34"/>
      <c r="BC196" s="34"/>
      <c r="BD196" s="76"/>
      <c r="BE196" s="34"/>
      <c r="BF196" s="34"/>
      <c r="BG196" s="34"/>
      <c r="BH196" s="34"/>
    </row>
    <row r="197" spans="1:60" s="17" customFormat="1" ht="19.5" customHeight="1" thickBot="1" x14ac:dyDescent="0.45">
      <c r="A197" s="41">
        <f>A196</f>
        <v>45425</v>
      </c>
      <c r="B197" s="139" t="str">
        <f>B192</f>
        <v>Yaka Tıktık</v>
      </c>
      <c r="C197" s="140"/>
      <c r="D197" s="40">
        <f>C182/8</f>
        <v>500</v>
      </c>
      <c r="E197" s="151">
        <f>SUM(E192:H196)</f>
        <v>0</v>
      </c>
      <c r="F197" s="152"/>
      <c r="G197" s="152"/>
      <c r="H197" s="153"/>
      <c r="I197" s="151">
        <f>SUM(I192:L196)</f>
        <v>0</v>
      </c>
      <c r="J197" s="152"/>
      <c r="K197" s="152"/>
      <c r="L197" s="153"/>
      <c r="M197" s="151">
        <f>SUM(M192:P196)</f>
        <v>0</v>
      </c>
      <c r="N197" s="152"/>
      <c r="O197" s="152"/>
      <c r="P197" s="153"/>
      <c r="Q197" s="151">
        <f>SUM(Q192:U196)</f>
        <v>0</v>
      </c>
      <c r="R197" s="152"/>
      <c r="S197" s="152"/>
      <c r="T197" s="152"/>
      <c r="U197" s="153"/>
      <c r="V197" s="151">
        <f>SUM(V192:Y196)</f>
        <v>0</v>
      </c>
      <c r="W197" s="152"/>
      <c r="X197" s="152"/>
      <c r="Y197" s="153"/>
      <c r="Z197" s="151">
        <f>SUM(Z192:AC196)</f>
        <v>0</v>
      </c>
      <c r="AA197" s="152"/>
      <c r="AB197" s="152"/>
      <c r="AC197" s="153"/>
      <c r="AD197" s="151">
        <f>SUM(AD192:AG196)</f>
        <v>0</v>
      </c>
      <c r="AE197" s="152"/>
      <c r="AF197" s="152"/>
      <c r="AG197" s="153"/>
      <c r="AH197" s="151">
        <f>SUM(AH192:AK196)</f>
        <v>0</v>
      </c>
      <c r="AI197" s="152"/>
      <c r="AJ197" s="152"/>
      <c r="AK197" s="153"/>
      <c r="AL197" s="151">
        <f>SUM(AL192:AO196)</f>
        <v>0</v>
      </c>
      <c r="AM197" s="152"/>
      <c r="AN197" s="152"/>
      <c r="AO197" s="153"/>
      <c r="AP197" s="151">
        <f>SUM(AP192:AS196)</f>
        <v>0</v>
      </c>
      <c r="AQ197" s="152"/>
      <c r="AR197" s="152"/>
      <c r="AS197" s="153"/>
      <c r="AT197" s="151">
        <f>SUM(AT192:AW196)</f>
        <v>0</v>
      </c>
      <c r="AU197" s="152"/>
      <c r="AV197" s="152"/>
      <c r="AW197" s="153"/>
      <c r="AX197" s="87">
        <f>SUM(AX192:AX196)</f>
        <v>0</v>
      </c>
      <c r="AY197" s="88">
        <f>IFERROR(AVERAGEIF(E197:AV197,"&lt;&gt;0",(E197:AV197)),)</f>
        <v>0</v>
      </c>
      <c r="AZ197" s="46">
        <f>IFERROR(AX197/BB193,0)</f>
        <v>0</v>
      </c>
      <c r="BA197" s="34"/>
      <c r="BB197" s="34"/>
      <c r="BC197" s="34"/>
      <c r="BD197" s="76"/>
      <c r="BE197" s="34"/>
      <c r="BF197" s="34"/>
      <c r="BG197" s="34"/>
      <c r="BH197" s="34"/>
    </row>
    <row r="198" spans="1:60" s="17" customFormat="1" ht="19.5" customHeight="1" thickBot="1" x14ac:dyDescent="0.4">
      <c r="A198" s="42">
        <f>A184</f>
        <v>45425</v>
      </c>
      <c r="B198" s="38" t="str">
        <f>B199</f>
        <v>Etiket Hazırlama</v>
      </c>
      <c r="C198" s="39" t="s">
        <v>180</v>
      </c>
      <c r="D198" s="69" t="s">
        <v>181</v>
      </c>
      <c r="E198" s="48">
        <v>0.34375</v>
      </c>
      <c r="F198" s="49">
        <v>0.35416666666666669</v>
      </c>
      <c r="G198" s="49">
        <v>0.36458333333333331</v>
      </c>
      <c r="H198" s="50">
        <v>0.375</v>
      </c>
      <c r="I198" s="48">
        <v>0.38541666666666702</v>
      </c>
      <c r="J198" s="49">
        <v>0.39583333333333298</v>
      </c>
      <c r="K198" s="49">
        <v>0.40625</v>
      </c>
      <c r="L198" s="50">
        <v>0.41666666666666702</v>
      </c>
      <c r="M198" s="48">
        <v>0.4375</v>
      </c>
      <c r="N198" s="49">
        <v>0.44791666666666702</v>
      </c>
      <c r="O198" s="49">
        <v>0.45833333333333398</v>
      </c>
      <c r="P198" s="50">
        <v>0.46875</v>
      </c>
      <c r="Q198" s="48">
        <v>0.47916666666666702</v>
      </c>
      <c r="R198" s="49">
        <v>0.48958333333333398</v>
      </c>
      <c r="S198" s="49">
        <v>0.5</v>
      </c>
      <c r="T198" s="50">
        <v>0.51041666666666696</v>
      </c>
      <c r="U198" s="51">
        <v>0.52083333333333204</v>
      </c>
      <c r="V198" s="48">
        <v>0.5625</v>
      </c>
      <c r="W198" s="49">
        <v>0.57291666666666663</v>
      </c>
      <c r="X198" s="49">
        <v>0.58333333333333304</v>
      </c>
      <c r="Y198" s="50">
        <v>0.59375</v>
      </c>
      <c r="Z198" s="48">
        <v>0.60416666666666696</v>
      </c>
      <c r="AA198" s="49">
        <v>0.61458333333333304</v>
      </c>
      <c r="AB198" s="49">
        <v>0.625</v>
      </c>
      <c r="AC198" s="50">
        <v>0.63541666666666596</v>
      </c>
      <c r="AD198" s="48">
        <v>0.65625</v>
      </c>
      <c r="AE198" s="49">
        <v>0.66666666666666663</v>
      </c>
      <c r="AF198" s="49">
        <v>0.67708333333333304</v>
      </c>
      <c r="AG198" s="50">
        <v>0.6875</v>
      </c>
      <c r="AH198" s="48">
        <v>0.69791666666666696</v>
      </c>
      <c r="AI198" s="49">
        <v>0.70833333333333304</v>
      </c>
      <c r="AJ198" s="49">
        <v>0.71875</v>
      </c>
      <c r="AK198" s="50">
        <v>0.72916666666666696</v>
      </c>
      <c r="AL198" s="48">
        <v>0.73958333333333404</v>
      </c>
      <c r="AM198" s="49">
        <v>0.750000000000001</v>
      </c>
      <c r="AN198" s="49">
        <v>0.76041666666666796</v>
      </c>
      <c r="AO198" s="50">
        <v>0.77083333333333504</v>
      </c>
      <c r="AP198" s="48">
        <v>0.781250000000002</v>
      </c>
      <c r="AQ198" s="49">
        <v>0.79166666666666896</v>
      </c>
      <c r="AR198" s="49">
        <v>0.80208333333333603</v>
      </c>
      <c r="AS198" s="50">
        <v>0.812500000000003</v>
      </c>
      <c r="AT198" s="48">
        <v>0.82291666666666996</v>
      </c>
      <c r="AU198" s="49">
        <v>0.83333333333333703</v>
      </c>
      <c r="AV198" s="49">
        <v>0.843750000000004</v>
      </c>
      <c r="AW198" s="50">
        <v>0.85416666666666663</v>
      </c>
      <c r="AX198" s="68" t="s">
        <v>260</v>
      </c>
      <c r="AY198" s="28" t="s">
        <v>261</v>
      </c>
      <c r="AZ198" s="29" t="s">
        <v>262</v>
      </c>
      <c r="BA198" s="136" t="str">
        <f>B199</f>
        <v>Etiket Hazırlama</v>
      </c>
      <c r="BB198" s="137"/>
      <c r="BC198" s="137"/>
      <c r="BD198" s="137"/>
      <c r="BE198" s="137"/>
      <c r="BF198" s="137"/>
      <c r="BG198" s="137"/>
      <c r="BH198" s="138"/>
    </row>
    <row r="199" spans="1:60" s="17" customFormat="1" ht="19.5" customHeight="1" thickBot="1" x14ac:dyDescent="0.4">
      <c r="A199" s="41">
        <f t="shared" ref="A199:A204" si="90">A198</f>
        <v>45425</v>
      </c>
      <c r="B199" s="37" t="str">
        <f>B23</f>
        <v>Etiket Hazırlama</v>
      </c>
      <c r="C199" s="66">
        <f>C23</f>
        <v>0</v>
      </c>
      <c r="D199" s="70">
        <f>D23</f>
        <v>120</v>
      </c>
      <c r="E199" s="63"/>
      <c r="F199" s="55"/>
      <c r="G199" s="55"/>
      <c r="H199" s="56"/>
      <c r="I199" s="63"/>
      <c r="J199" s="55"/>
      <c r="K199" s="55"/>
      <c r="L199" s="56"/>
      <c r="M199" s="63"/>
      <c r="N199" s="55"/>
      <c r="O199" s="55"/>
      <c r="P199" s="56"/>
      <c r="Q199" s="63"/>
      <c r="R199" s="55"/>
      <c r="S199" s="55"/>
      <c r="T199" s="55"/>
      <c r="U199" s="56"/>
      <c r="V199" s="63"/>
      <c r="W199" s="55"/>
      <c r="X199" s="55"/>
      <c r="Y199" s="56"/>
      <c r="Z199" s="63"/>
      <c r="AA199" s="55"/>
      <c r="AB199" s="55"/>
      <c r="AC199" s="56"/>
      <c r="AD199" s="63"/>
      <c r="AE199" s="55"/>
      <c r="AF199" s="55"/>
      <c r="AG199" s="56"/>
      <c r="AH199" s="63"/>
      <c r="AI199" s="55"/>
      <c r="AJ199" s="55"/>
      <c r="AK199" s="56"/>
      <c r="AL199" s="63"/>
      <c r="AM199" s="55"/>
      <c r="AN199" s="55"/>
      <c r="AO199" s="56"/>
      <c r="AP199" s="63"/>
      <c r="AQ199" s="54"/>
      <c r="AR199" s="55"/>
      <c r="AS199" s="56"/>
      <c r="AT199" s="53"/>
      <c r="AU199" s="54"/>
      <c r="AV199" s="55"/>
      <c r="AW199" s="56"/>
      <c r="AX199" s="33">
        <f>SUM(E199:AW199)</f>
        <v>0</v>
      </c>
      <c r="AY199" s="31">
        <f>IFERROR(AVERAGEIF(E199:AW199,"&lt;&gt;0",(E199:AW199)),)</f>
        <v>0</v>
      </c>
      <c r="AZ199" s="30">
        <f>IFERROR(AY199/D199,0)</f>
        <v>0</v>
      </c>
      <c r="BA199" s="103" t="s">
        <v>182</v>
      </c>
      <c r="BB199" s="100" t="s">
        <v>183</v>
      </c>
      <c r="BC199" s="100" t="s">
        <v>184</v>
      </c>
      <c r="BD199" s="101" t="s">
        <v>185</v>
      </c>
      <c r="BE199" s="100" t="s">
        <v>186</v>
      </c>
      <c r="BF199" s="102" t="s">
        <v>187</v>
      </c>
      <c r="BG199" s="100" t="s">
        <v>188</v>
      </c>
      <c r="BH199" s="102" t="s">
        <v>189</v>
      </c>
    </row>
    <row r="200" spans="1:60" s="17" customFormat="1" ht="19.5" customHeight="1" thickBot="1" x14ac:dyDescent="0.4">
      <c r="A200" s="41">
        <f t="shared" si="90"/>
        <v>45425</v>
      </c>
      <c r="B200" s="37" t="str">
        <f>B199</f>
        <v>Etiket Hazırlama</v>
      </c>
      <c r="C200" s="66">
        <f>C24</f>
        <v>0</v>
      </c>
      <c r="D200" s="67">
        <f>D199</f>
        <v>120</v>
      </c>
      <c r="E200" s="57"/>
      <c r="F200" s="52"/>
      <c r="G200" s="52"/>
      <c r="H200" s="58"/>
      <c r="I200" s="57"/>
      <c r="J200" s="52"/>
      <c r="K200" s="52"/>
      <c r="L200" s="58"/>
      <c r="M200" s="57"/>
      <c r="N200" s="52"/>
      <c r="O200" s="52"/>
      <c r="P200" s="58"/>
      <c r="Q200" s="57"/>
      <c r="R200" s="52"/>
      <c r="S200" s="52"/>
      <c r="T200" s="52"/>
      <c r="U200" s="58"/>
      <c r="V200" s="57"/>
      <c r="W200" s="52"/>
      <c r="X200" s="52"/>
      <c r="Y200" s="58"/>
      <c r="Z200" s="57"/>
      <c r="AA200" s="52"/>
      <c r="AB200" s="52"/>
      <c r="AC200" s="58"/>
      <c r="AD200" s="57"/>
      <c r="AE200" s="52"/>
      <c r="AF200" s="52"/>
      <c r="AG200" s="58"/>
      <c r="AH200" s="57"/>
      <c r="AI200" s="52"/>
      <c r="AJ200" s="52"/>
      <c r="AK200" s="58"/>
      <c r="AL200" s="57"/>
      <c r="AM200" s="52"/>
      <c r="AN200" s="52"/>
      <c r="AO200" s="58"/>
      <c r="AP200" s="57"/>
      <c r="AQ200" s="52"/>
      <c r="AR200" s="52"/>
      <c r="AS200" s="58"/>
      <c r="AT200" s="57"/>
      <c r="AU200" s="52"/>
      <c r="AV200" s="52"/>
      <c r="AW200" s="58"/>
      <c r="AX200" s="33">
        <f>SUM(E200:AW200)</f>
        <v>0</v>
      </c>
      <c r="AY200" s="31">
        <f>IFERROR(AVERAGEIF(E200:AW200,"&lt;&gt;0",(E200:AW200)),)</f>
        <v>0</v>
      </c>
      <c r="AZ200" s="30">
        <f>IFERROR(AY200/D200,0)</f>
        <v>0</v>
      </c>
      <c r="BA200" s="94">
        <f>AX204+BA24</f>
        <v>0</v>
      </c>
      <c r="BB200" s="95">
        <f>(D204*8)</f>
        <v>4000</v>
      </c>
      <c r="BC200" s="96">
        <f>C181-BA200</f>
        <v>42311</v>
      </c>
      <c r="BD200" s="96">
        <f>BC200</f>
        <v>42311</v>
      </c>
      <c r="BE200" s="97">
        <f>IFERROR(BC200/E204,0)</f>
        <v>0</v>
      </c>
      <c r="BF200" s="98">
        <f>IFERROR(BE200/9,0)</f>
        <v>0</v>
      </c>
      <c r="BG200" s="97">
        <f>IFERROR(BC200/AY204,0)</f>
        <v>0</v>
      </c>
      <c r="BH200" s="97">
        <f>IFERROR(BG200/9,0)</f>
        <v>0</v>
      </c>
    </row>
    <row r="201" spans="1:60" s="17" customFormat="1" ht="19.5" customHeight="1" x14ac:dyDescent="0.35">
      <c r="A201" s="41">
        <f t="shared" si="90"/>
        <v>45425</v>
      </c>
      <c r="B201" s="37" t="str">
        <f>B200</f>
        <v>Etiket Hazırlama</v>
      </c>
      <c r="C201" s="66">
        <f>C25</f>
        <v>0</v>
      </c>
      <c r="D201" s="67">
        <f>D200</f>
        <v>120</v>
      </c>
      <c r="E201" s="57"/>
      <c r="F201" s="52"/>
      <c r="G201" s="52"/>
      <c r="H201" s="58"/>
      <c r="I201" s="57"/>
      <c r="J201" s="52"/>
      <c r="K201" s="52"/>
      <c r="L201" s="58"/>
      <c r="M201" s="57"/>
      <c r="N201" s="52"/>
      <c r="O201" s="52"/>
      <c r="P201" s="58"/>
      <c r="Q201" s="57"/>
      <c r="R201" s="52"/>
      <c r="S201" s="52"/>
      <c r="T201" s="52"/>
      <c r="U201" s="58"/>
      <c r="V201" s="57"/>
      <c r="W201" s="52"/>
      <c r="X201" s="52"/>
      <c r="Y201" s="58"/>
      <c r="Z201" s="57"/>
      <c r="AA201" s="52"/>
      <c r="AB201" s="52"/>
      <c r="AC201" s="58"/>
      <c r="AD201" s="57"/>
      <c r="AE201" s="52"/>
      <c r="AF201" s="52"/>
      <c r="AG201" s="58"/>
      <c r="AH201" s="57"/>
      <c r="AI201" s="52"/>
      <c r="AJ201" s="52"/>
      <c r="AK201" s="58"/>
      <c r="AL201" s="57"/>
      <c r="AM201" s="52"/>
      <c r="AN201" s="52"/>
      <c r="AO201" s="58"/>
      <c r="AP201" s="57"/>
      <c r="AQ201" s="52"/>
      <c r="AR201" s="52"/>
      <c r="AS201" s="58"/>
      <c r="AT201" s="57"/>
      <c r="AU201" s="52"/>
      <c r="AV201" s="52"/>
      <c r="AW201" s="58"/>
      <c r="AX201" s="33">
        <f>SUM(E201:AW201)</f>
        <v>0</v>
      </c>
      <c r="AY201" s="31">
        <f>IFERROR(AVERAGEIF(E201:AW201,"&lt;&gt;0",(E201:AW201)),)</f>
        <v>0</v>
      </c>
      <c r="AZ201" s="30">
        <f>IFERROR(AY201/D201,0)</f>
        <v>0</v>
      </c>
      <c r="BA201" s="34"/>
      <c r="BB201" s="34"/>
      <c r="BC201" s="34"/>
      <c r="BD201" s="76"/>
      <c r="BE201" s="34"/>
      <c r="BF201" s="34"/>
      <c r="BG201" s="34"/>
      <c r="BH201" s="34"/>
    </row>
    <row r="202" spans="1:60" s="17" customFormat="1" ht="19.5" customHeight="1" x14ac:dyDescent="0.35">
      <c r="A202" s="41">
        <f t="shared" si="90"/>
        <v>45425</v>
      </c>
      <c r="B202" s="37" t="str">
        <f>B201</f>
        <v>Etiket Hazırlama</v>
      </c>
      <c r="C202" s="66">
        <f>C26</f>
        <v>0</v>
      </c>
      <c r="D202" s="67">
        <f>D201</f>
        <v>120</v>
      </c>
      <c r="E202" s="57"/>
      <c r="F202" s="52"/>
      <c r="G202" s="52"/>
      <c r="H202" s="58"/>
      <c r="I202" s="57"/>
      <c r="J202" s="52"/>
      <c r="K202" s="52"/>
      <c r="L202" s="58"/>
      <c r="M202" s="57"/>
      <c r="N202" s="52"/>
      <c r="O202" s="52"/>
      <c r="P202" s="58"/>
      <c r="Q202" s="57"/>
      <c r="R202" s="52"/>
      <c r="S202" s="52"/>
      <c r="T202" s="52"/>
      <c r="U202" s="58"/>
      <c r="V202" s="57"/>
      <c r="W202" s="52"/>
      <c r="X202" s="52"/>
      <c r="Y202" s="58"/>
      <c r="Z202" s="57"/>
      <c r="AA202" s="52"/>
      <c r="AB202" s="52"/>
      <c r="AC202" s="58"/>
      <c r="AD202" s="57"/>
      <c r="AE202" s="52"/>
      <c r="AF202" s="52"/>
      <c r="AG202" s="58"/>
      <c r="AH202" s="57"/>
      <c r="AI202" s="52"/>
      <c r="AJ202" s="52"/>
      <c r="AK202" s="58"/>
      <c r="AL202" s="57"/>
      <c r="AM202" s="52"/>
      <c r="AN202" s="52"/>
      <c r="AO202" s="58"/>
      <c r="AP202" s="57"/>
      <c r="AQ202" s="52"/>
      <c r="AR202" s="52"/>
      <c r="AS202" s="58"/>
      <c r="AT202" s="57"/>
      <c r="AU202" s="52"/>
      <c r="AV202" s="52"/>
      <c r="AW202" s="58"/>
      <c r="AX202" s="33">
        <f>SUM(E202:AW202)</f>
        <v>0</v>
      </c>
      <c r="AY202" s="31">
        <f>IFERROR(AVERAGEIF(E202:AW202,"&lt;&gt;0",(E202:AW202)),)</f>
        <v>0</v>
      </c>
      <c r="AZ202" s="30">
        <f>IFERROR(AY202/D202,0)</f>
        <v>0</v>
      </c>
      <c r="BA202" s="34"/>
      <c r="BB202" s="34"/>
      <c r="BC202" s="34"/>
      <c r="BD202" s="76"/>
      <c r="BE202" s="34"/>
      <c r="BF202" s="34"/>
      <c r="BG202" s="34"/>
      <c r="BH202" s="34"/>
    </row>
    <row r="203" spans="1:60" s="17" customFormat="1" ht="19.5" customHeight="1" thickBot="1" x14ac:dyDescent="0.4">
      <c r="A203" s="41">
        <f t="shared" si="90"/>
        <v>45425</v>
      </c>
      <c r="B203" s="37" t="str">
        <f>B202</f>
        <v>Etiket Hazırlama</v>
      </c>
      <c r="C203" s="66">
        <f>C27</f>
        <v>0</v>
      </c>
      <c r="D203" s="67">
        <f>D202</f>
        <v>120</v>
      </c>
      <c r="E203" s="64"/>
      <c r="F203" s="61"/>
      <c r="G203" s="61"/>
      <c r="H203" s="62"/>
      <c r="I203" s="64"/>
      <c r="J203" s="61"/>
      <c r="K203" s="61"/>
      <c r="L203" s="62"/>
      <c r="M203" s="64"/>
      <c r="N203" s="61"/>
      <c r="O203" s="61"/>
      <c r="P203" s="62"/>
      <c r="Q203" s="64"/>
      <c r="R203" s="61"/>
      <c r="S203" s="61"/>
      <c r="T203" s="61"/>
      <c r="U203" s="62"/>
      <c r="V203" s="64"/>
      <c r="W203" s="61"/>
      <c r="X203" s="61"/>
      <c r="Y203" s="62"/>
      <c r="Z203" s="59"/>
      <c r="AA203" s="60"/>
      <c r="AB203" s="61"/>
      <c r="AC203" s="62"/>
      <c r="AD203" s="59"/>
      <c r="AE203" s="60"/>
      <c r="AF203" s="61"/>
      <c r="AG203" s="62"/>
      <c r="AH203" s="59"/>
      <c r="AI203" s="60"/>
      <c r="AJ203" s="61"/>
      <c r="AK203" s="62"/>
      <c r="AL203" s="59"/>
      <c r="AM203" s="60"/>
      <c r="AN203" s="61"/>
      <c r="AO203" s="62"/>
      <c r="AP203" s="59"/>
      <c r="AQ203" s="60"/>
      <c r="AR203" s="61"/>
      <c r="AS203" s="62"/>
      <c r="AT203" s="59"/>
      <c r="AU203" s="60"/>
      <c r="AV203" s="61"/>
      <c r="AW203" s="62"/>
      <c r="AX203" s="43">
        <f>SUM(E203:AW203)</f>
        <v>0</v>
      </c>
      <c r="AY203" s="44">
        <f>IFERROR(AVERAGEIF(E203:AW203,"&lt;&gt;0",(E203:AW203)),)</f>
        <v>0</v>
      </c>
      <c r="AZ203" s="45">
        <f>IFERROR(AY203/D203,0)</f>
        <v>0</v>
      </c>
      <c r="BA203" s="34"/>
      <c r="BB203" s="34"/>
      <c r="BC203" s="34"/>
      <c r="BD203" s="76"/>
      <c r="BE203" s="34"/>
      <c r="BF203" s="34"/>
      <c r="BG203" s="34"/>
      <c r="BH203" s="34"/>
    </row>
    <row r="204" spans="1:60" s="17" customFormat="1" ht="19.5" customHeight="1" thickBot="1" x14ac:dyDescent="0.45">
      <c r="A204" s="41">
        <f t="shared" si="90"/>
        <v>45425</v>
      </c>
      <c r="B204" s="139" t="str">
        <f>B199</f>
        <v>Etiket Hazırlama</v>
      </c>
      <c r="C204" s="140"/>
      <c r="D204" s="40">
        <f>C182/8</f>
        <v>500</v>
      </c>
      <c r="E204" s="151">
        <f>SUM(E199:H203)</f>
        <v>0</v>
      </c>
      <c r="F204" s="152"/>
      <c r="G204" s="152"/>
      <c r="H204" s="153"/>
      <c r="I204" s="151">
        <f>SUM(I199:L203)</f>
        <v>0</v>
      </c>
      <c r="J204" s="152"/>
      <c r="K204" s="152"/>
      <c r="L204" s="153"/>
      <c r="M204" s="151">
        <f>SUM(M199:P203)</f>
        <v>0</v>
      </c>
      <c r="N204" s="152"/>
      <c r="O204" s="152"/>
      <c r="P204" s="153"/>
      <c r="Q204" s="151">
        <f>SUM(Q199:U203)</f>
        <v>0</v>
      </c>
      <c r="R204" s="152"/>
      <c r="S204" s="152"/>
      <c r="T204" s="152"/>
      <c r="U204" s="153"/>
      <c r="V204" s="151">
        <f>SUM(V199:Y203)</f>
        <v>0</v>
      </c>
      <c r="W204" s="152"/>
      <c r="X204" s="152"/>
      <c r="Y204" s="153"/>
      <c r="Z204" s="151">
        <f>SUM(Z199:AC203)</f>
        <v>0</v>
      </c>
      <c r="AA204" s="152"/>
      <c r="AB204" s="152"/>
      <c r="AC204" s="153"/>
      <c r="AD204" s="151">
        <f>SUM(AD199:AG203)</f>
        <v>0</v>
      </c>
      <c r="AE204" s="152"/>
      <c r="AF204" s="152"/>
      <c r="AG204" s="153"/>
      <c r="AH204" s="151">
        <f>SUM(AH199:AK203)</f>
        <v>0</v>
      </c>
      <c r="AI204" s="152"/>
      <c r="AJ204" s="152"/>
      <c r="AK204" s="153"/>
      <c r="AL204" s="151">
        <f>SUM(AL199:AO203)</f>
        <v>0</v>
      </c>
      <c r="AM204" s="152"/>
      <c r="AN204" s="152"/>
      <c r="AO204" s="153"/>
      <c r="AP204" s="151">
        <f>SUM(AP199:AS203)</f>
        <v>0</v>
      </c>
      <c r="AQ204" s="152"/>
      <c r="AR204" s="152"/>
      <c r="AS204" s="153"/>
      <c r="AT204" s="151">
        <f>SUM(AT199:AW203)</f>
        <v>0</v>
      </c>
      <c r="AU204" s="152"/>
      <c r="AV204" s="152"/>
      <c r="AW204" s="153"/>
      <c r="AX204" s="87">
        <f>SUM(AX199:AX203)</f>
        <v>0</v>
      </c>
      <c r="AY204" s="88">
        <f>IFERROR(AVERAGEIF(E204:AV204,"&lt;&gt;0",(E204:AV204)),)</f>
        <v>0</v>
      </c>
      <c r="AZ204" s="46">
        <f>IFERROR(AX204/BB200,0)</f>
        <v>0</v>
      </c>
      <c r="BA204" s="34"/>
      <c r="BB204" s="34"/>
      <c r="BC204" s="34"/>
      <c r="BD204" s="76"/>
      <c r="BE204" s="34"/>
      <c r="BF204" s="34"/>
      <c r="BG204" s="34"/>
      <c r="BH204" s="34"/>
    </row>
    <row r="205" spans="1:60" s="17" customFormat="1" ht="19.5" customHeight="1" thickBot="1" x14ac:dyDescent="0.4">
      <c r="A205" s="42">
        <f>A184</f>
        <v>45425</v>
      </c>
      <c r="B205" s="38" t="str">
        <f>B206</f>
        <v>Tela Yapıştırma</v>
      </c>
      <c r="C205" s="39" t="s">
        <v>180</v>
      </c>
      <c r="D205" s="69" t="s">
        <v>181</v>
      </c>
      <c r="E205" s="48">
        <v>0.34375</v>
      </c>
      <c r="F205" s="49">
        <v>0.35416666666666669</v>
      </c>
      <c r="G205" s="49">
        <v>0.36458333333333331</v>
      </c>
      <c r="H205" s="50">
        <v>0.375</v>
      </c>
      <c r="I205" s="48">
        <v>0.38541666666666702</v>
      </c>
      <c r="J205" s="49">
        <v>0.39583333333333298</v>
      </c>
      <c r="K205" s="49">
        <v>0.40625</v>
      </c>
      <c r="L205" s="50">
        <v>0.41666666666666702</v>
      </c>
      <c r="M205" s="48">
        <v>0.4375</v>
      </c>
      <c r="N205" s="49">
        <v>0.44791666666666702</v>
      </c>
      <c r="O205" s="49">
        <v>0.45833333333333398</v>
      </c>
      <c r="P205" s="50">
        <v>0.46875</v>
      </c>
      <c r="Q205" s="48">
        <v>0.47916666666666702</v>
      </c>
      <c r="R205" s="49">
        <v>0.48958333333333398</v>
      </c>
      <c r="S205" s="49">
        <v>0.5</v>
      </c>
      <c r="T205" s="50">
        <v>0.51041666666666696</v>
      </c>
      <c r="U205" s="51">
        <v>0.52083333333333204</v>
      </c>
      <c r="V205" s="48">
        <v>0.5625</v>
      </c>
      <c r="W205" s="49">
        <v>0.57291666666666663</v>
      </c>
      <c r="X205" s="49">
        <v>0.58333333333333304</v>
      </c>
      <c r="Y205" s="50">
        <v>0.59375</v>
      </c>
      <c r="Z205" s="48">
        <v>0.60416666666666696</v>
      </c>
      <c r="AA205" s="49">
        <v>0.61458333333333304</v>
      </c>
      <c r="AB205" s="49">
        <v>0.625</v>
      </c>
      <c r="AC205" s="50">
        <v>0.63541666666666596</v>
      </c>
      <c r="AD205" s="48">
        <v>0.65625</v>
      </c>
      <c r="AE205" s="49">
        <v>0.66666666666666663</v>
      </c>
      <c r="AF205" s="49">
        <v>0.67708333333333304</v>
      </c>
      <c r="AG205" s="50">
        <v>0.6875</v>
      </c>
      <c r="AH205" s="48">
        <v>0.69791666666666696</v>
      </c>
      <c r="AI205" s="49">
        <v>0.70833333333333304</v>
      </c>
      <c r="AJ205" s="49">
        <v>0.71875</v>
      </c>
      <c r="AK205" s="50">
        <v>0.72916666666666696</v>
      </c>
      <c r="AL205" s="48">
        <v>0.73958333333333404</v>
      </c>
      <c r="AM205" s="49">
        <v>0.750000000000001</v>
      </c>
      <c r="AN205" s="49">
        <v>0.76041666666666796</v>
      </c>
      <c r="AO205" s="50">
        <v>0.77083333333333504</v>
      </c>
      <c r="AP205" s="48">
        <v>0.781250000000002</v>
      </c>
      <c r="AQ205" s="49">
        <v>0.79166666666666896</v>
      </c>
      <c r="AR205" s="49">
        <v>0.80208333333333603</v>
      </c>
      <c r="AS205" s="50">
        <v>0.812500000000003</v>
      </c>
      <c r="AT205" s="48">
        <v>0.82291666666666996</v>
      </c>
      <c r="AU205" s="49">
        <v>0.83333333333333703</v>
      </c>
      <c r="AV205" s="49">
        <v>0.843750000000004</v>
      </c>
      <c r="AW205" s="50">
        <v>0.85416666666666663</v>
      </c>
      <c r="AX205" s="68" t="s">
        <v>260</v>
      </c>
      <c r="AY205" s="28" t="s">
        <v>261</v>
      </c>
      <c r="AZ205" s="29" t="s">
        <v>262</v>
      </c>
      <c r="BA205" s="136" t="str">
        <f>B206</f>
        <v>Tela Yapıştırma</v>
      </c>
      <c r="BB205" s="137"/>
      <c r="BC205" s="137"/>
      <c r="BD205" s="137"/>
      <c r="BE205" s="137"/>
      <c r="BF205" s="137"/>
      <c r="BG205" s="137"/>
      <c r="BH205" s="138"/>
    </row>
    <row r="206" spans="1:60" s="17" customFormat="1" ht="19.5" customHeight="1" thickBot="1" x14ac:dyDescent="0.4">
      <c r="A206" s="41">
        <f>A198</f>
        <v>45425</v>
      </c>
      <c r="B206" s="37" t="str">
        <f>B30</f>
        <v>Tela Yapıştırma</v>
      </c>
      <c r="C206" s="66" t="str">
        <f>C30</f>
        <v>AYŞE ADADA</v>
      </c>
      <c r="D206" s="70">
        <f>D30</f>
        <v>200</v>
      </c>
      <c r="E206" s="63"/>
      <c r="F206" s="55"/>
      <c r="G206" s="55"/>
      <c r="H206" s="56"/>
      <c r="I206" s="63"/>
      <c r="J206" s="55"/>
      <c r="K206" s="55"/>
      <c r="L206" s="56"/>
      <c r="M206" s="63"/>
      <c r="N206" s="55"/>
      <c r="O206" s="55"/>
      <c r="P206" s="56"/>
      <c r="Q206" s="63"/>
      <c r="R206" s="55"/>
      <c r="S206" s="55"/>
      <c r="T206" s="55"/>
      <c r="U206" s="56"/>
      <c r="V206" s="63"/>
      <c r="W206" s="55"/>
      <c r="X206" s="55"/>
      <c r="Y206" s="56"/>
      <c r="Z206" s="63"/>
      <c r="AA206" s="55"/>
      <c r="AB206" s="55"/>
      <c r="AC206" s="56"/>
      <c r="AD206" s="63"/>
      <c r="AE206" s="55"/>
      <c r="AF206" s="55"/>
      <c r="AG206" s="56"/>
      <c r="AH206" s="63"/>
      <c r="AI206" s="55"/>
      <c r="AJ206" s="55"/>
      <c r="AK206" s="56"/>
      <c r="AL206" s="63"/>
      <c r="AM206" s="55"/>
      <c r="AN206" s="55"/>
      <c r="AO206" s="56"/>
      <c r="AP206" s="63"/>
      <c r="AQ206" s="54"/>
      <c r="AR206" s="55"/>
      <c r="AS206" s="56"/>
      <c r="AT206" s="53"/>
      <c r="AU206" s="54"/>
      <c r="AV206" s="55"/>
      <c r="AW206" s="56"/>
      <c r="AX206" s="33">
        <f>SUM(E206:AW206)</f>
        <v>0</v>
      </c>
      <c r="AY206" s="31">
        <f>IFERROR(AVERAGEIF(E206:AW206,"&lt;&gt;0",(E206:AW206)),)</f>
        <v>0</v>
      </c>
      <c r="AZ206" s="30">
        <f>IFERROR(AY206/D206,0)</f>
        <v>0</v>
      </c>
      <c r="BA206" s="103" t="s">
        <v>182</v>
      </c>
      <c r="BB206" s="100" t="s">
        <v>183</v>
      </c>
      <c r="BC206" s="100" t="s">
        <v>184</v>
      </c>
      <c r="BD206" s="101" t="s">
        <v>185</v>
      </c>
      <c r="BE206" s="100" t="s">
        <v>186</v>
      </c>
      <c r="BF206" s="102" t="s">
        <v>187</v>
      </c>
      <c r="BG206" s="100" t="s">
        <v>188</v>
      </c>
      <c r="BH206" s="102" t="s">
        <v>189</v>
      </c>
    </row>
    <row r="207" spans="1:60" s="17" customFormat="1" ht="19.5" customHeight="1" thickBot="1" x14ac:dyDescent="0.4">
      <c r="A207" s="41">
        <f t="shared" ref="A207:B210" si="91">A206</f>
        <v>45425</v>
      </c>
      <c r="B207" s="37" t="str">
        <f t="shared" si="91"/>
        <v>Tela Yapıştırma</v>
      </c>
      <c r="C207" s="66">
        <f>C31</f>
        <v>0</v>
      </c>
      <c r="D207" s="67">
        <f>D206</f>
        <v>200</v>
      </c>
      <c r="E207" s="57"/>
      <c r="F207" s="52"/>
      <c r="G207" s="52"/>
      <c r="H207" s="58"/>
      <c r="I207" s="57"/>
      <c r="J207" s="52"/>
      <c r="K207" s="52"/>
      <c r="L207" s="58"/>
      <c r="M207" s="57"/>
      <c r="N207" s="52"/>
      <c r="O207" s="52"/>
      <c r="P207" s="58"/>
      <c r="Q207" s="57"/>
      <c r="R207" s="52"/>
      <c r="S207" s="52"/>
      <c r="T207" s="52"/>
      <c r="U207" s="58"/>
      <c r="V207" s="57"/>
      <c r="W207" s="52"/>
      <c r="X207" s="52"/>
      <c r="Y207" s="58"/>
      <c r="Z207" s="57"/>
      <c r="AA207" s="52"/>
      <c r="AB207" s="52"/>
      <c r="AC207" s="58"/>
      <c r="AD207" s="57"/>
      <c r="AE207" s="52"/>
      <c r="AF207" s="52"/>
      <c r="AG207" s="58"/>
      <c r="AH207" s="57"/>
      <c r="AI207" s="52"/>
      <c r="AJ207" s="52"/>
      <c r="AK207" s="58"/>
      <c r="AL207" s="57"/>
      <c r="AM207" s="52"/>
      <c r="AN207" s="52"/>
      <c r="AO207" s="58"/>
      <c r="AP207" s="57"/>
      <c r="AQ207" s="52"/>
      <c r="AR207" s="52"/>
      <c r="AS207" s="58"/>
      <c r="AT207" s="57"/>
      <c r="AU207" s="52"/>
      <c r="AV207" s="52"/>
      <c r="AW207" s="58"/>
      <c r="AX207" s="33">
        <f>SUM(E207:AW207)</f>
        <v>0</v>
      </c>
      <c r="AY207" s="31">
        <f>IFERROR(AVERAGEIF(E207:AW207,"&lt;&gt;0",(E207:AW207)),)</f>
        <v>0</v>
      </c>
      <c r="AZ207" s="30">
        <f>IFERROR(AY207/D207,0)</f>
        <v>0</v>
      </c>
      <c r="BA207" s="94">
        <f>AX211+BA31</f>
        <v>0</v>
      </c>
      <c r="BB207" s="95">
        <f>(D211*8)</f>
        <v>4000</v>
      </c>
      <c r="BC207" s="96">
        <f>C181-BA207</f>
        <v>42311</v>
      </c>
      <c r="BD207" s="96">
        <f>BC207</f>
        <v>42311</v>
      </c>
      <c r="BE207" s="97">
        <f>IFERROR(BC207/E211,0)</f>
        <v>0</v>
      </c>
      <c r="BF207" s="98">
        <f>IFERROR(BE207/9,0)</f>
        <v>0</v>
      </c>
      <c r="BG207" s="97">
        <f>IFERROR(BC207/AY211,0)</f>
        <v>0</v>
      </c>
      <c r="BH207" s="97">
        <f>IFERROR(BG207/9,0)</f>
        <v>0</v>
      </c>
    </row>
    <row r="208" spans="1:60" s="17" customFormat="1" ht="19.5" customHeight="1" x14ac:dyDescent="0.35">
      <c r="A208" s="41">
        <f t="shared" si="91"/>
        <v>45425</v>
      </c>
      <c r="B208" s="37" t="str">
        <f t="shared" si="91"/>
        <v>Tela Yapıştırma</v>
      </c>
      <c r="C208" s="66">
        <f>C32</f>
        <v>0</v>
      </c>
      <c r="D208" s="67">
        <f>D207</f>
        <v>200</v>
      </c>
      <c r="E208" s="57"/>
      <c r="F208" s="52"/>
      <c r="G208" s="52"/>
      <c r="H208" s="58"/>
      <c r="I208" s="57"/>
      <c r="J208" s="52"/>
      <c r="K208" s="52"/>
      <c r="L208" s="58"/>
      <c r="M208" s="57"/>
      <c r="N208" s="52"/>
      <c r="O208" s="52"/>
      <c r="P208" s="58"/>
      <c r="Q208" s="57"/>
      <c r="R208" s="52"/>
      <c r="S208" s="52"/>
      <c r="T208" s="52"/>
      <c r="U208" s="58"/>
      <c r="V208" s="57"/>
      <c r="W208" s="52"/>
      <c r="X208" s="52"/>
      <c r="Y208" s="58"/>
      <c r="Z208" s="57"/>
      <c r="AA208" s="52"/>
      <c r="AB208" s="52"/>
      <c r="AC208" s="58"/>
      <c r="AD208" s="57"/>
      <c r="AE208" s="52"/>
      <c r="AF208" s="52"/>
      <c r="AG208" s="58"/>
      <c r="AH208" s="57"/>
      <c r="AI208" s="52"/>
      <c r="AJ208" s="52"/>
      <c r="AK208" s="58"/>
      <c r="AL208" s="57"/>
      <c r="AM208" s="52"/>
      <c r="AN208" s="52"/>
      <c r="AO208" s="58"/>
      <c r="AP208" s="57"/>
      <c r="AQ208" s="52"/>
      <c r="AR208" s="52"/>
      <c r="AS208" s="58"/>
      <c r="AT208" s="57"/>
      <c r="AU208" s="52"/>
      <c r="AV208" s="52"/>
      <c r="AW208" s="58"/>
      <c r="AX208" s="33">
        <f>SUM(E208:AW208)</f>
        <v>0</v>
      </c>
      <c r="AY208" s="31">
        <f>IFERROR(AVERAGEIF(E208:AW208,"&lt;&gt;0",(E208:AW208)),)</f>
        <v>0</v>
      </c>
      <c r="AZ208" s="30">
        <f>IFERROR(AY208/D208,0)</f>
        <v>0</v>
      </c>
      <c r="BA208" s="34"/>
      <c r="BB208" s="34"/>
      <c r="BC208" s="34"/>
      <c r="BD208" s="76"/>
      <c r="BE208" s="34"/>
      <c r="BF208" s="34"/>
      <c r="BG208" s="34"/>
      <c r="BH208" s="34"/>
    </row>
    <row r="209" spans="1:60" s="17" customFormat="1" ht="19.5" customHeight="1" x14ac:dyDescent="0.35">
      <c r="A209" s="41">
        <f t="shared" si="91"/>
        <v>45425</v>
      </c>
      <c r="B209" s="37" t="str">
        <f t="shared" si="91"/>
        <v>Tela Yapıştırma</v>
      </c>
      <c r="C209" s="66">
        <f>C33</f>
        <v>0</v>
      </c>
      <c r="D209" s="67">
        <f>D208</f>
        <v>200</v>
      </c>
      <c r="E209" s="57"/>
      <c r="F209" s="52"/>
      <c r="G209" s="52"/>
      <c r="H209" s="58"/>
      <c r="I209" s="57"/>
      <c r="J209" s="52"/>
      <c r="K209" s="52"/>
      <c r="L209" s="58"/>
      <c r="M209" s="57"/>
      <c r="N209" s="52"/>
      <c r="O209" s="52"/>
      <c r="P209" s="58"/>
      <c r="Q209" s="57"/>
      <c r="R209" s="52"/>
      <c r="S209" s="52"/>
      <c r="T209" s="52"/>
      <c r="U209" s="58"/>
      <c r="V209" s="57"/>
      <c r="W209" s="52"/>
      <c r="X209" s="52"/>
      <c r="Y209" s="58"/>
      <c r="Z209" s="57"/>
      <c r="AA209" s="52"/>
      <c r="AB209" s="52"/>
      <c r="AC209" s="58"/>
      <c r="AD209" s="57"/>
      <c r="AE209" s="52"/>
      <c r="AF209" s="52"/>
      <c r="AG209" s="58"/>
      <c r="AH209" s="57"/>
      <c r="AI209" s="52"/>
      <c r="AJ209" s="52"/>
      <c r="AK209" s="58"/>
      <c r="AL209" s="57"/>
      <c r="AM209" s="52"/>
      <c r="AN209" s="52"/>
      <c r="AO209" s="58"/>
      <c r="AP209" s="57"/>
      <c r="AQ209" s="52"/>
      <c r="AR209" s="52"/>
      <c r="AS209" s="58"/>
      <c r="AT209" s="57"/>
      <c r="AU209" s="52"/>
      <c r="AV209" s="52"/>
      <c r="AW209" s="58"/>
      <c r="AX209" s="33">
        <f>SUM(E209:AW209)</f>
        <v>0</v>
      </c>
      <c r="AY209" s="31">
        <f>IFERROR(AVERAGEIF(E209:AW209,"&lt;&gt;0",(E209:AW209)),)</f>
        <v>0</v>
      </c>
      <c r="AZ209" s="30">
        <f>IFERROR(AY209/D209,0)</f>
        <v>0</v>
      </c>
      <c r="BA209" s="34"/>
      <c r="BB209" s="34"/>
      <c r="BC209" s="34"/>
      <c r="BD209" s="76"/>
      <c r="BE209" s="34"/>
      <c r="BF209" s="34"/>
      <c r="BG209" s="34"/>
      <c r="BH209" s="34"/>
    </row>
    <row r="210" spans="1:60" s="17" customFormat="1" ht="19.5" customHeight="1" thickBot="1" x14ac:dyDescent="0.4">
      <c r="A210" s="41">
        <f t="shared" si="91"/>
        <v>45425</v>
      </c>
      <c r="B210" s="37" t="str">
        <f t="shared" si="91"/>
        <v>Tela Yapıştırma</v>
      </c>
      <c r="C210" s="66">
        <f>C34</f>
        <v>0</v>
      </c>
      <c r="D210" s="67">
        <f>D209</f>
        <v>200</v>
      </c>
      <c r="E210" s="64"/>
      <c r="F210" s="61"/>
      <c r="G210" s="61"/>
      <c r="H210" s="62"/>
      <c r="I210" s="64"/>
      <c r="J210" s="61"/>
      <c r="K210" s="61"/>
      <c r="L210" s="62"/>
      <c r="M210" s="64"/>
      <c r="N210" s="61"/>
      <c r="O210" s="61"/>
      <c r="P210" s="62"/>
      <c r="Q210" s="64"/>
      <c r="R210" s="61"/>
      <c r="S210" s="61"/>
      <c r="T210" s="61"/>
      <c r="U210" s="62"/>
      <c r="V210" s="64"/>
      <c r="W210" s="61"/>
      <c r="X210" s="61"/>
      <c r="Y210" s="62"/>
      <c r="Z210" s="59"/>
      <c r="AA210" s="60"/>
      <c r="AB210" s="61"/>
      <c r="AC210" s="62"/>
      <c r="AD210" s="59"/>
      <c r="AE210" s="60"/>
      <c r="AF210" s="61"/>
      <c r="AG210" s="62"/>
      <c r="AH210" s="59"/>
      <c r="AI210" s="60"/>
      <c r="AJ210" s="61"/>
      <c r="AK210" s="62"/>
      <c r="AL210" s="59"/>
      <c r="AM210" s="60"/>
      <c r="AN210" s="61"/>
      <c r="AO210" s="62"/>
      <c r="AP210" s="59"/>
      <c r="AQ210" s="60"/>
      <c r="AR210" s="61"/>
      <c r="AS210" s="62"/>
      <c r="AT210" s="59"/>
      <c r="AU210" s="60"/>
      <c r="AV210" s="61"/>
      <c r="AW210" s="62"/>
      <c r="AX210" s="43">
        <f>SUM(E210:AW210)</f>
        <v>0</v>
      </c>
      <c r="AY210" s="44">
        <f>IFERROR(AVERAGEIF(E210:AW210,"&lt;&gt;0",(E210:AW210)),)</f>
        <v>0</v>
      </c>
      <c r="AZ210" s="45">
        <f>IFERROR(AY210/D210,0)</f>
        <v>0</v>
      </c>
      <c r="BA210" s="34"/>
      <c r="BB210" s="34"/>
      <c r="BC210" s="34"/>
      <c r="BD210" s="76"/>
      <c r="BE210" s="34"/>
      <c r="BF210" s="34"/>
      <c r="BG210" s="34"/>
      <c r="BH210" s="34"/>
    </row>
    <row r="211" spans="1:60" s="17" customFormat="1" ht="19.5" customHeight="1" thickBot="1" x14ac:dyDescent="0.45">
      <c r="A211" s="41">
        <f>A210</f>
        <v>45425</v>
      </c>
      <c r="B211" s="139" t="str">
        <f>B206</f>
        <v>Tela Yapıştırma</v>
      </c>
      <c r="C211" s="140"/>
      <c r="D211" s="40">
        <f>C182/8</f>
        <v>500</v>
      </c>
      <c r="E211" s="151">
        <f>SUM(E206:H210)</f>
        <v>0</v>
      </c>
      <c r="F211" s="152"/>
      <c r="G211" s="152"/>
      <c r="H211" s="153"/>
      <c r="I211" s="151">
        <f>SUM(I206:L210)</f>
        <v>0</v>
      </c>
      <c r="J211" s="152"/>
      <c r="K211" s="152"/>
      <c r="L211" s="153"/>
      <c r="M211" s="151">
        <f>SUM(M206:P210)</f>
        <v>0</v>
      </c>
      <c r="N211" s="152"/>
      <c r="O211" s="152"/>
      <c r="P211" s="153"/>
      <c r="Q211" s="151">
        <f>SUM(Q206:U210)</f>
        <v>0</v>
      </c>
      <c r="R211" s="152"/>
      <c r="S211" s="152"/>
      <c r="T211" s="152"/>
      <c r="U211" s="153"/>
      <c r="V211" s="151">
        <f>SUM(V206:Y210)</f>
        <v>0</v>
      </c>
      <c r="W211" s="152"/>
      <c r="X211" s="152"/>
      <c r="Y211" s="153"/>
      <c r="Z211" s="151">
        <f>SUM(Z206:AC210)</f>
        <v>0</v>
      </c>
      <c r="AA211" s="152"/>
      <c r="AB211" s="152"/>
      <c r="AC211" s="153"/>
      <c r="AD211" s="151">
        <f>SUM(AD206:AG210)</f>
        <v>0</v>
      </c>
      <c r="AE211" s="152"/>
      <c r="AF211" s="152"/>
      <c r="AG211" s="153"/>
      <c r="AH211" s="151">
        <f>SUM(AH206:AK210)</f>
        <v>0</v>
      </c>
      <c r="AI211" s="152"/>
      <c r="AJ211" s="152"/>
      <c r="AK211" s="153"/>
      <c r="AL211" s="151">
        <f>SUM(AL206:AO210)</f>
        <v>0</v>
      </c>
      <c r="AM211" s="152"/>
      <c r="AN211" s="152"/>
      <c r="AO211" s="153"/>
      <c r="AP211" s="151">
        <f>SUM(AP206:AS210)</f>
        <v>0</v>
      </c>
      <c r="AQ211" s="152"/>
      <c r="AR211" s="152"/>
      <c r="AS211" s="153"/>
      <c r="AT211" s="151">
        <f>SUM(AT206:AW210)</f>
        <v>0</v>
      </c>
      <c r="AU211" s="152"/>
      <c r="AV211" s="152"/>
      <c r="AW211" s="153"/>
      <c r="AX211" s="87">
        <f>SUM(AX206:AX210)</f>
        <v>0</v>
      </c>
      <c r="AY211" s="88">
        <f>IFERROR(AVERAGEIF(E211:AV211,"&lt;&gt;0",(E211:AV211)),)</f>
        <v>0</v>
      </c>
      <c r="AZ211" s="46">
        <f>IFERROR(AX211/BB207,0)</f>
        <v>0</v>
      </c>
      <c r="BA211" s="34"/>
      <c r="BB211" s="34"/>
      <c r="BC211" s="34"/>
      <c r="BD211" s="76"/>
      <c r="BE211" s="34"/>
      <c r="BF211" s="34"/>
      <c r="BG211" s="34"/>
      <c r="BH211" s="34"/>
    </row>
    <row r="212" spans="1:60" s="17" customFormat="1" ht="19.5" customHeight="1" thickBot="1" x14ac:dyDescent="0.4">
      <c r="A212" s="42">
        <f>A198</f>
        <v>45425</v>
      </c>
      <c r="B212" s="38">
        <f>B213</f>
        <v>0</v>
      </c>
      <c r="C212" s="39" t="s">
        <v>180</v>
      </c>
      <c r="D212" s="69" t="s">
        <v>181</v>
      </c>
      <c r="E212" s="48">
        <v>0.34375</v>
      </c>
      <c r="F212" s="49">
        <v>0.35416666666666669</v>
      </c>
      <c r="G212" s="49">
        <v>0.36458333333333331</v>
      </c>
      <c r="H212" s="50">
        <v>0.375</v>
      </c>
      <c r="I212" s="48">
        <v>0.38541666666666702</v>
      </c>
      <c r="J212" s="49">
        <v>0.39583333333333298</v>
      </c>
      <c r="K212" s="49">
        <v>0.40625</v>
      </c>
      <c r="L212" s="50">
        <v>0.41666666666666702</v>
      </c>
      <c r="M212" s="48">
        <v>0.4375</v>
      </c>
      <c r="N212" s="49">
        <v>0.44791666666666702</v>
      </c>
      <c r="O212" s="49">
        <v>0.45833333333333398</v>
      </c>
      <c r="P212" s="50">
        <v>0.46875</v>
      </c>
      <c r="Q212" s="48">
        <v>0.47916666666666702</v>
      </c>
      <c r="R212" s="49">
        <v>0.48958333333333398</v>
      </c>
      <c r="S212" s="49">
        <v>0.5</v>
      </c>
      <c r="T212" s="50">
        <v>0.51041666666666696</v>
      </c>
      <c r="U212" s="51">
        <v>0.52083333333333204</v>
      </c>
      <c r="V212" s="48">
        <v>0.5625</v>
      </c>
      <c r="W212" s="49">
        <v>0.57291666666666663</v>
      </c>
      <c r="X212" s="49">
        <v>0.58333333333333304</v>
      </c>
      <c r="Y212" s="50">
        <v>0.59375</v>
      </c>
      <c r="Z212" s="48">
        <v>0.60416666666666696</v>
      </c>
      <c r="AA212" s="49">
        <v>0.61458333333333304</v>
      </c>
      <c r="AB212" s="49">
        <v>0.625</v>
      </c>
      <c r="AC212" s="50">
        <v>0.63541666666666596</v>
      </c>
      <c r="AD212" s="48">
        <v>0.65625</v>
      </c>
      <c r="AE212" s="49">
        <v>0.66666666666666663</v>
      </c>
      <c r="AF212" s="49">
        <v>0.67708333333333304</v>
      </c>
      <c r="AG212" s="50">
        <v>0.6875</v>
      </c>
      <c r="AH212" s="48">
        <v>0.69791666666666696</v>
      </c>
      <c r="AI212" s="49">
        <v>0.70833333333333304</v>
      </c>
      <c r="AJ212" s="49">
        <v>0.71875</v>
      </c>
      <c r="AK212" s="50">
        <v>0.72916666666666696</v>
      </c>
      <c r="AL212" s="48">
        <v>0.73958333333333404</v>
      </c>
      <c r="AM212" s="49">
        <v>0.750000000000001</v>
      </c>
      <c r="AN212" s="49">
        <v>0.76041666666666796</v>
      </c>
      <c r="AO212" s="50">
        <v>0.77083333333333504</v>
      </c>
      <c r="AP212" s="48">
        <v>0.781250000000002</v>
      </c>
      <c r="AQ212" s="49">
        <v>0.79166666666666896</v>
      </c>
      <c r="AR212" s="49">
        <v>0.80208333333333603</v>
      </c>
      <c r="AS212" s="50">
        <v>0.812500000000003</v>
      </c>
      <c r="AT212" s="48">
        <v>0.82291666666666996</v>
      </c>
      <c r="AU212" s="49">
        <v>0.83333333333333703</v>
      </c>
      <c r="AV212" s="49">
        <v>0.843750000000004</v>
      </c>
      <c r="AW212" s="50">
        <v>0.85416666666666663</v>
      </c>
      <c r="AX212" s="68" t="s">
        <v>260</v>
      </c>
      <c r="AY212" s="28" t="s">
        <v>261</v>
      </c>
      <c r="AZ212" s="29" t="s">
        <v>262</v>
      </c>
      <c r="BA212" s="136">
        <f>B213</f>
        <v>0</v>
      </c>
      <c r="BB212" s="137"/>
      <c r="BC212" s="137"/>
      <c r="BD212" s="137"/>
      <c r="BE212" s="137"/>
      <c r="BF212" s="137"/>
      <c r="BG212" s="137"/>
      <c r="BH212" s="138"/>
    </row>
    <row r="213" spans="1:60" s="17" customFormat="1" ht="19.5" customHeight="1" thickBot="1" x14ac:dyDescent="0.4">
      <c r="A213" s="41">
        <f>A205</f>
        <v>45425</v>
      </c>
      <c r="B213" s="37">
        <f>B37</f>
        <v>0</v>
      </c>
      <c r="C213" s="66">
        <f>C37</f>
        <v>0</v>
      </c>
      <c r="D213" s="70">
        <f>D37</f>
        <v>200</v>
      </c>
      <c r="E213" s="63"/>
      <c r="F213" s="55"/>
      <c r="G213" s="55"/>
      <c r="H213" s="56"/>
      <c r="I213" s="63"/>
      <c r="J213" s="55"/>
      <c r="K213" s="55"/>
      <c r="L213" s="56"/>
      <c r="M213" s="63"/>
      <c r="N213" s="55"/>
      <c r="O213" s="55"/>
      <c r="P213" s="56"/>
      <c r="Q213" s="63"/>
      <c r="R213" s="55"/>
      <c r="S213" s="55"/>
      <c r="T213" s="55"/>
      <c r="U213" s="56"/>
      <c r="V213" s="63"/>
      <c r="W213" s="55"/>
      <c r="X213" s="55"/>
      <c r="Y213" s="56"/>
      <c r="Z213" s="63"/>
      <c r="AA213" s="55"/>
      <c r="AB213" s="55"/>
      <c r="AC213" s="56"/>
      <c r="AD213" s="63"/>
      <c r="AE213" s="55"/>
      <c r="AF213" s="55"/>
      <c r="AG213" s="56"/>
      <c r="AH213" s="63"/>
      <c r="AI213" s="55"/>
      <c r="AJ213" s="55"/>
      <c r="AK213" s="56"/>
      <c r="AL213" s="63"/>
      <c r="AM213" s="55"/>
      <c r="AN213" s="55"/>
      <c r="AO213" s="56"/>
      <c r="AP213" s="63"/>
      <c r="AQ213" s="54"/>
      <c r="AR213" s="55"/>
      <c r="AS213" s="56"/>
      <c r="AT213" s="53"/>
      <c r="AU213" s="54"/>
      <c r="AV213" s="55"/>
      <c r="AW213" s="56"/>
      <c r="AX213" s="33">
        <f>SUM(E213:AW213)</f>
        <v>0</v>
      </c>
      <c r="AY213" s="31">
        <f>IFERROR(AVERAGEIF(E213:AW213,"&lt;&gt;0",(E213:AW213)),)</f>
        <v>0</v>
      </c>
      <c r="AZ213" s="30">
        <f>IFERROR(AY213/D213,0)</f>
        <v>0</v>
      </c>
      <c r="BA213" s="103" t="s">
        <v>182</v>
      </c>
      <c r="BB213" s="100" t="s">
        <v>183</v>
      </c>
      <c r="BC213" s="100" t="s">
        <v>184</v>
      </c>
      <c r="BD213" s="101" t="s">
        <v>185</v>
      </c>
      <c r="BE213" s="100" t="s">
        <v>186</v>
      </c>
      <c r="BF213" s="102" t="s">
        <v>187</v>
      </c>
      <c r="BG213" s="100" t="s">
        <v>188</v>
      </c>
      <c r="BH213" s="102" t="s">
        <v>189</v>
      </c>
    </row>
    <row r="214" spans="1:60" s="17" customFormat="1" ht="19.5" customHeight="1" thickBot="1" x14ac:dyDescent="0.4">
      <c r="A214" s="41">
        <f t="shared" ref="A214:B217" si="92">A213</f>
        <v>45425</v>
      </c>
      <c r="B214" s="37">
        <f t="shared" si="92"/>
        <v>0</v>
      </c>
      <c r="C214" s="66">
        <f>C38</f>
        <v>0</v>
      </c>
      <c r="D214" s="67">
        <f>D213</f>
        <v>200</v>
      </c>
      <c r="E214" s="57"/>
      <c r="F214" s="52"/>
      <c r="G214" s="52"/>
      <c r="H214" s="58"/>
      <c r="I214" s="57"/>
      <c r="J214" s="52"/>
      <c r="K214" s="52"/>
      <c r="L214" s="58"/>
      <c r="M214" s="57"/>
      <c r="N214" s="52"/>
      <c r="O214" s="52"/>
      <c r="P214" s="58"/>
      <c r="Q214" s="57"/>
      <c r="R214" s="52"/>
      <c r="S214" s="52"/>
      <c r="T214" s="52"/>
      <c r="U214" s="58"/>
      <c r="V214" s="57"/>
      <c r="W214" s="52"/>
      <c r="X214" s="52"/>
      <c r="Y214" s="58"/>
      <c r="Z214" s="57"/>
      <c r="AA214" s="52"/>
      <c r="AB214" s="52"/>
      <c r="AC214" s="58"/>
      <c r="AD214" s="57"/>
      <c r="AE214" s="52"/>
      <c r="AF214" s="52"/>
      <c r="AG214" s="58"/>
      <c r="AH214" s="57"/>
      <c r="AI214" s="52"/>
      <c r="AJ214" s="52"/>
      <c r="AK214" s="58"/>
      <c r="AL214" s="57"/>
      <c r="AM214" s="52"/>
      <c r="AN214" s="52"/>
      <c r="AO214" s="58"/>
      <c r="AP214" s="57"/>
      <c r="AQ214" s="52"/>
      <c r="AR214" s="52"/>
      <c r="AS214" s="58"/>
      <c r="AT214" s="57"/>
      <c r="AU214" s="52"/>
      <c r="AV214" s="52"/>
      <c r="AW214" s="58"/>
      <c r="AX214" s="33">
        <f>SUM(E214:AW214)</f>
        <v>0</v>
      </c>
      <c r="AY214" s="31">
        <f>IFERROR(AVERAGEIF(E214:AW214,"&lt;&gt;0",(E214:AW214)),)</f>
        <v>0</v>
      </c>
      <c r="AZ214" s="30">
        <f>IFERROR(AY214/D214,0)</f>
        <v>0</v>
      </c>
      <c r="BA214" s="94">
        <f>AX218+BA38</f>
        <v>0</v>
      </c>
      <c r="BB214" s="95">
        <f>(D218*8)</f>
        <v>4000</v>
      </c>
      <c r="BC214" s="96">
        <f>C181-BA214</f>
        <v>42311</v>
      </c>
      <c r="BD214" s="96">
        <f>BA207-BA214</f>
        <v>0</v>
      </c>
      <c r="BE214" s="97">
        <f>IFERROR(BC214/E218,0)</f>
        <v>0</v>
      </c>
      <c r="BF214" s="98">
        <f>IFERROR(BE214/9,0)</f>
        <v>0</v>
      </c>
      <c r="BG214" s="97">
        <f>IFERROR(BC214/AY218,0)</f>
        <v>0</v>
      </c>
      <c r="BH214" s="97">
        <f>IFERROR(BG214/9,0)</f>
        <v>0</v>
      </c>
    </row>
    <row r="215" spans="1:60" s="17" customFormat="1" ht="19.5" customHeight="1" x14ac:dyDescent="0.35">
      <c r="A215" s="41">
        <f t="shared" si="92"/>
        <v>45425</v>
      </c>
      <c r="B215" s="37">
        <f t="shared" si="92"/>
        <v>0</v>
      </c>
      <c r="C215" s="66">
        <f>C39</f>
        <v>0</v>
      </c>
      <c r="D215" s="67">
        <f>D214</f>
        <v>200</v>
      </c>
      <c r="E215" s="57"/>
      <c r="F215" s="52"/>
      <c r="G215" s="52"/>
      <c r="H215" s="58"/>
      <c r="I215" s="57"/>
      <c r="J215" s="52"/>
      <c r="K215" s="52"/>
      <c r="L215" s="58"/>
      <c r="M215" s="57"/>
      <c r="N215" s="52"/>
      <c r="O215" s="52"/>
      <c r="P215" s="58"/>
      <c r="Q215" s="57"/>
      <c r="R215" s="52"/>
      <c r="S215" s="52"/>
      <c r="T215" s="52"/>
      <c r="U215" s="58"/>
      <c r="V215" s="57"/>
      <c r="W215" s="52"/>
      <c r="X215" s="52"/>
      <c r="Y215" s="58"/>
      <c r="Z215" s="57"/>
      <c r="AA215" s="52"/>
      <c r="AB215" s="52"/>
      <c r="AC215" s="58"/>
      <c r="AD215" s="57"/>
      <c r="AE215" s="52"/>
      <c r="AF215" s="52"/>
      <c r="AG215" s="58"/>
      <c r="AH215" s="57"/>
      <c r="AI215" s="52"/>
      <c r="AJ215" s="52"/>
      <c r="AK215" s="58"/>
      <c r="AL215" s="57"/>
      <c r="AM215" s="52"/>
      <c r="AN215" s="52"/>
      <c r="AO215" s="58"/>
      <c r="AP215" s="57"/>
      <c r="AQ215" s="52"/>
      <c r="AR215" s="52"/>
      <c r="AS215" s="58"/>
      <c r="AT215" s="57"/>
      <c r="AU215" s="52"/>
      <c r="AV215" s="52"/>
      <c r="AW215" s="58"/>
      <c r="AX215" s="33">
        <f>SUM(E215:AW215)</f>
        <v>0</v>
      </c>
      <c r="AY215" s="31">
        <f>IFERROR(AVERAGEIF(E215:AW215,"&lt;&gt;0",(E215:AW215)),)</f>
        <v>0</v>
      </c>
      <c r="AZ215" s="30">
        <f>IFERROR(AY215/D215,0)</f>
        <v>0</v>
      </c>
      <c r="BA215" s="34"/>
      <c r="BB215" s="34"/>
      <c r="BC215" s="34"/>
      <c r="BD215" s="76"/>
      <c r="BE215" s="34"/>
      <c r="BF215" s="34"/>
      <c r="BG215" s="34"/>
      <c r="BH215" s="34"/>
    </row>
    <row r="216" spans="1:60" s="17" customFormat="1" ht="19.5" customHeight="1" x14ac:dyDescent="0.35">
      <c r="A216" s="41">
        <f t="shared" si="92"/>
        <v>45425</v>
      </c>
      <c r="B216" s="37">
        <f t="shared" si="92"/>
        <v>0</v>
      </c>
      <c r="C216" s="66">
        <f>C40</f>
        <v>0</v>
      </c>
      <c r="D216" s="67">
        <f>D215</f>
        <v>200</v>
      </c>
      <c r="E216" s="57"/>
      <c r="F216" s="52"/>
      <c r="G216" s="52"/>
      <c r="H216" s="58"/>
      <c r="I216" s="57"/>
      <c r="J216" s="52"/>
      <c r="K216" s="52"/>
      <c r="L216" s="58"/>
      <c r="M216" s="57"/>
      <c r="N216" s="52"/>
      <c r="O216" s="52"/>
      <c r="P216" s="58"/>
      <c r="Q216" s="57"/>
      <c r="R216" s="52"/>
      <c r="S216" s="52"/>
      <c r="T216" s="52"/>
      <c r="U216" s="58"/>
      <c r="V216" s="57"/>
      <c r="W216" s="52"/>
      <c r="X216" s="52"/>
      <c r="Y216" s="58"/>
      <c r="Z216" s="57"/>
      <c r="AA216" s="52"/>
      <c r="AB216" s="52"/>
      <c r="AC216" s="58"/>
      <c r="AD216" s="57"/>
      <c r="AE216" s="52"/>
      <c r="AF216" s="52"/>
      <c r="AG216" s="58"/>
      <c r="AH216" s="57"/>
      <c r="AI216" s="52"/>
      <c r="AJ216" s="52"/>
      <c r="AK216" s="58"/>
      <c r="AL216" s="57"/>
      <c r="AM216" s="52"/>
      <c r="AN216" s="52"/>
      <c r="AO216" s="58"/>
      <c r="AP216" s="57"/>
      <c r="AQ216" s="52"/>
      <c r="AR216" s="52"/>
      <c r="AS216" s="58"/>
      <c r="AT216" s="57"/>
      <c r="AU216" s="52"/>
      <c r="AV216" s="52"/>
      <c r="AW216" s="58"/>
      <c r="AX216" s="33">
        <f>SUM(E216:AW216)</f>
        <v>0</v>
      </c>
      <c r="AY216" s="31">
        <f>IFERROR(AVERAGEIF(E216:AW216,"&lt;&gt;0",(E216:AW216)),)</f>
        <v>0</v>
      </c>
      <c r="AZ216" s="30">
        <f>IFERROR(AY216/D216,0)</f>
        <v>0</v>
      </c>
      <c r="BA216" s="34"/>
      <c r="BB216" s="34"/>
      <c r="BC216" s="34"/>
      <c r="BD216" s="76"/>
      <c r="BE216" s="34"/>
      <c r="BF216" s="34"/>
      <c r="BG216" s="34"/>
      <c r="BH216" s="34"/>
    </row>
    <row r="217" spans="1:60" s="17" customFormat="1" ht="19.5" customHeight="1" thickBot="1" x14ac:dyDescent="0.4">
      <c r="A217" s="41">
        <f t="shared" si="92"/>
        <v>45425</v>
      </c>
      <c r="B217" s="37">
        <f t="shared" si="92"/>
        <v>0</v>
      </c>
      <c r="C217" s="66">
        <f>C41</f>
        <v>0</v>
      </c>
      <c r="D217" s="67">
        <f>D216</f>
        <v>200</v>
      </c>
      <c r="E217" s="64"/>
      <c r="F217" s="61"/>
      <c r="G217" s="61"/>
      <c r="H217" s="62"/>
      <c r="I217" s="64"/>
      <c r="J217" s="61"/>
      <c r="K217" s="61"/>
      <c r="L217" s="62"/>
      <c r="M217" s="64"/>
      <c r="N217" s="61"/>
      <c r="O217" s="61"/>
      <c r="P217" s="62"/>
      <c r="Q217" s="64"/>
      <c r="R217" s="61"/>
      <c r="S217" s="61"/>
      <c r="T217" s="61"/>
      <c r="U217" s="62"/>
      <c r="V217" s="64"/>
      <c r="W217" s="61"/>
      <c r="X217" s="61"/>
      <c r="Y217" s="62"/>
      <c r="Z217" s="59"/>
      <c r="AA217" s="60"/>
      <c r="AB217" s="61"/>
      <c r="AC217" s="62"/>
      <c r="AD217" s="59"/>
      <c r="AE217" s="60"/>
      <c r="AF217" s="61"/>
      <c r="AG217" s="62"/>
      <c r="AH217" s="59"/>
      <c r="AI217" s="60"/>
      <c r="AJ217" s="61"/>
      <c r="AK217" s="62"/>
      <c r="AL217" s="59"/>
      <c r="AM217" s="60"/>
      <c r="AN217" s="61"/>
      <c r="AO217" s="62"/>
      <c r="AP217" s="59"/>
      <c r="AQ217" s="60"/>
      <c r="AR217" s="61"/>
      <c r="AS217" s="62"/>
      <c r="AT217" s="59"/>
      <c r="AU217" s="60"/>
      <c r="AV217" s="61"/>
      <c r="AW217" s="62"/>
      <c r="AX217" s="43">
        <f>SUM(E217:AW217)</f>
        <v>0</v>
      </c>
      <c r="AY217" s="44">
        <f>IFERROR(AVERAGEIF(E217:AW217,"&lt;&gt;0",(E217:AW217)),)</f>
        <v>0</v>
      </c>
      <c r="AZ217" s="45">
        <f>IFERROR(AY217/D217,0)</f>
        <v>0</v>
      </c>
      <c r="BA217" s="34"/>
      <c r="BB217" s="34"/>
      <c r="BC217" s="34"/>
      <c r="BD217" s="76"/>
      <c r="BE217" s="34"/>
      <c r="BF217" s="34"/>
      <c r="BG217" s="34"/>
      <c r="BH217" s="34"/>
    </row>
    <row r="218" spans="1:60" s="17" customFormat="1" ht="19.5" customHeight="1" thickBot="1" x14ac:dyDescent="0.45">
      <c r="A218" s="41">
        <f>A217</f>
        <v>45425</v>
      </c>
      <c r="B218" s="139">
        <f>B213</f>
        <v>0</v>
      </c>
      <c r="C218" s="140"/>
      <c r="D218" s="40">
        <f>C182/8</f>
        <v>500</v>
      </c>
      <c r="E218" s="151">
        <f>SUM(E213:H217)</f>
        <v>0</v>
      </c>
      <c r="F218" s="152"/>
      <c r="G218" s="152"/>
      <c r="H218" s="153"/>
      <c r="I218" s="151">
        <f>SUM(I213:L217)</f>
        <v>0</v>
      </c>
      <c r="J218" s="152"/>
      <c r="K218" s="152"/>
      <c r="L218" s="153"/>
      <c r="M218" s="151">
        <f>SUM(M213:P217)</f>
        <v>0</v>
      </c>
      <c r="N218" s="152"/>
      <c r="O218" s="152"/>
      <c r="P218" s="153"/>
      <c r="Q218" s="151">
        <f>SUM(Q213:U217)</f>
        <v>0</v>
      </c>
      <c r="R218" s="152"/>
      <c r="S218" s="152"/>
      <c r="T218" s="152"/>
      <c r="U218" s="153"/>
      <c r="V218" s="151">
        <f>SUM(V213:Y217)</f>
        <v>0</v>
      </c>
      <c r="W218" s="152"/>
      <c r="X218" s="152"/>
      <c r="Y218" s="153"/>
      <c r="Z218" s="151">
        <f>SUM(Z213:AC217)</f>
        <v>0</v>
      </c>
      <c r="AA218" s="152"/>
      <c r="AB218" s="152"/>
      <c r="AC218" s="153"/>
      <c r="AD218" s="151">
        <f>SUM(AD213:AG217)</f>
        <v>0</v>
      </c>
      <c r="AE218" s="152"/>
      <c r="AF218" s="152"/>
      <c r="AG218" s="153"/>
      <c r="AH218" s="151">
        <f>SUM(AH213:AK217)</f>
        <v>0</v>
      </c>
      <c r="AI218" s="152"/>
      <c r="AJ218" s="152"/>
      <c r="AK218" s="153"/>
      <c r="AL218" s="151">
        <f>SUM(AL213:AO217)</f>
        <v>0</v>
      </c>
      <c r="AM218" s="152"/>
      <c r="AN218" s="152"/>
      <c r="AO218" s="153"/>
      <c r="AP218" s="151">
        <f>SUM(AP213:AS217)</f>
        <v>0</v>
      </c>
      <c r="AQ218" s="152"/>
      <c r="AR218" s="152"/>
      <c r="AS218" s="153"/>
      <c r="AT218" s="151">
        <f>SUM(AT213:AW217)</f>
        <v>0</v>
      </c>
      <c r="AU218" s="152"/>
      <c r="AV218" s="152"/>
      <c r="AW218" s="153"/>
      <c r="AX218" s="87">
        <f>SUM(AX213:AX217)</f>
        <v>0</v>
      </c>
      <c r="AY218" s="88">
        <f>IFERROR(AVERAGEIF(E218:AV218,"&lt;&gt;0",(E218:AV218)),)</f>
        <v>0</v>
      </c>
      <c r="AZ218" s="46">
        <f>IFERROR(AX218/BB214,0)</f>
        <v>0</v>
      </c>
      <c r="BA218" s="34"/>
      <c r="BB218" s="34"/>
      <c r="BC218" s="34"/>
      <c r="BD218" s="76"/>
      <c r="BE218" s="34"/>
      <c r="BF218" s="34"/>
      <c r="BG218" s="34"/>
      <c r="BH218" s="34"/>
    </row>
    <row r="219" spans="1:60" s="17" customFormat="1" ht="19.5" customHeight="1" thickBot="1" x14ac:dyDescent="0.4">
      <c r="A219" s="42">
        <f>A212</f>
        <v>45425</v>
      </c>
      <c r="B219" s="38" t="str">
        <f>B220</f>
        <v>BANT GİRİŞ</v>
      </c>
      <c r="C219" s="39" t="s">
        <v>180</v>
      </c>
      <c r="D219" s="69" t="s">
        <v>181</v>
      </c>
      <c r="E219" s="48">
        <v>0.34375</v>
      </c>
      <c r="F219" s="49">
        <v>0.35416666666666669</v>
      </c>
      <c r="G219" s="49">
        <v>0.36458333333333331</v>
      </c>
      <c r="H219" s="50">
        <v>0.375</v>
      </c>
      <c r="I219" s="48">
        <v>0.38541666666666702</v>
      </c>
      <c r="J219" s="49">
        <v>0.39583333333333298</v>
      </c>
      <c r="K219" s="49">
        <v>0.40625</v>
      </c>
      <c r="L219" s="50">
        <v>0.41666666666666702</v>
      </c>
      <c r="M219" s="48">
        <v>0.4375</v>
      </c>
      <c r="N219" s="49">
        <v>0.44791666666666702</v>
      </c>
      <c r="O219" s="49">
        <v>0.45833333333333398</v>
      </c>
      <c r="P219" s="50">
        <v>0.46875</v>
      </c>
      <c r="Q219" s="48">
        <v>0.47916666666666702</v>
      </c>
      <c r="R219" s="49">
        <v>0.48958333333333398</v>
      </c>
      <c r="S219" s="49">
        <v>0.5</v>
      </c>
      <c r="T219" s="50">
        <v>0.51041666666666696</v>
      </c>
      <c r="U219" s="51">
        <v>0.52083333333333204</v>
      </c>
      <c r="V219" s="48">
        <v>0.5625</v>
      </c>
      <c r="W219" s="49">
        <v>0.57291666666666663</v>
      </c>
      <c r="X219" s="49">
        <v>0.58333333333333304</v>
      </c>
      <c r="Y219" s="50">
        <v>0.59375</v>
      </c>
      <c r="Z219" s="48">
        <v>0.60416666666666696</v>
      </c>
      <c r="AA219" s="49">
        <v>0.61458333333333304</v>
      </c>
      <c r="AB219" s="49">
        <v>0.625</v>
      </c>
      <c r="AC219" s="50">
        <v>0.63541666666666596</v>
      </c>
      <c r="AD219" s="48">
        <v>0.65625</v>
      </c>
      <c r="AE219" s="49">
        <v>0.66666666666666663</v>
      </c>
      <c r="AF219" s="49">
        <v>0.67708333333333304</v>
      </c>
      <c r="AG219" s="50">
        <v>0.6875</v>
      </c>
      <c r="AH219" s="48">
        <v>0.69791666666666696</v>
      </c>
      <c r="AI219" s="49">
        <v>0.70833333333333304</v>
      </c>
      <c r="AJ219" s="49">
        <v>0.71875</v>
      </c>
      <c r="AK219" s="50">
        <v>0.72916666666666696</v>
      </c>
      <c r="AL219" s="48">
        <v>0.73958333333333404</v>
      </c>
      <c r="AM219" s="49">
        <v>0.750000000000001</v>
      </c>
      <c r="AN219" s="49">
        <v>0.76041666666666796</v>
      </c>
      <c r="AO219" s="50">
        <v>0.77083333333333504</v>
      </c>
      <c r="AP219" s="48">
        <v>0.781250000000002</v>
      </c>
      <c r="AQ219" s="49">
        <v>0.79166666666666896</v>
      </c>
      <c r="AR219" s="49">
        <v>0.80208333333333603</v>
      </c>
      <c r="AS219" s="50">
        <v>0.812500000000003</v>
      </c>
      <c r="AT219" s="48">
        <v>0.82291666666666996</v>
      </c>
      <c r="AU219" s="49">
        <v>0.83333333333333703</v>
      </c>
      <c r="AV219" s="49">
        <v>0.843750000000004</v>
      </c>
      <c r="AW219" s="50">
        <v>0.85416666666666663</v>
      </c>
      <c r="AX219" s="68" t="s">
        <v>260</v>
      </c>
      <c r="AY219" s="28" t="s">
        <v>261</v>
      </c>
      <c r="AZ219" s="29" t="s">
        <v>262</v>
      </c>
      <c r="BA219" s="136" t="str">
        <f>B220</f>
        <v>BANT GİRİŞ</v>
      </c>
      <c r="BB219" s="137"/>
      <c r="BC219" s="137"/>
      <c r="BD219" s="137"/>
      <c r="BE219" s="137"/>
      <c r="BF219" s="137"/>
      <c r="BG219" s="137"/>
      <c r="BH219" s="138"/>
    </row>
    <row r="220" spans="1:60" s="17" customFormat="1" ht="19.5" customHeight="1" thickBot="1" x14ac:dyDescent="0.4">
      <c r="A220" s="41">
        <f t="shared" ref="A220:B224" si="93">A219</f>
        <v>45425</v>
      </c>
      <c r="B220" s="37" t="str">
        <f>B44</f>
        <v>BANT GİRİŞ</v>
      </c>
      <c r="C220" s="65" t="str">
        <f>C44</f>
        <v>XS</v>
      </c>
      <c r="D220" s="70">
        <f>D44</f>
        <v>120</v>
      </c>
      <c r="E220" s="63"/>
      <c r="F220" s="55"/>
      <c r="G220" s="55"/>
      <c r="H220" s="56"/>
      <c r="I220" s="63"/>
      <c r="J220" s="55"/>
      <c r="K220" s="55"/>
      <c r="L220" s="56"/>
      <c r="M220" s="63"/>
      <c r="N220" s="55"/>
      <c r="O220" s="55"/>
      <c r="P220" s="56"/>
      <c r="Q220" s="63"/>
      <c r="R220" s="55"/>
      <c r="S220" s="55"/>
      <c r="T220" s="55"/>
      <c r="U220" s="56"/>
      <c r="V220" s="63"/>
      <c r="W220" s="55"/>
      <c r="X220" s="55"/>
      <c r="Y220" s="56"/>
      <c r="Z220" s="63"/>
      <c r="AA220" s="55"/>
      <c r="AB220" s="55"/>
      <c r="AC220" s="56"/>
      <c r="AD220" s="63"/>
      <c r="AE220" s="55"/>
      <c r="AF220" s="55"/>
      <c r="AG220" s="56"/>
      <c r="AH220" s="63"/>
      <c r="AI220" s="55"/>
      <c r="AJ220" s="55"/>
      <c r="AK220" s="56"/>
      <c r="AL220" s="63"/>
      <c r="AM220" s="55"/>
      <c r="AN220" s="55"/>
      <c r="AO220" s="56"/>
      <c r="AP220" s="63"/>
      <c r="AQ220" s="54"/>
      <c r="AR220" s="55"/>
      <c r="AS220" s="56"/>
      <c r="AT220" s="53"/>
      <c r="AU220" s="54"/>
      <c r="AV220" s="55"/>
      <c r="AW220" s="56"/>
      <c r="AX220" s="33">
        <f>SUM(E220:AW220)</f>
        <v>0</v>
      </c>
      <c r="AY220" s="31">
        <f>IFERROR(AVERAGEIF(E220:AW220,"&lt;&gt;0",(E220:AW220)),)</f>
        <v>0</v>
      </c>
      <c r="AZ220" s="30">
        <f>IFERROR(AY220/D220,0)</f>
        <v>0</v>
      </c>
      <c r="BA220" s="19"/>
      <c r="BB220" s="19" t="str">
        <f t="shared" ref="BB220:BG220" si="94">BA182</f>
        <v>XS</v>
      </c>
      <c r="BC220" s="19" t="str">
        <f t="shared" si="94"/>
        <v>S</v>
      </c>
      <c r="BD220" s="19" t="str">
        <f t="shared" si="94"/>
        <v>M</v>
      </c>
      <c r="BE220" s="19" t="str">
        <f t="shared" si="94"/>
        <v>L</v>
      </c>
      <c r="BF220" s="19" t="str">
        <f t="shared" si="94"/>
        <v>XL</v>
      </c>
      <c r="BG220" s="19" t="str">
        <f t="shared" si="94"/>
        <v>XXL</v>
      </c>
      <c r="BH220" s="19" t="s">
        <v>190</v>
      </c>
    </row>
    <row r="221" spans="1:60" s="17" customFormat="1" ht="19.5" customHeight="1" thickBot="1" x14ac:dyDescent="0.4">
      <c r="A221" s="41">
        <f t="shared" si="93"/>
        <v>45425</v>
      </c>
      <c r="B221" s="37" t="str">
        <f t="shared" si="93"/>
        <v>BANT GİRİŞ</v>
      </c>
      <c r="C221" s="65" t="str">
        <f t="shared" ref="C221:C226" si="95">C45</f>
        <v>S</v>
      </c>
      <c r="D221" s="67">
        <f t="shared" ref="D221:D226" si="96">D220</f>
        <v>120</v>
      </c>
      <c r="E221" s="57"/>
      <c r="F221" s="52"/>
      <c r="G221" s="52"/>
      <c r="H221" s="58"/>
      <c r="I221" s="57"/>
      <c r="J221" s="52"/>
      <c r="K221" s="52"/>
      <c r="L221" s="58"/>
      <c r="M221" s="57"/>
      <c r="N221" s="52"/>
      <c r="O221" s="52"/>
      <c r="P221" s="58"/>
      <c r="Q221" s="57"/>
      <c r="R221" s="52"/>
      <c r="S221" s="52"/>
      <c r="T221" s="52"/>
      <c r="U221" s="58"/>
      <c r="V221" s="57"/>
      <c r="W221" s="52"/>
      <c r="X221" s="52"/>
      <c r="Y221" s="58"/>
      <c r="Z221" s="57"/>
      <c r="AA221" s="52"/>
      <c r="AB221" s="52"/>
      <c r="AC221" s="58"/>
      <c r="AD221" s="57"/>
      <c r="AE221" s="52"/>
      <c r="AF221" s="52"/>
      <c r="AG221" s="58"/>
      <c r="AH221" s="57"/>
      <c r="AI221" s="52"/>
      <c r="AJ221" s="52"/>
      <c r="AK221" s="58"/>
      <c r="AL221" s="57"/>
      <c r="AM221" s="52"/>
      <c r="AN221" s="52"/>
      <c r="AO221" s="58"/>
      <c r="AP221" s="57"/>
      <c r="AQ221" s="52"/>
      <c r="AR221" s="52"/>
      <c r="AS221" s="58"/>
      <c r="AT221" s="57"/>
      <c r="AU221" s="52"/>
      <c r="AV221" s="52"/>
      <c r="AW221" s="58"/>
      <c r="AX221" s="33">
        <f t="shared" ref="AX221:AX226" si="97">SUM(E221:AW221)</f>
        <v>0</v>
      </c>
      <c r="AY221" s="31">
        <f t="shared" ref="AY221:AY226" si="98">IFERROR(AVERAGEIF(E221:AW221,"&lt;&gt;0",(E221:AW221)),)</f>
        <v>0</v>
      </c>
      <c r="AZ221" s="30">
        <f t="shared" ref="AZ221:AZ226" si="99">IFERROR(AY221/D221,0)</f>
        <v>0</v>
      </c>
      <c r="BA221" s="94" t="s">
        <v>192</v>
      </c>
      <c r="BB221" s="96">
        <f>SUMIF(C220:C226,BB220,AX220:AX226)+BB45</f>
        <v>0</v>
      </c>
      <c r="BC221" s="96">
        <f>SUMIF(C220:C226,BC220,AX220:AX226)+BC45</f>
        <v>0</v>
      </c>
      <c r="BD221" s="96">
        <f>SUMIF(C220:C226,BD220,AX220:AX226)+BD45</f>
        <v>0</v>
      </c>
      <c r="BE221" s="96">
        <f>SUMIF(C220:C226,BE220,AX220:AX226)+BE45</f>
        <v>0</v>
      </c>
      <c r="BF221" s="96">
        <f>SUMIF(C220:C226,BF220,AX220:AX226)+BF45</f>
        <v>0</v>
      </c>
      <c r="BG221" s="96"/>
      <c r="BH221" s="99">
        <f>SUM(BB221:BG221)</f>
        <v>0</v>
      </c>
    </row>
    <row r="222" spans="1:60" s="17" customFormat="1" ht="19.5" customHeight="1" thickBot="1" x14ac:dyDescent="0.4">
      <c r="A222" s="41">
        <f t="shared" si="93"/>
        <v>45425</v>
      </c>
      <c r="B222" s="37" t="str">
        <f t="shared" si="93"/>
        <v>BANT GİRİŞ</v>
      </c>
      <c r="C222" s="65" t="str">
        <f t="shared" si="95"/>
        <v>M</v>
      </c>
      <c r="D222" s="67">
        <f t="shared" si="96"/>
        <v>120</v>
      </c>
      <c r="E222" s="57"/>
      <c r="F222" s="52"/>
      <c r="G222" s="52"/>
      <c r="H222" s="58"/>
      <c r="I222" s="57"/>
      <c r="J222" s="52"/>
      <c r="K222" s="52"/>
      <c r="L222" s="58"/>
      <c r="M222" s="57"/>
      <c r="N222" s="52"/>
      <c r="O222" s="52"/>
      <c r="P222" s="58"/>
      <c r="Q222" s="57"/>
      <c r="R222" s="52"/>
      <c r="S222" s="52"/>
      <c r="T222" s="52"/>
      <c r="U222" s="58"/>
      <c r="V222" s="57"/>
      <c r="W222" s="52"/>
      <c r="X222" s="52"/>
      <c r="Y222" s="58"/>
      <c r="Z222" s="57"/>
      <c r="AA222" s="52"/>
      <c r="AB222" s="52"/>
      <c r="AC222" s="58"/>
      <c r="AD222" s="57"/>
      <c r="AE222" s="52"/>
      <c r="AF222" s="52"/>
      <c r="AG222" s="58"/>
      <c r="AH222" s="57"/>
      <c r="AI222" s="52"/>
      <c r="AJ222" s="52"/>
      <c r="AK222" s="58"/>
      <c r="AL222" s="57"/>
      <c r="AM222" s="52"/>
      <c r="AN222" s="52"/>
      <c r="AO222" s="58"/>
      <c r="AP222" s="57"/>
      <c r="AQ222" s="52"/>
      <c r="AR222" s="52"/>
      <c r="AS222" s="58"/>
      <c r="AT222" s="57"/>
      <c r="AU222" s="52"/>
      <c r="AV222" s="52"/>
      <c r="AW222" s="58"/>
      <c r="AX222" s="33">
        <f t="shared" si="97"/>
        <v>0</v>
      </c>
      <c r="AY222" s="31">
        <f t="shared" si="98"/>
        <v>0</v>
      </c>
      <c r="AZ222" s="30">
        <f t="shared" si="99"/>
        <v>0</v>
      </c>
      <c r="BA222" s="94" t="s">
        <v>193</v>
      </c>
      <c r="BB222" s="96">
        <f>BA183-BB221</f>
        <v>492</v>
      </c>
      <c r="BC222" s="96">
        <f>BB183-BC221</f>
        <v>11438</v>
      </c>
      <c r="BD222" s="96">
        <f>BC183-BD221</f>
        <v>13689</v>
      </c>
      <c r="BE222" s="96">
        <f>BD183-BE221</f>
        <v>9760</v>
      </c>
      <c r="BF222" s="96">
        <f>BE183-BF221</f>
        <v>4794</v>
      </c>
      <c r="BG222" s="96"/>
      <c r="BH222" s="96">
        <f>SUM(BB222:BG222)</f>
        <v>40173</v>
      </c>
    </row>
    <row r="223" spans="1:60" s="17" customFormat="1" ht="19.5" customHeight="1" x14ac:dyDescent="0.35">
      <c r="A223" s="41">
        <f t="shared" si="93"/>
        <v>45425</v>
      </c>
      <c r="B223" s="37" t="str">
        <f t="shared" si="93"/>
        <v>BANT GİRİŞ</v>
      </c>
      <c r="C223" s="65" t="str">
        <f t="shared" si="95"/>
        <v>L</v>
      </c>
      <c r="D223" s="67">
        <f t="shared" si="96"/>
        <v>120</v>
      </c>
      <c r="E223" s="57"/>
      <c r="F223" s="52"/>
      <c r="G223" s="52"/>
      <c r="H223" s="58"/>
      <c r="I223" s="57"/>
      <c r="J223" s="52"/>
      <c r="K223" s="52"/>
      <c r="L223" s="58"/>
      <c r="M223" s="57"/>
      <c r="N223" s="52"/>
      <c r="O223" s="52"/>
      <c r="P223" s="58"/>
      <c r="Q223" s="57"/>
      <c r="R223" s="52"/>
      <c r="S223" s="52"/>
      <c r="T223" s="52"/>
      <c r="U223" s="58"/>
      <c r="V223" s="57"/>
      <c r="W223" s="52"/>
      <c r="X223" s="52"/>
      <c r="Y223" s="58"/>
      <c r="Z223" s="57"/>
      <c r="AA223" s="52"/>
      <c r="AB223" s="52"/>
      <c r="AC223" s="58"/>
      <c r="AD223" s="57"/>
      <c r="AE223" s="52"/>
      <c r="AF223" s="52"/>
      <c r="AG223" s="58"/>
      <c r="AH223" s="57"/>
      <c r="AI223" s="52"/>
      <c r="AJ223" s="52"/>
      <c r="AK223" s="58"/>
      <c r="AL223" s="57"/>
      <c r="AM223" s="52"/>
      <c r="AN223" s="52"/>
      <c r="AO223" s="58"/>
      <c r="AP223" s="57"/>
      <c r="AQ223" s="52"/>
      <c r="AR223" s="52"/>
      <c r="AS223" s="58"/>
      <c r="AT223" s="57"/>
      <c r="AU223" s="52"/>
      <c r="AV223" s="52"/>
      <c r="AW223" s="58"/>
      <c r="AX223" s="33">
        <f t="shared" si="97"/>
        <v>0</v>
      </c>
      <c r="AY223" s="31">
        <f t="shared" si="98"/>
        <v>0</v>
      </c>
      <c r="AZ223" s="30">
        <f t="shared" si="99"/>
        <v>0</v>
      </c>
      <c r="BA223" s="34"/>
      <c r="BB223" s="34"/>
      <c r="BC223" s="34"/>
      <c r="BD223" s="76"/>
      <c r="BE223" s="34"/>
      <c r="BF223" s="34"/>
      <c r="BG223" s="34"/>
      <c r="BH223" s="34"/>
    </row>
    <row r="224" spans="1:60" s="17" customFormat="1" ht="19.5" customHeight="1" x14ac:dyDescent="0.35">
      <c r="A224" s="41">
        <f>A221</f>
        <v>45425</v>
      </c>
      <c r="B224" s="37" t="str">
        <f t="shared" si="93"/>
        <v>BANT GİRİŞ</v>
      </c>
      <c r="C224" s="65" t="str">
        <f t="shared" si="95"/>
        <v>XXL</v>
      </c>
      <c r="D224" s="67">
        <f t="shared" si="96"/>
        <v>120</v>
      </c>
      <c r="E224" s="57"/>
      <c r="F224" s="52"/>
      <c r="G224" s="52"/>
      <c r="H224" s="58"/>
      <c r="I224" s="57"/>
      <c r="J224" s="52"/>
      <c r="K224" s="52"/>
      <c r="L224" s="58"/>
      <c r="M224" s="57"/>
      <c r="N224" s="52"/>
      <c r="O224" s="52"/>
      <c r="P224" s="58"/>
      <c r="Q224" s="57"/>
      <c r="R224" s="52"/>
      <c r="S224" s="52"/>
      <c r="T224" s="52"/>
      <c r="U224" s="58"/>
      <c r="V224" s="57"/>
      <c r="W224" s="52"/>
      <c r="X224" s="52"/>
      <c r="Y224" s="58"/>
      <c r="Z224" s="57"/>
      <c r="AA224" s="52"/>
      <c r="AB224" s="52"/>
      <c r="AC224" s="58"/>
      <c r="AD224" s="57"/>
      <c r="AE224" s="52"/>
      <c r="AF224" s="52"/>
      <c r="AG224" s="58"/>
      <c r="AH224" s="57"/>
      <c r="AI224" s="52"/>
      <c r="AJ224" s="52"/>
      <c r="AK224" s="58"/>
      <c r="AL224" s="57"/>
      <c r="AM224" s="52"/>
      <c r="AN224" s="52"/>
      <c r="AO224" s="58"/>
      <c r="AP224" s="57"/>
      <c r="AQ224" s="52"/>
      <c r="AR224" s="52"/>
      <c r="AS224" s="58"/>
      <c r="AT224" s="57"/>
      <c r="AU224" s="52"/>
      <c r="AV224" s="52"/>
      <c r="AW224" s="58"/>
      <c r="AX224" s="33">
        <f t="shared" si="97"/>
        <v>0</v>
      </c>
      <c r="AY224" s="31">
        <f t="shared" si="98"/>
        <v>0</v>
      </c>
      <c r="AZ224" s="30">
        <f t="shared" si="99"/>
        <v>0</v>
      </c>
      <c r="BA224" s="34"/>
      <c r="BB224" s="34"/>
      <c r="BC224" s="34"/>
      <c r="BD224" s="76"/>
      <c r="BE224" s="34"/>
      <c r="BF224" s="34"/>
      <c r="BG224" s="34"/>
      <c r="BH224" s="34"/>
    </row>
    <row r="225" spans="1:60" s="17" customFormat="1" ht="19.5" customHeight="1" x14ac:dyDescent="0.35">
      <c r="A225" s="41">
        <f t="shared" ref="A225:B227" si="100">A224</f>
        <v>45425</v>
      </c>
      <c r="B225" s="37" t="str">
        <f t="shared" si="100"/>
        <v>BANT GİRİŞ</v>
      </c>
      <c r="C225" s="65">
        <f t="shared" si="95"/>
        <v>0</v>
      </c>
      <c r="D225" s="67">
        <f t="shared" si="96"/>
        <v>120</v>
      </c>
      <c r="E225" s="57"/>
      <c r="F225" s="52"/>
      <c r="G225" s="52"/>
      <c r="H225" s="58"/>
      <c r="I225" s="57"/>
      <c r="J225" s="52"/>
      <c r="K225" s="52"/>
      <c r="L225" s="58"/>
      <c r="M225" s="57"/>
      <c r="N225" s="52"/>
      <c r="O225" s="52"/>
      <c r="P225" s="58"/>
      <c r="Q225" s="57"/>
      <c r="R225" s="52"/>
      <c r="S225" s="52"/>
      <c r="T225" s="52"/>
      <c r="U225" s="58"/>
      <c r="V225" s="57"/>
      <c r="W225" s="52"/>
      <c r="X225" s="52"/>
      <c r="Y225" s="58"/>
      <c r="Z225" s="57"/>
      <c r="AA225" s="52"/>
      <c r="AB225" s="52"/>
      <c r="AC225" s="58"/>
      <c r="AD225" s="57"/>
      <c r="AE225" s="52"/>
      <c r="AF225" s="52"/>
      <c r="AG225" s="58"/>
      <c r="AH225" s="57"/>
      <c r="AI225" s="52"/>
      <c r="AJ225" s="52"/>
      <c r="AK225" s="58"/>
      <c r="AL225" s="57"/>
      <c r="AM225" s="52"/>
      <c r="AN225" s="52"/>
      <c r="AO225" s="58"/>
      <c r="AP225" s="57"/>
      <c r="AQ225" s="52"/>
      <c r="AR225" s="52"/>
      <c r="AS225" s="58"/>
      <c r="AT225" s="57"/>
      <c r="AU225" s="52"/>
      <c r="AV225" s="52"/>
      <c r="AW225" s="58"/>
      <c r="AX225" s="33">
        <f t="shared" si="97"/>
        <v>0</v>
      </c>
      <c r="AY225" s="31">
        <f t="shared" si="98"/>
        <v>0</v>
      </c>
      <c r="AZ225" s="30">
        <f t="shared" si="99"/>
        <v>0</v>
      </c>
      <c r="BA225" s="34"/>
      <c r="BB225" s="34"/>
      <c r="BC225" s="34"/>
      <c r="BD225" s="76"/>
      <c r="BE225" s="34"/>
      <c r="BF225" s="34"/>
      <c r="BG225" s="34"/>
      <c r="BH225" s="34"/>
    </row>
    <row r="226" spans="1:60" s="17" customFormat="1" ht="19.5" customHeight="1" thickBot="1" x14ac:dyDescent="0.4">
      <c r="A226" s="41">
        <f t="shared" si="100"/>
        <v>45425</v>
      </c>
      <c r="B226" s="37" t="str">
        <f t="shared" si="100"/>
        <v>BANT GİRİŞ</v>
      </c>
      <c r="C226" s="65">
        <f t="shared" si="95"/>
        <v>0</v>
      </c>
      <c r="D226" s="67">
        <f t="shared" si="96"/>
        <v>120</v>
      </c>
      <c r="E226" s="59"/>
      <c r="F226" s="60"/>
      <c r="G226" s="61"/>
      <c r="H226" s="62"/>
      <c r="I226" s="59"/>
      <c r="J226" s="60"/>
      <c r="K226" s="61"/>
      <c r="L226" s="62"/>
      <c r="M226" s="59"/>
      <c r="N226" s="60"/>
      <c r="O226" s="61"/>
      <c r="P226" s="62"/>
      <c r="Q226" s="64"/>
      <c r="R226" s="61"/>
      <c r="S226" s="61"/>
      <c r="T226" s="61"/>
      <c r="U226" s="62"/>
      <c r="V226" s="59"/>
      <c r="W226" s="60"/>
      <c r="X226" s="61"/>
      <c r="Y226" s="62"/>
      <c r="Z226" s="59"/>
      <c r="AA226" s="60"/>
      <c r="AB226" s="61"/>
      <c r="AC226" s="62"/>
      <c r="AD226" s="59"/>
      <c r="AE226" s="60"/>
      <c r="AF226" s="61"/>
      <c r="AG226" s="62"/>
      <c r="AH226" s="59"/>
      <c r="AI226" s="60"/>
      <c r="AJ226" s="61"/>
      <c r="AK226" s="62"/>
      <c r="AL226" s="59"/>
      <c r="AM226" s="60"/>
      <c r="AN226" s="61"/>
      <c r="AO226" s="62"/>
      <c r="AP226" s="59"/>
      <c r="AQ226" s="60"/>
      <c r="AR226" s="61"/>
      <c r="AS226" s="62"/>
      <c r="AT226" s="59"/>
      <c r="AU226" s="60"/>
      <c r="AV226" s="61"/>
      <c r="AW226" s="62"/>
      <c r="AX226" s="33">
        <f t="shared" si="97"/>
        <v>0</v>
      </c>
      <c r="AY226" s="31">
        <f t="shared" si="98"/>
        <v>0</v>
      </c>
      <c r="AZ226" s="30">
        <f t="shared" si="99"/>
        <v>0</v>
      </c>
      <c r="BA226" s="34"/>
      <c r="BB226" s="34"/>
      <c r="BC226" s="34"/>
      <c r="BD226" s="76"/>
      <c r="BE226" s="34"/>
      <c r="BF226" s="34"/>
      <c r="BG226" s="34"/>
      <c r="BH226" s="34"/>
    </row>
    <row r="227" spans="1:60" s="17" customFormat="1" ht="19.5" customHeight="1" thickBot="1" x14ac:dyDescent="0.45">
      <c r="A227" s="41">
        <f t="shared" si="100"/>
        <v>45425</v>
      </c>
      <c r="B227" s="139" t="str">
        <f>B220</f>
        <v>BANT GİRİŞ</v>
      </c>
      <c r="C227" s="140"/>
      <c r="D227" s="40">
        <f>C182/8</f>
        <v>500</v>
      </c>
      <c r="E227" s="147">
        <f>SUM(E220:H226)</f>
        <v>0</v>
      </c>
      <c r="F227" s="148"/>
      <c r="G227" s="148"/>
      <c r="H227" s="149"/>
      <c r="I227" s="147">
        <f>SUM(I220:L226)</f>
        <v>0</v>
      </c>
      <c r="J227" s="148"/>
      <c r="K227" s="148"/>
      <c r="L227" s="149"/>
      <c r="M227" s="147">
        <f>SUM(M220:P226)</f>
        <v>0</v>
      </c>
      <c r="N227" s="148"/>
      <c r="O227" s="148"/>
      <c r="P227" s="149"/>
      <c r="Q227" s="147">
        <f>SUM(Q220:U226)</f>
        <v>0</v>
      </c>
      <c r="R227" s="148"/>
      <c r="S227" s="148"/>
      <c r="T227" s="148"/>
      <c r="U227" s="149"/>
      <c r="V227" s="147">
        <f>SUM(V220:Y226)</f>
        <v>0</v>
      </c>
      <c r="W227" s="148"/>
      <c r="X227" s="148"/>
      <c r="Y227" s="149"/>
      <c r="Z227" s="147">
        <f>SUM(Z220:AC226)</f>
        <v>0</v>
      </c>
      <c r="AA227" s="148"/>
      <c r="AB227" s="148"/>
      <c r="AC227" s="149"/>
      <c r="AD227" s="147">
        <f>SUM(AD220:AG226)</f>
        <v>0</v>
      </c>
      <c r="AE227" s="148"/>
      <c r="AF227" s="148"/>
      <c r="AG227" s="149"/>
      <c r="AH227" s="147">
        <f>SUM(AH220:AK226)</f>
        <v>0</v>
      </c>
      <c r="AI227" s="148"/>
      <c r="AJ227" s="148"/>
      <c r="AK227" s="149"/>
      <c r="AL227" s="147">
        <f>SUM(AL220:AO226)</f>
        <v>0</v>
      </c>
      <c r="AM227" s="148"/>
      <c r="AN227" s="148"/>
      <c r="AO227" s="149"/>
      <c r="AP227" s="147">
        <f>SUM(AP220:AS226)</f>
        <v>0</v>
      </c>
      <c r="AQ227" s="148"/>
      <c r="AR227" s="148"/>
      <c r="AS227" s="149"/>
      <c r="AT227" s="147">
        <f>SUM(AT220:AW226)</f>
        <v>0</v>
      </c>
      <c r="AU227" s="148"/>
      <c r="AV227" s="148"/>
      <c r="AW227" s="149"/>
      <c r="AX227" s="87">
        <f>SUM(AX220:AX226)</f>
        <v>0</v>
      </c>
      <c r="AY227" s="88">
        <f>IFERROR(AVERAGEIF(E227:AV227,"&lt;&gt;0",(E227:AV227)),)</f>
        <v>0</v>
      </c>
      <c r="AZ227" s="46">
        <f>IFERROR(AX227/BB221,0)</f>
        <v>0</v>
      </c>
      <c r="BA227" s="34"/>
      <c r="BB227" s="34"/>
      <c r="BC227" s="34"/>
      <c r="BD227" s="76"/>
      <c r="BE227" s="34"/>
      <c r="BF227" s="34"/>
      <c r="BG227" s="34"/>
      <c r="BH227" s="34"/>
    </row>
    <row r="228" spans="1:60" s="17" customFormat="1" ht="19.5" customHeight="1" thickBot="1" x14ac:dyDescent="0.4">
      <c r="A228" s="42">
        <f>A219</f>
        <v>45425</v>
      </c>
      <c r="B228" s="38" t="str">
        <f>B229</f>
        <v>Omuz Çatma</v>
      </c>
      <c r="C228" s="39" t="s">
        <v>180</v>
      </c>
      <c r="D228" s="69" t="s">
        <v>181</v>
      </c>
      <c r="E228" s="48">
        <v>0.34375</v>
      </c>
      <c r="F228" s="49">
        <v>0.35416666666666669</v>
      </c>
      <c r="G228" s="49">
        <v>0.36458333333333331</v>
      </c>
      <c r="H228" s="50">
        <v>0.375</v>
      </c>
      <c r="I228" s="48">
        <v>0.38541666666666702</v>
      </c>
      <c r="J228" s="49">
        <v>0.39583333333333298</v>
      </c>
      <c r="K228" s="49">
        <v>0.40625</v>
      </c>
      <c r="L228" s="50">
        <v>0.41666666666666702</v>
      </c>
      <c r="M228" s="48">
        <v>0.4375</v>
      </c>
      <c r="N228" s="49">
        <v>0.44791666666666702</v>
      </c>
      <c r="O228" s="49">
        <v>0.45833333333333398</v>
      </c>
      <c r="P228" s="50">
        <v>0.46875</v>
      </c>
      <c r="Q228" s="48">
        <v>0.47916666666666702</v>
      </c>
      <c r="R228" s="49">
        <v>0.48958333333333398</v>
      </c>
      <c r="S228" s="49">
        <v>0.5</v>
      </c>
      <c r="T228" s="50">
        <v>0.51041666666666696</v>
      </c>
      <c r="U228" s="51">
        <v>0.52083333333333204</v>
      </c>
      <c r="V228" s="48">
        <v>0.5625</v>
      </c>
      <c r="W228" s="49">
        <v>0.57291666666666663</v>
      </c>
      <c r="X228" s="49">
        <v>0.58333333333333304</v>
      </c>
      <c r="Y228" s="50">
        <v>0.59375</v>
      </c>
      <c r="Z228" s="48">
        <v>0.60416666666666696</v>
      </c>
      <c r="AA228" s="49">
        <v>0.61458333333333304</v>
      </c>
      <c r="AB228" s="49">
        <v>0.625</v>
      </c>
      <c r="AC228" s="50">
        <v>0.63541666666666596</v>
      </c>
      <c r="AD228" s="48">
        <v>0.65625</v>
      </c>
      <c r="AE228" s="49">
        <v>0.66666666666666663</v>
      </c>
      <c r="AF228" s="49">
        <v>0.67708333333333304</v>
      </c>
      <c r="AG228" s="50">
        <v>0.6875</v>
      </c>
      <c r="AH228" s="48">
        <v>0.69791666666666696</v>
      </c>
      <c r="AI228" s="49">
        <v>0.70833333333333304</v>
      </c>
      <c r="AJ228" s="49">
        <v>0.71875</v>
      </c>
      <c r="AK228" s="50">
        <v>0.72916666666666696</v>
      </c>
      <c r="AL228" s="48">
        <v>0.73958333333333404</v>
      </c>
      <c r="AM228" s="49">
        <v>0.750000000000001</v>
      </c>
      <c r="AN228" s="49">
        <v>0.76041666666666796</v>
      </c>
      <c r="AO228" s="50">
        <v>0.77083333333333504</v>
      </c>
      <c r="AP228" s="48">
        <v>0.781250000000002</v>
      </c>
      <c r="AQ228" s="49">
        <v>0.79166666666666896</v>
      </c>
      <c r="AR228" s="49">
        <v>0.80208333333333603</v>
      </c>
      <c r="AS228" s="50">
        <v>0.812500000000003</v>
      </c>
      <c r="AT228" s="48">
        <v>0.82291666666666996</v>
      </c>
      <c r="AU228" s="49">
        <v>0.83333333333333703</v>
      </c>
      <c r="AV228" s="49">
        <v>0.843750000000004</v>
      </c>
      <c r="AW228" s="50">
        <v>0.85416666666666663</v>
      </c>
      <c r="AX228" s="68" t="s">
        <v>260</v>
      </c>
      <c r="AY228" s="28" t="s">
        <v>261</v>
      </c>
      <c r="AZ228" s="29" t="s">
        <v>262</v>
      </c>
      <c r="BA228" s="136" t="str">
        <f>B229</f>
        <v>Omuz Çatma</v>
      </c>
      <c r="BB228" s="137"/>
      <c r="BC228" s="137"/>
      <c r="BD228" s="137"/>
      <c r="BE228" s="137"/>
      <c r="BF228" s="137"/>
      <c r="BG228" s="137"/>
      <c r="BH228" s="138"/>
    </row>
    <row r="229" spans="1:60" s="17" customFormat="1" ht="19.5" customHeight="1" thickBot="1" x14ac:dyDescent="0.4">
      <c r="A229" s="41">
        <f t="shared" ref="A229:B235" si="101">A228</f>
        <v>45425</v>
      </c>
      <c r="B229" s="37" t="str">
        <f>B53</f>
        <v>Omuz Çatma</v>
      </c>
      <c r="C229" s="65">
        <f>C53</f>
        <v>0</v>
      </c>
      <c r="D229" s="70">
        <f>D53</f>
        <v>60</v>
      </c>
      <c r="E229" s="63"/>
      <c r="F229" s="55"/>
      <c r="G229" s="55"/>
      <c r="H229" s="56"/>
      <c r="I229" s="63"/>
      <c r="J229" s="55"/>
      <c r="K229" s="55"/>
      <c r="L229" s="56"/>
      <c r="M229" s="63"/>
      <c r="N229" s="55"/>
      <c r="O229" s="55"/>
      <c r="P229" s="56"/>
      <c r="Q229" s="63"/>
      <c r="R229" s="55"/>
      <c r="S229" s="55"/>
      <c r="T229" s="55"/>
      <c r="U229" s="56"/>
      <c r="V229" s="63"/>
      <c r="W229" s="55"/>
      <c r="X229" s="55"/>
      <c r="Y229" s="56"/>
      <c r="Z229" s="63"/>
      <c r="AA229" s="55"/>
      <c r="AB229" s="55"/>
      <c r="AC229" s="56"/>
      <c r="AD229" s="63"/>
      <c r="AE229" s="55"/>
      <c r="AF229" s="55"/>
      <c r="AG229" s="56"/>
      <c r="AH229" s="63"/>
      <c r="AI229" s="55"/>
      <c r="AJ229" s="55"/>
      <c r="AK229" s="56"/>
      <c r="AL229" s="63"/>
      <c r="AM229" s="55"/>
      <c r="AN229" s="55"/>
      <c r="AO229" s="56"/>
      <c r="AP229" s="63"/>
      <c r="AQ229" s="54"/>
      <c r="AR229" s="55"/>
      <c r="AS229" s="56"/>
      <c r="AT229" s="53"/>
      <c r="AU229" s="54"/>
      <c r="AV229" s="55"/>
      <c r="AW229" s="56"/>
      <c r="AX229" s="33">
        <f>SUM(E229:AW229)</f>
        <v>0</v>
      </c>
      <c r="AY229" s="31">
        <f>IFERROR(AVERAGEIF(E229:AW229,"&lt;&gt;0",(E229:AW229)),)</f>
        <v>0</v>
      </c>
      <c r="AZ229" s="30">
        <f>IFERROR(AY229/D229,0)</f>
        <v>0</v>
      </c>
      <c r="BA229" s="103" t="s">
        <v>182</v>
      </c>
      <c r="BB229" s="100" t="s">
        <v>183</v>
      </c>
      <c r="BC229" s="100" t="s">
        <v>184</v>
      </c>
      <c r="BD229" s="101" t="s">
        <v>185</v>
      </c>
      <c r="BE229" s="100" t="s">
        <v>186</v>
      </c>
      <c r="BF229" s="102" t="s">
        <v>187</v>
      </c>
      <c r="BG229" s="100" t="s">
        <v>188</v>
      </c>
      <c r="BH229" s="102" t="s">
        <v>189</v>
      </c>
    </row>
    <row r="230" spans="1:60" s="17" customFormat="1" ht="19.5" customHeight="1" thickBot="1" x14ac:dyDescent="0.4">
      <c r="A230" s="41">
        <f t="shared" si="101"/>
        <v>45425</v>
      </c>
      <c r="B230" s="37" t="str">
        <f t="shared" si="101"/>
        <v>Omuz Çatma</v>
      </c>
      <c r="C230" s="65">
        <f t="shared" ref="C230:C235" si="102">C54</f>
        <v>0</v>
      </c>
      <c r="D230" s="67">
        <f t="shared" ref="D230:D235" si="103">D229</f>
        <v>60</v>
      </c>
      <c r="E230" s="57"/>
      <c r="F230" s="52"/>
      <c r="G230" s="52"/>
      <c r="H230" s="58"/>
      <c r="I230" s="57"/>
      <c r="J230" s="52"/>
      <c r="K230" s="52"/>
      <c r="L230" s="58"/>
      <c r="M230" s="57"/>
      <c r="N230" s="52"/>
      <c r="O230" s="52"/>
      <c r="P230" s="58"/>
      <c r="Q230" s="57"/>
      <c r="R230" s="52"/>
      <c r="S230" s="52"/>
      <c r="T230" s="52"/>
      <c r="U230" s="58"/>
      <c r="V230" s="57"/>
      <c r="W230" s="52"/>
      <c r="X230" s="52"/>
      <c r="Y230" s="58"/>
      <c r="Z230" s="57"/>
      <c r="AA230" s="52"/>
      <c r="AB230" s="52"/>
      <c r="AC230" s="58"/>
      <c r="AD230" s="57"/>
      <c r="AE230" s="52"/>
      <c r="AF230" s="52"/>
      <c r="AG230" s="58"/>
      <c r="AH230" s="57"/>
      <c r="AI230" s="52"/>
      <c r="AJ230" s="52"/>
      <c r="AK230" s="58"/>
      <c r="AL230" s="57"/>
      <c r="AM230" s="52"/>
      <c r="AN230" s="52"/>
      <c r="AO230" s="58"/>
      <c r="AP230" s="57"/>
      <c r="AQ230" s="52"/>
      <c r="AR230" s="52"/>
      <c r="AS230" s="58"/>
      <c r="AT230" s="57"/>
      <c r="AU230" s="52"/>
      <c r="AV230" s="52"/>
      <c r="AW230" s="58"/>
      <c r="AX230" s="33">
        <f t="shared" ref="AX230:AX235" si="104">SUM(E230:AW230)</f>
        <v>0</v>
      </c>
      <c r="AY230" s="31">
        <f t="shared" ref="AY230:AY235" si="105">IFERROR(AVERAGEIF(E230:AW230,"&lt;&gt;0",(E230:AW230)),)</f>
        <v>0</v>
      </c>
      <c r="AZ230" s="30">
        <f t="shared" ref="AZ230:AZ235" si="106">IFERROR(AY230/D230,0)</f>
        <v>0</v>
      </c>
      <c r="BA230" s="94">
        <f>AX236+BA54</f>
        <v>0</v>
      </c>
      <c r="BB230" s="95">
        <f>(D236*8)</f>
        <v>4000</v>
      </c>
      <c r="BC230" s="96">
        <f>C181-BA230</f>
        <v>42311</v>
      </c>
      <c r="BD230" s="96">
        <f>BH221-BA230</f>
        <v>0</v>
      </c>
      <c r="BE230" s="97">
        <f>IFERROR(BC230/E236,0)</f>
        <v>0</v>
      </c>
      <c r="BF230" s="98">
        <f>IFERROR(BE230/9,0)</f>
        <v>0</v>
      </c>
      <c r="BG230" s="97">
        <f>IFERROR(BC230/AY236,0)</f>
        <v>0</v>
      </c>
      <c r="BH230" s="97">
        <f>IFERROR(BG230/9,0)</f>
        <v>0</v>
      </c>
    </row>
    <row r="231" spans="1:60" s="17" customFormat="1" ht="19.5" customHeight="1" x14ac:dyDescent="0.35">
      <c r="A231" s="41">
        <f t="shared" si="101"/>
        <v>45425</v>
      </c>
      <c r="B231" s="37" t="str">
        <f t="shared" si="101"/>
        <v>Omuz Çatma</v>
      </c>
      <c r="C231" s="65">
        <f t="shared" si="102"/>
        <v>0</v>
      </c>
      <c r="D231" s="67">
        <f t="shared" si="103"/>
        <v>60</v>
      </c>
      <c r="E231" s="57"/>
      <c r="F231" s="52"/>
      <c r="G231" s="52"/>
      <c r="H231" s="58"/>
      <c r="I231" s="57"/>
      <c r="J231" s="52"/>
      <c r="K231" s="52"/>
      <c r="L231" s="58"/>
      <c r="M231" s="57"/>
      <c r="N231" s="52"/>
      <c r="O231" s="52"/>
      <c r="P231" s="58"/>
      <c r="Q231" s="57"/>
      <c r="R231" s="52"/>
      <c r="S231" s="52"/>
      <c r="T231" s="52"/>
      <c r="U231" s="58"/>
      <c r="V231" s="57"/>
      <c r="W231" s="52"/>
      <c r="X231" s="52"/>
      <c r="Y231" s="58"/>
      <c r="Z231" s="57"/>
      <c r="AA231" s="52"/>
      <c r="AB231" s="52"/>
      <c r="AC231" s="58"/>
      <c r="AD231" s="57"/>
      <c r="AE231" s="52"/>
      <c r="AF231" s="52"/>
      <c r="AG231" s="58"/>
      <c r="AH231" s="57"/>
      <c r="AI231" s="52"/>
      <c r="AJ231" s="52"/>
      <c r="AK231" s="58"/>
      <c r="AL231" s="57"/>
      <c r="AM231" s="52"/>
      <c r="AN231" s="52"/>
      <c r="AO231" s="58"/>
      <c r="AP231" s="57"/>
      <c r="AQ231" s="52"/>
      <c r="AR231" s="52"/>
      <c r="AS231" s="58"/>
      <c r="AT231" s="57"/>
      <c r="AU231" s="52"/>
      <c r="AV231" s="52"/>
      <c r="AW231" s="58"/>
      <c r="AX231" s="33">
        <f t="shared" si="104"/>
        <v>0</v>
      </c>
      <c r="AY231" s="31">
        <f t="shared" si="105"/>
        <v>0</v>
      </c>
      <c r="AZ231" s="30">
        <f t="shared" si="106"/>
        <v>0</v>
      </c>
      <c r="BA231" s="34"/>
      <c r="BB231" s="34"/>
      <c r="BC231" s="34"/>
      <c r="BD231" s="76"/>
      <c r="BE231" s="34"/>
      <c r="BF231" s="34"/>
      <c r="BG231" s="34"/>
      <c r="BH231" s="34"/>
    </row>
    <row r="232" spans="1:60" s="17" customFormat="1" ht="19.5" customHeight="1" x14ac:dyDescent="0.35">
      <c r="A232" s="41">
        <f t="shared" si="101"/>
        <v>45425</v>
      </c>
      <c r="B232" s="37" t="str">
        <f t="shared" si="101"/>
        <v>Omuz Çatma</v>
      </c>
      <c r="C232" s="65">
        <f t="shared" si="102"/>
        <v>0</v>
      </c>
      <c r="D232" s="67">
        <f t="shared" si="103"/>
        <v>60</v>
      </c>
      <c r="E232" s="57"/>
      <c r="F232" s="52"/>
      <c r="G232" s="52"/>
      <c r="H232" s="58"/>
      <c r="I232" s="57"/>
      <c r="J232" s="52"/>
      <c r="K232" s="52"/>
      <c r="L232" s="58"/>
      <c r="M232" s="57"/>
      <c r="N232" s="52"/>
      <c r="O232" s="52"/>
      <c r="P232" s="58"/>
      <c r="Q232" s="57"/>
      <c r="R232" s="52"/>
      <c r="S232" s="52"/>
      <c r="T232" s="52"/>
      <c r="U232" s="58"/>
      <c r="V232" s="57"/>
      <c r="W232" s="52"/>
      <c r="X232" s="52"/>
      <c r="Y232" s="58"/>
      <c r="Z232" s="57"/>
      <c r="AA232" s="52"/>
      <c r="AB232" s="52"/>
      <c r="AC232" s="58"/>
      <c r="AD232" s="57"/>
      <c r="AE232" s="52"/>
      <c r="AF232" s="52"/>
      <c r="AG232" s="58"/>
      <c r="AH232" s="57"/>
      <c r="AI232" s="52"/>
      <c r="AJ232" s="52"/>
      <c r="AK232" s="58"/>
      <c r="AL232" s="57"/>
      <c r="AM232" s="52"/>
      <c r="AN232" s="52"/>
      <c r="AO232" s="58"/>
      <c r="AP232" s="57"/>
      <c r="AQ232" s="52"/>
      <c r="AR232" s="52"/>
      <c r="AS232" s="58"/>
      <c r="AT232" s="57"/>
      <c r="AU232" s="52"/>
      <c r="AV232" s="52"/>
      <c r="AW232" s="58"/>
      <c r="AX232" s="33">
        <f t="shared" si="104"/>
        <v>0</v>
      </c>
      <c r="AY232" s="31">
        <f t="shared" si="105"/>
        <v>0</v>
      </c>
      <c r="AZ232" s="30">
        <f t="shared" si="106"/>
        <v>0</v>
      </c>
      <c r="BA232" s="34"/>
      <c r="BB232" s="34"/>
      <c r="BC232" s="34"/>
      <c r="BD232" s="76"/>
      <c r="BE232" s="34"/>
      <c r="BF232" s="34"/>
      <c r="BG232" s="34"/>
      <c r="BH232" s="34"/>
    </row>
    <row r="233" spans="1:60" s="17" customFormat="1" ht="19.5" customHeight="1" x14ac:dyDescent="0.35">
      <c r="A233" s="41">
        <f>A230</f>
        <v>45425</v>
      </c>
      <c r="B233" s="37" t="str">
        <f t="shared" si="101"/>
        <v>Omuz Çatma</v>
      </c>
      <c r="C233" s="65">
        <f t="shared" si="102"/>
        <v>0</v>
      </c>
      <c r="D233" s="67">
        <f t="shared" si="103"/>
        <v>60</v>
      </c>
      <c r="E233" s="57"/>
      <c r="F233" s="52"/>
      <c r="G233" s="52"/>
      <c r="H233" s="58"/>
      <c r="I233" s="57"/>
      <c r="J233" s="52"/>
      <c r="K233" s="52"/>
      <c r="L233" s="58"/>
      <c r="M233" s="57"/>
      <c r="N233" s="52"/>
      <c r="O233" s="52"/>
      <c r="P233" s="58"/>
      <c r="Q233" s="57"/>
      <c r="R233" s="52"/>
      <c r="S233" s="52"/>
      <c r="T233" s="52"/>
      <c r="U233" s="58"/>
      <c r="V233" s="57"/>
      <c r="W233" s="52"/>
      <c r="X233" s="52"/>
      <c r="Y233" s="58"/>
      <c r="Z233" s="57"/>
      <c r="AA233" s="52"/>
      <c r="AB233" s="52"/>
      <c r="AC233" s="58"/>
      <c r="AD233" s="57"/>
      <c r="AE233" s="52"/>
      <c r="AF233" s="52"/>
      <c r="AG233" s="58"/>
      <c r="AH233" s="57"/>
      <c r="AI233" s="52"/>
      <c r="AJ233" s="52"/>
      <c r="AK233" s="58"/>
      <c r="AL233" s="57"/>
      <c r="AM233" s="52"/>
      <c r="AN233" s="52"/>
      <c r="AO233" s="58"/>
      <c r="AP233" s="57"/>
      <c r="AQ233" s="52"/>
      <c r="AR233" s="52"/>
      <c r="AS233" s="58"/>
      <c r="AT233" s="57"/>
      <c r="AU233" s="52"/>
      <c r="AV233" s="52"/>
      <c r="AW233" s="58"/>
      <c r="AX233" s="33">
        <f t="shared" si="104"/>
        <v>0</v>
      </c>
      <c r="AY233" s="31">
        <f t="shared" si="105"/>
        <v>0</v>
      </c>
      <c r="AZ233" s="30">
        <f t="shared" si="106"/>
        <v>0</v>
      </c>
      <c r="BA233" s="34"/>
      <c r="BB233" s="34"/>
      <c r="BC233" s="34"/>
      <c r="BD233" s="76"/>
      <c r="BE233" s="34"/>
      <c r="BF233" s="34"/>
      <c r="BG233" s="34"/>
      <c r="BH233" s="34"/>
    </row>
    <row r="234" spans="1:60" s="17" customFormat="1" ht="19.5" customHeight="1" x14ac:dyDescent="0.35">
      <c r="A234" s="41">
        <f>A233</f>
        <v>45425</v>
      </c>
      <c r="B234" s="37" t="str">
        <f t="shared" si="101"/>
        <v>Omuz Çatma</v>
      </c>
      <c r="C234" s="65">
        <f t="shared" si="102"/>
        <v>0</v>
      </c>
      <c r="D234" s="67">
        <f t="shared" si="103"/>
        <v>60</v>
      </c>
      <c r="E234" s="57"/>
      <c r="F234" s="52"/>
      <c r="G234" s="52"/>
      <c r="H234" s="58"/>
      <c r="I234" s="57"/>
      <c r="J234" s="52"/>
      <c r="K234" s="52"/>
      <c r="L234" s="58"/>
      <c r="M234" s="57"/>
      <c r="N234" s="52"/>
      <c r="O234" s="52"/>
      <c r="P234" s="58"/>
      <c r="Q234" s="57"/>
      <c r="R234" s="52"/>
      <c r="S234" s="52"/>
      <c r="T234" s="52"/>
      <c r="U234" s="58"/>
      <c r="V234" s="57"/>
      <c r="W234" s="52"/>
      <c r="X234" s="52"/>
      <c r="Y234" s="58"/>
      <c r="Z234" s="57"/>
      <c r="AA234" s="52"/>
      <c r="AB234" s="52"/>
      <c r="AC234" s="58"/>
      <c r="AD234" s="57"/>
      <c r="AE234" s="52"/>
      <c r="AF234" s="52"/>
      <c r="AG234" s="58"/>
      <c r="AH234" s="57"/>
      <c r="AI234" s="52"/>
      <c r="AJ234" s="52"/>
      <c r="AK234" s="58"/>
      <c r="AL234" s="57"/>
      <c r="AM234" s="52"/>
      <c r="AN234" s="52"/>
      <c r="AO234" s="58"/>
      <c r="AP234" s="57"/>
      <c r="AQ234" s="52"/>
      <c r="AR234" s="52"/>
      <c r="AS234" s="58"/>
      <c r="AT234" s="57"/>
      <c r="AU234" s="52"/>
      <c r="AV234" s="52"/>
      <c r="AW234" s="58"/>
      <c r="AX234" s="33">
        <f t="shared" si="104"/>
        <v>0</v>
      </c>
      <c r="AY234" s="31">
        <f t="shared" si="105"/>
        <v>0</v>
      </c>
      <c r="AZ234" s="30">
        <f t="shared" si="106"/>
        <v>0</v>
      </c>
      <c r="BA234" s="34"/>
      <c r="BB234" s="34"/>
      <c r="BC234" s="34"/>
      <c r="BD234" s="76"/>
      <c r="BE234" s="34"/>
      <c r="BF234" s="34"/>
      <c r="BG234" s="34"/>
      <c r="BH234" s="34"/>
    </row>
    <row r="235" spans="1:60" s="17" customFormat="1" ht="19.5" customHeight="1" thickBot="1" x14ac:dyDescent="0.4">
      <c r="A235" s="41">
        <f>A234</f>
        <v>45425</v>
      </c>
      <c r="B235" s="37" t="str">
        <f t="shared" si="101"/>
        <v>Omuz Çatma</v>
      </c>
      <c r="C235" s="65">
        <f t="shared" si="102"/>
        <v>0</v>
      </c>
      <c r="D235" s="67">
        <f t="shared" si="103"/>
        <v>60</v>
      </c>
      <c r="E235" s="59"/>
      <c r="F235" s="60"/>
      <c r="G235" s="61"/>
      <c r="H235" s="62"/>
      <c r="I235" s="59"/>
      <c r="J235" s="60"/>
      <c r="K235" s="61"/>
      <c r="L235" s="62"/>
      <c r="M235" s="59"/>
      <c r="N235" s="60"/>
      <c r="O235" s="61"/>
      <c r="P235" s="62"/>
      <c r="Q235" s="64"/>
      <c r="R235" s="61"/>
      <c r="S235" s="61"/>
      <c r="T235" s="61"/>
      <c r="U235" s="62"/>
      <c r="V235" s="59"/>
      <c r="W235" s="60"/>
      <c r="X235" s="61"/>
      <c r="Y235" s="62"/>
      <c r="Z235" s="59"/>
      <c r="AA235" s="60"/>
      <c r="AB235" s="61"/>
      <c r="AC235" s="62"/>
      <c r="AD235" s="59"/>
      <c r="AE235" s="60"/>
      <c r="AF235" s="61"/>
      <c r="AG235" s="62"/>
      <c r="AH235" s="59"/>
      <c r="AI235" s="60"/>
      <c r="AJ235" s="61"/>
      <c r="AK235" s="62"/>
      <c r="AL235" s="59"/>
      <c r="AM235" s="60"/>
      <c r="AN235" s="61"/>
      <c r="AO235" s="62"/>
      <c r="AP235" s="59"/>
      <c r="AQ235" s="60"/>
      <c r="AR235" s="61"/>
      <c r="AS235" s="62"/>
      <c r="AT235" s="59"/>
      <c r="AU235" s="60"/>
      <c r="AV235" s="61"/>
      <c r="AW235" s="62"/>
      <c r="AX235" s="33">
        <f t="shared" si="104"/>
        <v>0</v>
      </c>
      <c r="AY235" s="31">
        <f t="shared" si="105"/>
        <v>0</v>
      </c>
      <c r="AZ235" s="30">
        <f t="shared" si="106"/>
        <v>0</v>
      </c>
      <c r="BA235" s="34"/>
      <c r="BB235" s="34"/>
      <c r="BC235" s="34"/>
      <c r="BD235" s="76"/>
      <c r="BE235" s="34"/>
      <c r="BF235" s="34"/>
      <c r="BG235" s="34"/>
      <c r="BH235" s="34"/>
    </row>
    <row r="236" spans="1:60" s="17" customFormat="1" ht="19.5" customHeight="1" thickBot="1" x14ac:dyDescent="0.45">
      <c r="A236" s="41">
        <f>A235</f>
        <v>45425</v>
      </c>
      <c r="B236" s="139" t="str">
        <f>B229</f>
        <v>Omuz Çatma</v>
      </c>
      <c r="C236" s="140"/>
      <c r="D236" s="40">
        <f>C182/8</f>
        <v>500</v>
      </c>
      <c r="E236" s="147">
        <f>SUM(E229:H235)</f>
        <v>0</v>
      </c>
      <c r="F236" s="148"/>
      <c r="G236" s="148"/>
      <c r="H236" s="149"/>
      <c r="I236" s="147">
        <f>SUM(I229:L235)</f>
        <v>0</v>
      </c>
      <c r="J236" s="148"/>
      <c r="K236" s="148"/>
      <c r="L236" s="149"/>
      <c r="M236" s="147">
        <f>SUM(M229:P235)</f>
        <v>0</v>
      </c>
      <c r="N236" s="148"/>
      <c r="O236" s="148"/>
      <c r="P236" s="149"/>
      <c r="Q236" s="147">
        <f>SUM(Q229:U235)</f>
        <v>0</v>
      </c>
      <c r="R236" s="148"/>
      <c r="S236" s="148"/>
      <c r="T236" s="148"/>
      <c r="U236" s="149"/>
      <c r="V236" s="147">
        <f>SUM(V229:Y235)</f>
        <v>0</v>
      </c>
      <c r="W236" s="148"/>
      <c r="X236" s="148"/>
      <c r="Y236" s="149"/>
      <c r="Z236" s="147">
        <f>SUM(Z229:AC235)</f>
        <v>0</v>
      </c>
      <c r="AA236" s="148"/>
      <c r="AB236" s="148"/>
      <c r="AC236" s="149"/>
      <c r="AD236" s="147">
        <f>SUM(AD229:AG235)</f>
        <v>0</v>
      </c>
      <c r="AE236" s="148"/>
      <c r="AF236" s="148"/>
      <c r="AG236" s="149"/>
      <c r="AH236" s="147">
        <f>SUM(AH229:AK235)</f>
        <v>0</v>
      </c>
      <c r="AI236" s="148"/>
      <c r="AJ236" s="148"/>
      <c r="AK236" s="149"/>
      <c r="AL236" s="147">
        <f>SUM(AL229:AO235)</f>
        <v>0</v>
      </c>
      <c r="AM236" s="148"/>
      <c r="AN236" s="148"/>
      <c r="AO236" s="149"/>
      <c r="AP236" s="147">
        <f>SUM(AP229:AS235)</f>
        <v>0</v>
      </c>
      <c r="AQ236" s="148"/>
      <c r="AR236" s="148"/>
      <c r="AS236" s="149"/>
      <c r="AT236" s="147">
        <f>SUM(AT229:AW235)</f>
        <v>0</v>
      </c>
      <c r="AU236" s="148"/>
      <c r="AV236" s="148"/>
      <c r="AW236" s="149"/>
      <c r="AX236" s="87">
        <f>SUM(AX229:AX235)</f>
        <v>0</v>
      </c>
      <c r="AY236" s="88">
        <f>IFERROR(AVERAGEIF(E236:AV236,"&lt;&gt;0",(E236:AV236)),)</f>
        <v>0</v>
      </c>
      <c r="AZ236" s="46">
        <f>IFERROR(AX236/BB230,0)</f>
        <v>0</v>
      </c>
      <c r="BA236" s="34"/>
      <c r="BB236" s="34"/>
      <c r="BC236" s="34"/>
      <c r="BD236" s="76"/>
      <c r="BE236" s="34"/>
      <c r="BF236" s="34"/>
      <c r="BG236" s="34"/>
      <c r="BH236" s="34"/>
    </row>
    <row r="237" spans="1:60" s="17" customFormat="1" ht="19.5" customHeight="1" thickBot="1" x14ac:dyDescent="0.4">
      <c r="A237" s="42">
        <f>A228</f>
        <v>45425</v>
      </c>
      <c r="B237" s="38" t="str">
        <f>B238</f>
        <v>Yaka Takma</v>
      </c>
      <c r="C237" s="39" t="s">
        <v>180</v>
      </c>
      <c r="D237" s="69" t="s">
        <v>181</v>
      </c>
      <c r="E237" s="48">
        <v>0.34375</v>
      </c>
      <c r="F237" s="49">
        <v>0.35416666666666669</v>
      </c>
      <c r="G237" s="49">
        <v>0.36458333333333331</v>
      </c>
      <c r="H237" s="50">
        <v>0.375</v>
      </c>
      <c r="I237" s="48">
        <v>0.38541666666666702</v>
      </c>
      <c r="J237" s="49">
        <v>0.39583333333333298</v>
      </c>
      <c r="K237" s="49">
        <v>0.40625</v>
      </c>
      <c r="L237" s="50">
        <v>0.41666666666666702</v>
      </c>
      <c r="M237" s="48">
        <v>0.4375</v>
      </c>
      <c r="N237" s="49">
        <v>0.44791666666666702</v>
      </c>
      <c r="O237" s="49">
        <v>0.45833333333333398</v>
      </c>
      <c r="P237" s="50">
        <v>0.46875</v>
      </c>
      <c r="Q237" s="48">
        <v>0.47916666666666702</v>
      </c>
      <c r="R237" s="49">
        <v>0.48958333333333398</v>
      </c>
      <c r="S237" s="49">
        <v>0.5</v>
      </c>
      <c r="T237" s="50">
        <v>0.51041666666666696</v>
      </c>
      <c r="U237" s="51">
        <v>0.52083333333333204</v>
      </c>
      <c r="V237" s="48">
        <v>0.5625</v>
      </c>
      <c r="W237" s="49">
        <v>0.57291666666666663</v>
      </c>
      <c r="X237" s="49">
        <v>0.58333333333333304</v>
      </c>
      <c r="Y237" s="50">
        <v>0.59375</v>
      </c>
      <c r="Z237" s="48">
        <v>0.60416666666666696</v>
      </c>
      <c r="AA237" s="49">
        <v>0.61458333333333304</v>
      </c>
      <c r="AB237" s="49">
        <v>0.625</v>
      </c>
      <c r="AC237" s="50">
        <v>0.63541666666666596</v>
      </c>
      <c r="AD237" s="48">
        <v>0.65625</v>
      </c>
      <c r="AE237" s="49">
        <v>0.66666666666666663</v>
      </c>
      <c r="AF237" s="49">
        <v>0.67708333333333304</v>
      </c>
      <c r="AG237" s="50">
        <v>0.6875</v>
      </c>
      <c r="AH237" s="48">
        <v>0.69791666666666696</v>
      </c>
      <c r="AI237" s="49">
        <v>0.70833333333333304</v>
      </c>
      <c r="AJ237" s="49">
        <v>0.71875</v>
      </c>
      <c r="AK237" s="50">
        <v>0.72916666666666696</v>
      </c>
      <c r="AL237" s="48">
        <v>0.73958333333333404</v>
      </c>
      <c r="AM237" s="49">
        <v>0.750000000000001</v>
      </c>
      <c r="AN237" s="49">
        <v>0.76041666666666796</v>
      </c>
      <c r="AO237" s="50">
        <v>0.77083333333333504</v>
      </c>
      <c r="AP237" s="48">
        <v>0.781250000000002</v>
      </c>
      <c r="AQ237" s="49">
        <v>0.79166666666666896</v>
      </c>
      <c r="AR237" s="49">
        <v>0.80208333333333603</v>
      </c>
      <c r="AS237" s="50">
        <v>0.812500000000003</v>
      </c>
      <c r="AT237" s="48">
        <v>0.82291666666666996</v>
      </c>
      <c r="AU237" s="49">
        <v>0.83333333333333703</v>
      </c>
      <c r="AV237" s="49">
        <v>0.843750000000004</v>
      </c>
      <c r="AW237" s="50">
        <v>0.85416666666666663</v>
      </c>
      <c r="AX237" s="68" t="s">
        <v>260</v>
      </c>
      <c r="AY237" s="28" t="s">
        <v>261</v>
      </c>
      <c r="AZ237" s="29" t="s">
        <v>262</v>
      </c>
      <c r="BA237" s="136" t="str">
        <f>B238</f>
        <v>Yaka Takma</v>
      </c>
      <c r="BB237" s="137"/>
      <c r="BC237" s="137"/>
      <c r="BD237" s="137"/>
      <c r="BE237" s="137"/>
      <c r="BF237" s="137"/>
      <c r="BG237" s="137"/>
      <c r="BH237" s="138"/>
    </row>
    <row r="238" spans="1:60" s="17" customFormat="1" ht="19.5" customHeight="1" thickBot="1" x14ac:dyDescent="0.4">
      <c r="A238" s="41">
        <f>A237</f>
        <v>45425</v>
      </c>
      <c r="B238" s="37" t="str">
        <f>B62</f>
        <v>Yaka Takma</v>
      </c>
      <c r="C238" s="65">
        <f>C62</f>
        <v>0</v>
      </c>
      <c r="D238" s="70">
        <f>D62</f>
        <v>70</v>
      </c>
      <c r="E238" s="53"/>
      <c r="F238" s="54"/>
      <c r="G238" s="55"/>
      <c r="H238" s="56"/>
      <c r="I238" s="53"/>
      <c r="J238" s="54"/>
      <c r="K238" s="55"/>
      <c r="L238" s="56"/>
      <c r="M238" s="53"/>
      <c r="N238" s="54"/>
      <c r="O238" s="55"/>
      <c r="P238" s="56"/>
      <c r="Q238" s="63"/>
      <c r="R238" s="55"/>
      <c r="S238" s="55"/>
      <c r="T238" s="55"/>
      <c r="U238" s="56"/>
      <c r="V238" s="53"/>
      <c r="W238" s="54"/>
      <c r="X238" s="55"/>
      <c r="Y238" s="56"/>
      <c r="Z238" s="53"/>
      <c r="AA238" s="54"/>
      <c r="AB238" s="55"/>
      <c r="AC238" s="56"/>
      <c r="AD238" s="53"/>
      <c r="AE238" s="54"/>
      <c r="AF238" s="55"/>
      <c r="AG238" s="56"/>
      <c r="AH238" s="53"/>
      <c r="AI238" s="54"/>
      <c r="AJ238" s="55"/>
      <c r="AK238" s="56"/>
      <c r="AL238" s="53"/>
      <c r="AM238" s="54"/>
      <c r="AN238" s="55"/>
      <c r="AO238" s="56"/>
      <c r="AP238" s="53"/>
      <c r="AQ238" s="54"/>
      <c r="AR238" s="55"/>
      <c r="AS238" s="56"/>
      <c r="AT238" s="53"/>
      <c r="AU238" s="54"/>
      <c r="AV238" s="55"/>
      <c r="AW238" s="56"/>
      <c r="AX238" s="33">
        <f>SUM(E238:AW238)</f>
        <v>0</v>
      </c>
      <c r="AY238" s="31">
        <f>IFERROR(AVERAGEIF(E238:AW238,"&lt;&gt;0",(E238:AW238)),)</f>
        <v>0</v>
      </c>
      <c r="AZ238" s="30">
        <f>IFERROR(AY238/D238,0)</f>
        <v>0</v>
      </c>
      <c r="BA238" s="103" t="s">
        <v>182</v>
      </c>
      <c r="BB238" s="100" t="s">
        <v>183</v>
      </c>
      <c r="BC238" s="100" t="s">
        <v>184</v>
      </c>
      <c r="BD238" s="101" t="s">
        <v>185</v>
      </c>
      <c r="BE238" s="100" t="s">
        <v>186</v>
      </c>
      <c r="BF238" s="102" t="s">
        <v>187</v>
      </c>
      <c r="BG238" s="100" t="s">
        <v>188</v>
      </c>
      <c r="BH238" s="102" t="s">
        <v>189</v>
      </c>
    </row>
    <row r="239" spans="1:60" s="17" customFormat="1" ht="19.5" customHeight="1" thickBot="1" x14ac:dyDescent="0.4">
      <c r="A239" s="41">
        <f>A238</f>
        <v>45425</v>
      </c>
      <c r="B239" s="37" t="str">
        <f t="shared" ref="B239:B244" si="107">B238</f>
        <v>Yaka Takma</v>
      </c>
      <c r="C239" s="65">
        <f t="shared" ref="C239:C244" si="108">C63</f>
        <v>0</v>
      </c>
      <c r="D239" s="67">
        <f t="shared" ref="D239:D244" si="109">D238</f>
        <v>70</v>
      </c>
      <c r="E239" s="57"/>
      <c r="F239" s="52"/>
      <c r="G239" s="52"/>
      <c r="H239" s="58"/>
      <c r="I239" s="57"/>
      <c r="J239" s="52"/>
      <c r="K239" s="52"/>
      <c r="L239" s="58"/>
      <c r="M239" s="57"/>
      <c r="N239" s="52"/>
      <c r="O239" s="52"/>
      <c r="P239" s="58"/>
      <c r="Q239" s="57"/>
      <c r="R239" s="52"/>
      <c r="S239" s="52"/>
      <c r="T239" s="52"/>
      <c r="U239" s="58"/>
      <c r="V239" s="57"/>
      <c r="W239" s="52"/>
      <c r="X239" s="52"/>
      <c r="Y239" s="58"/>
      <c r="Z239" s="57"/>
      <c r="AA239" s="52"/>
      <c r="AB239" s="52"/>
      <c r="AC239" s="58"/>
      <c r="AD239" s="57"/>
      <c r="AE239" s="52"/>
      <c r="AF239" s="52"/>
      <c r="AG239" s="58"/>
      <c r="AH239" s="57"/>
      <c r="AI239" s="52"/>
      <c r="AJ239" s="52"/>
      <c r="AK239" s="58"/>
      <c r="AL239" s="57"/>
      <c r="AM239" s="52"/>
      <c r="AN239" s="52"/>
      <c r="AO239" s="58"/>
      <c r="AP239" s="57"/>
      <c r="AQ239" s="52"/>
      <c r="AR239" s="52"/>
      <c r="AS239" s="58"/>
      <c r="AT239" s="57"/>
      <c r="AU239" s="52"/>
      <c r="AV239" s="52"/>
      <c r="AW239" s="58"/>
      <c r="AX239" s="33">
        <f t="shared" ref="AX239:AX244" si="110">SUM(E239:AW239)</f>
        <v>0</v>
      </c>
      <c r="AY239" s="31">
        <f t="shared" ref="AY239:AY244" si="111">IFERROR(AVERAGEIF(E239:AW239,"&lt;&gt;0",(E239:AW239)),)</f>
        <v>0</v>
      </c>
      <c r="AZ239" s="30">
        <f t="shared" ref="AZ239:AZ244" si="112">IFERROR(AY239/D239,0)</f>
        <v>0</v>
      </c>
      <c r="BA239" s="94">
        <f>AX245+BA63</f>
        <v>0</v>
      </c>
      <c r="BB239" s="95">
        <f>(D245*8)</f>
        <v>4000</v>
      </c>
      <c r="BC239" s="96">
        <f>C181-BA239</f>
        <v>42311</v>
      </c>
      <c r="BD239" s="96">
        <f>BA230-BA239</f>
        <v>0</v>
      </c>
      <c r="BE239" s="97">
        <f>IFERROR(BC239/E245,0)</f>
        <v>0</v>
      </c>
      <c r="BF239" s="98">
        <f>IFERROR(BE239/9,0)</f>
        <v>0</v>
      </c>
      <c r="BG239" s="97">
        <f>IFERROR(BC239/AY245,0)</f>
        <v>0</v>
      </c>
      <c r="BH239" s="97">
        <f>IFERROR(BG239/9,0)</f>
        <v>0</v>
      </c>
    </row>
    <row r="240" spans="1:60" s="17" customFormat="1" ht="19.5" customHeight="1" x14ac:dyDescent="0.35">
      <c r="A240" s="41">
        <f>A239</f>
        <v>45425</v>
      </c>
      <c r="B240" s="37" t="str">
        <f t="shared" si="107"/>
        <v>Yaka Takma</v>
      </c>
      <c r="C240" s="65">
        <f t="shared" si="108"/>
        <v>0</v>
      </c>
      <c r="D240" s="67">
        <f t="shared" si="109"/>
        <v>70</v>
      </c>
      <c r="E240" s="57"/>
      <c r="F240" s="52"/>
      <c r="G240" s="52"/>
      <c r="H240" s="58"/>
      <c r="I240" s="57"/>
      <c r="J240" s="52"/>
      <c r="K240" s="52"/>
      <c r="L240" s="58"/>
      <c r="M240" s="57"/>
      <c r="N240" s="52"/>
      <c r="O240" s="52"/>
      <c r="P240" s="58"/>
      <c r="Q240" s="57"/>
      <c r="R240" s="52"/>
      <c r="S240" s="52"/>
      <c r="T240" s="52"/>
      <c r="U240" s="58"/>
      <c r="V240" s="57"/>
      <c r="W240" s="52"/>
      <c r="X240" s="52"/>
      <c r="Y240" s="58"/>
      <c r="Z240" s="57"/>
      <c r="AA240" s="52"/>
      <c r="AB240" s="52"/>
      <c r="AC240" s="58"/>
      <c r="AD240" s="57"/>
      <c r="AE240" s="52"/>
      <c r="AF240" s="52"/>
      <c r="AG240" s="58"/>
      <c r="AH240" s="57"/>
      <c r="AI240" s="52"/>
      <c r="AJ240" s="52"/>
      <c r="AK240" s="58"/>
      <c r="AL240" s="57"/>
      <c r="AM240" s="52"/>
      <c r="AN240" s="52"/>
      <c r="AO240" s="58"/>
      <c r="AP240" s="57"/>
      <c r="AQ240" s="52"/>
      <c r="AR240" s="52"/>
      <c r="AS240" s="58"/>
      <c r="AT240" s="57"/>
      <c r="AU240" s="52"/>
      <c r="AV240" s="52"/>
      <c r="AW240" s="58"/>
      <c r="AX240" s="33">
        <f t="shared" si="110"/>
        <v>0</v>
      </c>
      <c r="AY240" s="31">
        <f t="shared" si="111"/>
        <v>0</v>
      </c>
      <c r="AZ240" s="30">
        <f t="shared" si="112"/>
        <v>0</v>
      </c>
      <c r="BA240" s="34"/>
      <c r="BB240" s="34"/>
      <c r="BC240" s="34"/>
      <c r="BD240" s="76"/>
      <c r="BE240" s="34"/>
      <c r="BF240" s="34"/>
      <c r="BG240" s="34"/>
      <c r="BH240" s="34"/>
    </row>
    <row r="241" spans="1:60" s="17" customFormat="1" ht="19.5" customHeight="1" x14ac:dyDescent="0.35">
      <c r="A241" s="41">
        <f>A240</f>
        <v>45425</v>
      </c>
      <c r="B241" s="37" t="str">
        <f t="shared" si="107"/>
        <v>Yaka Takma</v>
      </c>
      <c r="C241" s="65">
        <f t="shared" si="108"/>
        <v>0</v>
      </c>
      <c r="D241" s="67">
        <f t="shared" si="109"/>
        <v>70</v>
      </c>
      <c r="E241" s="57"/>
      <c r="F241" s="52"/>
      <c r="G241" s="52"/>
      <c r="H241" s="58"/>
      <c r="I241" s="57"/>
      <c r="J241" s="52"/>
      <c r="K241" s="52"/>
      <c r="L241" s="58"/>
      <c r="M241" s="57"/>
      <c r="N241" s="52"/>
      <c r="O241" s="52"/>
      <c r="P241" s="58"/>
      <c r="Q241" s="57"/>
      <c r="R241" s="52"/>
      <c r="S241" s="52"/>
      <c r="T241" s="52"/>
      <c r="U241" s="58"/>
      <c r="V241" s="57"/>
      <c r="W241" s="52"/>
      <c r="X241" s="52"/>
      <c r="Y241" s="58"/>
      <c r="Z241" s="57"/>
      <c r="AA241" s="52"/>
      <c r="AB241" s="52"/>
      <c r="AC241" s="58"/>
      <c r="AD241" s="57"/>
      <c r="AE241" s="52"/>
      <c r="AF241" s="52"/>
      <c r="AG241" s="58"/>
      <c r="AH241" s="57"/>
      <c r="AI241" s="52"/>
      <c r="AJ241" s="52"/>
      <c r="AK241" s="58"/>
      <c r="AL241" s="57"/>
      <c r="AM241" s="52"/>
      <c r="AN241" s="52"/>
      <c r="AO241" s="58"/>
      <c r="AP241" s="57"/>
      <c r="AQ241" s="52"/>
      <c r="AR241" s="52"/>
      <c r="AS241" s="58"/>
      <c r="AT241" s="57"/>
      <c r="AU241" s="52"/>
      <c r="AV241" s="52"/>
      <c r="AW241" s="58"/>
      <c r="AX241" s="33">
        <f t="shared" si="110"/>
        <v>0</v>
      </c>
      <c r="AY241" s="31">
        <f t="shared" si="111"/>
        <v>0</v>
      </c>
      <c r="AZ241" s="30">
        <f t="shared" si="112"/>
        <v>0</v>
      </c>
      <c r="BA241" s="34"/>
      <c r="BB241" s="34"/>
      <c r="BC241" s="34"/>
      <c r="BD241" s="76"/>
      <c r="BE241" s="34"/>
      <c r="BF241" s="34"/>
      <c r="BG241" s="34"/>
      <c r="BH241" s="34"/>
    </row>
    <row r="242" spans="1:60" s="17" customFormat="1" ht="19.5" customHeight="1" x14ac:dyDescent="0.35">
      <c r="A242" s="41">
        <f>A239</f>
        <v>45425</v>
      </c>
      <c r="B242" s="37" t="str">
        <f t="shared" si="107"/>
        <v>Yaka Takma</v>
      </c>
      <c r="C242" s="65">
        <f t="shared" si="108"/>
        <v>0</v>
      </c>
      <c r="D242" s="67">
        <f t="shared" si="109"/>
        <v>70</v>
      </c>
      <c r="E242" s="57"/>
      <c r="F242" s="52"/>
      <c r="G242" s="52"/>
      <c r="H242" s="58"/>
      <c r="I242" s="57"/>
      <c r="J242" s="52"/>
      <c r="K242" s="52"/>
      <c r="L242" s="58"/>
      <c r="M242" s="57"/>
      <c r="N242" s="52"/>
      <c r="O242" s="52"/>
      <c r="P242" s="58"/>
      <c r="Q242" s="57"/>
      <c r="R242" s="52"/>
      <c r="S242" s="52"/>
      <c r="T242" s="52"/>
      <c r="U242" s="58"/>
      <c r="V242" s="57"/>
      <c r="W242" s="52"/>
      <c r="X242" s="52"/>
      <c r="Y242" s="58"/>
      <c r="Z242" s="57"/>
      <c r="AA242" s="52"/>
      <c r="AB242" s="52"/>
      <c r="AC242" s="58"/>
      <c r="AD242" s="57"/>
      <c r="AE242" s="52"/>
      <c r="AF242" s="52"/>
      <c r="AG242" s="58"/>
      <c r="AH242" s="57"/>
      <c r="AI242" s="52"/>
      <c r="AJ242" s="52"/>
      <c r="AK242" s="58"/>
      <c r="AL242" s="57"/>
      <c r="AM242" s="52"/>
      <c r="AN242" s="52"/>
      <c r="AO242" s="58"/>
      <c r="AP242" s="57"/>
      <c r="AQ242" s="52"/>
      <c r="AR242" s="52"/>
      <c r="AS242" s="58"/>
      <c r="AT242" s="57"/>
      <c r="AU242" s="52"/>
      <c r="AV242" s="52"/>
      <c r="AW242" s="58"/>
      <c r="AX242" s="33">
        <f t="shared" si="110"/>
        <v>0</v>
      </c>
      <c r="AY242" s="31">
        <f t="shared" si="111"/>
        <v>0</v>
      </c>
      <c r="AZ242" s="30">
        <f t="shared" si="112"/>
        <v>0</v>
      </c>
      <c r="BA242" s="34"/>
      <c r="BB242" s="34"/>
      <c r="BC242" s="34"/>
      <c r="BD242" s="76"/>
      <c r="BE242" s="34"/>
      <c r="BF242" s="34"/>
      <c r="BG242" s="34"/>
      <c r="BH242" s="34"/>
    </row>
    <row r="243" spans="1:60" s="17" customFormat="1" ht="19.5" customHeight="1" x14ac:dyDescent="0.35">
      <c r="A243" s="41">
        <f t="shared" ref="A243:B253" si="113">A242</f>
        <v>45425</v>
      </c>
      <c r="B243" s="37" t="str">
        <f t="shared" si="107"/>
        <v>Yaka Takma</v>
      </c>
      <c r="C243" s="65">
        <f t="shared" si="108"/>
        <v>0</v>
      </c>
      <c r="D243" s="67">
        <f t="shared" si="109"/>
        <v>70</v>
      </c>
      <c r="E243" s="57"/>
      <c r="F243" s="52"/>
      <c r="G243" s="52"/>
      <c r="H243" s="58"/>
      <c r="I243" s="57"/>
      <c r="J243" s="52"/>
      <c r="K243" s="52"/>
      <c r="L243" s="58"/>
      <c r="M243" s="57"/>
      <c r="N243" s="52"/>
      <c r="O243" s="52"/>
      <c r="P243" s="58"/>
      <c r="Q243" s="57"/>
      <c r="R243" s="52"/>
      <c r="S243" s="52"/>
      <c r="T243" s="52"/>
      <c r="U243" s="58"/>
      <c r="V243" s="57"/>
      <c r="W243" s="52"/>
      <c r="X243" s="52"/>
      <c r="Y243" s="58"/>
      <c r="Z243" s="57"/>
      <c r="AA243" s="52"/>
      <c r="AB243" s="52"/>
      <c r="AC243" s="58"/>
      <c r="AD243" s="57"/>
      <c r="AE243" s="52"/>
      <c r="AF243" s="52"/>
      <c r="AG243" s="58"/>
      <c r="AH243" s="57"/>
      <c r="AI243" s="52"/>
      <c r="AJ243" s="52"/>
      <c r="AK243" s="58"/>
      <c r="AL243" s="57"/>
      <c r="AM243" s="52"/>
      <c r="AN243" s="52"/>
      <c r="AO243" s="58"/>
      <c r="AP243" s="57"/>
      <c r="AQ243" s="52"/>
      <c r="AR243" s="52"/>
      <c r="AS243" s="58"/>
      <c r="AT243" s="57"/>
      <c r="AU243" s="52"/>
      <c r="AV243" s="52"/>
      <c r="AW243" s="58"/>
      <c r="AX243" s="33">
        <f t="shared" si="110"/>
        <v>0</v>
      </c>
      <c r="AY243" s="31">
        <f t="shared" si="111"/>
        <v>0</v>
      </c>
      <c r="AZ243" s="30">
        <f t="shared" si="112"/>
        <v>0</v>
      </c>
      <c r="BA243" s="34"/>
      <c r="BB243" s="34"/>
      <c r="BC243" s="34"/>
      <c r="BD243" s="76"/>
      <c r="BE243" s="34"/>
      <c r="BF243" s="34"/>
      <c r="BG243" s="34"/>
      <c r="BH243" s="34"/>
    </row>
    <row r="244" spans="1:60" s="17" customFormat="1" ht="19.5" customHeight="1" thickBot="1" x14ac:dyDescent="0.4">
      <c r="A244" s="41">
        <f t="shared" si="113"/>
        <v>45425</v>
      </c>
      <c r="B244" s="37" t="str">
        <f t="shared" si="107"/>
        <v>Yaka Takma</v>
      </c>
      <c r="C244" s="65">
        <f t="shared" si="108"/>
        <v>0</v>
      </c>
      <c r="D244" s="67">
        <f t="shared" si="109"/>
        <v>70</v>
      </c>
      <c r="E244" s="59"/>
      <c r="F244" s="60"/>
      <c r="G244" s="61"/>
      <c r="H244" s="62"/>
      <c r="I244" s="59"/>
      <c r="J244" s="60"/>
      <c r="K244" s="61"/>
      <c r="L244" s="62"/>
      <c r="M244" s="59"/>
      <c r="N244" s="60"/>
      <c r="O244" s="61"/>
      <c r="P244" s="62"/>
      <c r="Q244" s="64"/>
      <c r="R244" s="61"/>
      <c r="S244" s="61"/>
      <c r="T244" s="61"/>
      <c r="U244" s="62"/>
      <c r="V244" s="59"/>
      <c r="W244" s="60"/>
      <c r="X244" s="61"/>
      <c r="Y244" s="62"/>
      <c r="Z244" s="59"/>
      <c r="AA244" s="60"/>
      <c r="AB244" s="61"/>
      <c r="AC244" s="62"/>
      <c r="AD244" s="59"/>
      <c r="AE244" s="60"/>
      <c r="AF244" s="61"/>
      <c r="AG244" s="62"/>
      <c r="AH244" s="59"/>
      <c r="AI244" s="60"/>
      <c r="AJ244" s="61"/>
      <c r="AK244" s="62"/>
      <c r="AL244" s="59"/>
      <c r="AM244" s="60"/>
      <c r="AN244" s="61"/>
      <c r="AO244" s="62"/>
      <c r="AP244" s="59"/>
      <c r="AQ244" s="60"/>
      <c r="AR244" s="61"/>
      <c r="AS244" s="62"/>
      <c r="AT244" s="59"/>
      <c r="AU244" s="60"/>
      <c r="AV244" s="61"/>
      <c r="AW244" s="62"/>
      <c r="AX244" s="33">
        <f t="shared" si="110"/>
        <v>0</v>
      </c>
      <c r="AY244" s="31">
        <f t="shared" si="111"/>
        <v>0</v>
      </c>
      <c r="AZ244" s="30">
        <f t="shared" si="112"/>
        <v>0</v>
      </c>
      <c r="BA244" s="34"/>
      <c r="BB244" s="34"/>
      <c r="BC244" s="34"/>
      <c r="BD244" s="76"/>
      <c r="BE244" s="34"/>
      <c r="BF244" s="34"/>
      <c r="BG244" s="34"/>
      <c r="BH244" s="34"/>
    </row>
    <row r="245" spans="1:60" s="17" customFormat="1" ht="19.5" customHeight="1" thickBot="1" x14ac:dyDescent="0.45">
      <c r="A245" s="41">
        <f t="shared" si="113"/>
        <v>45425</v>
      </c>
      <c r="B245" s="139" t="str">
        <f>B238</f>
        <v>Yaka Takma</v>
      </c>
      <c r="C245" s="140"/>
      <c r="D245" s="40">
        <f>C182/8</f>
        <v>500</v>
      </c>
      <c r="E245" s="147">
        <f>SUM(E238:H244)</f>
        <v>0</v>
      </c>
      <c r="F245" s="148"/>
      <c r="G245" s="148"/>
      <c r="H245" s="149"/>
      <c r="I245" s="147">
        <f>SUM(I238:L244)</f>
        <v>0</v>
      </c>
      <c r="J245" s="148"/>
      <c r="K245" s="148"/>
      <c r="L245" s="149"/>
      <c r="M245" s="147">
        <f>SUM(M238:P244)</f>
        <v>0</v>
      </c>
      <c r="N245" s="148"/>
      <c r="O245" s="148"/>
      <c r="P245" s="149"/>
      <c r="Q245" s="147">
        <f>SUM(Q238:U244)</f>
        <v>0</v>
      </c>
      <c r="R245" s="148"/>
      <c r="S245" s="148"/>
      <c r="T245" s="148"/>
      <c r="U245" s="149"/>
      <c r="V245" s="147">
        <f>SUM(V238:Y244)</f>
        <v>0</v>
      </c>
      <c r="W245" s="148"/>
      <c r="X245" s="148"/>
      <c r="Y245" s="149"/>
      <c r="Z245" s="147">
        <f>SUM(Z238:AC244)</f>
        <v>0</v>
      </c>
      <c r="AA245" s="148"/>
      <c r="AB245" s="148"/>
      <c r="AC245" s="149"/>
      <c r="AD245" s="147">
        <f>SUM(AD238:AG244)</f>
        <v>0</v>
      </c>
      <c r="AE245" s="148"/>
      <c r="AF245" s="148"/>
      <c r="AG245" s="149"/>
      <c r="AH245" s="147">
        <f>SUM(AH238:AK244)</f>
        <v>0</v>
      </c>
      <c r="AI245" s="148"/>
      <c r="AJ245" s="148"/>
      <c r="AK245" s="149"/>
      <c r="AL245" s="147">
        <f>SUM(AL238:AO244)</f>
        <v>0</v>
      </c>
      <c r="AM245" s="148"/>
      <c r="AN245" s="148"/>
      <c r="AO245" s="149"/>
      <c r="AP245" s="147">
        <f>SUM(AP238:AS244)</f>
        <v>0</v>
      </c>
      <c r="AQ245" s="148"/>
      <c r="AR245" s="148"/>
      <c r="AS245" s="149"/>
      <c r="AT245" s="147">
        <f>SUM(AT238:AW244)</f>
        <v>0</v>
      </c>
      <c r="AU245" s="148"/>
      <c r="AV245" s="148"/>
      <c r="AW245" s="149"/>
      <c r="AX245" s="87">
        <f>SUM(AX238:AX244)</f>
        <v>0</v>
      </c>
      <c r="AY245" s="88">
        <f>IFERROR(AVERAGEIF(E245:AV245,"&lt;&gt;0",(E245:AV245)),)</f>
        <v>0</v>
      </c>
      <c r="AZ245" s="46">
        <f>IFERROR(AX245/BB239,0)</f>
        <v>0</v>
      </c>
      <c r="BA245" s="34"/>
      <c r="BB245" s="34"/>
      <c r="BC245" s="34"/>
      <c r="BD245" s="76"/>
      <c r="BE245" s="34"/>
      <c r="BF245" s="34"/>
      <c r="BG245" s="34"/>
      <c r="BH245" s="34"/>
    </row>
    <row r="246" spans="1:60" s="17" customFormat="1" ht="19.5" customHeight="1" thickBot="1" x14ac:dyDescent="0.4">
      <c r="A246" s="42">
        <f t="shared" si="113"/>
        <v>45425</v>
      </c>
      <c r="B246" s="38" t="str">
        <f>B247</f>
        <v>Ense Biye</v>
      </c>
      <c r="C246" s="39" t="s">
        <v>180</v>
      </c>
      <c r="D246" s="69" t="s">
        <v>181</v>
      </c>
      <c r="E246" s="48">
        <v>0.34375</v>
      </c>
      <c r="F246" s="49">
        <v>0.35416666666666669</v>
      </c>
      <c r="G246" s="49">
        <v>0.36458333333333331</v>
      </c>
      <c r="H246" s="50">
        <v>0.375</v>
      </c>
      <c r="I246" s="48">
        <v>0.38541666666666702</v>
      </c>
      <c r="J246" s="49">
        <v>0.39583333333333298</v>
      </c>
      <c r="K246" s="49">
        <v>0.40625</v>
      </c>
      <c r="L246" s="50">
        <v>0.41666666666666702</v>
      </c>
      <c r="M246" s="48">
        <v>0.4375</v>
      </c>
      <c r="N246" s="49">
        <v>0.44791666666666702</v>
      </c>
      <c r="O246" s="49">
        <v>0.45833333333333398</v>
      </c>
      <c r="P246" s="50">
        <v>0.46875</v>
      </c>
      <c r="Q246" s="48">
        <v>0.47916666666666702</v>
      </c>
      <c r="R246" s="49">
        <v>0.48958333333333398</v>
      </c>
      <c r="S246" s="49">
        <v>0.5</v>
      </c>
      <c r="T246" s="50">
        <v>0.51041666666666696</v>
      </c>
      <c r="U246" s="51">
        <v>0.52083333333333204</v>
      </c>
      <c r="V246" s="48">
        <v>0.5625</v>
      </c>
      <c r="W246" s="49">
        <v>0.57291666666666663</v>
      </c>
      <c r="X246" s="49">
        <v>0.58333333333333304</v>
      </c>
      <c r="Y246" s="50">
        <v>0.59375</v>
      </c>
      <c r="Z246" s="48">
        <v>0.60416666666666696</v>
      </c>
      <c r="AA246" s="49">
        <v>0.61458333333333304</v>
      </c>
      <c r="AB246" s="49">
        <v>0.625</v>
      </c>
      <c r="AC246" s="50">
        <v>0.63541666666666596</v>
      </c>
      <c r="AD246" s="48">
        <v>0.65625</v>
      </c>
      <c r="AE246" s="49">
        <v>0.66666666666666663</v>
      </c>
      <c r="AF246" s="49">
        <v>0.67708333333333304</v>
      </c>
      <c r="AG246" s="50">
        <v>0.6875</v>
      </c>
      <c r="AH246" s="48">
        <v>0.69791666666666696</v>
      </c>
      <c r="AI246" s="49">
        <v>0.70833333333333304</v>
      </c>
      <c r="AJ246" s="49">
        <v>0.71875</v>
      </c>
      <c r="AK246" s="50">
        <v>0.72916666666666696</v>
      </c>
      <c r="AL246" s="48">
        <v>0.73958333333333404</v>
      </c>
      <c r="AM246" s="49">
        <v>0.750000000000001</v>
      </c>
      <c r="AN246" s="49">
        <v>0.76041666666666796</v>
      </c>
      <c r="AO246" s="50">
        <v>0.77083333333333504</v>
      </c>
      <c r="AP246" s="48">
        <v>0.781250000000002</v>
      </c>
      <c r="AQ246" s="49">
        <v>0.79166666666666896</v>
      </c>
      <c r="AR246" s="49">
        <v>0.80208333333333603</v>
      </c>
      <c r="AS246" s="50">
        <v>0.812500000000003</v>
      </c>
      <c r="AT246" s="48">
        <v>0.82291666666666996</v>
      </c>
      <c r="AU246" s="49">
        <v>0.83333333333333703</v>
      </c>
      <c r="AV246" s="49">
        <v>0.843750000000004</v>
      </c>
      <c r="AW246" s="50">
        <v>0.85416666666666663</v>
      </c>
      <c r="AX246" s="68" t="s">
        <v>260</v>
      </c>
      <c r="AY246" s="28" t="s">
        <v>261</v>
      </c>
      <c r="AZ246" s="29" t="s">
        <v>262</v>
      </c>
      <c r="BA246" s="136" t="str">
        <f>B247</f>
        <v>Ense Biye</v>
      </c>
      <c r="BB246" s="137"/>
      <c r="BC246" s="137"/>
      <c r="BD246" s="137"/>
      <c r="BE246" s="137"/>
      <c r="BF246" s="137"/>
      <c r="BG246" s="137"/>
      <c r="BH246" s="138"/>
    </row>
    <row r="247" spans="1:60" s="17" customFormat="1" ht="19.5" customHeight="1" thickBot="1" x14ac:dyDescent="0.4">
      <c r="A247" s="41">
        <f t="shared" si="113"/>
        <v>45425</v>
      </c>
      <c r="B247" s="37" t="str">
        <f>B71</f>
        <v>Ense Biye</v>
      </c>
      <c r="C247" s="65">
        <f>C71</f>
        <v>0</v>
      </c>
      <c r="D247" s="70">
        <f>D71</f>
        <v>100</v>
      </c>
      <c r="E247" s="63"/>
      <c r="F247" s="55"/>
      <c r="G247" s="55"/>
      <c r="H247" s="56"/>
      <c r="I247" s="63"/>
      <c r="J247" s="55"/>
      <c r="K247" s="55"/>
      <c r="L247" s="56"/>
      <c r="M247" s="63"/>
      <c r="N247" s="55"/>
      <c r="O247" s="55"/>
      <c r="P247" s="56"/>
      <c r="Q247" s="63"/>
      <c r="R247" s="55"/>
      <c r="S247" s="55"/>
      <c r="T247" s="55"/>
      <c r="U247" s="56"/>
      <c r="V247" s="63"/>
      <c r="W247" s="55"/>
      <c r="X247" s="55"/>
      <c r="Y247" s="56"/>
      <c r="Z247" s="63"/>
      <c r="AA247" s="55"/>
      <c r="AB247" s="55"/>
      <c r="AC247" s="56"/>
      <c r="AD247" s="63"/>
      <c r="AE247" s="55"/>
      <c r="AF247" s="55"/>
      <c r="AG247" s="56"/>
      <c r="AH247" s="63"/>
      <c r="AI247" s="55"/>
      <c r="AJ247" s="55"/>
      <c r="AK247" s="56"/>
      <c r="AL247" s="63"/>
      <c r="AM247" s="55"/>
      <c r="AN247" s="55"/>
      <c r="AO247" s="56"/>
      <c r="AP247" s="53"/>
      <c r="AQ247" s="54"/>
      <c r="AR247" s="55"/>
      <c r="AS247" s="56"/>
      <c r="AT247" s="53"/>
      <c r="AU247" s="54"/>
      <c r="AV247" s="55"/>
      <c r="AW247" s="56"/>
      <c r="AX247" s="33">
        <f>SUM(E247:AW247)</f>
        <v>0</v>
      </c>
      <c r="AY247" s="31">
        <f>IFERROR(AVERAGEIF(E247:AW247,"&lt;&gt;0",(E247:AW247)),)</f>
        <v>0</v>
      </c>
      <c r="AZ247" s="30">
        <f>IFERROR(AY247/D247,0)</f>
        <v>0</v>
      </c>
      <c r="BA247" s="103" t="s">
        <v>182</v>
      </c>
      <c r="BB247" s="100" t="s">
        <v>183</v>
      </c>
      <c r="BC247" s="100" t="s">
        <v>184</v>
      </c>
      <c r="BD247" s="101" t="s">
        <v>185</v>
      </c>
      <c r="BE247" s="100" t="s">
        <v>186</v>
      </c>
      <c r="BF247" s="102" t="s">
        <v>187</v>
      </c>
      <c r="BG247" s="100" t="s">
        <v>188</v>
      </c>
      <c r="BH247" s="102" t="s">
        <v>189</v>
      </c>
    </row>
    <row r="248" spans="1:60" s="17" customFormat="1" ht="19.5" customHeight="1" thickBot="1" x14ac:dyDescent="0.4">
      <c r="A248" s="41">
        <f t="shared" si="113"/>
        <v>45425</v>
      </c>
      <c r="B248" s="37" t="str">
        <f t="shared" si="113"/>
        <v>Ense Biye</v>
      </c>
      <c r="C248" s="65">
        <f t="shared" ref="C248:C253" si="114">C72</f>
        <v>0</v>
      </c>
      <c r="D248" s="67">
        <f t="shared" ref="D248:D253" si="115">D247</f>
        <v>100</v>
      </c>
      <c r="E248" s="57"/>
      <c r="F248" s="52"/>
      <c r="G248" s="52"/>
      <c r="H248" s="58"/>
      <c r="I248" s="57"/>
      <c r="J248" s="52"/>
      <c r="K248" s="52"/>
      <c r="L248" s="58"/>
      <c r="M248" s="57"/>
      <c r="N248" s="52"/>
      <c r="O248" s="52"/>
      <c r="P248" s="58"/>
      <c r="Q248" s="57"/>
      <c r="R248" s="52"/>
      <c r="S248" s="52"/>
      <c r="T248" s="52"/>
      <c r="U248" s="58"/>
      <c r="V248" s="57"/>
      <c r="W248" s="52"/>
      <c r="X248" s="52"/>
      <c r="Y248" s="58"/>
      <c r="Z248" s="57"/>
      <c r="AA248" s="52"/>
      <c r="AB248" s="52"/>
      <c r="AC248" s="58"/>
      <c r="AD248" s="57"/>
      <c r="AE248" s="52"/>
      <c r="AF248" s="52"/>
      <c r="AG248" s="58"/>
      <c r="AH248" s="57"/>
      <c r="AI248" s="52"/>
      <c r="AJ248" s="52"/>
      <c r="AK248" s="58"/>
      <c r="AL248" s="57"/>
      <c r="AM248" s="52"/>
      <c r="AN248" s="52"/>
      <c r="AO248" s="58"/>
      <c r="AP248" s="57"/>
      <c r="AQ248" s="52"/>
      <c r="AR248" s="52"/>
      <c r="AS248" s="58"/>
      <c r="AT248" s="57"/>
      <c r="AU248" s="52"/>
      <c r="AV248" s="52"/>
      <c r="AW248" s="58"/>
      <c r="AX248" s="33">
        <f t="shared" ref="AX248:AX253" si="116">SUM(E248:AW248)</f>
        <v>0</v>
      </c>
      <c r="AY248" s="31">
        <f t="shared" ref="AY248:AY253" si="117">IFERROR(AVERAGEIF(E248:AW248,"&lt;&gt;0",(E248:AW248)),)</f>
        <v>0</v>
      </c>
      <c r="AZ248" s="30">
        <f t="shared" ref="AZ248:AZ253" si="118">IFERROR(AY248/D248,0)</f>
        <v>0</v>
      </c>
      <c r="BA248" s="94">
        <f>AX254+BA72</f>
        <v>0</v>
      </c>
      <c r="BB248" s="95">
        <f>(D254*8)</f>
        <v>4000</v>
      </c>
      <c r="BC248" s="96">
        <f>C181-BA248</f>
        <v>42311</v>
      </c>
      <c r="BD248" s="96">
        <f>BA239-BA248</f>
        <v>0</v>
      </c>
      <c r="BE248" s="97">
        <f>IFERROR(BC248/E254,0)</f>
        <v>0</v>
      </c>
      <c r="BF248" s="98">
        <f>IFERROR(BE248/9,0)</f>
        <v>0</v>
      </c>
      <c r="BG248" s="97">
        <f>IFERROR(BC248/AY254,0)</f>
        <v>0</v>
      </c>
      <c r="BH248" s="97">
        <f>IFERROR(BG248/9,0)</f>
        <v>0</v>
      </c>
    </row>
    <row r="249" spans="1:60" s="17" customFormat="1" ht="19.5" customHeight="1" x14ac:dyDescent="0.35">
      <c r="A249" s="41">
        <f t="shared" si="113"/>
        <v>45425</v>
      </c>
      <c r="B249" s="37" t="str">
        <f t="shared" si="113"/>
        <v>Ense Biye</v>
      </c>
      <c r="C249" s="65">
        <f t="shared" si="114"/>
        <v>0</v>
      </c>
      <c r="D249" s="67">
        <f t="shared" si="115"/>
        <v>100</v>
      </c>
      <c r="E249" s="57"/>
      <c r="F249" s="52"/>
      <c r="G249" s="52"/>
      <c r="H249" s="58"/>
      <c r="I249" s="57"/>
      <c r="J249" s="52"/>
      <c r="K249" s="52"/>
      <c r="L249" s="58"/>
      <c r="M249" s="57"/>
      <c r="N249" s="52"/>
      <c r="O249" s="52"/>
      <c r="P249" s="58"/>
      <c r="Q249" s="57"/>
      <c r="R249" s="52"/>
      <c r="S249" s="52"/>
      <c r="T249" s="52"/>
      <c r="U249" s="58"/>
      <c r="V249" s="57"/>
      <c r="W249" s="52"/>
      <c r="X249" s="52"/>
      <c r="Y249" s="58"/>
      <c r="Z249" s="57"/>
      <c r="AA249" s="52"/>
      <c r="AB249" s="52"/>
      <c r="AC249" s="58"/>
      <c r="AD249" s="57"/>
      <c r="AE249" s="52"/>
      <c r="AF249" s="52"/>
      <c r="AG249" s="58"/>
      <c r="AH249" s="57"/>
      <c r="AI249" s="52"/>
      <c r="AJ249" s="52"/>
      <c r="AK249" s="58"/>
      <c r="AL249" s="57"/>
      <c r="AM249" s="52"/>
      <c r="AN249" s="52"/>
      <c r="AO249" s="58"/>
      <c r="AP249" s="57"/>
      <c r="AQ249" s="52"/>
      <c r="AR249" s="52"/>
      <c r="AS249" s="58"/>
      <c r="AT249" s="57"/>
      <c r="AU249" s="52"/>
      <c r="AV249" s="52"/>
      <c r="AW249" s="58"/>
      <c r="AX249" s="33">
        <f t="shared" si="116"/>
        <v>0</v>
      </c>
      <c r="AY249" s="31">
        <f t="shared" si="117"/>
        <v>0</v>
      </c>
      <c r="AZ249" s="30">
        <f t="shared" si="118"/>
        <v>0</v>
      </c>
      <c r="BA249" s="34"/>
      <c r="BB249" s="34"/>
      <c r="BC249" s="34"/>
      <c r="BD249" s="76"/>
      <c r="BE249" s="34"/>
      <c r="BF249" s="34"/>
      <c r="BG249" s="34"/>
      <c r="BH249" s="34"/>
    </row>
    <row r="250" spans="1:60" s="17" customFormat="1" ht="19.5" customHeight="1" x14ac:dyDescent="0.35">
      <c r="A250" s="41">
        <f t="shared" si="113"/>
        <v>45425</v>
      </c>
      <c r="B250" s="37" t="str">
        <f t="shared" si="113"/>
        <v>Ense Biye</v>
      </c>
      <c r="C250" s="65">
        <f t="shared" si="114"/>
        <v>0</v>
      </c>
      <c r="D250" s="67">
        <f t="shared" si="115"/>
        <v>100</v>
      </c>
      <c r="E250" s="57"/>
      <c r="F250" s="52"/>
      <c r="G250" s="52"/>
      <c r="H250" s="58"/>
      <c r="I250" s="57"/>
      <c r="J250" s="52"/>
      <c r="K250" s="52"/>
      <c r="L250" s="58"/>
      <c r="M250" s="57"/>
      <c r="N250" s="52"/>
      <c r="O250" s="52"/>
      <c r="P250" s="58"/>
      <c r="Q250" s="57"/>
      <c r="R250" s="52"/>
      <c r="S250" s="52"/>
      <c r="T250" s="52"/>
      <c r="U250" s="58"/>
      <c r="V250" s="57"/>
      <c r="W250" s="52"/>
      <c r="X250" s="52"/>
      <c r="Y250" s="58"/>
      <c r="Z250" s="57"/>
      <c r="AA250" s="52"/>
      <c r="AB250" s="52"/>
      <c r="AC250" s="58"/>
      <c r="AD250" s="57"/>
      <c r="AE250" s="52"/>
      <c r="AF250" s="52"/>
      <c r="AG250" s="58"/>
      <c r="AH250" s="57"/>
      <c r="AI250" s="52"/>
      <c r="AJ250" s="52"/>
      <c r="AK250" s="58"/>
      <c r="AL250" s="57"/>
      <c r="AM250" s="52"/>
      <c r="AN250" s="52"/>
      <c r="AO250" s="58"/>
      <c r="AP250" s="57"/>
      <c r="AQ250" s="52"/>
      <c r="AR250" s="52"/>
      <c r="AS250" s="58"/>
      <c r="AT250" s="57"/>
      <c r="AU250" s="52"/>
      <c r="AV250" s="52"/>
      <c r="AW250" s="58"/>
      <c r="AX250" s="33">
        <f t="shared" si="116"/>
        <v>0</v>
      </c>
      <c r="AY250" s="31">
        <f t="shared" si="117"/>
        <v>0</v>
      </c>
      <c r="AZ250" s="30">
        <f t="shared" si="118"/>
        <v>0</v>
      </c>
      <c r="BA250" s="34"/>
      <c r="BB250" s="34"/>
      <c r="BC250" s="34"/>
      <c r="BD250" s="76"/>
      <c r="BE250" s="34"/>
      <c r="BF250" s="34"/>
      <c r="BG250" s="34"/>
      <c r="BH250" s="34"/>
    </row>
    <row r="251" spans="1:60" s="17" customFormat="1" ht="19.5" customHeight="1" x14ac:dyDescent="0.35">
      <c r="A251" s="41">
        <f>A248</f>
        <v>45425</v>
      </c>
      <c r="B251" s="37" t="str">
        <f t="shared" si="113"/>
        <v>Ense Biye</v>
      </c>
      <c r="C251" s="65">
        <f t="shared" si="114"/>
        <v>0</v>
      </c>
      <c r="D251" s="67">
        <f t="shared" si="115"/>
        <v>100</v>
      </c>
      <c r="E251" s="57"/>
      <c r="F251" s="52"/>
      <c r="G251" s="52"/>
      <c r="H251" s="58"/>
      <c r="I251" s="57"/>
      <c r="J251" s="52"/>
      <c r="K251" s="52"/>
      <c r="L251" s="58"/>
      <c r="M251" s="57"/>
      <c r="N251" s="52"/>
      <c r="O251" s="52"/>
      <c r="P251" s="58"/>
      <c r="Q251" s="57"/>
      <c r="R251" s="52"/>
      <c r="S251" s="52"/>
      <c r="T251" s="52"/>
      <c r="U251" s="58"/>
      <c r="V251" s="57"/>
      <c r="W251" s="52"/>
      <c r="X251" s="52"/>
      <c r="Y251" s="58"/>
      <c r="Z251" s="57"/>
      <c r="AA251" s="52"/>
      <c r="AB251" s="52"/>
      <c r="AC251" s="58"/>
      <c r="AD251" s="57"/>
      <c r="AE251" s="52"/>
      <c r="AF251" s="52"/>
      <c r="AG251" s="58"/>
      <c r="AH251" s="57"/>
      <c r="AI251" s="52"/>
      <c r="AJ251" s="52"/>
      <c r="AK251" s="58"/>
      <c r="AL251" s="57"/>
      <c r="AM251" s="52"/>
      <c r="AN251" s="52"/>
      <c r="AO251" s="58"/>
      <c r="AP251" s="57"/>
      <c r="AQ251" s="52"/>
      <c r="AR251" s="52"/>
      <c r="AS251" s="58"/>
      <c r="AT251" s="57"/>
      <c r="AU251" s="52"/>
      <c r="AV251" s="52"/>
      <c r="AW251" s="58"/>
      <c r="AX251" s="33">
        <f t="shared" si="116"/>
        <v>0</v>
      </c>
      <c r="AY251" s="31">
        <f t="shared" si="117"/>
        <v>0</v>
      </c>
      <c r="AZ251" s="30">
        <f t="shared" si="118"/>
        <v>0</v>
      </c>
      <c r="BA251" s="34"/>
      <c r="BB251" s="34"/>
      <c r="BC251" s="34"/>
      <c r="BD251" s="76"/>
      <c r="BE251" s="34"/>
      <c r="BF251" s="34"/>
      <c r="BG251" s="34"/>
      <c r="BH251" s="34"/>
    </row>
    <row r="252" spans="1:60" s="17" customFormat="1" ht="19.5" customHeight="1" x14ac:dyDescent="0.35">
      <c r="A252" s="41">
        <f>A251</f>
        <v>45425</v>
      </c>
      <c r="B252" s="37" t="str">
        <f t="shared" si="113"/>
        <v>Ense Biye</v>
      </c>
      <c r="C252" s="65">
        <f t="shared" si="114"/>
        <v>0</v>
      </c>
      <c r="D252" s="67">
        <f t="shared" si="115"/>
        <v>100</v>
      </c>
      <c r="E252" s="57"/>
      <c r="F252" s="52"/>
      <c r="G252" s="52"/>
      <c r="H252" s="58"/>
      <c r="I252" s="57"/>
      <c r="J252" s="52"/>
      <c r="K252" s="52"/>
      <c r="L252" s="58"/>
      <c r="M252" s="57"/>
      <c r="N252" s="52"/>
      <c r="O252" s="52"/>
      <c r="P252" s="58"/>
      <c r="Q252" s="57"/>
      <c r="R252" s="52"/>
      <c r="S252" s="52"/>
      <c r="T252" s="52"/>
      <c r="U252" s="58"/>
      <c r="V252" s="57"/>
      <c r="W252" s="52"/>
      <c r="X252" s="52"/>
      <c r="Y252" s="58"/>
      <c r="Z252" s="57"/>
      <c r="AA252" s="52"/>
      <c r="AB252" s="52"/>
      <c r="AC252" s="58"/>
      <c r="AD252" s="57"/>
      <c r="AE252" s="52"/>
      <c r="AF252" s="52"/>
      <c r="AG252" s="58"/>
      <c r="AH252" s="57"/>
      <c r="AI252" s="52"/>
      <c r="AJ252" s="52"/>
      <c r="AK252" s="58"/>
      <c r="AL252" s="57"/>
      <c r="AM252" s="52"/>
      <c r="AN252" s="52"/>
      <c r="AO252" s="58"/>
      <c r="AP252" s="57"/>
      <c r="AQ252" s="52"/>
      <c r="AR252" s="52"/>
      <c r="AS252" s="58"/>
      <c r="AT252" s="57"/>
      <c r="AU252" s="52"/>
      <c r="AV252" s="52"/>
      <c r="AW252" s="58"/>
      <c r="AX252" s="33">
        <f t="shared" si="116"/>
        <v>0</v>
      </c>
      <c r="AY252" s="31">
        <f t="shared" si="117"/>
        <v>0</v>
      </c>
      <c r="AZ252" s="30">
        <f t="shared" si="118"/>
        <v>0</v>
      </c>
      <c r="BA252" s="34"/>
      <c r="BB252" s="34"/>
      <c r="BC252" s="34"/>
      <c r="BD252" s="76"/>
      <c r="BE252" s="34"/>
      <c r="BF252" s="34"/>
      <c r="BG252" s="34"/>
      <c r="BH252" s="34"/>
    </row>
    <row r="253" spans="1:60" s="17" customFormat="1" ht="19.5" customHeight="1" thickBot="1" x14ac:dyDescent="0.4">
      <c r="A253" s="41">
        <f>A252</f>
        <v>45425</v>
      </c>
      <c r="B253" s="37" t="str">
        <f t="shared" si="113"/>
        <v>Ense Biye</v>
      </c>
      <c r="C253" s="65">
        <f t="shared" si="114"/>
        <v>0</v>
      </c>
      <c r="D253" s="67">
        <f t="shared" si="115"/>
        <v>100</v>
      </c>
      <c r="E253" s="59"/>
      <c r="F253" s="60"/>
      <c r="G253" s="61"/>
      <c r="H253" s="62"/>
      <c r="I253" s="59"/>
      <c r="J253" s="60"/>
      <c r="K253" s="61"/>
      <c r="L253" s="62"/>
      <c r="M253" s="59"/>
      <c r="N253" s="60"/>
      <c r="O253" s="61"/>
      <c r="P253" s="62"/>
      <c r="Q253" s="64"/>
      <c r="R253" s="61"/>
      <c r="S253" s="61"/>
      <c r="T253" s="61"/>
      <c r="U253" s="62"/>
      <c r="V253" s="59"/>
      <c r="W253" s="60"/>
      <c r="X253" s="61"/>
      <c r="Y253" s="62"/>
      <c r="Z253" s="59"/>
      <c r="AA253" s="60"/>
      <c r="AB253" s="61"/>
      <c r="AC253" s="62"/>
      <c r="AD253" s="59"/>
      <c r="AE253" s="60"/>
      <c r="AF253" s="61"/>
      <c r="AG253" s="62"/>
      <c r="AH253" s="59"/>
      <c r="AI253" s="60"/>
      <c r="AJ253" s="61"/>
      <c r="AK253" s="62"/>
      <c r="AL253" s="59"/>
      <c r="AM253" s="60"/>
      <c r="AN253" s="61"/>
      <c r="AO253" s="62"/>
      <c r="AP253" s="59"/>
      <c r="AQ253" s="60"/>
      <c r="AR253" s="61"/>
      <c r="AS253" s="62"/>
      <c r="AT253" s="59"/>
      <c r="AU253" s="60"/>
      <c r="AV253" s="61"/>
      <c r="AW253" s="62"/>
      <c r="AX253" s="33">
        <f t="shared" si="116"/>
        <v>0</v>
      </c>
      <c r="AY253" s="31">
        <f t="shared" si="117"/>
        <v>0</v>
      </c>
      <c r="AZ253" s="30">
        <f t="shared" si="118"/>
        <v>0</v>
      </c>
      <c r="BA253" s="34"/>
      <c r="BB253" s="34"/>
      <c r="BC253" s="34"/>
      <c r="BD253" s="76"/>
      <c r="BE253" s="34"/>
      <c r="BF253" s="34"/>
      <c r="BG253" s="34"/>
      <c r="BH253" s="34"/>
    </row>
    <row r="254" spans="1:60" s="17" customFormat="1" ht="19.5" customHeight="1" thickBot="1" x14ac:dyDescent="0.45">
      <c r="A254" s="41">
        <f>A253</f>
        <v>45425</v>
      </c>
      <c r="B254" s="139" t="str">
        <f>B247</f>
        <v>Ense Biye</v>
      </c>
      <c r="C254" s="140"/>
      <c r="D254" s="40">
        <f>C182/8</f>
        <v>500</v>
      </c>
      <c r="E254" s="147">
        <f>SUM(E247:H253)</f>
        <v>0</v>
      </c>
      <c r="F254" s="148"/>
      <c r="G254" s="148"/>
      <c r="H254" s="149"/>
      <c r="I254" s="147">
        <f>SUM(I247:L253)</f>
        <v>0</v>
      </c>
      <c r="J254" s="148"/>
      <c r="K254" s="148"/>
      <c r="L254" s="149"/>
      <c r="M254" s="147">
        <f>SUM(M247:P253)</f>
        <v>0</v>
      </c>
      <c r="N254" s="148"/>
      <c r="O254" s="148"/>
      <c r="P254" s="149"/>
      <c r="Q254" s="147">
        <f>SUM(Q247:U253)</f>
        <v>0</v>
      </c>
      <c r="R254" s="148"/>
      <c r="S254" s="148"/>
      <c r="T254" s="148"/>
      <c r="U254" s="149"/>
      <c r="V254" s="147">
        <f>SUM(V247:Y253)</f>
        <v>0</v>
      </c>
      <c r="W254" s="148"/>
      <c r="X254" s="148"/>
      <c r="Y254" s="149"/>
      <c r="Z254" s="147">
        <f>SUM(Z247:AC253)</f>
        <v>0</v>
      </c>
      <c r="AA254" s="148"/>
      <c r="AB254" s="148"/>
      <c r="AC254" s="149"/>
      <c r="AD254" s="147">
        <f>SUM(AD247:AG253)</f>
        <v>0</v>
      </c>
      <c r="AE254" s="148"/>
      <c r="AF254" s="148"/>
      <c r="AG254" s="149"/>
      <c r="AH254" s="147">
        <f>SUM(AH247:AK253)</f>
        <v>0</v>
      </c>
      <c r="AI254" s="148"/>
      <c r="AJ254" s="148"/>
      <c r="AK254" s="149"/>
      <c r="AL254" s="147">
        <f>SUM(AL247:AO253)</f>
        <v>0</v>
      </c>
      <c r="AM254" s="148"/>
      <c r="AN254" s="148"/>
      <c r="AO254" s="149"/>
      <c r="AP254" s="147">
        <f>SUM(AP247:AS253)</f>
        <v>0</v>
      </c>
      <c r="AQ254" s="148"/>
      <c r="AR254" s="148"/>
      <c r="AS254" s="149"/>
      <c r="AT254" s="147">
        <f>SUM(AT247:AW253)</f>
        <v>0</v>
      </c>
      <c r="AU254" s="148"/>
      <c r="AV254" s="148"/>
      <c r="AW254" s="149"/>
      <c r="AX254" s="87">
        <f>SUM(AX247:AX253)</f>
        <v>0</v>
      </c>
      <c r="AY254" s="88">
        <f>IFERROR(AVERAGEIF(E254:AV254,"&lt;&gt;0",(E254:AV254)),)</f>
        <v>0</v>
      </c>
      <c r="AZ254" s="46">
        <f>IFERROR(AX254/BB248,0)</f>
        <v>0</v>
      </c>
      <c r="BA254" s="34"/>
      <c r="BB254" s="34"/>
      <c r="BC254" s="34"/>
      <c r="BD254" s="76"/>
      <c r="BE254" s="34"/>
      <c r="BF254" s="34"/>
      <c r="BG254" s="34"/>
      <c r="BH254" s="34"/>
    </row>
    <row r="255" spans="1:60" s="17" customFormat="1" ht="19.5" customHeight="1" thickBot="1" x14ac:dyDescent="0.4">
      <c r="A255" s="42">
        <f>A245</f>
        <v>45425</v>
      </c>
      <c r="B255" s="38" t="str">
        <f>B256</f>
        <v>Yaka Basma 1 Et.(Beden)</v>
      </c>
      <c r="C255" s="39" t="s">
        <v>180</v>
      </c>
      <c r="D255" s="69" t="s">
        <v>181</v>
      </c>
      <c r="E255" s="48">
        <v>0.34375</v>
      </c>
      <c r="F255" s="49">
        <v>0.35416666666666669</v>
      </c>
      <c r="G255" s="49">
        <v>0.36458333333333331</v>
      </c>
      <c r="H255" s="50">
        <v>0.375</v>
      </c>
      <c r="I255" s="48">
        <v>0.38541666666666702</v>
      </c>
      <c r="J255" s="49">
        <v>0.39583333333333298</v>
      </c>
      <c r="K255" s="49">
        <v>0.40625</v>
      </c>
      <c r="L255" s="50">
        <v>0.41666666666666702</v>
      </c>
      <c r="M255" s="48">
        <v>0.4375</v>
      </c>
      <c r="N255" s="49">
        <v>0.44791666666666702</v>
      </c>
      <c r="O255" s="49">
        <v>0.45833333333333398</v>
      </c>
      <c r="P255" s="50">
        <v>0.46875</v>
      </c>
      <c r="Q255" s="48">
        <v>0.47916666666666702</v>
      </c>
      <c r="R255" s="49">
        <v>0.48958333333333398</v>
      </c>
      <c r="S255" s="49">
        <v>0.5</v>
      </c>
      <c r="T255" s="50">
        <v>0.51041666666666696</v>
      </c>
      <c r="U255" s="51">
        <v>0.52083333333333204</v>
      </c>
      <c r="V255" s="48">
        <v>0.5625</v>
      </c>
      <c r="W255" s="49">
        <v>0.57291666666666663</v>
      </c>
      <c r="X255" s="49">
        <v>0.58333333333333304</v>
      </c>
      <c r="Y255" s="50">
        <v>0.59375</v>
      </c>
      <c r="Z255" s="48">
        <v>0.60416666666666696</v>
      </c>
      <c r="AA255" s="49">
        <v>0.61458333333333304</v>
      </c>
      <c r="AB255" s="49">
        <v>0.625</v>
      </c>
      <c r="AC255" s="50">
        <v>0.63541666666666596</v>
      </c>
      <c r="AD255" s="48">
        <v>0.65625</v>
      </c>
      <c r="AE255" s="49">
        <v>0.66666666666666663</v>
      </c>
      <c r="AF255" s="49">
        <v>0.67708333333333304</v>
      </c>
      <c r="AG255" s="50">
        <v>0.6875</v>
      </c>
      <c r="AH255" s="48">
        <v>0.69791666666666696</v>
      </c>
      <c r="AI255" s="49">
        <v>0.70833333333333304</v>
      </c>
      <c r="AJ255" s="49">
        <v>0.71875</v>
      </c>
      <c r="AK255" s="50">
        <v>0.72916666666666696</v>
      </c>
      <c r="AL255" s="48">
        <v>0.73958333333333404</v>
      </c>
      <c r="AM255" s="49">
        <v>0.750000000000001</v>
      </c>
      <c r="AN255" s="49">
        <v>0.76041666666666796</v>
      </c>
      <c r="AO255" s="50">
        <v>0.77083333333333504</v>
      </c>
      <c r="AP255" s="48">
        <v>0.781250000000002</v>
      </c>
      <c r="AQ255" s="49">
        <v>0.79166666666666896</v>
      </c>
      <c r="AR255" s="49">
        <v>0.80208333333333603</v>
      </c>
      <c r="AS255" s="50">
        <v>0.812500000000003</v>
      </c>
      <c r="AT255" s="48">
        <v>0.82291666666666996</v>
      </c>
      <c r="AU255" s="49">
        <v>0.83333333333333703</v>
      </c>
      <c r="AV255" s="49">
        <v>0.843750000000004</v>
      </c>
      <c r="AW255" s="50">
        <v>0.85416666666666663</v>
      </c>
      <c r="AX255" s="68" t="s">
        <v>260</v>
      </c>
      <c r="AY255" s="28" t="s">
        <v>261</v>
      </c>
      <c r="AZ255" s="29" t="s">
        <v>262</v>
      </c>
      <c r="BA255" s="136" t="str">
        <f>B256</f>
        <v>Yaka Basma 1 Et.(Beden)</v>
      </c>
      <c r="BB255" s="137"/>
      <c r="BC255" s="137"/>
      <c r="BD255" s="137"/>
      <c r="BE255" s="137"/>
      <c r="BF255" s="137"/>
      <c r="BG255" s="137"/>
      <c r="BH255" s="138"/>
    </row>
    <row r="256" spans="1:60" s="17" customFormat="1" ht="19.5" customHeight="1" thickBot="1" x14ac:dyDescent="0.4">
      <c r="A256" s="41">
        <f t="shared" ref="A256:B260" si="119">A255</f>
        <v>45425</v>
      </c>
      <c r="B256" s="37" t="str">
        <f>B80</f>
        <v>Yaka Basma 1 Et.(Beden)</v>
      </c>
      <c r="C256" s="65">
        <f>C80</f>
        <v>0</v>
      </c>
      <c r="D256" s="70">
        <f>D80</f>
        <v>60</v>
      </c>
      <c r="E256" s="63"/>
      <c r="F256" s="55"/>
      <c r="G256" s="55"/>
      <c r="H256" s="56"/>
      <c r="I256" s="63"/>
      <c r="J256" s="55"/>
      <c r="K256" s="55"/>
      <c r="L256" s="56"/>
      <c r="M256" s="63"/>
      <c r="N256" s="55"/>
      <c r="O256" s="55"/>
      <c r="P256" s="56"/>
      <c r="Q256" s="63"/>
      <c r="R256" s="55"/>
      <c r="S256" s="55"/>
      <c r="T256" s="55"/>
      <c r="U256" s="56"/>
      <c r="V256" s="63"/>
      <c r="W256" s="55"/>
      <c r="X256" s="55"/>
      <c r="Y256" s="56"/>
      <c r="Z256" s="63"/>
      <c r="AA256" s="55"/>
      <c r="AB256" s="55"/>
      <c r="AC256" s="56"/>
      <c r="AD256" s="63"/>
      <c r="AE256" s="55"/>
      <c r="AF256" s="55"/>
      <c r="AG256" s="56"/>
      <c r="AH256" s="63"/>
      <c r="AI256" s="55"/>
      <c r="AJ256" s="55"/>
      <c r="AK256" s="56"/>
      <c r="AL256" s="63"/>
      <c r="AM256" s="55"/>
      <c r="AN256" s="55"/>
      <c r="AO256" s="56"/>
      <c r="AP256" s="63"/>
      <c r="AQ256" s="55"/>
      <c r="AR256" s="55"/>
      <c r="AS256" s="56"/>
      <c r="AT256" s="53"/>
      <c r="AU256" s="54"/>
      <c r="AV256" s="55"/>
      <c r="AW256" s="56"/>
      <c r="AX256" s="33">
        <f>SUM(E256:AW256)</f>
        <v>0</v>
      </c>
      <c r="AY256" s="31">
        <f>IFERROR(AVERAGEIF(E256:AW256,"&lt;&gt;0",(E256:AW256)),)</f>
        <v>0</v>
      </c>
      <c r="AZ256" s="30">
        <f>IFERROR(AY256/D256,0)</f>
        <v>0</v>
      </c>
      <c r="BA256" s="103" t="s">
        <v>182</v>
      </c>
      <c r="BB256" s="100" t="s">
        <v>183</v>
      </c>
      <c r="BC256" s="100" t="s">
        <v>184</v>
      </c>
      <c r="BD256" s="101" t="s">
        <v>185</v>
      </c>
      <c r="BE256" s="100" t="s">
        <v>186</v>
      </c>
      <c r="BF256" s="102" t="s">
        <v>187</v>
      </c>
      <c r="BG256" s="100" t="s">
        <v>188</v>
      </c>
      <c r="BH256" s="102" t="s">
        <v>189</v>
      </c>
    </row>
    <row r="257" spans="1:60" s="17" customFormat="1" ht="19.5" customHeight="1" thickBot="1" x14ac:dyDescent="0.4">
      <c r="A257" s="41">
        <f t="shared" si="119"/>
        <v>45425</v>
      </c>
      <c r="B257" s="37" t="str">
        <f t="shared" si="119"/>
        <v>Yaka Basma 1 Et.(Beden)</v>
      </c>
      <c r="C257" s="65">
        <f t="shared" ref="C257:C262" si="120">C81</f>
        <v>0</v>
      </c>
      <c r="D257" s="67">
        <f t="shared" ref="D257:D262" si="121">D256</f>
        <v>60</v>
      </c>
      <c r="E257" s="57"/>
      <c r="F257" s="52"/>
      <c r="G257" s="52"/>
      <c r="H257" s="58"/>
      <c r="I257" s="57"/>
      <c r="J257" s="52"/>
      <c r="K257" s="52"/>
      <c r="L257" s="58"/>
      <c r="M257" s="57"/>
      <c r="N257" s="52"/>
      <c r="O257" s="52"/>
      <c r="P257" s="58"/>
      <c r="Q257" s="57"/>
      <c r="R257" s="52"/>
      <c r="S257" s="52"/>
      <c r="T257" s="52"/>
      <c r="U257" s="58"/>
      <c r="V257" s="57"/>
      <c r="W257" s="52"/>
      <c r="X257" s="52"/>
      <c r="Y257" s="58"/>
      <c r="Z257" s="57"/>
      <c r="AA257" s="52"/>
      <c r="AB257" s="52"/>
      <c r="AC257" s="58"/>
      <c r="AD257" s="57"/>
      <c r="AE257" s="52"/>
      <c r="AF257" s="52"/>
      <c r="AG257" s="58"/>
      <c r="AH257" s="57"/>
      <c r="AI257" s="52"/>
      <c r="AJ257" s="52"/>
      <c r="AK257" s="58"/>
      <c r="AL257" s="57"/>
      <c r="AM257" s="52"/>
      <c r="AN257" s="52"/>
      <c r="AO257" s="58"/>
      <c r="AP257" s="57"/>
      <c r="AQ257" s="52"/>
      <c r="AR257" s="52"/>
      <c r="AS257" s="58"/>
      <c r="AT257" s="57"/>
      <c r="AU257" s="52"/>
      <c r="AV257" s="52"/>
      <c r="AW257" s="58"/>
      <c r="AX257" s="33">
        <f t="shared" ref="AX257:AX262" si="122">SUM(E257:AW257)</f>
        <v>0</v>
      </c>
      <c r="AY257" s="31">
        <f t="shared" ref="AY257:AY262" si="123">IFERROR(AVERAGEIF(E257:AW257,"&lt;&gt;0",(E257:AW257)),)</f>
        <v>0</v>
      </c>
      <c r="AZ257" s="30">
        <f t="shared" ref="AZ257:AZ262" si="124">IFERROR(AY257/D257,0)</f>
        <v>0</v>
      </c>
      <c r="BA257" s="94">
        <f>AX263+BA81</f>
        <v>0</v>
      </c>
      <c r="BB257" s="95">
        <f>(D263*8)</f>
        <v>4000</v>
      </c>
      <c r="BC257" s="96">
        <f>C181-BA257</f>
        <v>42311</v>
      </c>
      <c r="BD257" s="96">
        <f>BA248-BA257</f>
        <v>0</v>
      </c>
      <c r="BE257" s="97">
        <f>IFERROR(BC257/E263,0)</f>
        <v>0</v>
      </c>
      <c r="BF257" s="98">
        <f>IFERROR(BE257/9,0)</f>
        <v>0</v>
      </c>
      <c r="BG257" s="97">
        <f>IFERROR(BC257/AY263,0)</f>
        <v>0</v>
      </c>
      <c r="BH257" s="97">
        <f>IFERROR(BG257/9,0)</f>
        <v>0</v>
      </c>
    </row>
    <row r="258" spans="1:60" s="17" customFormat="1" ht="19.5" customHeight="1" x14ac:dyDescent="0.35">
      <c r="A258" s="41">
        <f t="shared" si="119"/>
        <v>45425</v>
      </c>
      <c r="B258" s="37" t="str">
        <f t="shared" si="119"/>
        <v>Yaka Basma 1 Et.(Beden)</v>
      </c>
      <c r="C258" s="65">
        <f t="shared" si="120"/>
        <v>0</v>
      </c>
      <c r="D258" s="67">
        <f t="shared" si="121"/>
        <v>60</v>
      </c>
      <c r="E258" s="57"/>
      <c r="F258" s="52"/>
      <c r="G258" s="52"/>
      <c r="H258" s="58"/>
      <c r="I258" s="57"/>
      <c r="J258" s="52"/>
      <c r="K258" s="52"/>
      <c r="L258" s="58"/>
      <c r="M258" s="57"/>
      <c r="N258" s="52"/>
      <c r="O258" s="52"/>
      <c r="P258" s="58"/>
      <c r="Q258" s="57"/>
      <c r="R258" s="52"/>
      <c r="S258" s="52"/>
      <c r="T258" s="52"/>
      <c r="U258" s="58"/>
      <c r="V258" s="57"/>
      <c r="W258" s="52"/>
      <c r="X258" s="52"/>
      <c r="Y258" s="58"/>
      <c r="Z258" s="57"/>
      <c r="AA258" s="52"/>
      <c r="AB258" s="52"/>
      <c r="AC258" s="58"/>
      <c r="AD258" s="57"/>
      <c r="AE258" s="52"/>
      <c r="AF258" s="52"/>
      <c r="AG258" s="58"/>
      <c r="AH258" s="57"/>
      <c r="AI258" s="52"/>
      <c r="AJ258" s="52"/>
      <c r="AK258" s="58"/>
      <c r="AL258" s="57"/>
      <c r="AM258" s="52"/>
      <c r="AN258" s="52"/>
      <c r="AO258" s="58"/>
      <c r="AP258" s="57"/>
      <c r="AQ258" s="52"/>
      <c r="AR258" s="52"/>
      <c r="AS258" s="58"/>
      <c r="AT258" s="57"/>
      <c r="AU258" s="52"/>
      <c r="AV258" s="52"/>
      <c r="AW258" s="58"/>
      <c r="AX258" s="33">
        <f t="shared" si="122"/>
        <v>0</v>
      </c>
      <c r="AY258" s="31">
        <f t="shared" si="123"/>
        <v>0</v>
      </c>
      <c r="AZ258" s="30">
        <f t="shared" si="124"/>
        <v>0</v>
      </c>
      <c r="BA258" s="34"/>
      <c r="BB258" s="34"/>
      <c r="BC258" s="34"/>
      <c r="BD258" s="76"/>
      <c r="BE258" s="34"/>
      <c r="BF258" s="34"/>
      <c r="BG258" s="34"/>
      <c r="BH258" s="34"/>
    </row>
    <row r="259" spans="1:60" s="17" customFormat="1" ht="19.5" customHeight="1" x14ac:dyDescent="0.35">
      <c r="A259" s="41">
        <f t="shared" si="119"/>
        <v>45425</v>
      </c>
      <c r="B259" s="37" t="str">
        <f t="shared" si="119"/>
        <v>Yaka Basma 1 Et.(Beden)</v>
      </c>
      <c r="C259" s="65">
        <f t="shared" si="120"/>
        <v>0</v>
      </c>
      <c r="D259" s="67">
        <f t="shared" si="121"/>
        <v>60</v>
      </c>
      <c r="E259" s="57"/>
      <c r="F259" s="52"/>
      <c r="G259" s="52"/>
      <c r="H259" s="58"/>
      <c r="I259" s="57"/>
      <c r="J259" s="52"/>
      <c r="K259" s="52"/>
      <c r="L259" s="58"/>
      <c r="M259" s="57"/>
      <c r="N259" s="52"/>
      <c r="O259" s="52"/>
      <c r="P259" s="58"/>
      <c r="Q259" s="57"/>
      <c r="R259" s="52"/>
      <c r="S259" s="52"/>
      <c r="T259" s="52"/>
      <c r="U259" s="58"/>
      <c r="V259" s="57"/>
      <c r="W259" s="52"/>
      <c r="X259" s="52"/>
      <c r="Y259" s="58"/>
      <c r="Z259" s="57"/>
      <c r="AA259" s="52"/>
      <c r="AB259" s="52"/>
      <c r="AC259" s="58"/>
      <c r="AD259" s="57"/>
      <c r="AE259" s="52"/>
      <c r="AF259" s="52"/>
      <c r="AG259" s="58"/>
      <c r="AH259" s="57"/>
      <c r="AI259" s="52"/>
      <c r="AJ259" s="52"/>
      <c r="AK259" s="58"/>
      <c r="AL259" s="57"/>
      <c r="AM259" s="52"/>
      <c r="AN259" s="52"/>
      <c r="AO259" s="58"/>
      <c r="AP259" s="57"/>
      <c r="AQ259" s="52"/>
      <c r="AR259" s="52"/>
      <c r="AS259" s="58"/>
      <c r="AT259" s="57"/>
      <c r="AU259" s="52"/>
      <c r="AV259" s="52"/>
      <c r="AW259" s="58"/>
      <c r="AX259" s="33">
        <f t="shared" si="122"/>
        <v>0</v>
      </c>
      <c r="AY259" s="31">
        <f t="shared" si="123"/>
        <v>0</v>
      </c>
      <c r="AZ259" s="30">
        <f t="shared" si="124"/>
        <v>0</v>
      </c>
      <c r="BA259" s="34"/>
      <c r="BB259" s="34"/>
      <c r="BC259" s="34"/>
      <c r="BD259" s="76"/>
      <c r="BE259" s="34"/>
      <c r="BF259" s="34"/>
      <c r="BG259" s="34"/>
      <c r="BH259" s="34"/>
    </row>
    <row r="260" spans="1:60" s="17" customFormat="1" ht="19.5" customHeight="1" x14ac:dyDescent="0.35">
      <c r="A260" s="41">
        <f>A257</f>
        <v>45425</v>
      </c>
      <c r="B260" s="37" t="str">
        <f t="shared" si="119"/>
        <v>Yaka Basma 1 Et.(Beden)</v>
      </c>
      <c r="C260" s="65">
        <f t="shared" si="120"/>
        <v>0</v>
      </c>
      <c r="D260" s="67">
        <f t="shared" si="121"/>
        <v>60</v>
      </c>
      <c r="E260" s="57"/>
      <c r="F260" s="52"/>
      <c r="G260" s="52"/>
      <c r="H260" s="58"/>
      <c r="I260" s="57"/>
      <c r="J260" s="52"/>
      <c r="K260" s="52"/>
      <c r="L260" s="58"/>
      <c r="M260" s="57"/>
      <c r="N260" s="52"/>
      <c r="O260" s="52"/>
      <c r="P260" s="58"/>
      <c r="Q260" s="57"/>
      <c r="R260" s="52"/>
      <c r="S260" s="52"/>
      <c r="T260" s="52"/>
      <c r="U260" s="58"/>
      <c r="V260" s="57"/>
      <c r="W260" s="52"/>
      <c r="X260" s="52"/>
      <c r="Y260" s="58"/>
      <c r="Z260" s="57"/>
      <c r="AA260" s="52"/>
      <c r="AB260" s="52"/>
      <c r="AC260" s="58"/>
      <c r="AD260" s="57"/>
      <c r="AE260" s="52"/>
      <c r="AF260" s="52"/>
      <c r="AG260" s="58"/>
      <c r="AH260" s="57"/>
      <c r="AI260" s="52"/>
      <c r="AJ260" s="52"/>
      <c r="AK260" s="58"/>
      <c r="AL260" s="57"/>
      <c r="AM260" s="52"/>
      <c r="AN260" s="52"/>
      <c r="AO260" s="58"/>
      <c r="AP260" s="57"/>
      <c r="AQ260" s="52"/>
      <c r="AR260" s="52"/>
      <c r="AS260" s="58"/>
      <c r="AT260" s="57"/>
      <c r="AU260" s="52"/>
      <c r="AV260" s="52"/>
      <c r="AW260" s="58"/>
      <c r="AX260" s="33">
        <f t="shared" si="122"/>
        <v>0</v>
      </c>
      <c r="AY260" s="31">
        <f t="shared" si="123"/>
        <v>0</v>
      </c>
      <c r="AZ260" s="30">
        <f t="shared" si="124"/>
        <v>0</v>
      </c>
      <c r="BA260" s="34"/>
      <c r="BB260" s="34"/>
      <c r="BC260" s="34"/>
      <c r="BD260" s="76"/>
      <c r="BE260" s="34"/>
      <c r="BF260" s="34"/>
      <c r="BG260" s="34"/>
      <c r="BH260" s="34"/>
    </row>
    <row r="261" spans="1:60" s="17" customFormat="1" ht="19.5" customHeight="1" x14ac:dyDescent="0.35">
      <c r="A261" s="41">
        <f t="shared" ref="A261:B263" si="125">A260</f>
        <v>45425</v>
      </c>
      <c r="B261" s="37" t="str">
        <f t="shared" si="125"/>
        <v>Yaka Basma 1 Et.(Beden)</v>
      </c>
      <c r="C261" s="65">
        <f t="shared" si="120"/>
        <v>0</v>
      </c>
      <c r="D261" s="67">
        <f t="shared" si="121"/>
        <v>60</v>
      </c>
      <c r="E261" s="57"/>
      <c r="F261" s="52"/>
      <c r="G261" s="52"/>
      <c r="H261" s="58"/>
      <c r="I261" s="57"/>
      <c r="J261" s="52"/>
      <c r="K261" s="52"/>
      <c r="L261" s="58"/>
      <c r="M261" s="57"/>
      <c r="N261" s="52"/>
      <c r="O261" s="52"/>
      <c r="P261" s="58"/>
      <c r="Q261" s="57"/>
      <c r="R261" s="52"/>
      <c r="S261" s="52"/>
      <c r="T261" s="52"/>
      <c r="U261" s="58"/>
      <c r="V261" s="57"/>
      <c r="W261" s="52"/>
      <c r="X261" s="52"/>
      <c r="Y261" s="58"/>
      <c r="Z261" s="57"/>
      <c r="AA261" s="52"/>
      <c r="AB261" s="52"/>
      <c r="AC261" s="58"/>
      <c r="AD261" s="57"/>
      <c r="AE261" s="52"/>
      <c r="AF261" s="52"/>
      <c r="AG261" s="58"/>
      <c r="AH261" s="57"/>
      <c r="AI261" s="52"/>
      <c r="AJ261" s="52"/>
      <c r="AK261" s="58"/>
      <c r="AL261" s="57"/>
      <c r="AM261" s="52"/>
      <c r="AN261" s="52"/>
      <c r="AO261" s="58"/>
      <c r="AP261" s="57"/>
      <c r="AQ261" s="52"/>
      <c r="AR261" s="52"/>
      <c r="AS261" s="58"/>
      <c r="AT261" s="57"/>
      <c r="AU261" s="52"/>
      <c r="AV261" s="52"/>
      <c r="AW261" s="58"/>
      <c r="AX261" s="33">
        <f t="shared" si="122"/>
        <v>0</v>
      </c>
      <c r="AY261" s="31">
        <f t="shared" si="123"/>
        <v>0</v>
      </c>
      <c r="AZ261" s="30">
        <f t="shared" si="124"/>
        <v>0</v>
      </c>
      <c r="BA261" s="34"/>
      <c r="BB261" s="34"/>
      <c r="BC261" s="34"/>
      <c r="BD261" s="76"/>
      <c r="BE261" s="34"/>
      <c r="BF261" s="34"/>
      <c r="BG261" s="34"/>
      <c r="BH261" s="34"/>
    </row>
    <row r="262" spans="1:60" s="17" customFormat="1" ht="19.5" customHeight="1" thickBot="1" x14ac:dyDescent="0.4">
      <c r="A262" s="41">
        <f t="shared" si="125"/>
        <v>45425</v>
      </c>
      <c r="B262" s="37" t="str">
        <f t="shared" si="125"/>
        <v>Yaka Basma 1 Et.(Beden)</v>
      </c>
      <c r="C262" s="65">
        <f t="shared" si="120"/>
        <v>0</v>
      </c>
      <c r="D262" s="67">
        <f t="shared" si="121"/>
        <v>60</v>
      </c>
      <c r="E262" s="59"/>
      <c r="F262" s="60"/>
      <c r="G262" s="61"/>
      <c r="H262" s="62"/>
      <c r="I262" s="59"/>
      <c r="J262" s="60"/>
      <c r="K262" s="61"/>
      <c r="L262" s="62"/>
      <c r="M262" s="59"/>
      <c r="N262" s="60"/>
      <c r="O262" s="61"/>
      <c r="P262" s="62"/>
      <c r="Q262" s="64"/>
      <c r="R262" s="61"/>
      <c r="S262" s="61"/>
      <c r="T262" s="61"/>
      <c r="U262" s="62"/>
      <c r="V262" s="59"/>
      <c r="W262" s="60"/>
      <c r="X262" s="61"/>
      <c r="Y262" s="62"/>
      <c r="Z262" s="59"/>
      <c r="AA262" s="60"/>
      <c r="AB262" s="61"/>
      <c r="AC262" s="62"/>
      <c r="AD262" s="59"/>
      <c r="AE262" s="60"/>
      <c r="AF262" s="61"/>
      <c r="AG262" s="62"/>
      <c r="AH262" s="59"/>
      <c r="AI262" s="60"/>
      <c r="AJ262" s="61"/>
      <c r="AK262" s="62"/>
      <c r="AL262" s="59"/>
      <c r="AM262" s="60"/>
      <c r="AN262" s="61"/>
      <c r="AO262" s="62"/>
      <c r="AP262" s="59"/>
      <c r="AQ262" s="60"/>
      <c r="AR262" s="61"/>
      <c r="AS262" s="62"/>
      <c r="AT262" s="59"/>
      <c r="AU262" s="60"/>
      <c r="AV262" s="61"/>
      <c r="AW262" s="62"/>
      <c r="AX262" s="33">
        <f t="shared" si="122"/>
        <v>0</v>
      </c>
      <c r="AY262" s="31">
        <f t="shared" si="123"/>
        <v>0</v>
      </c>
      <c r="AZ262" s="30">
        <f t="shared" si="124"/>
        <v>0</v>
      </c>
      <c r="BA262" s="34"/>
      <c r="BB262" s="34"/>
      <c r="BC262" s="34"/>
      <c r="BD262" s="76"/>
      <c r="BE262" s="34"/>
      <c r="BF262" s="34"/>
      <c r="BG262" s="34"/>
      <c r="BH262" s="34"/>
    </row>
    <row r="263" spans="1:60" s="17" customFormat="1" ht="19.5" customHeight="1" thickBot="1" x14ac:dyDescent="0.45">
      <c r="A263" s="41">
        <f t="shared" si="125"/>
        <v>45425</v>
      </c>
      <c r="B263" s="139" t="str">
        <f>B256</f>
        <v>Yaka Basma 1 Et.(Beden)</v>
      </c>
      <c r="C263" s="140"/>
      <c r="D263" s="40">
        <f>C182/8</f>
        <v>500</v>
      </c>
      <c r="E263" s="147">
        <f>SUM(E256:H262)</f>
        <v>0</v>
      </c>
      <c r="F263" s="148"/>
      <c r="G263" s="148"/>
      <c r="H263" s="149"/>
      <c r="I263" s="147">
        <f>SUM(I256:L262)</f>
        <v>0</v>
      </c>
      <c r="J263" s="148"/>
      <c r="K263" s="148"/>
      <c r="L263" s="149"/>
      <c r="M263" s="147">
        <f>SUM(M256:P262)</f>
        <v>0</v>
      </c>
      <c r="N263" s="148"/>
      <c r="O263" s="148"/>
      <c r="P263" s="149"/>
      <c r="Q263" s="147">
        <f>SUM(Q256:U262)</f>
        <v>0</v>
      </c>
      <c r="R263" s="148"/>
      <c r="S263" s="148"/>
      <c r="T263" s="148"/>
      <c r="U263" s="149"/>
      <c r="V263" s="147">
        <f>SUM(V256:Y262)</f>
        <v>0</v>
      </c>
      <c r="W263" s="148"/>
      <c r="X263" s="148"/>
      <c r="Y263" s="149"/>
      <c r="Z263" s="147">
        <f>SUM(Z256:AC262)</f>
        <v>0</v>
      </c>
      <c r="AA263" s="148"/>
      <c r="AB263" s="148"/>
      <c r="AC263" s="149"/>
      <c r="AD263" s="147">
        <f>SUM(AD256:AG262)</f>
        <v>0</v>
      </c>
      <c r="AE263" s="148"/>
      <c r="AF263" s="148"/>
      <c r="AG263" s="149"/>
      <c r="AH263" s="147">
        <f>SUM(AH256:AK262)</f>
        <v>0</v>
      </c>
      <c r="AI263" s="148"/>
      <c r="AJ263" s="148"/>
      <c r="AK263" s="149"/>
      <c r="AL263" s="147">
        <f>SUM(AL256:AO262)</f>
        <v>0</v>
      </c>
      <c r="AM263" s="148"/>
      <c r="AN263" s="148"/>
      <c r="AO263" s="149"/>
      <c r="AP263" s="147">
        <f>SUM(AP256:AS262)</f>
        <v>0</v>
      </c>
      <c r="AQ263" s="148"/>
      <c r="AR263" s="148"/>
      <c r="AS263" s="149"/>
      <c r="AT263" s="147">
        <f>SUM(AT256:AW262)</f>
        <v>0</v>
      </c>
      <c r="AU263" s="148"/>
      <c r="AV263" s="148"/>
      <c r="AW263" s="149"/>
      <c r="AX263" s="87">
        <f>SUM(AX256:AX262)</f>
        <v>0</v>
      </c>
      <c r="AY263" s="88">
        <f>IFERROR(AVERAGEIF(E263:AV263,"&lt;&gt;0",(E263:AV263)),)</f>
        <v>0</v>
      </c>
      <c r="AZ263" s="46">
        <f>IFERROR(AX263/BB257,0)</f>
        <v>0</v>
      </c>
      <c r="BA263" s="34"/>
      <c r="BB263" s="34"/>
      <c r="BC263" s="34"/>
      <c r="BD263" s="76"/>
      <c r="BE263" s="34"/>
      <c r="BF263" s="34"/>
      <c r="BG263" s="34"/>
      <c r="BH263" s="34"/>
    </row>
    <row r="264" spans="1:60" s="17" customFormat="1" ht="19.5" customHeight="1" thickBot="1" x14ac:dyDescent="0.4">
      <c r="A264" s="42">
        <f>A255</f>
        <v>45425</v>
      </c>
      <c r="B264" s="38" t="str">
        <f>B265</f>
        <v>Yaka Çıma</v>
      </c>
      <c r="C264" s="39" t="s">
        <v>180</v>
      </c>
      <c r="D264" s="69" t="s">
        <v>181</v>
      </c>
      <c r="E264" s="48">
        <v>0.34375</v>
      </c>
      <c r="F264" s="49">
        <v>0.35416666666666669</v>
      </c>
      <c r="G264" s="49">
        <v>0.36458333333333331</v>
      </c>
      <c r="H264" s="50">
        <v>0.375</v>
      </c>
      <c r="I264" s="48">
        <v>0.38541666666666702</v>
      </c>
      <c r="J264" s="49">
        <v>0.39583333333333298</v>
      </c>
      <c r="K264" s="49">
        <v>0.40625</v>
      </c>
      <c r="L264" s="50">
        <v>0.41666666666666702</v>
      </c>
      <c r="M264" s="48">
        <v>0.4375</v>
      </c>
      <c r="N264" s="49">
        <v>0.44791666666666702</v>
      </c>
      <c r="O264" s="49">
        <v>0.45833333333333398</v>
      </c>
      <c r="P264" s="50">
        <v>0.46875</v>
      </c>
      <c r="Q264" s="48">
        <v>0.47916666666666702</v>
      </c>
      <c r="R264" s="49">
        <v>0.48958333333333398</v>
      </c>
      <c r="S264" s="49">
        <v>0.5</v>
      </c>
      <c r="T264" s="50">
        <v>0.51041666666666696</v>
      </c>
      <c r="U264" s="51">
        <v>0.52083333333333204</v>
      </c>
      <c r="V264" s="48">
        <v>0.5625</v>
      </c>
      <c r="W264" s="49">
        <v>0.57291666666666663</v>
      </c>
      <c r="X264" s="49">
        <v>0.58333333333333304</v>
      </c>
      <c r="Y264" s="50">
        <v>0.59375</v>
      </c>
      <c r="Z264" s="48">
        <v>0.60416666666666696</v>
      </c>
      <c r="AA264" s="49">
        <v>0.61458333333333304</v>
      </c>
      <c r="AB264" s="49">
        <v>0.625</v>
      </c>
      <c r="AC264" s="50">
        <v>0.63541666666666596</v>
      </c>
      <c r="AD264" s="48">
        <v>0.65625</v>
      </c>
      <c r="AE264" s="49">
        <v>0.66666666666666663</v>
      </c>
      <c r="AF264" s="49">
        <v>0.67708333333333304</v>
      </c>
      <c r="AG264" s="50">
        <v>0.6875</v>
      </c>
      <c r="AH264" s="48">
        <v>0.69791666666666696</v>
      </c>
      <c r="AI264" s="49">
        <v>0.70833333333333304</v>
      </c>
      <c r="AJ264" s="49">
        <v>0.71875</v>
      </c>
      <c r="AK264" s="50">
        <v>0.72916666666666696</v>
      </c>
      <c r="AL264" s="48">
        <v>0.73958333333333404</v>
      </c>
      <c r="AM264" s="49">
        <v>0.750000000000001</v>
      </c>
      <c r="AN264" s="49">
        <v>0.76041666666666796</v>
      </c>
      <c r="AO264" s="50">
        <v>0.77083333333333504</v>
      </c>
      <c r="AP264" s="48">
        <v>0.781250000000002</v>
      </c>
      <c r="AQ264" s="49">
        <v>0.79166666666666896</v>
      </c>
      <c r="AR264" s="49">
        <v>0.80208333333333603</v>
      </c>
      <c r="AS264" s="50">
        <v>0.812500000000003</v>
      </c>
      <c r="AT264" s="48">
        <v>0.82291666666666996</v>
      </c>
      <c r="AU264" s="49">
        <v>0.83333333333333703</v>
      </c>
      <c r="AV264" s="49">
        <v>0.843750000000004</v>
      </c>
      <c r="AW264" s="50">
        <v>0.85416666666666663</v>
      </c>
      <c r="AX264" s="68" t="s">
        <v>260</v>
      </c>
      <c r="AY264" s="28" t="s">
        <v>261</v>
      </c>
      <c r="AZ264" s="29" t="s">
        <v>262</v>
      </c>
      <c r="BA264" s="136" t="str">
        <f>B265</f>
        <v>Yaka Çıma</v>
      </c>
      <c r="BB264" s="137"/>
      <c r="BC264" s="137"/>
      <c r="BD264" s="137"/>
      <c r="BE264" s="137"/>
      <c r="BF264" s="137"/>
      <c r="BG264" s="137"/>
      <c r="BH264" s="138"/>
    </row>
    <row r="265" spans="1:60" s="17" customFormat="1" ht="19.5" customHeight="1" thickBot="1" x14ac:dyDescent="0.4">
      <c r="A265" s="41">
        <f t="shared" ref="A265:B269" si="126">A264</f>
        <v>45425</v>
      </c>
      <c r="B265" s="37" t="str">
        <f>B89</f>
        <v>Yaka Çıma</v>
      </c>
      <c r="C265" s="65">
        <f>C89</f>
        <v>0</v>
      </c>
      <c r="D265" s="70">
        <f>D89</f>
        <v>120</v>
      </c>
      <c r="E265" s="63"/>
      <c r="F265" s="55"/>
      <c r="G265" s="55"/>
      <c r="H265" s="56"/>
      <c r="I265" s="63"/>
      <c r="J265" s="55"/>
      <c r="K265" s="55"/>
      <c r="L265" s="56"/>
      <c r="M265" s="63"/>
      <c r="N265" s="55"/>
      <c r="O265" s="55"/>
      <c r="P265" s="56"/>
      <c r="Q265" s="63"/>
      <c r="R265" s="55"/>
      <c r="S265" s="55"/>
      <c r="T265" s="55"/>
      <c r="U265" s="56"/>
      <c r="V265" s="63"/>
      <c r="W265" s="55"/>
      <c r="X265" s="55"/>
      <c r="Y265" s="56"/>
      <c r="Z265" s="63"/>
      <c r="AA265" s="55"/>
      <c r="AB265" s="55"/>
      <c r="AC265" s="56"/>
      <c r="AD265" s="63"/>
      <c r="AE265" s="55"/>
      <c r="AF265" s="55"/>
      <c r="AG265" s="56"/>
      <c r="AH265" s="63"/>
      <c r="AI265" s="55"/>
      <c r="AJ265" s="55"/>
      <c r="AK265" s="56"/>
      <c r="AL265" s="63"/>
      <c r="AM265" s="55"/>
      <c r="AN265" s="55"/>
      <c r="AO265" s="56"/>
      <c r="AP265" s="63"/>
      <c r="AQ265" s="55"/>
      <c r="AR265" s="55"/>
      <c r="AS265" s="56"/>
      <c r="AT265" s="53"/>
      <c r="AU265" s="54"/>
      <c r="AV265" s="55"/>
      <c r="AW265" s="56"/>
      <c r="AX265" s="33">
        <f>SUM(E265:AW265)</f>
        <v>0</v>
      </c>
      <c r="AY265" s="31">
        <f>IFERROR(AVERAGEIF(E265:AW265,"&lt;&gt;0",(E265:AW265)),)</f>
        <v>0</v>
      </c>
      <c r="AZ265" s="30">
        <f>IFERROR(AY265/D265,0)</f>
        <v>0</v>
      </c>
      <c r="BA265" s="103" t="s">
        <v>182</v>
      </c>
      <c r="BB265" s="100" t="s">
        <v>183</v>
      </c>
      <c r="BC265" s="100" t="s">
        <v>184</v>
      </c>
      <c r="BD265" s="101" t="s">
        <v>185</v>
      </c>
      <c r="BE265" s="100" t="s">
        <v>186</v>
      </c>
      <c r="BF265" s="102" t="s">
        <v>187</v>
      </c>
      <c r="BG265" s="100" t="s">
        <v>188</v>
      </c>
      <c r="BH265" s="102" t="s">
        <v>189</v>
      </c>
    </row>
    <row r="266" spans="1:60" s="17" customFormat="1" ht="19.5" customHeight="1" thickBot="1" x14ac:dyDescent="0.4">
      <c r="A266" s="41">
        <f t="shared" si="126"/>
        <v>45425</v>
      </c>
      <c r="B266" s="37" t="str">
        <f t="shared" si="126"/>
        <v>Yaka Çıma</v>
      </c>
      <c r="C266" s="65">
        <f t="shared" ref="C266:C271" si="127">C90</f>
        <v>0</v>
      </c>
      <c r="D266" s="67">
        <f t="shared" ref="D266:D271" si="128">D265</f>
        <v>120</v>
      </c>
      <c r="E266" s="57"/>
      <c r="F266" s="52"/>
      <c r="G266" s="52"/>
      <c r="H266" s="58"/>
      <c r="I266" s="57"/>
      <c r="J266" s="52"/>
      <c r="K266" s="52"/>
      <c r="L266" s="58"/>
      <c r="M266" s="57"/>
      <c r="N266" s="52"/>
      <c r="O266" s="52"/>
      <c r="P266" s="58"/>
      <c r="Q266" s="57"/>
      <c r="R266" s="52"/>
      <c r="S266" s="52"/>
      <c r="T266" s="52"/>
      <c r="U266" s="58"/>
      <c r="V266" s="57"/>
      <c r="W266" s="52"/>
      <c r="X266" s="52"/>
      <c r="Y266" s="58"/>
      <c r="Z266" s="57"/>
      <c r="AA266" s="52"/>
      <c r="AB266" s="52"/>
      <c r="AC266" s="58"/>
      <c r="AD266" s="57"/>
      <c r="AE266" s="52"/>
      <c r="AF266" s="52"/>
      <c r="AG266" s="58"/>
      <c r="AH266" s="57"/>
      <c r="AI266" s="52"/>
      <c r="AJ266" s="52"/>
      <c r="AK266" s="58"/>
      <c r="AL266" s="57"/>
      <c r="AM266" s="52"/>
      <c r="AN266" s="52"/>
      <c r="AO266" s="58"/>
      <c r="AP266" s="57"/>
      <c r="AQ266" s="52"/>
      <c r="AR266" s="52"/>
      <c r="AS266" s="58"/>
      <c r="AT266" s="57"/>
      <c r="AU266" s="52"/>
      <c r="AV266" s="52"/>
      <c r="AW266" s="58"/>
      <c r="AX266" s="33">
        <f t="shared" ref="AX266:AX271" si="129">SUM(E266:AW266)</f>
        <v>0</v>
      </c>
      <c r="AY266" s="31">
        <f t="shared" ref="AY266:AY271" si="130">IFERROR(AVERAGEIF(E266:AW266,"&lt;&gt;0",(E266:AW266)),)</f>
        <v>0</v>
      </c>
      <c r="AZ266" s="30">
        <f t="shared" ref="AZ266:AZ271" si="131">IFERROR(AY266/D266,0)</f>
        <v>0</v>
      </c>
      <c r="BA266" s="94">
        <f>AX272+BA90</f>
        <v>0</v>
      </c>
      <c r="BB266" s="95">
        <f>(D272*8)</f>
        <v>4000</v>
      </c>
      <c r="BC266" s="96">
        <f>C181-BA266</f>
        <v>42311</v>
      </c>
      <c r="BD266" s="96">
        <f>BA257-BA266</f>
        <v>0</v>
      </c>
      <c r="BE266" s="97">
        <f>IFERROR(BC266/E272,0)</f>
        <v>0</v>
      </c>
      <c r="BF266" s="98">
        <f>IFERROR(BE266/9,0)</f>
        <v>0</v>
      </c>
      <c r="BG266" s="97">
        <f>IFERROR(BC266/AY272,0)</f>
        <v>0</v>
      </c>
      <c r="BH266" s="97">
        <f>IFERROR(BG266/9,0)</f>
        <v>0</v>
      </c>
    </row>
    <row r="267" spans="1:60" s="17" customFormat="1" ht="19.5" customHeight="1" x14ac:dyDescent="0.35">
      <c r="A267" s="41">
        <f t="shared" si="126"/>
        <v>45425</v>
      </c>
      <c r="B267" s="37" t="str">
        <f t="shared" si="126"/>
        <v>Yaka Çıma</v>
      </c>
      <c r="C267" s="65">
        <f t="shared" si="127"/>
        <v>0</v>
      </c>
      <c r="D267" s="67">
        <f t="shared" si="128"/>
        <v>120</v>
      </c>
      <c r="E267" s="57"/>
      <c r="F267" s="52"/>
      <c r="G267" s="52"/>
      <c r="H267" s="58"/>
      <c r="I267" s="57"/>
      <c r="J267" s="52"/>
      <c r="K267" s="52"/>
      <c r="L267" s="58"/>
      <c r="M267" s="57"/>
      <c r="N267" s="52"/>
      <c r="O267" s="52"/>
      <c r="P267" s="58"/>
      <c r="Q267" s="57"/>
      <c r="R267" s="52"/>
      <c r="S267" s="52"/>
      <c r="T267" s="52"/>
      <c r="U267" s="58"/>
      <c r="V267" s="57"/>
      <c r="W267" s="52"/>
      <c r="X267" s="52"/>
      <c r="Y267" s="58"/>
      <c r="Z267" s="57"/>
      <c r="AA267" s="52"/>
      <c r="AB267" s="52"/>
      <c r="AC267" s="58"/>
      <c r="AD267" s="57"/>
      <c r="AE267" s="52"/>
      <c r="AF267" s="52"/>
      <c r="AG267" s="58"/>
      <c r="AH267" s="57"/>
      <c r="AI267" s="52"/>
      <c r="AJ267" s="52"/>
      <c r="AK267" s="58"/>
      <c r="AL267" s="57"/>
      <c r="AM267" s="52"/>
      <c r="AN267" s="52"/>
      <c r="AO267" s="58"/>
      <c r="AP267" s="57"/>
      <c r="AQ267" s="52"/>
      <c r="AR267" s="52"/>
      <c r="AS267" s="58"/>
      <c r="AT267" s="57"/>
      <c r="AU267" s="52"/>
      <c r="AV267" s="52"/>
      <c r="AW267" s="58"/>
      <c r="AX267" s="33">
        <f t="shared" si="129"/>
        <v>0</v>
      </c>
      <c r="AY267" s="31">
        <f t="shared" si="130"/>
        <v>0</v>
      </c>
      <c r="AZ267" s="30">
        <f t="shared" si="131"/>
        <v>0</v>
      </c>
      <c r="BA267" s="34"/>
      <c r="BB267" s="34"/>
      <c r="BC267" s="34"/>
      <c r="BD267" s="76"/>
      <c r="BE267" s="34"/>
      <c r="BF267" s="34"/>
      <c r="BG267" s="34"/>
      <c r="BH267" s="34"/>
    </row>
    <row r="268" spans="1:60" s="17" customFormat="1" ht="19.5" customHeight="1" x14ac:dyDescent="0.35">
      <c r="A268" s="41">
        <f t="shared" si="126"/>
        <v>45425</v>
      </c>
      <c r="B268" s="37" t="str">
        <f t="shared" si="126"/>
        <v>Yaka Çıma</v>
      </c>
      <c r="C268" s="65">
        <f t="shared" si="127"/>
        <v>0</v>
      </c>
      <c r="D268" s="67">
        <f t="shared" si="128"/>
        <v>120</v>
      </c>
      <c r="E268" s="57"/>
      <c r="F268" s="52"/>
      <c r="G268" s="52"/>
      <c r="H268" s="58"/>
      <c r="I268" s="57"/>
      <c r="J268" s="52"/>
      <c r="K268" s="52"/>
      <c r="L268" s="58"/>
      <c r="M268" s="57"/>
      <c r="N268" s="52"/>
      <c r="O268" s="52"/>
      <c r="P268" s="58"/>
      <c r="Q268" s="57"/>
      <c r="R268" s="52"/>
      <c r="S268" s="52"/>
      <c r="T268" s="52"/>
      <c r="U268" s="58"/>
      <c r="V268" s="57"/>
      <c r="W268" s="52"/>
      <c r="X268" s="52"/>
      <c r="Y268" s="58"/>
      <c r="Z268" s="57"/>
      <c r="AA268" s="52"/>
      <c r="AB268" s="52"/>
      <c r="AC268" s="58"/>
      <c r="AD268" s="57"/>
      <c r="AE268" s="52"/>
      <c r="AF268" s="52"/>
      <c r="AG268" s="58"/>
      <c r="AH268" s="57"/>
      <c r="AI268" s="52"/>
      <c r="AJ268" s="52"/>
      <c r="AK268" s="58"/>
      <c r="AL268" s="57"/>
      <c r="AM268" s="52"/>
      <c r="AN268" s="52"/>
      <c r="AO268" s="58"/>
      <c r="AP268" s="57"/>
      <c r="AQ268" s="52"/>
      <c r="AR268" s="52"/>
      <c r="AS268" s="58"/>
      <c r="AT268" s="57"/>
      <c r="AU268" s="52"/>
      <c r="AV268" s="52"/>
      <c r="AW268" s="58"/>
      <c r="AX268" s="33">
        <f t="shared" si="129"/>
        <v>0</v>
      </c>
      <c r="AY268" s="31">
        <f t="shared" si="130"/>
        <v>0</v>
      </c>
      <c r="AZ268" s="30">
        <f t="shared" si="131"/>
        <v>0</v>
      </c>
      <c r="BA268" s="34"/>
      <c r="BB268" s="34"/>
      <c r="BC268" s="34"/>
      <c r="BD268" s="76"/>
      <c r="BE268" s="34"/>
      <c r="BF268" s="34"/>
      <c r="BG268" s="34"/>
      <c r="BH268" s="34"/>
    </row>
    <row r="269" spans="1:60" s="17" customFormat="1" ht="19.5" customHeight="1" x14ac:dyDescent="0.35">
      <c r="A269" s="41">
        <f>A266</f>
        <v>45425</v>
      </c>
      <c r="B269" s="37" t="str">
        <f t="shared" si="126"/>
        <v>Yaka Çıma</v>
      </c>
      <c r="C269" s="65">
        <f t="shared" si="127"/>
        <v>0</v>
      </c>
      <c r="D269" s="67">
        <f t="shared" si="128"/>
        <v>120</v>
      </c>
      <c r="E269" s="57"/>
      <c r="F269" s="52"/>
      <c r="G269" s="52"/>
      <c r="H269" s="58"/>
      <c r="I269" s="57"/>
      <c r="J269" s="52"/>
      <c r="K269" s="52"/>
      <c r="L269" s="58"/>
      <c r="M269" s="57"/>
      <c r="N269" s="52"/>
      <c r="O269" s="52"/>
      <c r="P269" s="58"/>
      <c r="Q269" s="57"/>
      <c r="R269" s="52"/>
      <c r="S269" s="52"/>
      <c r="T269" s="52"/>
      <c r="U269" s="58"/>
      <c r="V269" s="57"/>
      <c r="W269" s="52"/>
      <c r="X269" s="52"/>
      <c r="Y269" s="58"/>
      <c r="Z269" s="57"/>
      <c r="AA269" s="52"/>
      <c r="AB269" s="52"/>
      <c r="AC269" s="58"/>
      <c r="AD269" s="57"/>
      <c r="AE269" s="52"/>
      <c r="AF269" s="52"/>
      <c r="AG269" s="58"/>
      <c r="AH269" s="57"/>
      <c r="AI269" s="52"/>
      <c r="AJ269" s="52"/>
      <c r="AK269" s="58"/>
      <c r="AL269" s="57"/>
      <c r="AM269" s="52"/>
      <c r="AN269" s="52"/>
      <c r="AO269" s="58"/>
      <c r="AP269" s="57"/>
      <c r="AQ269" s="52"/>
      <c r="AR269" s="52"/>
      <c r="AS269" s="58"/>
      <c r="AT269" s="57"/>
      <c r="AU269" s="52"/>
      <c r="AV269" s="52"/>
      <c r="AW269" s="58"/>
      <c r="AX269" s="33">
        <f t="shared" si="129"/>
        <v>0</v>
      </c>
      <c r="AY269" s="31">
        <f t="shared" si="130"/>
        <v>0</v>
      </c>
      <c r="AZ269" s="30">
        <f t="shared" si="131"/>
        <v>0</v>
      </c>
      <c r="BA269" s="34"/>
      <c r="BB269" s="34"/>
      <c r="BC269" s="34"/>
      <c r="BD269" s="76"/>
      <c r="BE269" s="34"/>
      <c r="BF269" s="34"/>
      <c r="BG269" s="34"/>
      <c r="BH269" s="34"/>
    </row>
    <row r="270" spans="1:60" s="17" customFormat="1" ht="19.5" customHeight="1" x14ac:dyDescent="0.35">
      <c r="A270" s="41">
        <f t="shared" ref="A270:B272" si="132">A269</f>
        <v>45425</v>
      </c>
      <c r="B270" s="37" t="str">
        <f t="shared" si="132"/>
        <v>Yaka Çıma</v>
      </c>
      <c r="C270" s="65">
        <f t="shared" si="127"/>
        <v>0</v>
      </c>
      <c r="D270" s="67">
        <f t="shared" si="128"/>
        <v>120</v>
      </c>
      <c r="E270" s="57"/>
      <c r="F270" s="52"/>
      <c r="G270" s="52"/>
      <c r="H270" s="58"/>
      <c r="I270" s="57"/>
      <c r="J270" s="52"/>
      <c r="K270" s="52"/>
      <c r="L270" s="58"/>
      <c r="M270" s="57"/>
      <c r="N270" s="52"/>
      <c r="O270" s="52"/>
      <c r="P270" s="58"/>
      <c r="Q270" s="57"/>
      <c r="R270" s="52"/>
      <c r="S270" s="52"/>
      <c r="T270" s="52"/>
      <c r="U270" s="58"/>
      <c r="V270" s="57"/>
      <c r="W270" s="52"/>
      <c r="X270" s="52"/>
      <c r="Y270" s="58"/>
      <c r="Z270" s="57"/>
      <c r="AA270" s="52"/>
      <c r="AB270" s="52"/>
      <c r="AC270" s="58"/>
      <c r="AD270" s="57"/>
      <c r="AE270" s="52"/>
      <c r="AF270" s="52"/>
      <c r="AG270" s="58"/>
      <c r="AH270" s="57"/>
      <c r="AI270" s="52"/>
      <c r="AJ270" s="52"/>
      <c r="AK270" s="58"/>
      <c r="AL270" s="57"/>
      <c r="AM270" s="52"/>
      <c r="AN270" s="52"/>
      <c r="AO270" s="58"/>
      <c r="AP270" s="57"/>
      <c r="AQ270" s="52"/>
      <c r="AR270" s="52"/>
      <c r="AS270" s="58"/>
      <c r="AT270" s="57"/>
      <c r="AU270" s="52"/>
      <c r="AV270" s="52"/>
      <c r="AW270" s="58"/>
      <c r="AX270" s="33">
        <f t="shared" si="129"/>
        <v>0</v>
      </c>
      <c r="AY270" s="31">
        <f t="shared" si="130"/>
        <v>0</v>
      </c>
      <c r="AZ270" s="30">
        <f t="shared" si="131"/>
        <v>0</v>
      </c>
      <c r="BA270" s="34"/>
      <c r="BB270" s="34"/>
      <c r="BC270" s="34"/>
      <c r="BD270" s="76"/>
      <c r="BE270" s="34"/>
      <c r="BF270" s="34"/>
      <c r="BG270" s="34"/>
      <c r="BH270" s="34"/>
    </row>
    <row r="271" spans="1:60" s="17" customFormat="1" ht="19.5" customHeight="1" thickBot="1" x14ac:dyDescent="0.4">
      <c r="A271" s="41">
        <f t="shared" si="132"/>
        <v>45425</v>
      </c>
      <c r="B271" s="37" t="str">
        <f t="shared" si="132"/>
        <v>Yaka Çıma</v>
      </c>
      <c r="C271" s="65">
        <f t="shared" si="127"/>
        <v>0</v>
      </c>
      <c r="D271" s="67">
        <f t="shared" si="128"/>
        <v>120</v>
      </c>
      <c r="E271" s="59"/>
      <c r="F271" s="60"/>
      <c r="G271" s="61"/>
      <c r="H271" s="62"/>
      <c r="I271" s="59"/>
      <c r="J271" s="60"/>
      <c r="K271" s="61"/>
      <c r="L271" s="62"/>
      <c r="M271" s="59"/>
      <c r="N271" s="60"/>
      <c r="O271" s="61"/>
      <c r="P271" s="62"/>
      <c r="Q271" s="64"/>
      <c r="R271" s="61"/>
      <c r="S271" s="61"/>
      <c r="T271" s="61"/>
      <c r="U271" s="62"/>
      <c r="V271" s="59"/>
      <c r="W271" s="60"/>
      <c r="X271" s="61"/>
      <c r="Y271" s="62"/>
      <c r="Z271" s="59"/>
      <c r="AA271" s="60"/>
      <c r="AB271" s="61"/>
      <c r="AC271" s="62"/>
      <c r="AD271" s="59"/>
      <c r="AE271" s="60"/>
      <c r="AF271" s="61"/>
      <c r="AG271" s="62"/>
      <c r="AH271" s="59"/>
      <c r="AI271" s="60"/>
      <c r="AJ271" s="61"/>
      <c r="AK271" s="62"/>
      <c r="AL271" s="59"/>
      <c r="AM271" s="60"/>
      <c r="AN271" s="61"/>
      <c r="AO271" s="62"/>
      <c r="AP271" s="59"/>
      <c r="AQ271" s="60"/>
      <c r="AR271" s="61"/>
      <c r="AS271" s="62"/>
      <c r="AT271" s="59"/>
      <c r="AU271" s="60"/>
      <c r="AV271" s="61"/>
      <c r="AW271" s="62"/>
      <c r="AX271" s="33">
        <f t="shared" si="129"/>
        <v>0</v>
      </c>
      <c r="AY271" s="31">
        <f t="shared" si="130"/>
        <v>0</v>
      </c>
      <c r="AZ271" s="30">
        <f t="shared" si="131"/>
        <v>0</v>
      </c>
      <c r="BA271" s="34"/>
      <c r="BB271" s="34"/>
      <c r="BC271" s="34"/>
      <c r="BD271" s="76"/>
      <c r="BE271" s="34"/>
      <c r="BF271" s="34"/>
      <c r="BG271" s="34"/>
      <c r="BH271" s="34"/>
    </row>
    <row r="272" spans="1:60" s="17" customFormat="1" ht="19.5" customHeight="1" thickBot="1" x14ac:dyDescent="0.45">
      <c r="A272" s="41">
        <f t="shared" si="132"/>
        <v>45425</v>
      </c>
      <c r="B272" s="139" t="str">
        <f>B265</f>
        <v>Yaka Çıma</v>
      </c>
      <c r="C272" s="140"/>
      <c r="D272" s="40">
        <f>C182/8</f>
        <v>500</v>
      </c>
      <c r="E272" s="147">
        <f>SUM(E265:H271)</f>
        <v>0</v>
      </c>
      <c r="F272" s="148"/>
      <c r="G272" s="148"/>
      <c r="H272" s="149"/>
      <c r="I272" s="147">
        <f>SUM(I265:L271)</f>
        <v>0</v>
      </c>
      <c r="J272" s="148"/>
      <c r="K272" s="148"/>
      <c r="L272" s="149"/>
      <c r="M272" s="147">
        <f>SUM(M265:P271)</f>
        <v>0</v>
      </c>
      <c r="N272" s="148"/>
      <c r="O272" s="148"/>
      <c r="P272" s="149"/>
      <c r="Q272" s="147">
        <f>SUM(Q265:U271)</f>
        <v>0</v>
      </c>
      <c r="R272" s="148"/>
      <c r="S272" s="148"/>
      <c r="T272" s="148"/>
      <c r="U272" s="149"/>
      <c r="V272" s="147">
        <f>SUM(V265:Y271)</f>
        <v>0</v>
      </c>
      <c r="W272" s="148"/>
      <c r="X272" s="148"/>
      <c r="Y272" s="149"/>
      <c r="Z272" s="147">
        <f>SUM(Z265:AC271)</f>
        <v>0</v>
      </c>
      <c r="AA272" s="148"/>
      <c r="AB272" s="148"/>
      <c r="AC272" s="149"/>
      <c r="AD272" s="147">
        <f>SUM(AD265:AG271)</f>
        <v>0</v>
      </c>
      <c r="AE272" s="148"/>
      <c r="AF272" s="148"/>
      <c r="AG272" s="149"/>
      <c r="AH272" s="147">
        <f>SUM(AH265:AK271)</f>
        <v>0</v>
      </c>
      <c r="AI272" s="148"/>
      <c r="AJ272" s="148"/>
      <c r="AK272" s="149"/>
      <c r="AL272" s="147">
        <f>SUM(AL265:AO271)</f>
        <v>0</v>
      </c>
      <c r="AM272" s="148"/>
      <c r="AN272" s="148"/>
      <c r="AO272" s="149"/>
      <c r="AP272" s="147">
        <f>SUM(AP265:AS271)</f>
        <v>0</v>
      </c>
      <c r="AQ272" s="148"/>
      <c r="AR272" s="148"/>
      <c r="AS272" s="149"/>
      <c r="AT272" s="147">
        <f>SUM(AT265:AW271)</f>
        <v>0</v>
      </c>
      <c r="AU272" s="148"/>
      <c r="AV272" s="148"/>
      <c r="AW272" s="149"/>
      <c r="AX272" s="87">
        <f>SUM(AX265:AX271)</f>
        <v>0</v>
      </c>
      <c r="AY272" s="88">
        <f>IFERROR(AVERAGEIF(E272:AV272,"&lt;&gt;0",(E272:AV272)),)</f>
        <v>0</v>
      </c>
      <c r="AZ272" s="46">
        <f>IFERROR(AX272/BB266,0)</f>
        <v>0</v>
      </c>
      <c r="BA272" s="34"/>
      <c r="BB272" s="34"/>
      <c r="BC272" s="34"/>
      <c r="BD272" s="76"/>
      <c r="BE272" s="34"/>
      <c r="BF272" s="34"/>
      <c r="BG272" s="34"/>
      <c r="BH272" s="34"/>
    </row>
    <row r="273" spans="1:60" s="17" customFormat="1" ht="19.5" customHeight="1" thickBot="1" x14ac:dyDescent="0.4">
      <c r="A273" s="42">
        <f>A255</f>
        <v>45425</v>
      </c>
      <c r="B273" s="38" t="str">
        <f>B274</f>
        <v>Kol Takma</v>
      </c>
      <c r="C273" s="39" t="s">
        <v>180</v>
      </c>
      <c r="D273" s="69" t="s">
        <v>181</v>
      </c>
      <c r="E273" s="48">
        <v>0.34375</v>
      </c>
      <c r="F273" s="49">
        <v>0.35416666666666669</v>
      </c>
      <c r="G273" s="49">
        <v>0.36458333333333331</v>
      </c>
      <c r="H273" s="50">
        <v>0.375</v>
      </c>
      <c r="I273" s="48">
        <v>0.38541666666666702</v>
      </c>
      <c r="J273" s="49">
        <v>0.39583333333333298</v>
      </c>
      <c r="K273" s="49">
        <v>0.40625</v>
      </c>
      <c r="L273" s="50">
        <v>0.41666666666666702</v>
      </c>
      <c r="M273" s="48">
        <v>0.4375</v>
      </c>
      <c r="N273" s="49">
        <v>0.44791666666666702</v>
      </c>
      <c r="O273" s="49">
        <v>0.45833333333333398</v>
      </c>
      <c r="P273" s="50">
        <v>0.46875</v>
      </c>
      <c r="Q273" s="48">
        <v>0.47916666666666702</v>
      </c>
      <c r="R273" s="49">
        <v>0.48958333333333398</v>
      </c>
      <c r="S273" s="49">
        <v>0.5</v>
      </c>
      <c r="T273" s="50">
        <v>0.51041666666666696</v>
      </c>
      <c r="U273" s="51">
        <v>0.52083333333333204</v>
      </c>
      <c r="V273" s="48">
        <v>0.5625</v>
      </c>
      <c r="W273" s="49">
        <v>0.57291666666666663</v>
      </c>
      <c r="X273" s="49">
        <v>0.58333333333333304</v>
      </c>
      <c r="Y273" s="50">
        <v>0.59375</v>
      </c>
      <c r="Z273" s="48">
        <v>0.60416666666666696</v>
      </c>
      <c r="AA273" s="49">
        <v>0.61458333333333304</v>
      </c>
      <c r="AB273" s="49">
        <v>0.625</v>
      </c>
      <c r="AC273" s="50">
        <v>0.63541666666666596</v>
      </c>
      <c r="AD273" s="48">
        <v>0.65625</v>
      </c>
      <c r="AE273" s="49">
        <v>0.66666666666666663</v>
      </c>
      <c r="AF273" s="49">
        <v>0.67708333333333304</v>
      </c>
      <c r="AG273" s="50">
        <v>0.6875</v>
      </c>
      <c r="AH273" s="48">
        <v>0.69791666666666696</v>
      </c>
      <c r="AI273" s="49">
        <v>0.70833333333333304</v>
      </c>
      <c r="AJ273" s="49">
        <v>0.71875</v>
      </c>
      <c r="AK273" s="50">
        <v>0.72916666666666696</v>
      </c>
      <c r="AL273" s="48">
        <v>0.73958333333333404</v>
      </c>
      <c r="AM273" s="49">
        <v>0.750000000000001</v>
      </c>
      <c r="AN273" s="49">
        <v>0.76041666666666796</v>
      </c>
      <c r="AO273" s="50">
        <v>0.77083333333333504</v>
      </c>
      <c r="AP273" s="48">
        <v>0.781250000000002</v>
      </c>
      <c r="AQ273" s="49">
        <v>0.79166666666666896</v>
      </c>
      <c r="AR273" s="49">
        <v>0.80208333333333603</v>
      </c>
      <c r="AS273" s="50">
        <v>0.812500000000003</v>
      </c>
      <c r="AT273" s="48">
        <v>0.82291666666666996</v>
      </c>
      <c r="AU273" s="49">
        <v>0.83333333333333703</v>
      </c>
      <c r="AV273" s="49">
        <v>0.843750000000004</v>
      </c>
      <c r="AW273" s="50">
        <v>0.85416666666666663</v>
      </c>
      <c r="AX273" s="68" t="s">
        <v>260</v>
      </c>
      <c r="AY273" s="28" t="s">
        <v>261</v>
      </c>
      <c r="AZ273" s="29" t="s">
        <v>262</v>
      </c>
      <c r="BA273" s="136" t="str">
        <f>B274</f>
        <v>Kol Takma</v>
      </c>
      <c r="BB273" s="137"/>
      <c r="BC273" s="137"/>
      <c r="BD273" s="137"/>
      <c r="BE273" s="137"/>
      <c r="BF273" s="137"/>
      <c r="BG273" s="137"/>
      <c r="BH273" s="138"/>
    </row>
    <row r="274" spans="1:60" s="17" customFormat="1" ht="19.5" customHeight="1" thickBot="1" x14ac:dyDescent="0.4">
      <c r="A274" s="41">
        <f t="shared" ref="A274:B280" si="133">A273</f>
        <v>45425</v>
      </c>
      <c r="B274" s="37" t="str">
        <f>B98</f>
        <v>Kol Takma</v>
      </c>
      <c r="C274" s="65">
        <f>C98</f>
        <v>0</v>
      </c>
      <c r="D274" s="70">
        <f>D98</f>
        <v>35</v>
      </c>
      <c r="E274" s="63"/>
      <c r="F274" s="55"/>
      <c r="G274" s="55"/>
      <c r="H274" s="56"/>
      <c r="I274" s="63"/>
      <c r="J274" s="55"/>
      <c r="K274" s="55"/>
      <c r="L274" s="56"/>
      <c r="M274" s="63"/>
      <c r="N274" s="55"/>
      <c r="O274" s="55"/>
      <c r="P274" s="56"/>
      <c r="Q274" s="63"/>
      <c r="R274" s="55"/>
      <c r="S274" s="55"/>
      <c r="T274" s="55"/>
      <c r="U274" s="56"/>
      <c r="V274" s="63"/>
      <c r="W274" s="55"/>
      <c r="X274" s="55"/>
      <c r="Y274" s="56"/>
      <c r="Z274" s="63"/>
      <c r="AA274" s="55"/>
      <c r="AB274" s="55"/>
      <c r="AC274" s="56"/>
      <c r="AD274" s="63"/>
      <c r="AE274" s="55"/>
      <c r="AF274" s="55"/>
      <c r="AG274" s="56"/>
      <c r="AH274" s="63"/>
      <c r="AI274" s="55"/>
      <c r="AJ274" s="55"/>
      <c r="AK274" s="56"/>
      <c r="AL274" s="63"/>
      <c r="AM274" s="55"/>
      <c r="AN274" s="55"/>
      <c r="AO274" s="56"/>
      <c r="AP274" s="63"/>
      <c r="AQ274" s="55"/>
      <c r="AR274" s="55"/>
      <c r="AS274" s="56"/>
      <c r="AT274" s="53"/>
      <c r="AU274" s="54"/>
      <c r="AV274" s="55"/>
      <c r="AW274" s="56"/>
      <c r="AX274" s="33">
        <f>SUM(E274:AW274)</f>
        <v>0</v>
      </c>
      <c r="AY274" s="31">
        <f>IFERROR(AVERAGEIF(E274:AW274,"&lt;&gt;0",(E274:AW274)),)</f>
        <v>0</v>
      </c>
      <c r="AZ274" s="30">
        <f>IFERROR(AY274/D274,0)</f>
        <v>0</v>
      </c>
      <c r="BA274" s="103" t="s">
        <v>182</v>
      </c>
      <c r="BB274" s="100" t="s">
        <v>183</v>
      </c>
      <c r="BC274" s="100" t="s">
        <v>184</v>
      </c>
      <c r="BD274" s="101" t="s">
        <v>185</v>
      </c>
      <c r="BE274" s="100" t="s">
        <v>186</v>
      </c>
      <c r="BF274" s="102" t="s">
        <v>187</v>
      </c>
      <c r="BG274" s="100" t="s">
        <v>188</v>
      </c>
      <c r="BH274" s="102" t="s">
        <v>189</v>
      </c>
    </row>
    <row r="275" spans="1:60" s="17" customFormat="1" ht="19.5" customHeight="1" thickBot="1" x14ac:dyDescent="0.4">
      <c r="A275" s="41">
        <f t="shared" si="133"/>
        <v>45425</v>
      </c>
      <c r="B275" s="37" t="str">
        <f t="shared" si="133"/>
        <v>Kol Takma</v>
      </c>
      <c r="C275" s="65">
        <f t="shared" ref="C275:C280" si="134">C99</f>
        <v>0</v>
      </c>
      <c r="D275" s="67">
        <f t="shared" ref="D275:D280" si="135">D274</f>
        <v>35</v>
      </c>
      <c r="E275" s="57"/>
      <c r="F275" s="52"/>
      <c r="G275" s="52"/>
      <c r="H275" s="58"/>
      <c r="I275" s="57"/>
      <c r="J275" s="52"/>
      <c r="K275" s="52"/>
      <c r="L275" s="58"/>
      <c r="M275" s="57"/>
      <c r="N275" s="52"/>
      <c r="O275" s="52"/>
      <c r="P275" s="58"/>
      <c r="Q275" s="57"/>
      <c r="R275" s="52"/>
      <c r="S275" s="52"/>
      <c r="T275" s="52"/>
      <c r="U275" s="58"/>
      <c r="V275" s="57"/>
      <c r="W275" s="52"/>
      <c r="X275" s="52"/>
      <c r="Y275" s="58"/>
      <c r="Z275" s="57"/>
      <c r="AA275" s="52"/>
      <c r="AB275" s="52"/>
      <c r="AC275" s="58"/>
      <c r="AD275" s="57"/>
      <c r="AE275" s="52"/>
      <c r="AF275" s="52"/>
      <c r="AG275" s="58"/>
      <c r="AH275" s="57"/>
      <c r="AI275" s="52"/>
      <c r="AJ275" s="52"/>
      <c r="AK275" s="58"/>
      <c r="AL275" s="57"/>
      <c r="AM275" s="52"/>
      <c r="AN275" s="52"/>
      <c r="AO275" s="58"/>
      <c r="AP275" s="57"/>
      <c r="AQ275" s="52"/>
      <c r="AR275" s="52"/>
      <c r="AS275" s="58"/>
      <c r="AT275" s="57"/>
      <c r="AU275" s="52"/>
      <c r="AV275" s="52"/>
      <c r="AW275" s="58"/>
      <c r="AX275" s="33">
        <f t="shared" ref="AX275:AX280" si="136">SUM(E275:AW275)</f>
        <v>0</v>
      </c>
      <c r="AY275" s="31">
        <f t="shared" ref="AY275:AY280" si="137">IFERROR(AVERAGEIF(E275:AW275,"&lt;&gt;0",(E275:AW275)),)</f>
        <v>0</v>
      </c>
      <c r="AZ275" s="30">
        <f t="shared" ref="AZ275:AZ280" si="138">IFERROR(AY275/D275,0)</f>
        <v>0</v>
      </c>
      <c r="BA275" s="94">
        <f>AX281+BA99</f>
        <v>0</v>
      </c>
      <c r="BB275" s="95">
        <f>(D281*8)</f>
        <v>4000</v>
      </c>
      <c r="BC275" s="96">
        <f>C181-BA275</f>
        <v>42311</v>
      </c>
      <c r="BD275" s="96">
        <f>BA266-BA275</f>
        <v>0</v>
      </c>
      <c r="BE275" s="97">
        <f>IFERROR(BC275/E281,0)</f>
        <v>0</v>
      </c>
      <c r="BF275" s="98">
        <f>IFERROR(BE275/9,0)</f>
        <v>0</v>
      </c>
      <c r="BG275" s="97">
        <f>IFERROR(BC275/AY281,0)</f>
        <v>0</v>
      </c>
      <c r="BH275" s="97">
        <f>IFERROR(BG275/9,0)</f>
        <v>0</v>
      </c>
    </row>
    <row r="276" spans="1:60" s="17" customFormat="1" ht="19.5" customHeight="1" x14ac:dyDescent="0.35">
      <c r="A276" s="41">
        <f t="shared" si="133"/>
        <v>45425</v>
      </c>
      <c r="B276" s="37" t="str">
        <f t="shared" si="133"/>
        <v>Kol Takma</v>
      </c>
      <c r="C276" s="65">
        <f t="shared" si="134"/>
        <v>0</v>
      </c>
      <c r="D276" s="67">
        <f t="shared" si="135"/>
        <v>35</v>
      </c>
      <c r="E276" s="57"/>
      <c r="F276" s="52"/>
      <c r="G276" s="52"/>
      <c r="H276" s="58"/>
      <c r="I276" s="57"/>
      <c r="J276" s="52"/>
      <c r="K276" s="52"/>
      <c r="L276" s="58"/>
      <c r="M276" s="57"/>
      <c r="N276" s="52"/>
      <c r="O276" s="52"/>
      <c r="P276" s="58"/>
      <c r="Q276" s="57"/>
      <c r="R276" s="52"/>
      <c r="S276" s="52"/>
      <c r="T276" s="52"/>
      <c r="U276" s="58"/>
      <c r="V276" s="57"/>
      <c r="W276" s="52"/>
      <c r="X276" s="52"/>
      <c r="Y276" s="58"/>
      <c r="Z276" s="57"/>
      <c r="AA276" s="52"/>
      <c r="AB276" s="52"/>
      <c r="AC276" s="58"/>
      <c r="AD276" s="57"/>
      <c r="AE276" s="52"/>
      <c r="AF276" s="52"/>
      <c r="AG276" s="58"/>
      <c r="AH276" s="57"/>
      <c r="AI276" s="52"/>
      <c r="AJ276" s="52"/>
      <c r="AK276" s="58"/>
      <c r="AL276" s="57"/>
      <c r="AM276" s="52"/>
      <c r="AN276" s="52"/>
      <c r="AO276" s="58"/>
      <c r="AP276" s="57"/>
      <c r="AQ276" s="52"/>
      <c r="AR276" s="52"/>
      <c r="AS276" s="58"/>
      <c r="AT276" s="57"/>
      <c r="AU276" s="52"/>
      <c r="AV276" s="52"/>
      <c r="AW276" s="58"/>
      <c r="AX276" s="33">
        <f t="shared" si="136"/>
        <v>0</v>
      </c>
      <c r="AY276" s="31">
        <f t="shared" si="137"/>
        <v>0</v>
      </c>
      <c r="AZ276" s="30">
        <f t="shared" si="138"/>
        <v>0</v>
      </c>
      <c r="BA276" s="34"/>
      <c r="BB276" s="34"/>
      <c r="BC276" s="34"/>
      <c r="BD276" s="76"/>
      <c r="BE276" s="34"/>
      <c r="BF276" s="34"/>
      <c r="BG276" s="34"/>
      <c r="BH276" s="34"/>
    </row>
    <row r="277" spans="1:60" s="17" customFormat="1" ht="19.5" customHeight="1" x14ac:dyDescent="0.35">
      <c r="A277" s="41">
        <f t="shared" si="133"/>
        <v>45425</v>
      </c>
      <c r="B277" s="37" t="str">
        <f t="shared" si="133"/>
        <v>Kol Takma</v>
      </c>
      <c r="C277" s="65">
        <f t="shared" si="134"/>
        <v>0</v>
      </c>
      <c r="D277" s="67">
        <f t="shared" si="135"/>
        <v>35</v>
      </c>
      <c r="E277" s="57"/>
      <c r="F277" s="52"/>
      <c r="G277" s="52"/>
      <c r="H277" s="58"/>
      <c r="I277" s="57"/>
      <c r="J277" s="52"/>
      <c r="K277" s="52"/>
      <c r="L277" s="58"/>
      <c r="M277" s="57"/>
      <c r="N277" s="52"/>
      <c r="O277" s="52"/>
      <c r="P277" s="58"/>
      <c r="Q277" s="57"/>
      <c r="R277" s="52"/>
      <c r="S277" s="52"/>
      <c r="T277" s="52"/>
      <c r="U277" s="58"/>
      <c r="V277" s="57"/>
      <c r="W277" s="52"/>
      <c r="X277" s="52"/>
      <c r="Y277" s="58"/>
      <c r="Z277" s="57"/>
      <c r="AA277" s="52"/>
      <c r="AB277" s="52"/>
      <c r="AC277" s="58"/>
      <c r="AD277" s="57"/>
      <c r="AE277" s="52"/>
      <c r="AF277" s="52"/>
      <c r="AG277" s="58"/>
      <c r="AH277" s="57"/>
      <c r="AI277" s="52"/>
      <c r="AJ277" s="52"/>
      <c r="AK277" s="58"/>
      <c r="AL277" s="57"/>
      <c r="AM277" s="52"/>
      <c r="AN277" s="52"/>
      <c r="AO277" s="58"/>
      <c r="AP277" s="57"/>
      <c r="AQ277" s="52"/>
      <c r="AR277" s="52"/>
      <c r="AS277" s="58"/>
      <c r="AT277" s="57"/>
      <c r="AU277" s="52"/>
      <c r="AV277" s="52"/>
      <c r="AW277" s="58"/>
      <c r="AX277" s="33">
        <f t="shared" si="136"/>
        <v>0</v>
      </c>
      <c r="AY277" s="31">
        <f t="shared" si="137"/>
        <v>0</v>
      </c>
      <c r="AZ277" s="30">
        <f t="shared" si="138"/>
        <v>0</v>
      </c>
      <c r="BA277" s="34"/>
      <c r="BB277" s="34"/>
      <c r="BC277" s="34"/>
      <c r="BD277" s="76"/>
      <c r="BE277" s="34"/>
      <c r="BF277" s="34"/>
      <c r="BG277" s="34"/>
      <c r="BH277" s="34"/>
    </row>
    <row r="278" spans="1:60" s="17" customFormat="1" ht="19.5" customHeight="1" x14ac:dyDescent="0.35">
      <c r="A278" s="41">
        <f>A275</f>
        <v>45425</v>
      </c>
      <c r="B278" s="37" t="str">
        <f t="shared" si="133"/>
        <v>Kol Takma</v>
      </c>
      <c r="C278" s="65">
        <f t="shared" si="134"/>
        <v>0</v>
      </c>
      <c r="D278" s="67">
        <f t="shared" si="135"/>
        <v>35</v>
      </c>
      <c r="E278" s="57"/>
      <c r="F278" s="52"/>
      <c r="G278" s="52"/>
      <c r="H278" s="58"/>
      <c r="I278" s="57"/>
      <c r="J278" s="52"/>
      <c r="K278" s="52"/>
      <c r="L278" s="58"/>
      <c r="M278" s="57"/>
      <c r="N278" s="52"/>
      <c r="O278" s="52"/>
      <c r="P278" s="58"/>
      <c r="Q278" s="57"/>
      <c r="R278" s="52"/>
      <c r="S278" s="52"/>
      <c r="T278" s="52"/>
      <c r="U278" s="58"/>
      <c r="V278" s="57"/>
      <c r="W278" s="52"/>
      <c r="X278" s="52"/>
      <c r="Y278" s="58"/>
      <c r="Z278" s="57"/>
      <c r="AA278" s="52"/>
      <c r="AB278" s="52"/>
      <c r="AC278" s="58"/>
      <c r="AD278" s="57"/>
      <c r="AE278" s="52"/>
      <c r="AF278" s="52"/>
      <c r="AG278" s="58"/>
      <c r="AH278" s="57"/>
      <c r="AI278" s="52"/>
      <c r="AJ278" s="52"/>
      <c r="AK278" s="58"/>
      <c r="AL278" s="57"/>
      <c r="AM278" s="52"/>
      <c r="AN278" s="52"/>
      <c r="AO278" s="58"/>
      <c r="AP278" s="57"/>
      <c r="AQ278" s="52"/>
      <c r="AR278" s="52"/>
      <c r="AS278" s="58"/>
      <c r="AT278" s="57"/>
      <c r="AU278" s="52"/>
      <c r="AV278" s="52"/>
      <c r="AW278" s="58"/>
      <c r="AX278" s="33">
        <f t="shared" si="136"/>
        <v>0</v>
      </c>
      <c r="AY278" s="31">
        <f t="shared" si="137"/>
        <v>0</v>
      </c>
      <c r="AZ278" s="30">
        <f t="shared" si="138"/>
        <v>0</v>
      </c>
      <c r="BA278" s="34"/>
      <c r="BB278" s="34"/>
      <c r="BC278" s="34"/>
      <c r="BD278" s="76"/>
      <c r="BE278" s="34"/>
      <c r="BF278" s="34"/>
      <c r="BG278" s="34"/>
      <c r="BH278" s="34"/>
    </row>
    <row r="279" spans="1:60" s="17" customFormat="1" ht="19.5" customHeight="1" x14ac:dyDescent="0.35">
      <c r="A279" s="41">
        <f t="shared" ref="A279:B289" si="139">A278</f>
        <v>45425</v>
      </c>
      <c r="B279" s="37" t="str">
        <f t="shared" si="133"/>
        <v>Kol Takma</v>
      </c>
      <c r="C279" s="65">
        <f t="shared" si="134"/>
        <v>0</v>
      </c>
      <c r="D279" s="67">
        <f t="shared" si="135"/>
        <v>35</v>
      </c>
      <c r="E279" s="57"/>
      <c r="F279" s="52"/>
      <c r="G279" s="52"/>
      <c r="H279" s="58"/>
      <c r="I279" s="57"/>
      <c r="J279" s="52"/>
      <c r="K279" s="52"/>
      <c r="L279" s="58"/>
      <c r="M279" s="57"/>
      <c r="N279" s="52"/>
      <c r="O279" s="52"/>
      <c r="P279" s="58"/>
      <c r="Q279" s="57"/>
      <c r="R279" s="52"/>
      <c r="S279" s="52"/>
      <c r="T279" s="52"/>
      <c r="U279" s="58"/>
      <c r="V279" s="57"/>
      <c r="W279" s="52"/>
      <c r="X279" s="52"/>
      <c r="Y279" s="58"/>
      <c r="Z279" s="57"/>
      <c r="AA279" s="52"/>
      <c r="AB279" s="52"/>
      <c r="AC279" s="58"/>
      <c r="AD279" s="57"/>
      <c r="AE279" s="52"/>
      <c r="AF279" s="52"/>
      <c r="AG279" s="58"/>
      <c r="AH279" s="57"/>
      <c r="AI279" s="52"/>
      <c r="AJ279" s="52"/>
      <c r="AK279" s="58"/>
      <c r="AL279" s="57"/>
      <c r="AM279" s="52"/>
      <c r="AN279" s="52"/>
      <c r="AO279" s="58"/>
      <c r="AP279" s="57"/>
      <c r="AQ279" s="52"/>
      <c r="AR279" s="52"/>
      <c r="AS279" s="58"/>
      <c r="AT279" s="57"/>
      <c r="AU279" s="52"/>
      <c r="AV279" s="52"/>
      <c r="AW279" s="58"/>
      <c r="AX279" s="33">
        <f t="shared" si="136"/>
        <v>0</v>
      </c>
      <c r="AY279" s="31">
        <f t="shared" si="137"/>
        <v>0</v>
      </c>
      <c r="AZ279" s="30">
        <f t="shared" si="138"/>
        <v>0</v>
      </c>
      <c r="BA279" s="34"/>
      <c r="BB279" s="34"/>
      <c r="BC279" s="34"/>
      <c r="BD279" s="76"/>
      <c r="BE279" s="34"/>
      <c r="BF279" s="34"/>
      <c r="BG279" s="34"/>
      <c r="BH279" s="34"/>
    </row>
    <row r="280" spans="1:60" s="17" customFormat="1" ht="19.5" customHeight="1" thickBot="1" x14ac:dyDescent="0.4">
      <c r="A280" s="41">
        <f t="shared" si="139"/>
        <v>45425</v>
      </c>
      <c r="B280" s="37" t="str">
        <f t="shared" si="133"/>
        <v>Kol Takma</v>
      </c>
      <c r="C280" s="65">
        <f t="shared" si="134"/>
        <v>0</v>
      </c>
      <c r="D280" s="67">
        <f t="shared" si="135"/>
        <v>35</v>
      </c>
      <c r="E280" s="59"/>
      <c r="F280" s="60"/>
      <c r="G280" s="61"/>
      <c r="H280" s="62"/>
      <c r="I280" s="59"/>
      <c r="J280" s="60"/>
      <c r="K280" s="61"/>
      <c r="L280" s="62"/>
      <c r="M280" s="59"/>
      <c r="N280" s="60"/>
      <c r="O280" s="61"/>
      <c r="P280" s="62"/>
      <c r="Q280" s="64"/>
      <c r="R280" s="61"/>
      <c r="S280" s="61"/>
      <c r="T280" s="61"/>
      <c r="U280" s="62"/>
      <c r="V280" s="59"/>
      <c r="W280" s="60"/>
      <c r="X280" s="61"/>
      <c r="Y280" s="62"/>
      <c r="Z280" s="59"/>
      <c r="AA280" s="60"/>
      <c r="AB280" s="61"/>
      <c r="AC280" s="62"/>
      <c r="AD280" s="59"/>
      <c r="AE280" s="60"/>
      <c r="AF280" s="61"/>
      <c r="AG280" s="62"/>
      <c r="AH280" s="59"/>
      <c r="AI280" s="60"/>
      <c r="AJ280" s="61"/>
      <c r="AK280" s="62"/>
      <c r="AL280" s="59"/>
      <c r="AM280" s="60"/>
      <c r="AN280" s="61"/>
      <c r="AO280" s="62"/>
      <c r="AP280" s="59"/>
      <c r="AQ280" s="60"/>
      <c r="AR280" s="61"/>
      <c r="AS280" s="62"/>
      <c r="AT280" s="59"/>
      <c r="AU280" s="60"/>
      <c r="AV280" s="61"/>
      <c r="AW280" s="62"/>
      <c r="AX280" s="33">
        <f t="shared" si="136"/>
        <v>0</v>
      </c>
      <c r="AY280" s="31">
        <f t="shared" si="137"/>
        <v>0</v>
      </c>
      <c r="AZ280" s="30">
        <f t="shared" si="138"/>
        <v>0</v>
      </c>
      <c r="BA280" s="34"/>
      <c r="BB280" s="34"/>
      <c r="BC280" s="34"/>
      <c r="BD280" s="76"/>
      <c r="BE280" s="34"/>
      <c r="BF280" s="34"/>
      <c r="BG280" s="34"/>
      <c r="BH280" s="34"/>
    </row>
    <row r="281" spans="1:60" s="17" customFormat="1" ht="19.5" customHeight="1" thickBot="1" x14ac:dyDescent="0.45">
      <c r="A281" s="41">
        <f t="shared" si="139"/>
        <v>45425</v>
      </c>
      <c r="B281" s="139" t="str">
        <f>B274</f>
        <v>Kol Takma</v>
      </c>
      <c r="C281" s="140"/>
      <c r="D281" s="40">
        <f>C182/8</f>
        <v>500</v>
      </c>
      <c r="E281" s="147">
        <f>SUM(E274:H280)</f>
        <v>0</v>
      </c>
      <c r="F281" s="148"/>
      <c r="G281" s="148"/>
      <c r="H281" s="149"/>
      <c r="I281" s="147">
        <f>SUM(I274:L280)</f>
        <v>0</v>
      </c>
      <c r="J281" s="148"/>
      <c r="K281" s="148"/>
      <c r="L281" s="149"/>
      <c r="M281" s="147">
        <f>SUM(M274:P280)</f>
        <v>0</v>
      </c>
      <c r="N281" s="148"/>
      <c r="O281" s="148"/>
      <c r="P281" s="149"/>
      <c r="Q281" s="147">
        <f>SUM(Q274:U280)</f>
        <v>0</v>
      </c>
      <c r="R281" s="148"/>
      <c r="S281" s="148"/>
      <c r="T281" s="148"/>
      <c r="U281" s="149"/>
      <c r="V281" s="147">
        <f>SUM(V274:Y280)</f>
        <v>0</v>
      </c>
      <c r="W281" s="148"/>
      <c r="X281" s="148"/>
      <c r="Y281" s="149"/>
      <c r="Z281" s="147">
        <f>SUM(Z274:AC280)</f>
        <v>0</v>
      </c>
      <c r="AA281" s="148"/>
      <c r="AB281" s="148"/>
      <c r="AC281" s="149"/>
      <c r="AD281" s="147">
        <f>SUM(AD274:AG280)</f>
        <v>0</v>
      </c>
      <c r="AE281" s="148"/>
      <c r="AF281" s="148"/>
      <c r="AG281" s="149"/>
      <c r="AH281" s="147">
        <f>SUM(AH274:AK280)</f>
        <v>0</v>
      </c>
      <c r="AI281" s="148"/>
      <c r="AJ281" s="148"/>
      <c r="AK281" s="149"/>
      <c r="AL281" s="147">
        <f>SUM(AL274:AO280)</f>
        <v>0</v>
      </c>
      <c r="AM281" s="148"/>
      <c r="AN281" s="148"/>
      <c r="AO281" s="149"/>
      <c r="AP281" s="147">
        <f>SUM(AP274:AS280)</f>
        <v>0</v>
      </c>
      <c r="AQ281" s="148"/>
      <c r="AR281" s="148"/>
      <c r="AS281" s="149"/>
      <c r="AT281" s="147">
        <f>SUM(AT274:AW280)</f>
        <v>0</v>
      </c>
      <c r="AU281" s="148"/>
      <c r="AV281" s="148"/>
      <c r="AW281" s="149"/>
      <c r="AX281" s="87">
        <f>SUM(AX274:AX280)</f>
        <v>0</v>
      </c>
      <c r="AY281" s="88">
        <f>IFERROR(AVERAGEIF(E281:AV281,"&lt;&gt;0",(E281:AV281)),)</f>
        <v>0</v>
      </c>
      <c r="AZ281" s="46">
        <f>IFERROR(AX281/BB275,0)</f>
        <v>0</v>
      </c>
      <c r="BA281" s="34"/>
      <c r="BB281" s="34"/>
      <c r="BC281" s="34"/>
      <c r="BD281" s="76"/>
      <c r="BE281" s="34"/>
      <c r="BF281" s="34"/>
      <c r="BG281" s="34"/>
      <c r="BH281" s="34"/>
    </row>
    <row r="282" spans="1:60" s="17" customFormat="1" ht="19.5" customHeight="1" thickBot="1" x14ac:dyDescent="0.4">
      <c r="A282" s="42">
        <f>A273</f>
        <v>45425</v>
      </c>
      <c r="B282" s="38" t="str">
        <f>B283</f>
        <v>Yan Kapama</v>
      </c>
      <c r="C282" s="39" t="s">
        <v>180</v>
      </c>
      <c r="D282" s="69" t="s">
        <v>181</v>
      </c>
      <c r="E282" s="48">
        <v>0.34375</v>
      </c>
      <c r="F282" s="49">
        <v>0.35416666666666669</v>
      </c>
      <c r="G282" s="49">
        <v>0.36458333333333331</v>
      </c>
      <c r="H282" s="50">
        <v>0.375</v>
      </c>
      <c r="I282" s="48">
        <v>0.38541666666666702</v>
      </c>
      <c r="J282" s="49">
        <v>0.39583333333333298</v>
      </c>
      <c r="K282" s="49">
        <v>0.40625</v>
      </c>
      <c r="L282" s="50">
        <v>0.41666666666666702</v>
      </c>
      <c r="M282" s="48">
        <v>0.4375</v>
      </c>
      <c r="N282" s="49">
        <v>0.44791666666666702</v>
      </c>
      <c r="O282" s="49">
        <v>0.45833333333333398</v>
      </c>
      <c r="P282" s="50">
        <v>0.46875</v>
      </c>
      <c r="Q282" s="82">
        <v>0.47916666666666702</v>
      </c>
      <c r="R282" s="83">
        <v>0.48958333333333398</v>
      </c>
      <c r="S282" s="83">
        <v>0.5</v>
      </c>
      <c r="T282" s="84">
        <v>0.51041666666666696</v>
      </c>
      <c r="U282" s="85">
        <v>0.52083333333333204</v>
      </c>
      <c r="V282" s="48">
        <v>0.5625</v>
      </c>
      <c r="W282" s="49">
        <v>0.57291666666666663</v>
      </c>
      <c r="X282" s="49">
        <v>0.58333333333333304</v>
      </c>
      <c r="Y282" s="50">
        <v>0.59375</v>
      </c>
      <c r="Z282" s="48">
        <v>0.60416666666666696</v>
      </c>
      <c r="AA282" s="49">
        <v>0.61458333333333304</v>
      </c>
      <c r="AB282" s="49">
        <v>0.625</v>
      </c>
      <c r="AC282" s="50">
        <v>0.63541666666666596</v>
      </c>
      <c r="AD282" s="48">
        <v>0.65625</v>
      </c>
      <c r="AE282" s="49">
        <v>0.66666666666666663</v>
      </c>
      <c r="AF282" s="49">
        <v>0.67708333333333304</v>
      </c>
      <c r="AG282" s="50">
        <v>0.6875</v>
      </c>
      <c r="AH282" s="48">
        <v>0.69791666666666696</v>
      </c>
      <c r="AI282" s="49">
        <v>0.70833333333333304</v>
      </c>
      <c r="AJ282" s="49">
        <v>0.71875</v>
      </c>
      <c r="AK282" s="50">
        <v>0.72916666666666696</v>
      </c>
      <c r="AL282" s="48">
        <v>0.73958333333333404</v>
      </c>
      <c r="AM282" s="49">
        <v>0.750000000000001</v>
      </c>
      <c r="AN282" s="49">
        <v>0.76041666666666796</v>
      </c>
      <c r="AO282" s="50">
        <v>0.77083333333333504</v>
      </c>
      <c r="AP282" s="48">
        <v>0.781250000000002</v>
      </c>
      <c r="AQ282" s="49">
        <v>0.79166666666666896</v>
      </c>
      <c r="AR282" s="49">
        <v>0.80208333333333603</v>
      </c>
      <c r="AS282" s="50">
        <v>0.812500000000003</v>
      </c>
      <c r="AT282" s="48">
        <v>0.82291666666666996</v>
      </c>
      <c r="AU282" s="49">
        <v>0.83333333333333703</v>
      </c>
      <c r="AV282" s="49">
        <v>0.843750000000004</v>
      </c>
      <c r="AW282" s="50">
        <v>0.85416666666666663</v>
      </c>
      <c r="AX282" s="68" t="s">
        <v>260</v>
      </c>
      <c r="AY282" s="28" t="s">
        <v>261</v>
      </c>
      <c r="AZ282" s="29" t="s">
        <v>262</v>
      </c>
      <c r="BA282" s="136" t="str">
        <f>B283</f>
        <v>Yan Kapama</v>
      </c>
      <c r="BB282" s="137"/>
      <c r="BC282" s="137"/>
      <c r="BD282" s="137"/>
      <c r="BE282" s="137"/>
      <c r="BF282" s="137"/>
      <c r="BG282" s="137"/>
      <c r="BH282" s="138"/>
    </row>
    <row r="283" spans="1:60" s="17" customFormat="1" ht="19.5" customHeight="1" thickBot="1" x14ac:dyDescent="0.4">
      <c r="A283" s="41">
        <f t="shared" si="139"/>
        <v>45425</v>
      </c>
      <c r="B283" s="37" t="str">
        <f>B107</f>
        <v>Yan Kapama</v>
      </c>
      <c r="C283" s="65">
        <f>C107</f>
        <v>0</v>
      </c>
      <c r="D283" s="70">
        <f>D107</f>
        <v>40</v>
      </c>
      <c r="E283" s="63"/>
      <c r="F283" s="55"/>
      <c r="G283" s="55"/>
      <c r="H283" s="56"/>
      <c r="I283" s="63"/>
      <c r="J283" s="55"/>
      <c r="K283" s="55"/>
      <c r="L283" s="56"/>
      <c r="M283" s="63"/>
      <c r="N283" s="55"/>
      <c r="O283" s="55"/>
      <c r="P283" s="56"/>
      <c r="Q283" s="63"/>
      <c r="R283" s="55"/>
      <c r="S283" s="55"/>
      <c r="T283" s="55"/>
      <c r="U283" s="56"/>
      <c r="V283" s="63"/>
      <c r="W283" s="55"/>
      <c r="X283" s="55"/>
      <c r="Y283" s="56"/>
      <c r="Z283" s="63"/>
      <c r="AA283" s="55"/>
      <c r="AB283" s="55"/>
      <c r="AC283" s="56"/>
      <c r="AD283" s="63"/>
      <c r="AE283" s="55"/>
      <c r="AF283" s="55"/>
      <c r="AG283" s="56"/>
      <c r="AH283" s="63"/>
      <c r="AI283" s="55"/>
      <c r="AJ283" s="55"/>
      <c r="AK283" s="56"/>
      <c r="AL283" s="53"/>
      <c r="AM283" s="54"/>
      <c r="AN283" s="55"/>
      <c r="AO283" s="56"/>
      <c r="AP283" s="53"/>
      <c r="AQ283" s="54"/>
      <c r="AR283" s="55"/>
      <c r="AS283" s="56"/>
      <c r="AT283" s="53"/>
      <c r="AU283" s="54"/>
      <c r="AV283" s="55"/>
      <c r="AW283" s="56"/>
      <c r="AX283" s="33">
        <f>SUM(E283:AW283)</f>
        <v>0</v>
      </c>
      <c r="AY283" s="31">
        <f>IFERROR(AVERAGEIF(E283:AW283,"&lt;&gt;0",(E283:AW283)),)</f>
        <v>0</v>
      </c>
      <c r="AZ283" s="30">
        <f>IFERROR(AY283/D283,0)</f>
        <v>0</v>
      </c>
      <c r="BA283" s="103" t="s">
        <v>182</v>
      </c>
      <c r="BB283" s="100" t="s">
        <v>183</v>
      </c>
      <c r="BC283" s="100" t="s">
        <v>184</v>
      </c>
      <c r="BD283" s="101" t="s">
        <v>185</v>
      </c>
      <c r="BE283" s="100" t="s">
        <v>186</v>
      </c>
      <c r="BF283" s="102" t="s">
        <v>187</v>
      </c>
      <c r="BG283" s="100" t="s">
        <v>188</v>
      </c>
      <c r="BH283" s="102" t="s">
        <v>189</v>
      </c>
    </row>
    <row r="284" spans="1:60" s="17" customFormat="1" ht="19.5" customHeight="1" thickBot="1" x14ac:dyDescent="0.4">
      <c r="A284" s="41">
        <f t="shared" si="139"/>
        <v>45425</v>
      </c>
      <c r="B284" s="37" t="str">
        <f t="shared" si="139"/>
        <v>Yan Kapama</v>
      </c>
      <c r="C284" s="65">
        <f t="shared" ref="C284:C289" si="140">C108</f>
        <v>0</v>
      </c>
      <c r="D284" s="67">
        <f t="shared" ref="D284:D289" si="141">D283</f>
        <v>40</v>
      </c>
      <c r="E284" s="57"/>
      <c r="F284" s="52"/>
      <c r="G284" s="52"/>
      <c r="H284" s="58"/>
      <c r="I284" s="57"/>
      <c r="J284" s="52"/>
      <c r="K284" s="52"/>
      <c r="L284" s="58"/>
      <c r="M284" s="57"/>
      <c r="N284" s="52"/>
      <c r="O284" s="52"/>
      <c r="P284" s="58"/>
      <c r="Q284" s="57"/>
      <c r="R284" s="52"/>
      <c r="S284" s="52"/>
      <c r="T284" s="52"/>
      <c r="U284" s="58"/>
      <c r="V284" s="57"/>
      <c r="W284" s="52"/>
      <c r="X284" s="52"/>
      <c r="Y284" s="58"/>
      <c r="Z284" s="57"/>
      <c r="AA284" s="52"/>
      <c r="AB284" s="52"/>
      <c r="AC284" s="58"/>
      <c r="AD284" s="57"/>
      <c r="AE284" s="52"/>
      <c r="AF284" s="52"/>
      <c r="AG284" s="58"/>
      <c r="AH284" s="57"/>
      <c r="AI284" s="52"/>
      <c r="AJ284" s="52"/>
      <c r="AK284" s="58"/>
      <c r="AL284" s="57"/>
      <c r="AM284" s="52"/>
      <c r="AN284" s="52"/>
      <c r="AO284" s="58"/>
      <c r="AP284" s="57"/>
      <c r="AQ284" s="52"/>
      <c r="AR284" s="52"/>
      <c r="AS284" s="58"/>
      <c r="AT284" s="57"/>
      <c r="AU284" s="52"/>
      <c r="AV284" s="52"/>
      <c r="AW284" s="58"/>
      <c r="AX284" s="33">
        <f t="shared" ref="AX284:AX289" si="142">SUM(E284:AW284)</f>
        <v>0</v>
      </c>
      <c r="AY284" s="31">
        <f t="shared" ref="AY284:AY289" si="143">IFERROR(AVERAGEIF(E284:AW284,"&lt;&gt;0",(E284:AW284)),)</f>
        <v>0</v>
      </c>
      <c r="AZ284" s="30">
        <f t="shared" ref="AZ284:AZ289" si="144">IFERROR(AY284/D284,0)</f>
        <v>0</v>
      </c>
      <c r="BA284" s="94">
        <f>AX290+BA108</f>
        <v>0</v>
      </c>
      <c r="BB284" s="95">
        <f>(D290*8)</f>
        <v>4000</v>
      </c>
      <c r="BC284" s="96">
        <f>C181-BA284</f>
        <v>42311</v>
      </c>
      <c r="BD284" s="96">
        <f>BA275-BA284</f>
        <v>0</v>
      </c>
      <c r="BE284" s="97">
        <f>IFERROR(BC284/E290,0)</f>
        <v>0</v>
      </c>
      <c r="BF284" s="98">
        <f>IFERROR(BE284/9,0)</f>
        <v>0</v>
      </c>
      <c r="BG284" s="97">
        <f>IFERROR(BC284/AY290,0)</f>
        <v>0</v>
      </c>
      <c r="BH284" s="97">
        <f>IFERROR(BG284/9,0)</f>
        <v>0</v>
      </c>
    </row>
    <row r="285" spans="1:60" s="17" customFormat="1" ht="19.5" customHeight="1" x14ac:dyDescent="0.35">
      <c r="A285" s="41">
        <f t="shared" si="139"/>
        <v>45425</v>
      </c>
      <c r="B285" s="37" t="str">
        <f t="shared" si="139"/>
        <v>Yan Kapama</v>
      </c>
      <c r="C285" s="65">
        <f t="shared" si="140"/>
        <v>0</v>
      </c>
      <c r="D285" s="67">
        <f t="shared" si="141"/>
        <v>40</v>
      </c>
      <c r="E285" s="57"/>
      <c r="F285" s="52"/>
      <c r="G285" s="52"/>
      <c r="H285" s="58"/>
      <c r="I285" s="57"/>
      <c r="J285" s="52"/>
      <c r="K285" s="52"/>
      <c r="L285" s="58"/>
      <c r="M285" s="57"/>
      <c r="N285" s="52"/>
      <c r="O285" s="52"/>
      <c r="P285" s="58"/>
      <c r="Q285" s="57"/>
      <c r="R285" s="52"/>
      <c r="S285" s="52"/>
      <c r="T285" s="52"/>
      <c r="U285" s="58"/>
      <c r="V285" s="57"/>
      <c r="W285" s="52"/>
      <c r="X285" s="52"/>
      <c r="Y285" s="58"/>
      <c r="Z285" s="57"/>
      <c r="AA285" s="52"/>
      <c r="AB285" s="52"/>
      <c r="AC285" s="58"/>
      <c r="AD285" s="57"/>
      <c r="AE285" s="52"/>
      <c r="AF285" s="52"/>
      <c r="AG285" s="58"/>
      <c r="AH285" s="57"/>
      <c r="AI285" s="52"/>
      <c r="AJ285" s="52"/>
      <c r="AK285" s="58"/>
      <c r="AL285" s="57"/>
      <c r="AM285" s="52"/>
      <c r="AN285" s="52"/>
      <c r="AO285" s="58"/>
      <c r="AP285" s="57"/>
      <c r="AQ285" s="52"/>
      <c r="AR285" s="52"/>
      <c r="AS285" s="58"/>
      <c r="AT285" s="57"/>
      <c r="AU285" s="52"/>
      <c r="AV285" s="52"/>
      <c r="AW285" s="58"/>
      <c r="AX285" s="33">
        <f t="shared" si="142"/>
        <v>0</v>
      </c>
      <c r="AY285" s="31">
        <f t="shared" si="143"/>
        <v>0</v>
      </c>
      <c r="AZ285" s="30">
        <f t="shared" si="144"/>
        <v>0</v>
      </c>
      <c r="BA285" s="34"/>
      <c r="BB285" s="34"/>
      <c r="BC285" s="34"/>
      <c r="BD285" s="76"/>
      <c r="BE285" s="34"/>
      <c r="BF285" s="34"/>
      <c r="BG285" s="34"/>
      <c r="BH285" s="34"/>
    </row>
    <row r="286" spans="1:60" s="17" customFormat="1" ht="19.5" customHeight="1" x14ac:dyDescent="0.35">
      <c r="A286" s="41">
        <f t="shared" si="139"/>
        <v>45425</v>
      </c>
      <c r="B286" s="37" t="str">
        <f t="shared" si="139"/>
        <v>Yan Kapama</v>
      </c>
      <c r="C286" s="65">
        <f t="shared" si="140"/>
        <v>0</v>
      </c>
      <c r="D286" s="67">
        <f t="shared" si="141"/>
        <v>40</v>
      </c>
      <c r="E286" s="57"/>
      <c r="F286" s="52"/>
      <c r="G286" s="52"/>
      <c r="H286" s="58"/>
      <c r="I286" s="57"/>
      <c r="J286" s="52"/>
      <c r="K286" s="52"/>
      <c r="L286" s="58"/>
      <c r="M286" s="57"/>
      <c r="N286" s="52"/>
      <c r="O286" s="52"/>
      <c r="P286" s="58"/>
      <c r="Q286" s="57"/>
      <c r="R286" s="52"/>
      <c r="S286" s="52"/>
      <c r="T286" s="52"/>
      <c r="U286" s="58"/>
      <c r="V286" s="57"/>
      <c r="W286" s="52"/>
      <c r="X286" s="52"/>
      <c r="Y286" s="58"/>
      <c r="Z286" s="57"/>
      <c r="AA286" s="52"/>
      <c r="AB286" s="52"/>
      <c r="AC286" s="58"/>
      <c r="AD286" s="57"/>
      <c r="AE286" s="52"/>
      <c r="AF286" s="52"/>
      <c r="AG286" s="58"/>
      <c r="AH286" s="57"/>
      <c r="AI286" s="52"/>
      <c r="AJ286" s="52"/>
      <c r="AK286" s="58"/>
      <c r="AL286" s="57"/>
      <c r="AM286" s="52"/>
      <c r="AN286" s="52"/>
      <c r="AO286" s="58"/>
      <c r="AP286" s="57"/>
      <c r="AQ286" s="52"/>
      <c r="AR286" s="52"/>
      <c r="AS286" s="58"/>
      <c r="AT286" s="57"/>
      <c r="AU286" s="52"/>
      <c r="AV286" s="52"/>
      <c r="AW286" s="58"/>
      <c r="AX286" s="33">
        <f t="shared" si="142"/>
        <v>0</v>
      </c>
      <c r="AY286" s="31">
        <f t="shared" si="143"/>
        <v>0</v>
      </c>
      <c r="AZ286" s="30">
        <f t="shared" si="144"/>
        <v>0</v>
      </c>
      <c r="BA286" s="34"/>
      <c r="BB286" s="34"/>
      <c r="BC286" s="34"/>
      <c r="BD286" s="76"/>
      <c r="BE286" s="34"/>
      <c r="BF286" s="34"/>
      <c r="BG286" s="34"/>
      <c r="BH286" s="34"/>
    </row>
    <row r="287" spans="1:60" s="17" customFormat="1" ht="19.5" customHeight="1" x14ac:dyDescent="0.35">
      <c r="A287" s="41">
        <f>A284</f>
        <v>45425</v>
      </c>
      <c r="B287" s="37" t="str">
        <f t="shared" si="139"/>
        <v>Yan Kapama</v>
      </c>
      <c r="C287" s="65">
        <f t="shared" si="140"/>
        <v>0</v>
      </c>
      <c r="D287" s="67">
        <f t="shared" si="141"/>
        <v>40</v>
      </c>
      <c r="E287" s="57"/>
      <c r="F287" s="52"/>
      <c r="G287" s="52"/>
      <c r="H287" s="58"/>
      <c r="I287" s="57"/>
      <c r="J287" s="52"/>
      <c r="K287" s="52"/>
      <c r="L287" s="58"/>
      <c r="M287" s="57"/>
      <c r="N287" s="52"/>
      <c r="O287" s="52"/>
      <c r="P287" s="58"/>
      <c r="Q287" s="57"/>
      <c r="R287" s="52"/>
      <c r="S287" s="52"/>
      <c r="T287" s="52"/>
      <c r="U287" s="58"/>
      <c r="V287" s="57"/>
      <c r="W287" s="52"/>
      <c r="X287" s="52"/>
      <c r="Y287" s="58"/>
      <c r="Z287" s="57"/>
      <c r="AA287" s="52"/>
      <c r="AB287" s="52"/>
      <c r="AC287" s="58"/>
      <c r="AD287" s="57"/>
      <c r="AE287" s="52"/>
      <c r="AF287" s="52"/>
      <c r="AG287" s="58"/>
      <c r="AH287" s="57"/>
      <c r="AI287" s="52"/>
      <c r="AJ287" s="52"/>
      <c r="AK287" s="58"/>
      <c r="AL287" s="57"/>
      <c r="AM287" s="52"/>
      <c r="AN287" s="52"/>
      <c r="AO287" s="58"/>
      <c r="AP287" s="57"/>
      <c r="AQ287" s="52"/>
      <c r="AR287" s="52"/>
      <c r="AS287" s="58"/>
      <c r="AT287" s="57"/>
      <c r="AU287" s="52"/>
      <c r="AV287" s="52"/>
      <c r="AW287" s="58"/>
      <c r="AX287" s="33">
        <f t="shared" si="142"/>
        <v>0</v>
      </c>
      <c r="AY287" s="31">
        <f t="shared" si="143"/>
        <v>0</v>
      </c>
      <c r="AZ287" s="30">
        <f t="shared" si="144"/>
        <v>0</v>
      </c>
      <c r="BA287" s="34"/>
      <c r="BB287" s="34"/>
      <c r="BC287" s="34"/>
      <c r="BD287" s="76"/>
      <c r="BE287" s="34"/>
      <c r="BF287" s="34"/>
      <c r="BG287" s="34"/>
      <c r="BH287" s="34"/>
    </row>
    <row r="288" spans="1:60" s="17" customFormat="1" ht="19.5" customHeight="1" x14ac:dyDescent="0.35">
      <c r="A288" s="41">
        <f>A287</f>
        <v>45425</v>
      </c>
      <c r="B288" s="37" t="str">
        <f t="shared" si="139"/>
        <v>Yan Kapama</v>
      </c>
      <c r="C288" s="65">
        <f t="shared" si="140"/>
        <v>0</v>
      </c>
      <c r="D288" s="67">
        <f t="shared" si="141"/>
        <v>40</v>
      </c>
      <c r="E288" s="57"/>
      <c r="F288" s="52"/>
      <c r="G288" s="52"/>
      <c r="H288" s="58"/>
      <c r="I288" s="57"/>
      <c r="J288" s="52"/>
      <c r="K288" s="52"/>
      <c r="L288" s="58"/>
      <c r="M288" s="57"/>
      <c r="N288" s="52"/>
      <c r="O288" s="52"/>
      <c r="P288" s="78"/>
      <c r="Q288" s="57"/>
      <c r="R288" s="52"/>
      <c r="S288" s="52"/>
      <c r="T288" s="52"/>
      <c r="U288" s="58"/>
      <c r="V288" s="80"/>
      <c r="W288" s="52"/>
      <c r="X288" s="52"/>
      <c r="Y288" s="58"/>
      <c r="Z288" s="57"/>
      <c r="AA288" s="52"/>
      <c r="AB288" s="52"/>
      <c r="AC288" s="58"/>
      <c r="AD288" s="57"/>
      <c r="AE288" s="52"/>
      <c r="AF288" s="52"/>
      <c r="AG288" s="58"/>
      <c r="AH288" s="57"/>
      <c r="AI288" s="52"/>
      <c r="AJ288" s="52"/>
      <c r="AK288" s="58"/>
      <c r="AL288" s="57"/>
      <c r="AM288" s="52"/>
      <c r="AN288" s="52"/>
      <c r="AO288" s="58"/>
      <c r="AP288" s="57"/>
      <c r="AQ288" s="52"/>
      <c r="AR288" s="52"/>
      <c r="AS288" s="58"/>
      <c r="AT288" s="57"/>
      <c r="AU288" s="52"/>
      <c r="AV288" s="52"/>
      <c r="AW288" s="58"/>
      <c r="AX288" s="33">
        <f t="shared" si="142"/>
        <v>0</v>
      </c>
      <c r="AY288" s="31">
        <f t="shared" si="143"/>
        <v>0</v>
      </c>
      <c r="AZ288" s="30">
        <f t="shared" si="144"/>
        <v>0</v>
      </c>
      <c r="BA288" s="34"/>
      <c r="BB288" s="34"/>
      <c r="BC288" s="34"/>
      <c r="BD288" s="76"/>
      <c r="BE288" s="34"/>
      <c r="BF288" s="34"/>
      <c r="BG288" s="34"/>
      <c r="BH288" s="34"/>
    </row>
    <row r="289" spans="1:60" s="17" customFormat="1" ht="19.5" customHeight="1" thickBot="1" x14ac:dyDescent="0.4">
      <c r="A289" s="41">
        <f>A288</f>
        <v>45425</v>
      </c>
      <c r="B289" s="37" t="str">
        <f t="shared" si="139"/>
        <v>Yan Kapama</v>
      </c>
      <c r="C289" s="65">
        <f t="shared" si="140"/>
        <v>0</v>
      </c>
      <c r="D289" s="67">
        <f t="shared" si="141"/>
        <v>40</v>
      </c>
      <c r="E289" s="59"/>
      <c r="F289" s="60"/>
      <c r="G289" s="61"/>
      <c r="H289" s="62"/>
      <c r="I289" s="59"/>
      <c r="J289" s="60"/>
      <c r="K289" s="61"/>
      <c r="L289" s="62"/>
      <c r="M289" s="59"/>
      <c r="N289" s="60"/>
      <c r="O289" s="61"/>
      <c r="P289" s="79"/>
      <c r="Q289" s="64"/>
      <c r="R289" s="61"/>
      <c r="S289" s="61"/>
      <c r="T289" s="61"/>
      <c r="U289" s="62"/>
      <c r="V289" s="81"/>
      <c r="W289" s="60"/>
      <c r="X289" s="61"/>
      <c r="Y289" s="62"/>
      <c r="Z289" s="59"/>
      <c r="AA289" s="60"/>
      <c r="AB289" s="61"/>
      <c r="AC289" s="62"/>
      <c r="AD289" s="59"/>
      <c r="AE289" s="60"/>
      <c r="AF289" s="61"/>
      <c r="AG289" s="62"/>
      <c r="AH289" s="59"/>
      <c r="AI289" s="60"/>
      <c r="AJ289" s="61"/>
      <c r="AK289" s="62"/>
      <c r="AL289" s="59"/>
      <c r="AM289" s="60"/>
      <c r="AN289" s="61"/>
      <c r="AO289" s="62"/>
      <c r="AP289" s="59"/>
      <c r="AQ289" s="60"/>
      <c r="AR289" s="61"/>
      <c r="AS289" s="62"/>
      <c r="AT289" s="59"/>
      <c r="AU289" s="60"/>
      <c r="AV289" s="61"/>
      <c r="AW289" s="62"/>
      <c r="AX289" s="33">
        <f t="shared" si="142"/>
        <v>0</v>
      </c>
      <c r="AY289" s="31">
        <f t="shared" si="143"/>
        <v>0</v>
      </c>
      <c r="AZ289" s="30">
        <f t="shared" si="144"/>
        <v>0</v>
      </c>
      <c r="BA289" s="34"/>
      <c r="BB289" s="34"/>
      <c r="BC289" s="34"/>
      <c r="BD289" s="76"/>
      <c r="BE289" s="34"/>
      <c r="BF289" s="34"/>
      <c r="BG289" s="34"/>
      <c r="BH289" s="34"/>
    </row>
    <row r="290" spans="1:60" s="17" customFormat="1" ht="19.5" customHeight="1" thickBot="1" x14ac:dyDescent="0.45">
      <c r="A290" s="41">
        <f>A289</f>
        <v>45425</v>
      </c>
      <c r="B290" s="139" t="str">
        <f>B283</f>
        <v>Yan Kapama</v>
      </c>
      <c r="C290" s="140"/>
      <c r="D290" s="40">
        <f>C182/8</f>
        <v>500</v>
      </c>
      <c r="E290" s="147">
        <f>SUM(E283:H289)</f>
        <v>0</v>
      </c>
      <c r="F290" s="148"/>
      <c r="G290" s="148"/>
      <c r="H290" s="149"/>
      <c r="I290" s="147">
        <f>SUM(I283:L289)</f>
        <v>0</v>
      </c>
      <c r="J290" s="148"/>
      <c r="K290" s="148"/>
      <c r="L290" s="149"/>
      <c r="M290" s="147">
        <f>SUM(M283:P289)</f>
        <v>0</v>
      </c>
      <c r="N290" s="148"/>
      <c r="O290" s="148"/>
      <c r="P290" s="149"/>
      <c r="Q290" s="151">
        <f>SUM(Q283:U289)</f>
        <v>0</v>
      </c>
      <c r="R290" s="152"/>
      <c r="S290" s="152"/>
      <c r="T290" s="152"/>
      <c r="U290" s="153"/>
      <c r="V290" s="147">
        <f>SUM(V283:Y289)</f>
        <v>0</v>
      </c>
      <c r="W290" s="148"/>
      <c r="X290" s="148"/>
      <c r="Y290" s="149"/>
      <c r="Z290" s="147">
        <f>SUM(Z283:AC289)</f>
        <v>0</v>
      </c>
      <c r="AA290" s="148"/>
      <c r="AB290" s="148"/>
      <c r="AC290" s="149"/>
      <c r="AD290" s="147">
        <f>SUM(AD283:AG289)</f>
        <v>0</v>
      </c>
      <c r="AE290" s="148"/>
      <c r="AF290" s="148"/>
      <c r="AG290" s="149"/>
      <c r="AH290" s="147">
        <f>SUM(AH283:AK289)</f>
        <v>0</v>
      </c>
      <c r="AI290" s="148"/>
      <c r="AJ290" s="148"/>
      <c r="AK290" s="149"/>
      <c r="AL290" s="147">
        <f>SUM(AL283:AO289)</f>
        <v>0</v>
      </c>
      <c r="AM290" s="148"/>
      <c r="AN290" s="148"/>
      <c r="AO290" s="149"/>
      <c r="AP290" s="147">
        <f>SUM(AP283:AS289)</f>
        <v>0</v>
      </c>
      <c r="AQ290" s="148"/>
      <c r="AR290" s="148"/>
      <c r="AS290" s="149"/>
      <c r="AT290" s="147">
        <f>SUM(AT283:AW289)</f>
        <v>0</v>
      </c>
      <c r="AU290" s="148"/>
      <c r="AV290" s="148"/>
      <c r="AW290" s="149"/>
      <c r="AX290" s="87">
        <f>SUM(AX283:AX289)</f>
        <v>0</v>
      </c>
      <c r="AY290" s="88">
        <f>IFERROR(AVERAGEIF(E290:AV290,"&lt;&gt;0",(E290:AV290)),)</f>
        <v>0</v>
      </c>
      <c r="AZ290" s="46">
        <f>IFERROR(AX290/BB284,0)</f>
        <v>0</v>
      </c>
      <c r="BA290" s="34"/>
      <c r="BB290" s="34"/>
      <c r="BC290" s="34"/>
      <c r="BD290" s="76"/>
      <c r="BE290" s="34"/>
      <c r="BF290" s="34"/>
      <c r="BG290" s="34"/>
      <c r="BH290" s="34"/>
    </row>
    <row r="291" spans="1:60" s="17" customFormat="1" ht="19.5" customHeight="1" thickBot="1" x14ac:dyDescent="0.4">
      <c r="A291" s="42">
        <f>A282</f>
        <v>45425</v>
      </c>
      <c r="B291" s="38" t="str">
        <f>B292</f>
        <v>Yıkama Takma</v>
      </c>
      <c r="C291" s="39" t="s">
        <v>180</v>
      </c>
      <c r="D291" s="69" t="s">
        <v>181</v>
      </c>
      <c r="E291" s="48">
        <v>0.34375</v>
      </c>
      <c r="F291" s="49">
        <v>0.35416666666666669</v>
      </c>
      <c r="G291" s="49">
        <v>0.36458333333333331</v>
      </c>
      <c r="H291" s="50">
        <v>0.375</v>
      </c>
      <c r="I291" s="48">
        <v>0.38541666666666702</v>
      </c>
      <c r="J291" s="49">
        <v>0.39583333333333298</v>
      </c>
      <c r="K291" s="49">
        <v>0.40625</v>
      </c>
      <c r="L291" s="50">
        <v>0.41666666666666702</v>
      </c>
      <c r="M291" s="48">
        <v>0.4375</v>
      </c>
      <c r="N291" s="49">
        <v>0.44791666666666702</v>
      </c>
      <c r="O291" s="49">
        <v>0.45833333333333398</v>
      </c>
      <c r="P291" s="50">
        <v>0.46875</v>
      </c>
      <c r="Q291" s="48">
        <v>0.47916666666666702</v>
      </c>
      <c r="R291" s="49">
        <v>0.48958333333333398</v>
      </c>
      <c r="S291" s="49">
        <v>0.5</v>
      </c>
      <c r="T291" s="50">
        <v>0.51041666666666696</v>
      </c>
      <c r="U291" s="51">
        <v>0.52083333333333204</v>
      </c>
      <c r="V291" s="48">
        <v>0.5625</v>
      </c>
      <c r="W291" s="49">
        <v>0.57291666666666663</v>
      </c>
      <c r="X291" s="49">
        <v>0.58333333333333304</v>
      </c>
      <c r="Y291" s="50">
        <v>0.59375</v>
      </c>
      <c r="Z291" s="48">
        <v>0.60416666666666696</v>
      </c>
      <c r="AA291" s="49">
        <v>0.61458333333333304</v>
      </c>
      <c r="AB291" s="49">
        <v>0.625</v>
      </c>
      <c r="AC291" s="50">
        <v>0.63541666666666596</v>
      </c>
      <c r="AD291" s="48">
        <v>0.65625</v>
      </c>
      <c r="AE291" s="49">
        <v>0.66666666666666663</v>
      </c>
      <c r="AF291" s="49">
        <v>0.67708333333333304</v>
      </c>
      <c r="AG291" s="50">
        <v>0.6875</v>
      </c>
      <c r="AH291" s="48">
        <v>0.69791666666666696</v>
      </c>
      <c r="AI291" s="49">
        <v>0.70833333333333304</v>
      </c>
      <c r="AJ291" s="49">
        <v>0.71875</v>
      </c>
      <c r="AK291" s="50">
        <v>0.72916666666666696</v>
      </c>
      <c r="AL291" s="48">
        <v>0.73958333333333404</v>
      </c>
      <c r="AM291" s="49">
        <v>0.750000000000001</v>
      </c>
      <c r="AN291" s="49">
        <v>0.76041666666666796</v>
      </c>
      <c r="AO291" s="50">
        <v>0.77083333333333504</v>
      </c>
      <c r="AP291" s="48">
        <v>0.781250000000002</v>
      </c>
      <c r="AQ291" s="49">
        <v>0.79166666666666896</v>
      </c>
      <c r="AR291" s="49">
        <v>0.80208333333333603</v>
      </c>
      <c r="AS291" s="50">
        <v>0.812500000000003</v>
      </c>
      <c r="AT291" s="48">
        <v>0.82291666666666996</v>
      </c>
      <c r="AU291" s="49">
        <v>0.83333333333333703</v>
      </c>
      <c r="AV291" s="49">
        <v>0.843750000000004</v>
      </c>
      <c r="AW291" s="50">
        <v>0.85416666666666663</v>
      </c>
      <c r="AX291" s="68" t="s">
        <v>260</v>
      </c>
      <c r="AY291" s="28" t="s">
        <v>261</v>
      </c>
      <c r="AZ291" s="29" t="s">
        <v>262</v>
      </c>
      <c r="BA291" s="136" t="str">
        <f>B292</f>
        <v>Yıkama Takma</v>
      </c>
      <c r="BB291" s="137"/>
      <c r="BC291" s="137"/>
      <c r="BD291" s="137"/>
      <c r="BE291" s="137"/>
      <c r="BF291" s="137"/>
      <c r="BG291" s="137"/>
      <c r="BH291" s="138"/>
    </row>
    <row r="292" spans="1:60" s="17" customFormat="1" ht="19.5" customHeight="1" thickBot="1" x14ac:dyDescent="0.4">
      <c r="A292" s="41">
        <f t="shared" ref="A292:B296" si="145">A291</f>
        <v>45425</v>
      </c>
      <c r="B292" s="37" t="str">
        <f>B116</f>
        <v>Yıkama Takma</v>
      </c>
      <c r="C292" s="65">
        <f>C116</f>
        <v>0</v>
      </c>
      <c r="D292" s="70">
        <f>D116</f>
        <v>125</v>
      </c>
      <c r="E292" s="63"/>
      <c r="F292" s="55"/>
      <c r="G292" s="55"/>
      <c r="H292" s="56"/>
      <c r="I292" s="63"/>
      <c r="J292" s="55"/>
      <c r="K292" s="55"/>
      <c r="L292" s="56"/>
      <c r="M292" s="63"/>
      <c r="N292" s="55"/>
      <c r="O292" s="55"/>
      <c r="P292" s="56"/>
      <c r="Q292" s="63"/>
      <c r="R292" s="55"/>
      <c r="S292" s="55"/>
      <c r="T292" s="55"/>
      <c r="U292" s="56"/>
      <c r="V292" s="63"/>
      <c r="W292" s="55"/>
      <c r="X292" s="55"/>
      <c r="Y292" s="56"/>
      <c r="Z292" s="63"/>
      <c r="AA292" s="55"/>
      <c r="AB292" s="55"/>
      <c r="AC292" s="56"/>
      <c r="AD292" s="63"/>
      <c r="AE292" s="55"/>
      <c r="AF292" s="55"/>
      <c r="AG292" s="56"/>
      <c r="AH292" s="63"/>
      <c r="AI292" s="55"/>
      <c r="AJ292" s="55"/>
      <c r="AK292" s="56"/>
      <c r="AL292" s="63"/>
      <c r="AM292" s="55"/>
      <c r="AN292" s="55"/>
      <c r="AO292" s="56"/>
      <c r="AP292" s="63"/>
      <c r="AQ292" s="55"/>
      <c r="AR292" s="55"/>
      <c r="AS292" s="56"/>
      <c r="AT292" s="53"/>
      <c r="AU292" s="54"/>
      <c r="AV292" s="55"/>
      <c r="AW292" s="56"/>
      <c r="AX292" s="33">
        <f>SUM(E292:AW292)</f>
        <v>0</v>
      </c>
      <c r="AY292" s="31">
        <f>IFERROR(AVERAGEIF(E292:AW292,"&lt;&gt;0",(E292:AW292)),)</f>
        <v>0</v>
      </c>
      <c r="AZ292" s="30">
        <f>IFERROR(AY292/D292,0)</f>
        <v>0</v>
      </c>
      <c r="BA292" s="103" t="s">
        <v>182</v>
      </c>
      <c r="BB292" s="100" t="s">
        <v>183</v>
      </c>
      <c r="BC292" s="100" t="s">
        <v>184</v>
      </c>
      <c r="BD292" s="101" t="s">
        <v>185</v>
      </c>
      <c r="BE292" s="100" t="s">
        <v>186</v>
      </c>
      <c r="BF292" s="102" t="s">
        <v>187</v>
      </c>
      <c r="BG292" s="100" t="s">
        <v>188</v>
      </c>
      <c r="BH292" s="102" t="s">
        <v>189</v>
      </c>
    </row>
    <row r="293" spans="1:60" s="17" customFormat="1" ht="19.5" customHeight="1" thickBot="1" x14ac:dyDescent="0.4">
      <c r="A293" s="41">
        <f t="shared" si="145"/>
        <v>45425</v>
      </c>
      <c r="B293" s="37" t="str">
        <f t="shared" si="145"/>
        <v>Yıkama Takma</v>
      </c>
      <c r="C293" s="65">
        <f t="shared" ref="C293:C298" si="146">C117</f>
        <v>0</v>
      </c>
      <c r="D293" s="67">
        <f t="shared" ref="D293:D298" si="147">D292</f>
        <v>125</v>
      </c>
      <c r="E293" s="57"/>
      <c r="F293" s="52"/>
      <c r="G293" s="52"/>
      <c r="H293" s="58"/>
      <c r="I293" s="57"/>
      <c r="J293" s="52"/>
      <c r="K293" s="52"/>
      <c r="L293" s="58"/>
      <c r="M293" s="57"/>
      <c r="N293" s="52"/>
      <c r="O293" s="52"/>
      <c r="P293" s="58"/>
      <c r="Q293" s="57"/>
      <c r="R293" s="52"/>
      <c r="S293" s="52"/>
      <c r="T293" s="52"/>
      <c r="U293" s="58"/>
      <c r="V293" s="57"/>
      <c r="W293" s="52"/>
      <c r="X293" s="52"/>
      <c r="Y293" s="58"/>
      <c r="Z293" s="57"/>
      <c r="AA293" s="52"/>
      <c r="AB293" s="52"/>
      <c r="AC293" s="58"/>
      <c r="AD293" s="57"/>
      <c r="AE293" s="52"/>
      <c r="AF293" s="52"/>
      <c r="AG293" s="58"/>
      <c r="AH293" s="57"/>
      <c r="AI293" s="52"/>
      <c r="AJ293" s="52"/>
      <c r="AK293" s="58"/>
      <c r="AL293" s="57"/>
      <c r="AM293" s="52"/>
      <c r="AN293" s="52"/>
      <c r="AO293" s="58"/>
      <c r="AP293" s="57"/>
      <c r="AQ293" s="52"/>
      <c r="AR293" s="52"/>
      <c r="AS293" s="58"/>
      <c r="AT293" s="57"/>
      <c r="AU293" s="52"/>
      <c r="AV293" s="52"/>
      <c r="AW293" s="58"/>
      <c r="AX293" s="33">
        <f t="shared" ref="AX293:AX298" si="148">SUM(E293:AW293)</f>
        <v>0</v>
      </c>
      <c r="AY293" s="31">
        <f t="shared" ref="AY293:AY298" si="149">IFERROR(AVERAGEIF(E293:AW293,"&lt;&gt;0",(E293:AW293)),)</f>
        <v>0</v>
      </c>
      <c r="AZ293" s="30">
        <f t="shared" ref="AZ293:AZ298" si="150">IFERROR(AY293/D293,0)</f>
        <v>0</v>
      </c>
      <c r="BA293" s="94">
        <f>AX299+BA117</f>
        <v>0</v>
      </c>
      <c r="BB293" s="95">
        <f>(D299*8)</f>
        <v>4000</v>
      </c>
      <c r="BC293" s="96">
        <f>C181-BA293</f>
        <v>42311</v>
      </c>
      <c r="BD293" s="96">
        <f>BA284-BA293</f>
        <v>0</v>
      </c>
      <c r="BE293" s="97">
        <f>IFERROR(BC293/E299,0)</f>
        <v>0</v>
      </c>
      <c r="BF293" s="98">
        <f>IFERROR(BE293/9,0)</f>
        <v>0</v>
      </c>
      <c r="BG293" s="97">
        <f>IFERROR(BC293/AY299,0)</f>
        <v>0</v>
      </c>
      <c r="BH293" s="97">
        <f>IFERROR(BG293/9,0)</f>
        <v>0</v>
      </c>
    </row>
    <row r="294" spans="1:60" s="17" customFormat="1" ht="19.5" customHeight="1" x14ac:dyDescent="0.35">
      <c r="A294" s="41">
        <f t="shared" si="145"/>
        <v>45425</v>
      </c>
      <c r="B294" s="37" t="str">
        <f t="shared" si="145"/>
        <v>Yıkama Takma</v>
      </c>
      <c r="C294" s="65">
        <f t="shared" si="146"/>
        <v>0</v>
      </c>
      <c r="D294" s="67">
        <f t="shared" si="147"/>
        <v>125</v>
      </c>
      <c r="E294" s="57"/>
      <c r="F294" s="52"/>
      <c r="G294" s="52"/>
      <c r="H294" s="58"/>
      <c r="I294" s="57"/>
      <c r="J294" s="52"/>
      <c r="K294" s="52"/>
      <c r="L294" s="58"/>
      <c r="M294" s="57"/>
      <c r="N294" s="52"/>
      <c r="O294" s="52"/>
      <c r="P294" s="58"/>
      <c r="Q294" s="57"/>
      <c r="R294" s="52"/>
      <c r="S294" s="52"/>
      <c r="T294" s="52"/>
      <c r="U294" s="58"/>
      <c r="V294" s="57"/>
      <c r="W294" s="52"/>
      <c r="X294" s="52"/>
      <c r="Y294" s="58"/>
      <c r="Z294" s="57"/>
      <c r="AA294" s="52"/>
      <c r="AB294" s="52"/>
      <c r="AC294" s="58"/>
      <c r="AD294" s="57"/>
      <c r="AE294" s="52"/>
      <c r="AF294" s="52"/>
      <c r="AG294" s="58"/>
      <c r="AH294" s="57"/>
      <c r="AI294" s="52"/>
      <c r="AJ294" s="52"/>
      <c r="AK294" s="58"/>
      <c r="AL294" s="57"/>
      <c r="AM294" s="52"/>
      <c r="AN294" s="52"/>
      <c r="AO294" s="58"/>
      <c r="AP294" s="57"/>
      <c r="AQ294" s="52"/>
      <c r="AR294" s="52"/>
      <c r="AS294" s="58"/>
      <c r="AT294" s="57"/>
      <c r="AU294" s="52"/>
      <c r="AV294" s="52"/>
      <c r="AW294" s="58"/>
      <c r="AX294" s="33">
        <f t="shared" si="148"/>
        <v>0</v>
      </c>
      <c r="AY294" s="31">
        <f t="shared" si="149"/>
        <v>0</v>
      </c>
      <c r="AZ294" s="30">
        <f t="shared" si="150"/>
        <v>0</v>
      </c>
      <c r="BA294" s="34"/>
      <c r="BB294" s="34"/>
      <c r="BC294" s="34"/>
      <c r="BD294" s="76"/>
      <c r="BE294" s="34"/>
      <c r="BF294" s="34"/>
      <c r="BG294" s="34"/>
      <c r="BH294" s="34"/>
    </row>
    <row r="295" spans="1:60" s="17" customFormat="1" ht="19.5" customHeight="1" x14ac:dyDescent="0.35">
      <c r="A295" s="41">
        <f t="shared" si="145"/>
        <v>45425</v>
      </c>
      <c r="B295" s="37" t="str">
        <f t="shared" si="145"/>
        <v>Yıkama Takma</v>
      </c>
      <c r="C295" s="65">
        <f t="shared" si="146"/>
        <v>0</v>
      </c>
      <c r="D295" s="67">
        <f t="shared" si="147"/>
        <v>125</v>
      </c>
      <c r="E295" s="57"/>
      <c r="F295" s="52"/>
      <c r="G295" s="52"/>
      <c r="H295" s="58"/>
      <c r="I295" s="57"/>
      <c r="J295" s="52"/>
      <c r="K295" s="52"/>
      <c r="L295" s="58"/>
      <c r="M295" s="57"/>
      <c r="N295" s="52"/>
      <c r="O295" s="52"/>
      <c r="P295" s="58"/>
      <c r="Q295" s="57"/>
      <c r="R295" s="52"/>
      <c r="S295" s="52"/>
      <c r="T295" s="52"/>
      <c r="U295" s="58"/>
      <c r="V295" s="57"/>
      <c r="W295" s="52"/>
      <c r="X295" s="52"/>
      <c r="Y295" s="58"/>
      <c r="Z295" s="57"/>
      <c r="AA295" s="52"/>
      <c r="AB295" s="52"/>
      <c r="AC295" s="58"/>
      <c r="AD295" s="57"/>
      <c r="AE295" s="52"/>
      <c r="AF295" s="52"/>
      <c r="AG295" s="58"/>
      <c r="AH295" s="57"/>
      <c r="AI295" s="52"/>
      <c r="AJ295" s="52"/>
      <c r="AK295" s="58"/>
      <c r="AL295" s="57"/>
      <c r="AM295" s="52"/>
      <c r="AN295" s="52"/>
      <c r="AO295" s="58"/>
      <c r="AP295" s="57"/>
      <c r="AQ295" s="52"/>
      <c r="AR295" s="52"/>
      <c r="AS295" s="58"/>
      <c r="AT295" s="57"/>
      <c r="AU295" s="52"/>
      <c r="AV295" s="52"/>
      <c r="AW295" s="58"/>
      <c r="AX295" s="33">
        <f t="shared" si="148"/>
        <v>0</v>
      </c>
      <c r="AY295" s="31">
        <f t="shared" si="149"/>
        <v>0</v>
      </c>
      <c r="AZ295" s="30">
        <f t="shared" si="150"/>
        <v>0</v>
      </c>
      <c r="BA295" s="34"/>
      <c r="BB295" s="34"/>
      <c r="BC295" s="34"/>
      <c r="BD295" s="76"/>
      <c r="BE295" s="34"/>
      <c r="BF295" s="34"/>
      <c r="BG295" s="34"/>
      <c r="BH295" s="34"/>
    </row>
    <row r="296" spans="1:60" s="17" customFormat="1" ht="19.5" customHeight="1" x14ac:dyDescent="0.35">
      <c r="A296" s="41">
        <f>A293</f>
        <v>45425</v>
      </c>
      <c r="B296" s="37" t="str">
        <f t="shared" si="145"/>
        <v>Yıkama Takma</v>
      </c>
      <c r="C296" s="65">
        <f t="shared" si="146"/>
        <v>0</v>
      </c>
      <c r="D296" s="67">
        <f t="shared" si="147"/>
        <v>125</v>
      </c>
      <c r="E296" s="57"/>
      <c r="F296" s="52"/>
      <c r="G296" s="52"/>
      <c r="H296" s="58"/>
      <c r="I296" s="57"/>
      <c r="J296" s="52"/>
      <c r="K296" s="52"/>
      <c r="L296" s="58"/>
      <c r="M296" s="57"/>
      <c r="N296" s="52"/>
      <c r="O296" s="52"/>
      <c r="P296" s="58"/>
      <c r="Q296" s="57"/>
      <c r="R296" s="52"/>
      <c r="S296" s="52"/>
      <c r="T296" s="52"/>
      <c r="U296" s="58"/>
      <c r="V296" s="57"/>
      <c r="W296" s="52"/>
      <c r="X296" s="52"/>
      <c r="Y296" s="58"/>
      <c r="Z296" s="57"/>
      <c r="AA296" s="52"/>
      <c r="AB296" s="52"/>
      <c r="AC296" s="58"/>
      <c r="AD296" s="57"/>
      <c r="AE296" s="52"/>
      <c r="AF296" s="52"/>
      <c r="AG296" s="58"/>
      <c r="AH296" s="57"/>
      <c r="AI296" s="52"/>
      <c r="AJ296" s="52"/>
      <c r="AK296" s="58"/>
      <c r="AL296" s="57"/>
      <c r="AM296" s="52"/>
      <c r="AN296" s="52"/>
      <c r="AO296" s="58"/>
      <c r="AP296" s="57"/>
      <c r="AQ296" s="52"/>
      <c r="AR296" s="52"/>
      <c r="AS296" s="58"/>
      <c r="AT296" s="57"/>
      <c r="AU296" s="52"/>
      <c r="AV296" s="52"/>
      <c r="AW296" s="58"/>
      <c r="AX296" s="33">
        <f t="shared" si="148"/>
        <v>0</v>
      </c>
      <c r="AY296" s="31">
        <f t="shared" si="149"/>
        <v>0</v>
      </c>
      <c r="AZ296" s="30">
        <f t="shared" si="150"/>
        <v>0</v>
      </c>
      <c r="BA296" s="34"/>
      <c r="BB296" s="34"/>
      <c r="BC296" s="34"/>
      <c r="BD296" s="76"/>
      <c r="BE296" s="34"/>
      <c r="BF296" s="34"/>
      <c r="BG296" s="34"/>
      <c r="BH296" s="34"/>
    </row>
    <row r="297" spans="1:60" s="17" customFormat="1" ht="19.5" customHeight="1" x14ac:dyDescent="0.35">
      <c r="A297" s="41">
        <f t="shared" ref="A297:B299" si="151">A296</f>
        <v>45425</v>
      </c>
      <c r="B297" s="37" t="str">
        <f t="shared" si="151"/>
        <v>Yıkama Takma</v>
      </c>
      <c r="C297" s="65">
        <f t="shared" si="146"/>
        <v>0</v>
      </c>
      <c r="D297" s="67">
        <f t="shared" si="147"/>
        <v>125</v>
      </c>
      <c r="E297" s="57"/>
      <c r="F297" s="52"/>
      <c r="G297" s="52"/>
      <c r="H297" s="58"/>
      <c r="I297" s="57"/>
      <c r="J297" s="52"/>
      <c r="K297" s="52"/>
      <c r="L297" s="58"/>
      <c r="M297" s="57"/>
      <c r="N297" s="52"/>
      <c r="O297" s="52"/>
      <c r="P297" s="58"/>
      <c r="Q297" s="57"/>
      <c r="R297" s="52"/>
      <c r="S297" s="52"/>
      <c r="T297" s="52"/>
      <c r="U297" s="58"/>
      <c r="V297" s="57"/>
      <c r="W297" s="52"/>
      <c r="X297" s="52"/>
      <c r="Y297" s="58"/>
      <c r="Z297" s="57"/>
      <c r="AA297" s="52"/>
      <c r="AB297" s="52"/>
      <c r="AC297" s="58"/>
      <c r="AD297" s="57"/>
      <c r="AE297" s="52"/>
      <c r="AF297" s="52"/>
      <c r="AG297" s="58"/>
      <c r="AH297" s="57"/>
      <c r="AI297" s="52"/>
      <c r="AJ297" s="52"/>
      <c r="AK297" s="58"/>
      <c r="AL297" s="57"/>
      <c r="AM297" s="52"/>
      <c r="AN297" s="52"/>
      <c r="AO297" s="58"/>
      <c r="AP297" s="57"/>
      <c r="AQ297" s="52"/>
      <c r="AR297" s="52"/>
      <c r="AS297" s="58"/>
      <c r="AT297" s="57"/>
      <c r="AU297" s="52"/>
      <c r="AV297" s="52"/>
      <c r="AW297" s="58"/>
      <c r="AX297" s="33">
        <f t="shared" si="148"/>
        <v>0</v>
      </c>
      <c r="AY297" s="31">
        <f t="shared" si="149"/>
        <v>0</v>
      </c>
      <c r="AZ297" s="30">
        <f t="shared" si="150"/>
        <v>0</v>
      </c>
      <c r="BA297" s="34"/>
      <c r="BB297" s="34"/>
      <c r="BC297" s="34"/>
      <c r="BD297" s="76"/>
      <c r="BE297" s="34"/>
      <c r="BF297" s="34"/>
      <c r="BG297" s="34"/>
      <c r="BH297" s="34"/>
    </row>
    <row r="298" spans="1:60" s="17" customFormat="1" ht="19.5" customHeight="1" thickBot="1" x14ac:dyDescent="0.4">
      <c r="A298" s="41">
        <f t="shared" si="151"/>
        <v>45425</v>
      </c>
      <c r="B298" s="37" t="str">
        <f t="shared" si="151"/>
        <v>Yıkama Takma</v>
      </c>
      <c r="C298" s="65">
        <f t="shared" si="146"/>
        <v>0</v>
      </c>
      <c r="D298" s="67">
        <f t="shared" si="147"/>
        <v>125</v>
      </c>
      <c r="E298" s="59"/>
      <c r="F298" s="60"/>
      <c r="G298" s="61"/>
      <c r="H298" s="62"/>
      <c r="I298" s="59"/>
      <c r="J298" s="60"/>
      <c r="K298" s="61"/>
      <c r="L298" s="62"/>
      <c r="M298" s="59"/>
      <c r="N298" s="60"/>
      <c r="O298" s="61"/>
      <c r="P298" s="62"/>
      <c r="Q298" s="64"/>
      <c r="R298" s="61"/>
      <c r="S298" s="61"/>
      <c r="T298" s="61"/>
      <c r="U298" s="62"/>
      <c r="V298" s="59"/>
      <c r="W298" s="60"/>
      <c r="X298" s="61"/>
      <c r="Y298" s="62"/>
      <c r="Z298" s="59"/>
      <c r="AA298" s="60"/>
      <c r="AB298" s="61"/>
      <c r="AC298" s="62"/>
      <c r="AD298" s="59"/>
      <c r="AE298" s="60"/>
      <c r="AF298" s="61"/>
      <c r="AG298" s="62"/>
      <c r="AH298" s="59"/>
      <c r="AI298" s="60"/>
      <c r="AJ298" s="61"/>
      <c r="AK298" s="62"/>
      <c r="AL298" s="59"/>
      <c r="AM298" s="60"/>
      <c r="AN298" s="61"/>
      <c r="AO298" s="62"/>
      <c r="AP298" s="59"/>
      <c r="AQ298" s="60"/>
      <c r="AR298" s="61"/>
      <c r="AS298" s="62"/>
      <c r="AT298" s="59"/>
      <c r="AU298" s="60"/>
      <c r="AV298" s="61"/>
      <c r="AW298" s="62"/>
      <c r="AX298" s="33">
        <f t="shared" si="148"/>
        <v>0</v>
      </c>
      <c r="AY298" s="31">
        <f t="shared" si="149"/>
        <v>0</v>
      </c>
      <c r="AZ298" s="30">
        <f t="shared" si="150"/>
        <v>0</v>
      </c>
      <c r="BA298" s="34"/>
      <c r="BB298" s="34"/>
      <c r="BC298" s="34"/>
      <c r="BD298" s="76"/>
      <c r="BE298" s="34"/>
      <c r="BF298" s="34"/>
      <c r="BG298" s="34"/>
      <c r="BH298" s="34"/>
    </row>
    <row r="299" spans="1:60" s="17" customFormat="1" ht="19.5" customHeight="1" thickBot="1" x14ac:dyDescent="0.45">
      <c r="A299" s="41">
        <f t="shared" si="151"/>
        <v>45425</v>
      </c>
      <c r="B299" s="139" t="str">
        <f>B292</f>
        <v>Yıkama Takma</v>
      </c>
      <c r="C299" s="140"/>
      <c r="D299" s="40">
        <f>C182/8</f>
        <v>500</v>
      </c>
      <c r="E299" s="147">
        <f>SUM(E292:H298)</f>
        <v>0</v>
      </c>
      <c r="F299" s="148"/>
      <c r="G299" s="148"/>
      <c r="H299" s="149"/>
      <c r="I299" s="147">
        <f>SUM(I292:L298)</f>
        <v>0</v>
      </c>
      <c r="J299" s="148"/>
      <c r="K299" s="148"/>
      <c r="L299" s="149"/>
      <c r="M299" s="147">
        <f>SUM(M292:P298)</f>
        <v>0</v>
      </c>
      <c r="N299" s="148"/>
      <c r="O299" s="148"/>
      <c r="P299" s="149"/>
      <c r="Q299" s="147">
        <f>SUM(Q292:U298)</f>
        <v>0</v>
      </c>
      <c r="R299" s="148"/>
      <c r="S299" s="148"/>
      <c r="T299" s="148"/>
      <c r="U299" s="149"/>
      <c r="V299" s="147">
        <f>SUM(V292:Y298)</f>
        <v>0</v>
      </c>
      <c r="W299" s="148"/>
      <c r="X299" s="148"/>
      <c r="Y299" s="149"/>
      <c r="Z299" s="147">
        <f>SUM(Z292:AC298)</f>
        <v>0</v>
      </c>
      <c r="AA299" s="148"/>
      <c r="AB299" s="148"/>
      <c r="AC299" s="149"/>
      <c r="AD299" s="147">
        <f>SUM(AD292:AG298)</f>
        <v>0</v>
      </c>
      <c r="AE299" s="148"/>
      <c r="AF299" s="148"/>
      <c r="AG299" s="149"/>
      <c r="AH299" s="147">
        <f>SUM(AH292:AK298)</f>
        <v>0</v>
      </c>
      <c r="AI299" s="148"/>
      <c r="AJ299" s="148"/>
      <c r="AK299" s="149"/>
      <c r="AL299" s="147">
        <f>SUM(AL292:AO298)</f>
        <v>0</v>
      </c>
      <c r="AM299" s="148"/>
      <c r="AN299" s="148"/>
      <c r="AO299" s="149"/>
      <c r="AP299" s="147">
        <f>SUM(AP292:AS298)</f>
        <v>0</v>
      </c>
      <c r="AQ299" s="148"/>
      <c r="AR299" s="148"/>
      <c r="AS299" s="149"/>
      <c r="AT299" s="147">
        <f>SUM(AT292:AW298)</f>
        <v>0</v>
      </c>
      <c r="AU299" s="148"/>
      <c r="AV299" s="148"/>
      <c r="AW299" s="149"/>
      <c r="AX299" s="87">
        <f>SUM(AX292:AX298)</f>
        <v>0</v>
      </c>
      <c r="AY299" s="88">
        <f>IFERROR(AVERAGEIF(E299:AV299,"&lt;&gt;0",(E299:AV299)),)</f>
        <v>0</v>
      </c>
      <c r="AZ299" s="46">
        <f>IFERROR(AX299/BB293,0)</f>
        <v>0</v>
      </c>
      <c r="BA299" s="34"/>
      <c r="BB299" s="34"/>
      <c r="BC299" s="34"/>
      <c r="BD299" s="76"/>
      <c r="BE299" s="34"/>
      <c r="BF299" s="34"/>
      <c r="BG299" s="34"/>
      <c r="BH299" s="34"/>
    </row>
    <row r="300" spans="1:60" s="17" customFormat="1" ht="19.5" customHeight="1" thickBot="1" x14ac:dyDescent="0.4">
      <c r="A300" s="42">
        <f>A291</f>
        <v>45425</v>
      </c>
      <c r="B300" s="38" t="str">
        <f>B301</f>
        <v>Kol Reçme</v>
      </c>
      <c r="C300" s="39" t="s">
        <v>180</v>
      </c>
      <c r="D300" s="69" t="s">
        <v>181</v>
      </c>
      <c r="E300" s="48">
        <v>0.34375</v>
      </c>
      <c r="F300" s="49">
        <v>0.35416666666666669</v>
      </c>
      <c r="G300" s="49">
        <v>0.36458333333333331</v>
      </c>
      <c r="H300" s="50">
        <v>0.375</v>
      </c>
      <c r="I300" s="48">
        <v>0.38541666666666702</v>
      </c>
      <c r="J300" s="49">
        <v>0.39583333333333298</v>
      </c>
      <c r="K300" s="49">
        <v>0.40625</v>
      </c>
      <c r="L300" s="50">
        <v>0.41666666666666702</v>
      </c>
      <c r="M300" s="48">
        <v>0.4375</v>
      </c>
      <c r="N300" s="49">
        <v>0.44791666666666702</v>
      </c>
      <c r="O300" s="49">
        <v>0.45833333333333398</v>
      </c>
      <c r="P300" s="50">
        <v>0.46875</v>
      </c>
      <c r="Q300" s="82">
        <v>0.47916666666666702</v>
      </c>
      <c r="R300" s="83">
        <v>0.48958333333333398</v>
      </c>
      <c r="S300" s="83">
        <v>0.5</v>
      </c>
      <c r="T300" s="84">
        <v>0.51041666666666696</v>
      </c>
      <c r="U300" s="85">
        <v>0.52083333333333204</v>
      </c>
      <c r="V300" s="48">
        <v>0.5625</v>
      </c>
      <c r="W300" s="49">
        <v>0.57291666666666663</v>
      </c>
      <c r="X300" s="49">
        <v>0.58333333333333304</v>
      </c>
      <c r="Y300" s="50">
        <v>0.59375</v>
      </c>
      <c r="Z300" s="48">
        <v>0.60416666666666696</v>
      </c>
      <c r="AA300" s="49">
        <v>0.61458333333333304</v>
      </c>
      <c r="AB300" s="49">
        <v>0.625</v>
      </c>
      <c r="AC300" s="50">
        <v>0.63541666666666596</v>
      </c>
      <c r="AD300" s="48">
        <v>0.65625</v>
      </c>
      <c r="AE300" s="49">
        <v>0.66666666666666663</v>
      </c>
      <c r="AF300" s="49">
        <v>0.67708333333333304</v>
      </c>
      <c r="AG300" s="50">
        <v>0.6875</v>
      </c>
      <c r="AH300" s="48">
        <v>0.69791666666666696</v>
      </c>
      <c r="AI300" s="49">
        <v>0.70833333333333304</v>
      </c>
      <c r="AJ300" s="49">
        <v>0.71875</v>
      </c>
      <c r="AK300" s="50">
        <v>0.72916666666666696</v>
      </c>
      <c r="AL300" s="48">
        <v>0.73958333333333404</v>
      </c>
      <c r="AM300" s="49">
        <v>0.750000000000001</v>
      </c>
      <c r="AN300" s="49">
        <v>0.76041666666666796</v>
      </c>
      <c r="AO300" s="50">
        <v>0.77083333333333504</v>
      </c>
      <c r="AP300" s="48">
        <v>0.781250000000002</v>
      </c>
      <c r="AQ300" s="49">
        <v>0.79166666666666896</v>
      </c>
      <c r="AR300" s="49">
        <v>0.80208333333333603</v>
      </c>
      <c r="AS300" s="50">
        <v>0.812500000000003</v>
      </c>
      <c r="AT300" s="48">
        <v>0.82291666666666996</v>
      </c>
      <c r="AU300" s="49">
        <v>0.83333333333333703</v>
      </c>
      <c r="AV300" s="49">
        <v>0.843750000000004</v>
      </c>
      <c r="AW300" s="50">
        <v>0.85416666666666663</v>
      </c>
      <c r="AX300" s="68" t="s">
        <v>260</v>
      </c>
      <c r="AY300" s="28" t="s">
        <v>261</v>
      </c>
      <c r="AZ300" s="29" t="s">
        <v>262</v>
      </c>
      <c r="BA300" s="136" t="str">
        <f>B301</f>
        <v>Kol Reçme</v>
      </c>
      <c r="BB300" s="137"/>
      <c r="BC300" s="137"/>
      <c r="BD300" s="137"/>
      <c r="BE300" s="137"/>
      <c r="BF300" s="137"/>
      <c r="BG300" s="137"/>
      <c r="BH300" s="138"/>
    </row>
    <row r="301" spans="1:60" s="17" customFormat="1" ht="19.5" customHeight="1" thickBot="1" x14ac:dyDescent="0.4">
      <c r="A301" s="41">
        <f t="shared" ref="A301:B305" si="152">A300</f>
        <v>45425</v>
      </c>
      <c r="B301" s="37" t="str">
        <f>B125</f>
        <v>Kol Reçme</v>
      </c>
      <c r="C301" s="65">
        <f>C125</f>
        <v>0</v>
      </c>
      <c r="D301" s="70">
        <f>D125</f>
        <v>60</v>
      </c>
      <c r="E301" s="63"/>
      <c r="F301" s="55"/>
      <c r="G301" s="55"/>
      <c r="H301" s="56"/>
      <c r="I301" s="63"/>
      <c r="J301" s="55"/>
      <c r="K301" s="55"/>
      <c r="L301" s="56"/>
      <c r="M301" s="63"/>
      <c r="N301" s="55"/>
      <c r="O301" s="55"/>
      <c r="P301" s="56"/>
      <c r="Q301" s="63"/>
      <c r="R301" s="55"/>
      <c r="S301" s="55"/>
      <c r="T301" s="55"/>
      <c r="U301" s="56"/>
      <c r="V301" s="63"/>
      <c r="W301" s="55"/>
      <c r="X301" s="55"/>
      <c r="Y301" s="56"/>
      <c r="Z301" s="63"/>
      <c r="AA301" s="55"/>
      <c r="AB301" s="55"/>
      <c r="AC301" s="56"/>
      <c r="AD301" s="63"/>
      <c r="AE301" s="55"/>
      <c r="AF301" s="55"/>
      <c r="AG301" s="56"/>
      <c r="AH301" s="63"/>
      <c r="AI301" s="55"/>
      <c r="AJ301" s="55"/>
      <c r="AK301" s="56"/>
      <c r="AL301" s="53"/>
      <c r="AM301" s="54"/>
      <c r="AN301" s="55"/>
      <c r="AO301" s="56"/>
      <c r="AP301" s="53"/>
      <c r="AQ301" s="54"/>
      <c r="AR301" s="55"/>
      <c r="AS301" s="56"/>
      <c r="AT301" s="53"/>
      <c r="AU301" s="54"/>
      <c r="AV301" s="55"/>
      <c r="AW301" s="56"/>
      <c r="AX301" s="33">
        <f>SUM(E301:AW301)</f>
        <v>0</v>
      </c>
      <c r="AY301" s="31">
        <f>IFERROR(AVERAGEIF(E301:AW301,"&lt;&gt;0",(E301:AW301)),)</f>
        <v>0</v>
      </c>
      <c r="AZ301" s="30">
        <f>IFERROR(AY301/D301,0)</f>
        <v>0</v>
      </c>
      <c r="BA301" s="103" t="s">
        <v>182</v>
      </c>
      <c r="BB301" s="100" t="s">
        <v>183</v>
      </c>
      <c r="BC301" s="100" t="s">
        <v>184</v>
      </c>
      <c r="BD301" s="101" t="s">
        <v>185</v>
      </c>
      <c r="BE301" s="100" t="s">
        <v>186</v>
      </c>
      <c r="BF301" s="102" t="s">
        <v>187</v>
      </c>
      <c r="BG301" s="100" t="s">
        <v>188</v>
      </c>
      <c r="BH301" s="102" t="s">
        <v>189</v>
      </c>
    </row>
    <row r="302" spans="1:60" s="17" customFormat="1" ht="19.5" customHeight="1" thickBot="1" x14ac:dyDescent="0.4">
      <c r="A302" s="41">
        <f t="shared" si="152"/>
        <v>45425</v>
      </c>
      <c r="B302" s="37" t="str">
        <f t="shared" si="152"/>
        <v>Kol Reçme</v>
      </c>
      <c r="C302" s="65">
        <f t="shared" ref="C302:C307" si="153">C126</f>
        <v>0</v>
      </c>
      <c r="D302" s="67">
        <f t="shared" ref="D302:D307" si="154">D301</f>
        <v>60</v>
      </c>
      <c r="E302" s="57"/>
      <c r="F302" s="52"/>
      <c r="G302" s="52"/>
      <c r="H302" s="58"/>
      <c r="I302" s="57"/>
      <c r="J302" s="52"/>
      <c r="K302" s="52"/>
      <c r="L302" s="58"/>
      <c r="M302" s="57"/>
      <c r="N302" s="52"/>
      <c r="O302" s="52"/>
      <c r="P302" s="58"/>
      <c r="Q302" s="57"/>
      <c r="R302" s="52"/>
      <c r="S302" s="52"/>
      <c r="T302" s="52"/>
      <c r="U302" s="58"/>
      <c r="V302" s="57"/>
      <c r="W302" s="52"/>
      <c r="X302" s="52"/>
      <c r="Y302" s="58"/>
      <c r="Z302" s="57"/>
      <c r="AA302" s="52"/>
      <c r="AB302" s="52"/>
      <c r="AC302" s="58"/>
      <c r="AD302" s="57"/>
      <c r="AE302" s="52"/>
      <c r="AF302" s="52"/>
      <c r="AG302" s="58"/>
      <c r="AH302" s="57"/>
      <c r="AI302" s="52"/>
      <c r="AJ302" s="52"/>
      <c r="AK302" s="58"/>
      <c r="AL302" s="57"/>
      <c r="AM302" s="52"/>
      <c r="AN302" s="52"/>
      <c r="AO302" s="58"/>
      <c r="AP302" s="57"/>
      <c r="AQ302" s="52"/>
      <c r="AR302" s="52"/>
      <c r="AS302" s="58"/>
      <c r="AT302" s="57"/>
      <c r="AU302" s="52"/>
      <c r="AV302" s="52"/>
      <c r="AW302" s="58"/>
      <c r="AX302" s="33">
        <f t="shared" ref="AX302:AX307" si="155">SUM(E302:AW302)</f>
        <v>0</v>
      </c>
      <c r="AY302" s="31">
        <f t="shared" ref="AY302:AY307" si="156">IFERROR(AVERAGEIF(E302:AW302,"&lt;&gt;0",(E302:AW302)),)</f>
        <v>0</v>
      </c>
      <c r="AZ302" s="30">
        <f t="shared" ref="AZ302:AZ307" si="157">IFERROR(AY302/D302,0)</f>
        <v>0</v>
      </c>
      <c r="BA302" s="94">
        <f>AX308+BA126</f>
        <v>0</v>
      </c>
      <c r="BB302" s="95">
        <f>(D308*8)</f>
        <v>4000</v>
      </c>
      <c r="BC302" s="96">
        <f>C181-BA302</f>
        <v>42311</v>
      </c>
      <c r="BD302" s="96">
        <f>BA293-BA302</f>
        <v>0</v>
      </c>
      <c r="BE302" s="97">
        <f>IFERROR(BC302/E308,0)</f>
        <v>0</v>
      </c>
      <c r="BF302" s="98">
        <f>IFERROR(BE302/9,0)</f>
        <v>0</v>
      </c>
      <c r="BG302" s="97">
        <f>IFERROR(BC302/AY308,0)</f>
        <v>0</v>
      </c>
      <c r="BH302" s="97">
        <f>IFERROR(BG302/9,0)</f>
        <v>0</v>
      </c>
    </row>
    <row r="303" spans="1:60" s="17" customFormat="1" ht="19.5" customHeight="1" x14ac:dyDescent="0.35">
      <c r="A303" s="41">
        <f t="shared" si="152"/>
        <v>45425</v>
      </c>
      <c r="B303" s="37" t="str">
        <f t="shared" si="152"/>
        <v>Kol Reçme</v>
      </c>
      <c r="C303" s="65">
        <f t="shared" si="153"/>
        <v>0</v>
      </c>
      <c r="D303" s="67">
        <f t="shared" si="154"/>
        <v>60</v>
      </c>
      <c r="E303" s="57"/>
      <c r="F303" s="52"/>
      <c r="G303" s="52"/>
      <c r="H303" s="58"/>
      <c r="I303" s="57"/>
      <c r="J303" s="52"/>
      <c r="K303" s="52"/>
      <c r="L303" s="58"/>
      <c r="M303" s="57"/>
      <c r="N303" s="52"/>
      <c r="O303" s="52"/>
      <c r="P303" s="58"/>
      <c r="Q303" s="57"/>
      <c r="R303" s="52"/>
      <c r="S303" s="52"/>
      <c r="T303" s="52"/>
      <c r="U303" s="58"/>
      <c r="V303" s="57"/>
      <c r="W303" s="52"/>
      <c r="X303" s="52"/>
      <c r="Y303" s="58"/>
      <c r="Z303" s="57"/>
      <c r="AA303" s="52"/>
      <c r="AB303" s="52"/>
      <c r="AC303" s="58"/>
      <c r="AD303" s="57"/>
      <c r="AE303" s="52"/>
      <c r="AF303" s="52"/>
      <c r="AG303" s="58"/>
      <c r="AH303" s="57"/>
      <c r="AI303" s="52"/>
      <c r="AJ303" s="52"/>
      <c r="AK303" s="58"/>
      <c r="AL303" s="57"/>
      <c r="AM303" s="52"/>
      <c r="AN303" s="52"/>
      <c r="AO303" s="58"/>
      <c r="AP303" s="57"/>
      <c r="AQ303" s="52"/>
      <c r="AR303" s="52"/>
      <c r="AS303" s="58"/>
      <c r="AT303" s="57"/>
      <c r="AU303" s="52"/>
      <c r="AV303" s="52"/>
      <c r="AW303" s="58"/>
      <c r="AX303" s="33">
        <f t="shared" si="155"/>
        <v>0</v>
      </c>
      <c r="AY303" s="31">
        <f t="shared" si="156"/>
        <v>0</v>
      </c>
      <c r="AZ303" s="30">
        <f t="shared" si="157"/>
        <v>0</v>
      </c>
      <c r="BA303" s="34"/>
      <c r="BB303" s="34"/>
      <c r="BC303" s="34"/>
      <c r="BD303" s="76"/>
      <c r="BE303" s="34"/>
      <c r="BF303" s="34"/>
      <c r="BG303" s="34"/>
      <c r="BH303" s="34"/>
    </row>
    <row r="304" spans="1:60" s="17" customFormat="1" ht="19.5" customHeight="1" x14ac:dyDescent="0.35">
      <c r="A304" s="41">
        <f t="shared" si="152"/>
        <v>45425</v>
      </c>
      <c r="B304" s="37" t="str">
        <f t="shared" si="152"/>
        <v>Kol Reçme</v>
      </c>
      <c r="C304" s="65">
        <f t="shared" si="153"/>
        <v>0</v>
      </c>
      <c r="D304" s="67">
        <f t="shared" si="154"/>
        <v>60</v>
      </c>
      <c r="E304" s="57"/>
      <c r="F304" s="52"/>
      <c r="G304" s="52"/>
      <c r="H304" s="58"/>
      <c r="I304" s="57"/>
      <c r="J304" s="52"/>
      <c r="K304" s="52"/>
      <c r="L304" s="58"/>
      <c r="M304" s="57"/>
      <c r="N304" s="52"/>
      <c r="O304" s="52"/>
      <c r="P304" s="58"/>
      <c r="Q304" s="57"/>
      <c r="R304" s="52"/>
      <c r="S304" s="52"/>
      <c r="T304" s="52"/>
      <c r="U304" s="58"/>
      <c r="V304" s="57"/>
      <c r="W304" s="52"/>
      <c r="X304" s="52"/>
      <c r="Y304" s="58"/>
      <c r="Z304" s="57"/>
      <c r="AA304" s="52"/>
      <c r="AB304" s="52"/>
      <c r="AC304" s="58"/>
      <c r="AD304" s="57"/>
      <c r="AE304" s="52"/>
      <c r="AF304" s="52"/>
      <c r="AG304" s="58"/>
      <c r="AH304" s="57"/>
      <c r="AI304" s="52"/>
      <c r="AJ304" s="52"/>
      <c r="AK304" s="58"/>
      <c r="AL304" s="57"/>
      <c r="AM304" s="52"/>
      <c r="AN304" s="52"/>
      <c r="AO304" s="58"/>
      <c r="AP304" s="57"/>
      <c r="AQ304" s="52"/>
      <c r="AR304" s="52"/>
      <c r="AS304" s="58"/>
      <c r="AT304" s="57"/>
      <c r="AU304" s="52"/>
      <c r="AV304" s="52"/>
      <c r="AW304" s="58"/>
      <c r="AX304" s="33">
        <f t="shared" si="155"/>
        <v>0</v>
      </c>
      <c r="AY304" s="31">
        <f t="shared" si="156"/>
        <v>0</v>
      </c>
      <c r="AZ304" s="30">
        <f t="shared" si="157"/>
        <v>0</v>
      </c>
      <c r="BA304" s="34"/>
      <c r="BB304" s="34"/>
      <c r="BC304" s="34"/>
      <c r="BD304" s="76"/>
      <c r="BE304" s="34"/>
      <c r="BF304" s="34"/>
      <c r="BG304" s="34"/>
      <c r="BH304" s="34"/>
    </row>
    <row r="305" spans="1:60" s="17" customFormat="1" ht="19.5" customHeight="1" x14ac:dyDescent="0.35">
      <c r="A305" s="41">
        <f>A302</f>
        <v>45425</v>
      </c>
      <c r="B305" s="37" t="str">
        <f t="shared" si="152"/>
        <v>Kol Reçme</v>
      </c>
      <c r="C305" s="65">
        <f t="shared" si="153"/>
        <v>0</v>
      </c>
      <c r="D305" s="67">
        <f t="shared" si="154"/>
        <v>60</v>
      </c>
      <c r="E305" s="57"/>
      <c r="F305" s="52"/>
      <c r="G305" s="52"/>
      <c r="H305" s="58"/>
      <c r="I305" s="57"/>
      <c r="J305" s="52"/>
      <c r="K305" s="52"/>
      <c r="L305" s="58"/>
      <c r="M305" s="57"/>
      <c r="N305" s="52"/>
      <c r="O305" s="52"/>
      <c r="P305" s="58"/>
      <c r="Q305" s="57"/>
      <c r="R305" s="52"/>
      <c r="S305" s="52"/>
      <c r="T305" s="52"/>
      <c r="U305" s="58"/>
      <c r="V305" s="57"/>
      <c r="W305" s="52"/>
      <c r="X305" s="52"/>
      <c r="Y305" s="58"/>
      <c r="Z305" s="57"/>
      <c r="AA305" s="52"/>
      <c r="AB305" s="52"/>
      <c r="AC305" s="58"/>
      <c r="AD305" s="57"/>
      <c r="AE305" s="52"/>
      <c r="AF305" s="52"/>
      <c r="AG305" s="58"/>
      <c r="AH305" s="57"/>
      <c r="AI305" s="52"/>
      <c r="AJ305" s="52"/>
      <c r="AK305" s="58"/>
      <c r="AL305" s="57"/>
      <c r="AM305" s="52"/>
      <c r="AN305" s="52"/>
      <c r="AO305" s="58"/>
      <c r="AP305" s="57"/>
      <c r="AQ305" s="52"/>
      <c r="AR305" s="52"/>
      <c r="AS305" s="58"/>
      <c r="AT305" s="57"/>
      <c r="AU305" s="52"/>
      <c r="AV305" s="52"/>
      <c r="AW305" s="58"/>
      <c r="AX305" s="33">
        <f t="shared" si="155"/>
        <v>0</v>
      </c>
      <c r="AY305" s="31">
        <f t="shared" si="156"/>
        <v>0</v>
      </c>
      <c r="AZ305" s="30">
        <f t="shared" si="157"/>
        <v>0</v>
      </c>
      <c r="BA305" s="34"/>
      <c r="BB305" s="34"/>
      <c r="BC305" s="34"/>
      <c r="BD305" s="76"/>
      <c r="BE305" s="34"/>
      <c r="BF305" s="34"/>
      <c r="BG305" s="34"/>
      <c r="BH305" s="34"/>
    </row>
    <row r="306" spans="1:60" s="17" customFormat="1" ht="19.5" customHeight="1" x14ac:dyDescent="0.35">
      <c r="A306" s="41">
        <f t="shared" ref="A306:B308" si="158">A305</f>
        <v>45425</v>
      </c>
      <c r="B306" s="37" t="str">
        <f t="shared" si="158"/>
        <v>Kol Reçme</v>
      </c>
      <c r="C306" s="65">
        <f t="shared" si="153"/>
        <v>0</v>
      </c>
      <c r="D306" s="67">
        <f t="shared" si="154"/>
        <v>60</v>
      </c>
      <c r="E306" s="57"/>
      <c r="F306" s="52"/>
      <c r="G306" s="52"/>
      <c r="H306" s="58"/>
      <c r="I306" s="57"/>
      <c r="J306" s="52"/>
      <c r="K306" s="52"/>
      <c r="L306" s="58"/>
      <c r="M306" s="57"/>
      <c r="N306" s="52"/>
      <c r="O306" s="52"/>
      <c r="P306" s="78"/>
      <c r="Q306" s="57"/>
      <c r="R306" s="52"/>
      <c r="S306" s="52"/>
      <c r="T306" s="52"/>
      <c r="U306" s="58"/>
      <c r="V306" s="80"/>
      <c r="W306" s="52"/>
      <c r="X306" s="52"/>
      <c r="Y306" s="58"/>
      <c r="Z306" s="57"/>
      <c r="AA306" s="52"/>
      <c r="AB306" s="52"/>
      <c r="AC306" s="58"/>
      <c r="AD306" s="57"/>
      <c r="AE306" s="52"/>
      <c r="AF306" s="52"/>
      <c r="AG306" s="58"/>
      <c r="AH306" s="57"/>
      <c r="AI306" s="52"/>
      <c r="AJ306" s="52"/>
      <c r="AK306" s="58"/>
      <c r="AL306" s="57"/>
      <c r="AM306" s="52"/>
      <c r="AN306" s="52"/>
      <c r="AO306" s="58"/>
      <c r="AP306" s="57"/>
      <c r="AQ306" s="52"/>
      <c r="AR306" s="52"/>
      <c r="AS306" s="58"/>
      <c r="AT306" s="57"/>
      <c r="AU306" s="52"/>
      <c r="AV306" s="52"/>
      <c r="AW306" s="58"/>
      <c r="AX306" s="33">
        <f t="shared" si="155"/>
        <v>0</v>
      </c>
      <c r="AY306" s="31">
        <f t="shared" si="156"/>
        <v>0</v>
      </c>
      <c r="AZ306" s="30">
        <f t="shared" si="157"/>
        <v>0</v>
      </c>
      <c r="BA306" s="34"/>
      <c r="BB306" s="34"/>
      <c r="BC306" s="34"/>
      <c r="BD306" s="76"/>
      <c r="BE306" s="34"/>
      <c r="BF306" s="34"/>
      <c r="BG306" s="34"/>
      <c r="BH306" s="34"/>
    </row>
    <row r="307" spans="1:60" s="17" customFormat="1" ht="19.5" customHeight="1" thickBot="1" x14ac:dyDescent="0.4">
      <c r="A307" s="41">
        <f t="shared" si="158"/>
        <v>45425</v>
      </c>
      <c r="B307" s="37" t="str">
        <f t="shared" si="158"/>
        <v>Kol Reçme</v>
      </c>
      <c r="C307" s="65">
        <f t="shared" si="153"/>
        <v>0</v>
      </c>
      <c r="D307" s="67">
        <f t="shared" si="154"/>
        <v>60</v>
      </c>
      <c r="E307" s="59"/>
      <c r="F307" s="60"/>
      <c r="G307" s="61"/>
      <c r="H307" s="62"/>
      <c r="I307" s="59"/>
      <c r="J307" s="60"/>
      <c r="K307" s="61"/>
      <c r="L307" s="62"/>
      <c r="M307" s="59"/>
      <c r="N307" s="60"/>
      <c r="O307" s="61"/>
      <c r="P307" s="79"/>
      <c r="Q307" s="64"/>
      <c r="R307" s="61"/>
      <c r="S307" s="61"/>
      <c r="T307" s="61"/>
      <c r="U307" s="62"/>
      <c r="V307" s="81"/>
      <c r="W307" s="60"/>
      <c r="X307" s="61"/>
      <c r="Y307" s="62"/>
      <c r="Z307" s="59"/>
      <c r="AA307" s="60"/>
      <c r="AB307" s="61"/>
      <c r="AC307" s="62"/>
      <c r="AD307" s="59"/>
      <c r="AE307" s="60"/>
      <c r="AF307" s="61"/>
      <c r="AG307" s="62"/>
      <c r="AH307" s="59"/>
      <c r="AI307" s="60"/>
      <c r="AJ307" s="61"/>
      <c r="AK307" s="62"/>
      <c r="AL307" s="59"/>
      <c r="AM307" s="60"/>
      <c r="AN307" s="61"/>
      <c r="AO307" s="62"/>
      <c r="AP307" s="59"/>
      <c r="AQ307" s="60"/>
      <c r="AR307" s="61"/>
      <c r="AS307" s="62"/>
      <c r="AT307" s="59"/>
      <c r="AU307" s="60"/>
      <c r="AV307" s="61"/>
      <c r="AW307" s="62"/>
      <c r="AX307" s="33">
        <f t="shared" si="155"/>
        <v>0</v>
      </c>
      <c r="AY307" s="31">
        <f t="shared" si="156"/>
        <v>0</v>
      </c>
      <c r="AZ307" s="30">
        <f t="shared" si="157"/>
        <v>0</v>
      </c>
      <c r="BA307" s="34"/>
      <c r="BB307" s="34"/>
      <c r="BC307" s="34"/>
      <c r="BD307" s="76"/>
      <c r="BE307" s="34"/>
      <c r="BF307" s="34"/>
      <c r="BG307" s="34"/>
      <c r="BH307" s="34"/>
    </row>
    <row r="308" spans="1:60" s="17" customFormat="1" ht="19.5" customHeight="1" thickBot="1" x14ac:dyDescent="0.45">
      <c r="A308" s="41">
        <f t="shared" si="158"/>
        <v>45425</v>
      </c>
      <c r="B308" s="139" t="str">
        <f>B301</f>
        <v>Kol Reçme</v>
      </c>
      <c r="C308" s="140"/>
      <c r="D308" s="40">
        <f>C182/8</f>
        <v>500</v>
      </c>
      <c r="E308" s="147">
        <f>SUM(E301:H307)</f>
        <v>0</v>
      </c>
      <c r="F308" s="148"/>
      <c r="G308" s="148"/>
      <c r="H308" s="149"/>
      <c r="I308" s="147">
        <f>SUM(I301:L307)</f>
        <v>0</v>
      </c>
      <c r="J308" s="148"/>
      <c r="K308" s="148"/>
      <c r="L308" s="149"/>
      <c r="M308" s="147">
        <f>SUM(M301:P307)</f>
        <v>0</v>
      </c>
      <c r="N308" s="148"/>
      <c r="O308" s="148"/>
      <c r="P308" s="149"/>
      <c r="Q308" s="151">
        <f>SUM(Q301:U307)</f>
        <v>0</v>
      </c>
      <c r="R308" s="152"/>
      <c r="S308" s="152"/>
      <c r="T308" s="152"/>
      <c r="U308" s="153"/>
      <c r="V308" s="147">
        <f>SUM(V301:Y307)</f>
        <v>0</v>
      </c>
      <c r="W308" s="148"/>
      <c r="X308" s="148"/>
      <c r="Y308" s="149"/>
      <c r="Z308" s="147">
        <f>SUM(Z301:AC307)</f>
        <v>0</v>
      </c>
      <c r="AA308" s="148"/>
      <c r="AB308" s="148"/>
      <c r="AC308" s="149"/>
      <c r="AD308" s="147">
        <f>SUM(AD301:AG307)</f>
        <v>0</v>
      </c>
      <c r="AE308" s="148"/>
      <c r="AF308" s="148"/>
      <c r="AG308" s="149"/>
      <c r="AH308" s="147">
        <f>SUM(AH301:AK307)</f>
        <v>0</v>
      </c>
      <c r="AI308" s="148"/>
      <c r="AJ308" s="148"/>
      <c r="AK308" s="149"/>
      <c r="AL308" s="147">
        <f>SUM(AL301:AO307)</f>
        <v>0</v>
      </c>
      <c r="AM308" s="148"/>
      <c r="AN308" s="148"/>
      <c r="AO308" s="149"/>
      <c r="AP308" s="147">
        <f>SUM(AP301:AS307)</f>
        <v>0</v>
      </c>
      <c r="AQ308" s="148"/>
      <c r="AR308" s="148"/>
      <c r="AS308" s="149"/>
      <c r="AT308" s="147">
        <f>SUM(AT301:AW307)</f>
        <v>0</v>
      </c>
      <c r="AU308" s="148"/>
      <c r="AV308" s="148"/>
      <c r="AW308" s="149"/>
      <c r="AX308" s="87">
        <f>SUM(AX301:AX307)</f>
        <v>0</v>
      </c>
      <c r="AY308" s="88">
        <f>IFERROR(AVERAGEIF(E308:AV308,"&lt;&gt;0",(E308:AV308)),)</f>
        <v>0</v>
      </c>
      <c r="AZ308" s="46">
        <f>IFERROR(AX308/BB302,0)</f>
        <v>0</v>
      </c>
      <c r="BA308" s="34"/>
      <c r="BB308" s="34"/>
      <c r="BC308" s="34"/>
      <c r="BD308" s="76"/>
      <c r="BE308" s="34"/>
      <c r="BF308" s="34"/>
      <c r="BG308" s="34"/>
      <c r="BH308" s="34"/>
    </row>
    <row r="309" spans="1:60" s="17" customFormat="1" ht="19.5" customHeight="1" thickBot="1" x14ac:dyDescent="0.4">
      <c r="A309" s="42">
        <f>A300</f>
        <v>45425</v>
      </c>
      <c r="B309" s="38" t="str">
        <f>B310</f>
        <v>Etek Reçme</v>
      </c>
      <c r="C309" s="39" t="s">
        <v>180</v>
      </c>
      <c r="D309" s="69" t="s">
        <v>181</v>
      </c>
      <c r="E309" s="48">
        <v>0.34375</v>
      </c>
      <c r="F309" s="49">
        <v>0.35416666666666669</v>
      </c>
      <c r="G309" s="49">
        <v>0.36458333333333331</v>
      </c>
      <c r="H309" s="50">
        <v>0.375</v>
      </c>
      <c r="I309" s="48">
        <v>0.38541666666666702</v>
      </c>
      <c r="J309" s="49">
        <v>0.39583333333333298</v>
      </c>
      <c r="K309" s="49">
        <v>0.40625</v>
      </c>
      <c r="L309" s="50">
        <v>0.41666666666666702</v>
      </c>
      <c r="M309" s="48">
        <v>0.4375</v>
      </c>
      <c r="N309" s="49">
        <v>0.44791666666666702</v>
      </c>
      <c r="O309" s="49">
        <v>0.45833333333333398</v>
      </c>
      <c r="P309" s="50">
        <v>0.46875</v>
      </c>
      <c r="Q309" s="82">
        <v>0.47916666666666702</v>
      </c>
      <c r="R309" s="83">
        <v>0.48958333333333398</v>
      </c>
      <c r="S309" s="83">
        <v>0.5</v>
      </c>
      <c r="T309" s="84">
        <v>0.51041666666666696</v>
      </c>
      <c r="U309" s="85">
        <v>0.52083333333333204</v>
      </c>
      <c r="V309" s="48">
        <v>0.5625</v>
      </c>
      <c r="W309" s="49">
        <v>0.57291666666666663</v>
      </c>
      <c r="X309" s="49">
        <v>0.58333333333333304</v>
      </c>
      <c r="Y309" s="50">
        <v>0.59375</v>
      </c>
      <c r="Z309" s="48">
        <v>0.60416666666666696</v>
      </c>
      <c r="AA309" s="49">
        <v>0.61458333333333304</v>
      </c>
      <c r="AB309" s="49">
        <v>0.625</v>
      </c>
      <c r="AC309" s="50">
        <v>0.63541666666666596</v>
      </c>
      <c r="AD309" s="48">
        <v>0.65625</v>
      </c>
      <c r="AE309" s="49">
        <v>0.66666666666666663</v>
      </c>
      <c r="AF309" s="49">
        <v>0.67708333333333304</v>
      </c>
      <c r="AG309" s="50">
        <v>0.6875</v>
      </c>
      <c r="AH309" s="48">
        <v>0.69791666666666696</v>
      </c>
      <c r="AI309" s="49">
        <v>0.70833333333333304</v>
      </c>
      <c r="AJ309" s="49">
        <v>0.71875</v>
      </c>
      <c r="AK309" s="50">
        <v>0.72916666666666696</v>
      </c>
      <c r="AL309" s="48">
        <v>0.73958333333333404</v>
      </c>
      <c r="AM309" s="49">
        <v>0.750000000000001</v>
      </c>
      <c r="AN309" s="49">
        <v>0.76041666666666796</v>
      </c>
      <c r="AO309" s="50">
        <v>0.77083333333333504</v>
      </c>
      <c r="AP309" s="48">
        <v>0.781250000000002</v>
      </c>
      <c r="AQ309" s="49">
        <v>0.79166666666666896</v>
      </c>
      <c r="AR309" s="49">
        <v>0.80208333333333603</v>
      </c>
      <c r="AS309" s="50">
        <v>0.812500000000003</v>
      </c>
      <c r="AT309" s="48">
        <v>0.82291666666666996</v>
      </c>
      <c r="AU309" s="49">
        <v>0.83333333333333703</v>
      </c>
      <c r="AV309" s="49">
        <v>0.843750000000004</v>
      </c>
      <c r="AW309" s="50">
        <v>0.85416666666666663</v>
      </c>
      <c r="AX309" s="68" t="s">
        <v>260</v>
      </c>
      <c r="AY309" s="28" t="s">
        <v>261</v>
      </c>
      <c r="AZ309" s="29" t="s">
        <v>262</v>
      </c>
      <c r="BA309" s="136" t="str">
        <f>B310</f>
        <v>Etek Reçme</v>
      </c>
      <c r="BB309" s="137"/>
      <c r="BC309" s="137"/>
      <c r="BD309" s="137"/>
      <c r="BE309" s="137"/>
      <c r="BF309" s="137"/>
      <c r="BG309" s="137"/>
      <c r="BH309" s="138"/>
    </row>
    <row r="310" spans="1:60" s="17" customFormat="1" ht="19.5" customHeight="1" thickBot="1" x14ac:dyDescent="0.4">
      <c r="A310" s="41">
        <f t="shared" ref="A310:B314" si="159">A309</f>
        <v>45425</v>
      </c>
      <c r="B310" s="37" t="str">
        <f>B134</f>
        <v>Etek Reçme</v>
      </c>
      <c r="C310" s="65">
        <f>C134</f>
        <v>0</v>
      </c>
      <c r="D310" s="70">
        <f>D134</f>
        <v>120</v>
      </c>
      <c r="E310" s="63"/>
      <c r="F310" s="55"/>
      <c r="G310" s="55"/>
      <c r="H310" s="56"/>
      <c r="I310" s="63"/>
      <c r="J310" s="55"/>
      <c r="K310" s="55"/>
      <c r="L310" s="56"/>
      <c r="M310" s="63"/>
      <c r="N310" s="55"/>
      <c r="O310" s="55"/>
      <c r="P310" s="56"/>
      <c r="Q310" s="63"/>
      <c r="R310" s="55"/>
      <c r="S310" s="55"/>
      <c r="T310" s="55"/>
      <c r="U310" s="56"/>
      <c r="V310" s="63"/>
      <c r="W310" s="55"/>
      <c r="X310" s="55"/>
      <c r="Y310" s="56"/>
      <c r="Z310" s="63"/>
      <c r="AA310" s="55"/>
      <c r="AB310" s="55"/>
      <c r="AC310" s="56"/>
      <c r="AD310" s="63"/>
      <c r="AE310" s="55"/>
      <c r="AF310" s="55"/>
      <c r="AG310" s="56"/>
      <c r="AH310" s="63"/>
      <c r="AI310" s="55"/>
      <c r="AJ310" s="55"/>
      <c r="AK310" s="56"/>
      <c r="AL310" s="53"/>
      <c r="AM310" s="54"/>
      <c r="AN310" s="55"/>
      <c r="AO310" s="56"/>
      <c r="AP310" s="53"/>
      <c r="AQ310" s="54"/>
      <c r="AR310" s="55"/>
      <c r="AS310" s="56"/>
      <c r="AT310" s="53"/>
      <c r="AU310" s="54"/>
      <c r="AV310" s="55"/>
      <c r="AW310" s="56"/>
      <c r="AX310" s="33">
        <f>SUM(E310:AW310)</f>
        <v>0</v>
      </c>
      <c r="AY310" s="31">
        <f>IFERROR(AVERAGEIF(E310:AW310,"&lt;&gt;0",(E310:AW310)),)</f>
        <v>0</v>
      </c>
      <c r="AZ310" s="30">
        <f>IFERROR(AY310/D310,0)</f>
        <v>0</v>
      </c>
      <c r="BA310" s="103" t="s">
        <v>182</v>
      </c>
      <c r="BB310" s="100" t="s">
        <v>183</v>
      </c>
      <c r="BC310" s="100" t="s">
        <v>184</v>
      </c>
      <c r="BD310" s="101" t="s">
        <v>185</v>
      </c>
      <c r="BE310" s="100" t="s">
        <v>186</v>
      </c>
      <c r="BF310" s="102" t="s">
        <v>187</v>
      </c>
      <c r="BG310" s="100" t="s">
        <v>188</v>
      </c>
      <c r="BH310" s="102" t="s">
        <v>189</v>
      </c>
    </row>
    <row r="311" spans="1:60" s="17" customFormat="1" ht="19.5" customHeight="1" thickBot="1" x14ac:dyDescent="0.4">
      <c r="A311" s="41">
        <f t="shared" si="159"/>
        <v>45425</v>
      </c>
      <c r="B311" s="37" t="str">
        <f t="shared" si="159"/>
        <v>Etek Reçme</v>
      </c>
      <c r="C311" s="65">
        <f t="shared" ref="C311:C316" si="160">C135</f>
        <v>0</v>
      </c>
      <c r="D311" s="67">
        <f t="shared" ref="D311:D316" si="161">D310</f>
        <v>120</v>
      </c>
      <c r="E311" s="57"/>
      <c r="F311" s="52"/>
      <c r="G311" s="52"/>
      <c r="H311" s="58"/>
      <c r="I311" s="57"/>
      <c r="J311" s="52"/>
      <c r="K311" s="52"/>
      <c r="L311" s="58"/>
      <c r="M311" s="57"/>
      <c r="N311" s="52"/>
      <c r="O311" s="52"/>
      <c r="P311" s="58"/>
      <c r="Q311" s="57"/>
      <c r="R311" s="52"/>
      <c r="S311" s="52"/>
      <c r="T311" s="52"/>
      <c r="U311" s="58"/>
      <c r="V311" s="57"/>
      <c r="W311" s="52"/>
      <c r="X311" s="52"/>
      <c r="Y311" s="58"/>
      <c r="Z311" s="57"/>
      <c r="AA311" s="52"/>
      <c r="AB311" s="52"/>
      <c r="AC311" s="58"/>
      <c r="AD311" s="57"/>
      <c r="AE311" s="52"/>
      <c r="AF311" s="52"/>
      <c r="AG311" s="58"/>
      <c r="AH311" s="57"/>
      <c r="AI311" s="52"/>
      <c r="AJ311" s="52"/>
      <c r="AK311" s="58"/>
      <c r="AL311" s="57"/>
      <c r="AM311" s="52"/>
      <c r="AN311" s="52"/>
      <c r="AO311" s="58"/>
      <c r="AP311" s="57"/>
      <c r="AQ311" s="52"/>
      <c r="AR311" s="52"/>
      <c r="AS311" s="58"/>
      <c r="AT311" s="57"/>
      <c r="AU311" s="52"/>
      <c r="AV311" s="52"/>
      <c r="AW311" s="58"/>
      <c r="AX311" s="33">
        <f t="shared" ref="AX311:AX316" si="162">SUM(E311:AW311)</f>
        <v>0</v>
      </c>
      <c r="AY311" s="31">
        <f t="shared" ref="AY311:AY316" si="163">IFERROR(AVERAGEIF(E311:AW311,"&lt;&gt;0",(E311:AW311)),)</f>
        <v>0</v>
      </c>
      <c r="AZ311" s="30">
        <f t="shared" ref="AZ311:AZ316" si="164">IFERROR(AY311/D311,0)</f>
        <v>0</v>
      </c>
      <c r="BA311" s="94">
        <f>AX317+BA135</f>
        <v>0</v>
      </c>
      <c r="BB311" s="95">
        <f>(D317*8)</f>
        <v>4000</v>
      </c>
      <c r="BC311" s="96">
        <f>C181-BA311</f>
        <v>42311</v>
      </c>
      <c r="BD311" s="96">
        <f>BA302-BA311</f>
        <v>0</v>
      </c>
      <c r="BE311" s="97">
        <f>IFERROR(BC311/E317,0)</f>
        <v>0</v>
      </c>
      <c r="BF311" s="98">
        <f>IFERROR(BE311/9,0)</f>
        <v>0</v>
      </c>
      <c r="BG311" s="97">
        <f>IFERROR(BC311/AY317,0)</f>
        <v>0</v>
      </c>
      <c r="BH311" s="97">
        <f>IFERROR(BG311/9,0)</f>
        <v>0</v>
      </c>
    </row>
    <row r="312" spans="1:60" s="17" customFormat="1" ht="19.5" customHeight="1" x14ac:dyDescent="0.35">
      <c r="A312" s="41">
        <f t="shared" si="159"/>
        <v>45425</v>
      </c>
      <c r="B312" s="37" t="str">
        <f t="shared" si="159"/>
        <v>Etek Reçme</v>
      </c>
      <c r="C312" s="65">
        <f t="shared" si="160"/>
        <v>0</v>
      </c>
      <c r="D312" s="67">
        <f t="shared" si="161"/>
        <v>120</v>
      </c>
      <c r="E312" s="57"/>
      <c r="F312" s="52"/>
      <c r="G312" s="52"/>
      <c r="H312" s="58"/>
      <c r="I312" s="57"/>
      <c r="J312" s="52"/>
      <c r="K312" s="52"/>
      <c r="L312" s="58"/>
      <c r="M312" s="57"/>
      <c r="N312" s="52"/>
      <c r="O312" s="52"/>
      <c r="P312" s="58"/>
      <c r="Q312" s="57"/>
      <c r="R312" s="52"/>
      <c r="S312" s="52"/>
      <c r="T312" s="52"/>
      <c r="U312" s="58"/>
      <c r="V312" s="57"/>
      <c r="W312" s="52"/>
      <c r="X312" s="52"/>
      <c r="Y312" s="58"/>
      <c r="Z312" s="57"/>
      <c r="AA312" s="52"/>
      <c r="AB312" s="52"/>
      <c r="AC312" s="58"/>
      <c r="AD312" s="57"/>
      <c r="AE312" s="52"/>
      <c r="AF312" s="52"/>
      <c r="AG312" s="58"/>
      <c r="AH312" s="57"/>
      <c r="AI312" s="52"/>
      <c r="AJ312" s="52"/>
      <c r="AK312" s="58"/>
      <c r="AL312" s="57"/>
      <c r="AM312" s="52"/>
      <c r="AN312" s="52"/>
      <c r="AO312" s="58"/>
      <c r="AP312" s="57"/>
      <c r="AQ312" s="52"/>
      <c r="AR312" s="52"/>
      <c r="AS312" s="58"/>
      <c r="AT312" s="57"/>
      <c r="AU312" s="52"/>
      <c r="AV312" s="52"/>
      <c r="AW312" s="58"/>
      <c r="AX312" s="33">
        <f t="shared" si="162"/>
        <v>0</v>
      </c>
      <c r="AY312" s="31">
        <f t="shared" si="163"/>
        <v>0</v>
      </c>
      <c r="AZ312" s="30">
        <f t="shared" si="164"/>
        <v>0</v>
      </c>
      <c r="BA312" s="34"/>
      <c r="BB312" s="34"/>
      <c r="BC312" s="34"/>
      <c r="BD312" s="76"/>
      <c r="BE312" s="34"/>
      <c r="BF312" s="34"/>
      <c r="BG312" s="34"/>
      <c r="BH312" s="34"/>
    </row>
    <row r="313" spans="1:60" s="17" customFormat="1" ht="19.5" customHeight="1" x14ac:dyDescent="0.35">
      <c r="A313" s="41">
        <f t="shared" si="159"/>
        <v>45425</v>
      </c>
      <c r="B313" s="37" t="str">
        <f t="shared" si="159"/>
        <v>Etek Reçme</v>
      </c>
      <c r="C313" s="65">
        <f t="shared" si="160"/>
        <v>0</v>
      </c>
      <c r="D313" s="67">
        <f t="shared" si="161"/>
        <v>120</v>
      </c>
      <c r="E313" s="57"/>
      <c r="F313" s="52"/>
      <c r="G313" s="52"/>
      <c r="H313" s="58"/>
      <c r="I313" s="57"/>
      <c r="J313" s="52"/>
      <c r="K313" s="52"/>
      <c r="L313" s="58"/>
      <c r="M313" s="57"/>
      <c r="N313" s="52"/>
      <c r="O313" s="52"/>
      <c r="P313" s="58"/>
      <c r="Q313" s="57"/>
      <c r="R313" s="52"/>
      <c r="S313" s="52"/>
      <c r="T313" s="52"/>
      <c r="U313" s="58"/>
      <c r="V313" s="57"/>
      <c r="W313" s="52"/>
      <c r="X313" s="52"/>
      <c r="Y313" s="58"/>
      <c r="Z313" s="57"/>
      <c r="AA313" s="52"/>
      <c r="AB313" s="52"/>
      <c r="AC313" s="58"/>
      <c r="AD313" s="57"/>
      <c r="AE313" s="52"/>
      <c r="AF313" s="52"/>
      <c r="AG313" s="58"/>
      <c r="AH313" s="57"/>
      <c r="AI313" s="52"/>
      <c r="AJ313" s="52"/>
      <c r="AK313" s="58"/>
      <c r="AL313" s="57"/>
      <c r="AM313" s="52"/>
      <c r="AN313" s="52"/>
      <c r="AO313" s="58"/>
      <c r="AP313" s="57"/>
      <c r="AQ313" s="52"/>
      <c r="AR313" s="52"/>
      <c r="AS313" s="58"/>
      <c r="AT313" s="57"/>
      <c r="AU313" s="52"/>
      <c r="AV313" s="52"/>
      <c r="AW313" s="58"/>
      <c r="AX313" s="33">
        <f t="shared" si="162"/>
        <v>0</v>
      </c>
      <c r="AY313" s="31">
        <f t="shared" si="163"/>
        <v>0</v>
      </c>
      <c r="AZ313" s="30">
        <f t="shared" si="164"/>
        <v>0</v>
      </c>
      <c r="BA313" s="34"/>
      <c r="BB313" s="34"/>
      <c r="BC313" s="34"/>
      <c r="BD313" s="76"/>
      <c r="BE313" s="34"/>
      <c r="BF313" s="34"/>
      <c r="BG313" s="34"/>
      <c r="BH313" s="34"/>
    </row>
    <row r="314" spans="1:60" s="17" customFormat="1" ht="19.5" customHeight="1" x14ac:dyDescent="0.35">
      <c r="A314" s="41">
        <f>A311</f>
        <v>45425</v>
      </c>
      <c r="B314" s="37" t="str">
        <f t="shared" si="159"/>
        <v>Etek Reçme</v>
      </c>
      <c r="C314" s="65">
        <f t="shared" si="160"/>
        <v>0</v>
      </c>
      <c r="D314" s="67">
        <f t="shared" si="161"/>
        <v>120</v>
      </c>
      <c r="E314" s="57"/>
      <c r="F314" s="52"/>
      <c r="G314" s="52"/>
      <c r="H314" s="58"/>
      <c r="I314" s="57"/>
      <c r="J314" s="52"/>
      <c r="K314" s="52"/>
      <c r="L314" s="58"/>
      <c r="M314" s="57"/>
      <c r="N314" s="52"/>
      <c r="O314" s="52"/>
      <c r="P314" s="58"/>
      <c r="Q314" s="57"/>
      <c r="R314" s="52"/>
      <c r="S314" s="52"/>
      <c r="T314" s="52"/>
      <c r="U314" s="58"/>
      <c r="V314" s="57"/>
      <c r="W314" s="52"/>
      <c r="X314" s="52"/>
      <c r="Y314" s="58"/>
      <c r="Z314" s="57"/>
      <c r="AA314" s="52"/>
      <c r="AB314" s="52"/>
      <c r="AC314" s="58"/>
      <c r="AD314" s="57"/>
      <c r="AE314" s="52"/>
      <c r="AF314" s="52"/>
      <c r="AG314" s="58"/>
      <c r="AH314" s="57"/>
      <c r="AI314" s="52"/>
      <c r="AJ314" s="52"/>
      <c r="AK314" s="58"/>
      <c r="AL314" s="57"/>
      <c r="AM314" s="52"/>
      <c r="AN314" s="52"/>
      <c r="AO314" s="58"/>
      <c r="AP314" s="57"/>
      <c r="AQ314" s="52"/>
      <c r="AR314" s="52"/>
      <c r="AS314" s="58"/>
      <c r="AT314" s="57"/>
      <c r="AU314" s="52"/>
      <c r="AV314" s="52"/>
      <c r="AW314" s="58"/>
      <c r="AX314" s="33">
        <f t="shared" si="162"/>
        <v>0</v>
      </c>
      <c r="AY314" s="31">
        <f t="shared" si="163"/>
        <v>0</v>
      </c>
      <c r="AZ314" s="30">
        <f t="shared" si="164"/>
        <v>0</v>
      </c>
      <c r="BA314" s="34"/>
      <c r="BB314" s="34"/>
      <c r="BC314" s="34"/>
      <c r="BD314" s="76"/>
      <c r="BE314" s="34"/>
      <c r="BF314" s="34"/>
      <c r="BG314" s="34"/>
      <c r="BH314" s="34"/>
    </row>
    <row r="315" spans="1:60" s="17" customFormat="1" ht="19.5" customHeight="1" x14ac:dyDescent="0.35">
      <c r="A315" s="41">
        <f t="shared" ref="A315:B317" si="165">A314</f>
        <v>45425</v>
      </c>
      <c r="B315" s="37" t="str">
        <f t="shared" si="165"/>
        <v>Etek Reçme</v>
      </c>
      <c r="C315" s="65">
        <f t="shared" si="160"/>
        <v>0</v>
      </c>
      <c r="D315" s="67">
        <f t="shared" si="161"/>
        <v>120</v>
      </c>
      <c r="E315" s="57"/>
      <c r="F315" s="52"/>
      <c r="G315" s="52"/>
      <c r="H315" s="58"/>
      <c r="I315" s="57"/>
      <c r="J315" s="52"/>
      <c r="K315" s="52"/>
      <c r="L315" s="58"/>
      <c r="M315" s="57"/>
      <c r="N315" s="52"/>
      <c r="O315" s="52"/>
      <c r="P315" s="78"/>
      <c r="Q315" s="57"/>
      <c r="R315" s="52"/>
      <c r="S315" s="52"/>
      <c r="T315" s="52"/>
      <c r="U315" s="58"/>
      <c r="V315" s="80"/>
      <c r="W315" s="52"/>
      <c r="X315" s="52"/>
      <c r="Y315" s="58"/>
      <c r="Z315" s="57"/>
      <c r="AA315" s="52"/>
      <c r="AB315" s="52"/>
      <c r="AC315" s="58"/>
      <c r="AD315" s="57"/>
      <c r="AE315" s="52"/>
      <c r="AF315" s="52"/>
      <c r="AG315" s="58"/>
      <c r="AH315" s="57"/>
      <c r="AI315" s="52"/>
      <c r="AJ315" s="52"/>
      <c r="AK315" s="58"/>
      <c r="AL315" s="57"/>
      <c r="AM315" s="52"/>
      <c r="AN315" s="52"/>
      <c r="AO315" s="58"/>
      <c r="AP315" s="57"/>
      <c r="AQ315" s="52"/>
      <c r="AR315" s="52"/>
      <c r="AS315" s="58"/>
      <c r="AT315" s="57"/>
      <c r="AU315" s="52"/>
      <c r="AV315" s="52"/>
      <c r="AW315" s="58"/>
      <c r="AX315" s="33">
        <f t="shared" si="162"/>
        <v>0</v>
      </c>
      <c r="AY315" s="31">
        <f t="shared" si="163"/>
        <v>0</v>
      </c>
      <c r="AZ315" s="30">
        <f t="shared" si="164"/>
        <v>0</v>
      </c>
      <c r="BA315" s="34"/>
      <c r="BB315" s="34"/>
      <c r="BC315" s="34"/>
      <c r="BD315" s="76"/>
      <c r="BE315" s="34"/>
      <c r="BF315" s="34"/>
      <c r="BG315" s="34"/>
      <c r="BH315" s="34"/>
    </row>
    <row r="316" spans="1:60" s="17" customFormat="1" ht="19.5" customHeight="1" thickBot="1" x14ac:dyDescent="0.4">
      <c r="A316" s="41">
        <f t="shared" si="165"/>
        <v>45425</v>
      </c>
      <c r="B316" s="37" t="str">
        <f t="shared" si="165"/>
        <v>Etek Reçme</v>
      </c>
      <c r="C316" s="65">
        <f t="shared" si="160"/>
        <v>0</v>
      </c>
      <c r="D316" s="67">
        <f t="shared" si="161"/>
        <v>120</v>
      </c>
      <c r="E316" s="59"/>
      <c r="F316" s="60"/>
      <c r="G316" s="61"/>
      <c r="H316" s="62"/>
      <c r="I316" s="59"/>
      <c r="J316" s="60"/>
      <c r="K316" s="61"/>
      <c r="L316" s="62"/>
      <c r="M316" s="59"/>
      <c r="N316" s="60"/>
      <c r="O316" s="61"/>
      <c r="P316" s="79"/>
      <c r="Q316" s="64"/>
      <c r="R316" s="61"/>
      <c r="S316" s="61"/>
      <c r="T316" s="61"/>
      <c r="U316" s="62"/>
      <c r="V316" s="81"/>
      <c r="W316" s="60"/>
      <c r="X316" s="61"/>
      <c r="Y316" s="62"/>
      <c r="Z316" s="59"/>
      <c r="AA316" s="60"/>
      <c r="AB316" s="61"/>
      <c r="AC316" s="62"/>
      <c r="AD316" s="59"/>
      <c r="AE316" s="60"/>
      <c r="AF316" s="61"/>
      <c r="AG316" s="62"/>
      <c r="AH316" s="59"/>
      <c r="AI316" s="60"/>
      <c r="AJ316" s="61"/>
      <c r="AK316" s="62"/>
      <c r="AL316" s="59"/>
      <c r="AM316" s="60"/>
      <c r="AN316" s="61"/>
      <c r="AO316" s="62"/>
      <c r="AP316" s="59"/>
      <c r="AQ316" s="60"/>
      <c r="AR316" s="61"/>
      <c r="AS316" s="62"/>
      <c r="AT316" s="59"/>
      <c r="AU316" s="60"/>
      <c r="AV316" s="61"/>
      <c r="AW316" s="62"/>
      <c r="AX316" s="33">
        <f t="shared" si="162"/>
        <v>0</v>
      </c>
      <c r="AY316" s="31">
        <f t="shared" si="163"/>
        <v>0</v>
      </c>
      <c r="AZ316" s="30">
        <f t="shared" si="164"/>
        <v>0</v>
      </c>
      <c r="BA316" s="34"/>
      <c r="BB316" s="34"/>
      <c r="BC316" s="34"/>
      <c r="BD316" s="76"/>
      <c r="BE316" s="34"/>
      <c r="BF316" s="34"/>
      <c r="BG316" s="34"/>
      <c r="BH316" s="34"/>
    </row>
    <row r="317" spans="1:60" s="17" customFormat="1" ht="19.5" customHeight="1" thickBot="1" x14ac:dyDescent="0.45">
      <c r="A317" s="41">
        <f t="shared" si="165"/>
        <v>45425</v>
      </c>
      <c r="B317" s="139" t="str">
        <f>B310</f>
        <v>Etek Reçme</v>
      </c>
      <c r="C317" s="140"/>
      <c r="D317" s="40">
        <f>C182/8</f>
        <v>500</v>
      </c>
      <c r="E317" s="147">
        <f>SUM(E310:H316)</f>
        <v>0</v>
      </c>
      <c r="F317" s="148"/>
      <c r="G317" s="148"/>
      <c r="H317" s="149"/>
      <c r="I317" s="147">
        <f>SUM(I310:L316)</f>
        <v>0</v>
      </c>
      <c r="J317" s="148"/>
      <c r="K317" s="148"/>
      <c r="L317" s="149"/>
      <c r="M317" s="147">
        <f>SUM(M310:P316)</f>
        <v>0</v>
      </c>
      <c r="N317" s="148"/>
      <c r="O317" s="148"/>
      <c r="P317" s="149"/>
      <c r="Q317" s="151">
        <f>SUM(Q310:U316)</f>
        <v>0</v>
      </c>
      <c r="R317" s="152"/>
      <c r="S317" s="152"/>
      <c r="T317" s="152"/>
      <c r="U317" s="153"/>
      <c r="V317" s="147">
        <f>SUM(V310:Y316)</f>
        <v>0</v>
      </c>
      <c r="W317" s="148"/>
      <c r="X317" s="148"/>
      <c r="Y317" s="149"/>
      <c r="Z317" s="147">
        <f>SUM(Z310:AC316)</f>
        <v>0</v>
      </c>
      <c r="AA317" s="148"/>
      <c r="AB317" s="148"/>
      <c r="AC317" s="149"/>
      <c r="AD317" s="147">
        <f>SUM(AD310:AG316)</f>
        <v>0</v>
      </c>
      <c r="AE317" s="148"/>
      <c r="AF317" s="148"/>
      <c r="AG317" s="149"/>
      <c r="AH317" s="147">
        <f>SUM(AH310:AK316)</f>
        <v>0</v>
      </c>
      <c r="AI317" s="148"/>
      <c r="AJ317" s="148"/>
      <c r="AK317" s="149"/>
      <c r="AL317" s="147">
        <f>SUM(AL310:AO316)</f>
        <v>0</v>
      </c>
      <c r="AM317" s="148"/>
      <c r="AN317" s="148"/>
      <c r="AO317" s="149"/>
      <c r="AP317" s="147">
        <f>SUM(AP310:AS316)</f>
        <v>0</v>
      </c>
      <c r="AQ317" s="148"/>
      <c r="AR317" s="148"/>
      <c r="AS317" s="149"/>
      <c r="AT317" s="147">
        <f>SUM(AT310:AW316)</f>
        <v>0</v>
      </c>
      <c r="AU317" s="148"/>
      <c r="AV317" s="148"/>
      <c r="AW317" s="149"/>
      <c r="AX317" s="87">
        <f>SUM(AX310:AX316)</f>
        <v>0</v>
      </c>
      <c r="AY317" s="88">
        <f>IFERROR(AVERAGEIF(E317:AV317,"&lt;&gt;0",(E317:AV317)),)</f>
        <v>0</v>
      </c>
      <c r="AZ317" s="46">
        <f>IFERROR(AX317/BB311,0)</f>
        <v>0</v>
      </c>
      <c r="BA317" s="34"/>
      <c r="BB317" s="34"/>
      <c r="BC317" s="34"/>
      <c r="BD317" s="76"/>
      <c r="BE317" s="34"/>
      <c r="BF317" s="34"/>
      <c r="BG317" s="34"/>
      <c r="BH317" s="34"/>
    </row>
    <row r="318" spans="1:60" s="17" customFormat="1" ht="19.5" customHeight="1" thickBot="1" x14ac:dyDescent="0.4">
      <c r="A318" s="42">
        <f>A282</f>
        <v>45425</v>
      </c>
      <c r="B318" s="38" t="str">
        <f>B319</f>
        <v>Çevirme</v>
      </c>
      <c r="C318" s="39" t="s">
        <v>180</v>
      </c>
      <c r="D318" s="69" t="s">
        <v>181</v>
      </c>
      <c r="E318" s="48">
        <v>0.34375</v>
      </c>
      <c r="F318" s="49">
        <v>0.35416666666666669</v>
      </c>
      <c r="G318" s="49">
        <v>0.36458333333333331</v>
      </c>
      <c r="H318" s="50">
        <v>0.375</v>
      </c>
      <c r="I318" s="48">
        <v>0.38541666666666702</v>
      </c>
      <c r="J318" s="49">
        <v>0.39583333333333298</v>
      </c>
      <c r="K318" s="49">
        <v>0.40625</v>
      </c>
      <c r="L318" s="50">
        <v>0.41666666666666702</v>
      </c>
      <c r="M318" s="48">
        <v>0.4375</v>
      </c>
      <c r="N318" s="49">
        <v>0.44791666666666702</v>
      </c>
      <c r="O318" s="49">
        <v>0.45833333333333398</v>
      </c>
      <c r="P318" s="50">
        <v>0.46875</v>
      </c>
      <c r="Q318" s="48">
        <v>0.47916666666666702</v>
      </c>
      <c r="R318" s="49">
        <v>0.48958333333333398</v>
      </c>
      <c r="S318" s="49">
        <v>0.5</v>
      </c>
      <c r="T318" s="50">
        <v>0.51041666666666696</v>
      </c>
      <c r="U318" s="51">
        <v>0.52083333333333204</v>
      </c>
      <c r="V318" s="48">
        <v>0.5625</v>
      </c>
      <c r="W318" s="49">
        <v>0.57291666666666663</v>
      </c>
      <c r="X318" s="49">
        <v>0.58333333333333304</v>
      </c>
      <c r="Y318" s="50">
        <v>0.59375</v>
      </c>
      <c r="Z318" s="48">
        <v>0.60416666666666696</v>
      </c>
      <c r="AA318" s="49">
        <v>0.61458333333333304</v>
      </c>
      <c r="AB318" s="49">
        <v>0.625</v>
      </c>
      <c r="AC318" s="50">
        <v>0.63541666666666596</v>
      </c>
      <c r="AD318" s="48">
        <v>0.65625</v>
      </c>
      <c r="AE318" s="49">
        <v>0.66666666666666663</v>
      </c>
      <c r="AF318" s="49">
        <v>0.67708333333333304</v>
      </c>
      <c r="AG318" s="50">
        <v>0.6875</v>
      </c>
      <c r="AH318" s="48">
        <v>0.69791666666666696</v>
      </c>
      <c r="AI318" s="49">
        <v>0.70833333333333304</v>
      </c>
      <c r="AJ318" s="49">
        <v>0.71875</v>
      </c>
      <c r="AK318" s="50">
        <v>0.72916666666666696</v>
      </c>
      <c r="AL318" s="48">
        <v>0.73958333333333404</v>
      </c>
      <c r="AM318" s="49">
        <v>0.750000000000001</v>
      </c>
      <c r="AN318" s="49">
        <v>0.76041666666666796</v>
      </c>
      <c r="AO318" s="50">
        <v>0.77083333333333504</v>
      </c>
      <c r="AP318" s="48">
        <v>0.781250000000002</v>
      </c>
      <c r="AQ318" s="49">
        <v>0.79166666666666896</v>
      </c>
      <c r="AR318" s="49">
        <v>0.80208333333333603</v>
      </c>
      <c r="AS318" s="50">
        <v>0.812500000000003</v>
      </c>
      <c r="AT318" s="48">
        <v>0.82291666666666996</v>
      </c>
      <c r="AU318" s="49">
        <v>0.83333333333333703</v>
      </c>
      <c r="AV318" s="49">
        <v>0.843750000000004</v>
      </c>
      <c r="AW318" s="50">
        <v>0.85416666666666663</v>
      </c>
      <c r="AX318" s="68" t="s">
        <v>260</v>
      </c>
      <c r="AY318" s="28" t="s">
        <v>261</v>
      </c>
      <c r="AZ318" s="29" t="s">
        <v>262</v>
      </c>
      <c r="BA318" s="136" t="str">
        <f>B319</f>
        <v>Çevirme</v>
      </c>
      <c r="BB318" s="137"/>
      <c r="BC318" s="137"/>
      <c r="BD318" s="137"/>
      <c r="BE318" s="137"/>
      <c r="BF318" s="137"/>
      <c r="BG318" s="137"/>
      <c r="BH318" s="138"/>
    </row>
    <row r="319" spans="1:60" s="17" customFormat="1" ht="19.5" customHeight="1" thickBot="1" x14ac:dyDescent="0.4">
      <c r="A319" s="41">
        <f t="shared" ref="A319:B323" si="166">A318</f>
        <v>45425</v>
      </c>
      <c r="B319" s="37" t="str">
        <f>B143</f>
        <v>Çevirme</v>
      </c>
      <c r="C319" s="65">
        <f>C143</f>
        <v>0</v>
      </c>
      <c r="D319" s="70">
        <f>D107</f>
        <v>40</v>
      </c>
      <c r="E319" s="63"/>
      <c r="F319" s="55"/>
      <c r="G319" s="55"/>
      <c r="H319" s="56"/>
      <c r="I319" s="63"/>
      <c r="J319" s="55"/>
      <c r="K319" s="55"/>
      <c r="L319" s="56"/>
      <c r="M319" s="63"/>
      <c r="N319" s="55"/>
      <c r="O319" s="55"/>
      <c r="P319" s="56"/>
      <c r="Q319" s="63"/>
      <c r="R319" s="55"/>
      <c r="S319" s="55"/>
      <c r="T319" s="55"/>
      <c r="U319" s="56"/>
      <c r="V319" s="63"/>
      <c r="W319" s="55"/>
      <c r="X319" s="55"/>
      <c r="Y319" s="56"/>
      <c r="Z319" s="63"/>
      <c r="AA319" s="55"/>
      <c r="AB319" s="55"/>
      <c r="AC319" s="56"/>
      <c r="AD319" s="63"/>
      <c r="AE319" s="55"/>
      <c r="AF319" s="55"/>
      <c r="AG319" s="56"/>
      <c r="AH319" s="63"/>
      <c r="AI319" s="55"/>
      <c r="AJ319" s="55"/>
      <c r="AK319" s="56"/>
      <c r="AL319" s="63"/>
      <c r="AM319" s="55"/>
      <c r="AN319" s="55"/>
      <c r="AO319" s="56"/>
      <c r="AP319" s="63"/>
      <c r="AQ319" s="55"/>
      <c r="AR319" s="55"/>
      <c r="AS319" s="56"/>
      <c r="AT319" s="53"/>
      <c r="AU319" s="54"/>
      <c r="AV319" s="55"/>
      <c r="AW319" s="56"/>
      <c r="AX319" s="33">
        <f>SUM(E319:AW319)</f>
        <v>0</v>
      </c>
      <c r="AY319" s="31">
        <f>IFERROR(AVERAGEIF(E319:AW319,"&lt;&gt;0",(E319:AW319)),)</f>
        <v>0</v>
      </c>
      <c r="AZ319" s="30">
        <f>IFERROR(AY319/D319,0)</f>
        <v>0</v>
      </c>
      <c r="BA319" s="103" t="s">
        <v>182</v>
      </c>
      <c r="BB319" s="100" t="s">
        <v>183</v>
      </c>
      <c r="BC319" s="100" t="s">
        <v>184</v>
      </c>
      <c r="BD319" s="101" t="s">
        <v>185</v>
      </c>
      <c r="BE319" s="100" t="s">
        <v>186</v>
      </c>
      <c r="BF319" s="102" t="s">
        <v>187</v>
      </c>
      <c r="BG319" s="100" t="s">
        <v>188</v>
      </c>
      <c r="BH319" s="102" t="s">
        <v>189</v>
      </c>
    </row>
    <row r="320" spans="1:60" s="17" customFormat="1" ht="19.5" customHeight="1" thickBot="1" x14ac:dyDescent="0.4">
      <c r="A320" s="41">
        <f t="shared" si="166"/>
        <v>45425</v>
      </c>
      <c r="B320" s="37" t="str">
        <f t="shared" si="166"/>
        <v>Çevirme</v>
      </c>
      <c r="C320" s="65">
        <f t="shared" ref="C320:C325" si="167">C144</f>
        <v>0</v>
      </c>
      <c r="D320" s="67">
        <f t="shared" ref="D320:D325" si="168">D319</f>
        <v>40</v>
      </c>
      <c r="E320" s="57"/>
      <c r="F320" s="52"/>
      <c r="G320" s="52"/>
      <c r="H320" s="58"/>
      <c r="I320" s="57"/>
      <c r="J320" s="52"/>
      <c r="K320" s="52"/>
      <c r="L320" s="58"/>
      <c r="M320" s="57"/>
      <c r="N320" s="52"/>
      <c r="O320" s="52"/>
      <c r="P320" s="58"/>
      <c r="Q320" s="57"/>
      <c r="R320" s="52"/>
      <c r="S320" s="52"/>
      <c r="T320" s="52"/>
      <c r="U320" s="58"/>
      <c r="V320" s="57"/>
      <c r="W320" s="52"/>
      <c r="X320" s="52"/>
      <c r="Y320" s="58"/>
      <c r="Z320" s="57"/>
      <c r="AA320" s="52"/>
      <c r="AB320" s="52"/>
      <c r="AC320" s="58"/>
      <c r="AD320" s="57"/>
      <c r="AE320" s="52"/>
      <c r="AF320" s="52"/>
      <c r="AG320" s="58"/>
      <c r="AH320" s="57"/>
      <c r="AI320" s="52"/>
      <c r="AJ320" s="52"/>
      <c r="AK320" s="58"/>
      <c r="AL320" s="57"/>
      <c r="AM320" s="52"/>
      <c r="AN320" s="52"/>
      <c r="AO320" s="58"/>
      <c r="AP320" s="57"/>
      <c r="AQ320" s="52"/>
      <c r="AR320" s="52"/>
      <c r="AS320" s="58"/>
      <c r="AT320" s="57"/>
      <c r="AU320" s="52"/>
      <c r="AV320" s="52"/>
      <c r="AW320" s="58"/>
      <c r="AX320" s="33">
        <f t="shared" ref="AX320:AX325" si="169">SUM(E320:AW320)</f>
        <v>0</v>
      </c>
      <c r="AY320" s="31">
        <f t="shared" ref="AY320:AY325" si="170">IFERROR(AVERAGEIF(E320:AW320,"&lt;&gt;0",(E320:AW320)),)</f>
        <v>0</v>
      </c>
      <c r="AZ320" s="30">
        <f t="shared" ref="AZ320:AZ325" si="171">IFERROR(AY320/D320,0)</f>
        <v>0</v>
      </c>
      <c r="BA320" s="94">
        <f>AX326+BA144</f>
        <v>0</v>
      </c>
      <c r="BB320" s="95">
        <f>(D326*8)</f>
        <v>4000</v>
      </c>
      <c r="BC320" s="96">
        <f>C181-BA320</f>
        <v>42311</v>
      </c>
      <c r="BD320" s="96">
        <f>BA302-BA320</f>
        <v>0</v>
      </c>
      <c r="BE320" s="97">
        <f>IFERROR(BC320/E326,0)</f>
        <v>0</v>
      </c>
      <c r="BF320" s="98">
        <f>IFERROR(BE320/9,0)</f>
        <v>0</v>
      </c>
      <c r="BG320" s="97">
        <f>IFERROR(BC320/AY326,0)</f>
        <v>0</v>
      </c>
      <c r="BH320" s="97">
        <f>IFERROR(BG320/9,0)</f>
        <v>0</v>
      </c>
    </row>
    <row r="321" spans="1:60" s="17" customFormat="1" ht="19.5" customHeight="1" x14ac:dyDescent="0.35">
      <c r="A321" s="41">
        <f t="shared" si="166"/>
        <v>45425</v>
      </c>
      <c r="B321" s="37" t="str">
        <f t="shared" si="166"/>
        <v>Çevirme</v>
      </c>
      <c r="C321" s="65">
        <f t="shared" si="167"/>
        <v>0</v>
      </c>
      <c r="D321" s="67">
        <f t="shared" si="168"/>
        <v>40</v>
      </c>
      <c r="E321" s="57"/>
      <c r="F321" s="52"/>
      <c r="G321" s="52"/>
      <c r="H321" s="58"/>
      <c r="I321" s="57"/>
      <c r="J321" s="52"/>
      <c r="K321" s="52"/>
      <c r="L321" s="58"/>
      <c r="M321" s="57"/>
      <c r="N321" s="52"/>
      <c r="O321" s="52"/>
      <c r="P321" s="58"/>
      <c r="Q321" s="57"/>
      <c r="R321" s="52"/>
      <c r="S321" s="52"/>
      <c r="T321" s="52"/>
      <c r="U321" s="58"/>
      <c r="V321" s="57"/>
      <c r="W321" s="52"/>
      <c r="X321" s="52"/>
      <c r="Y321" s="58"/>
      <c r="Z321" s="57"/>
      <c r="AA321" s="52"/>
      <c r="AB321" s="52"/>
      <c r="AC321" s="58"/>
      <c r="AD321" s="57"/>
      <c r="AE321" s="52"/>
      <c r="AF321" s="52"/>
      <c r="AG321" s="58"/>
      <c r="AH321" s="57"/>
      <c r="AI321" s="52"/>
      <c r="AJ321" s="52"/>
      <c r="AK321" s="58"/>
      <c r="AL321" s="57"/>
      <c r="AM321" s="52"/>
      <c r="AN321" s="52"/>
      <c r="AO321" s="58"/>
      <c r="AP321" s="57"/>
      <c r="AQ321" s="52"/>
      <c r="AR321" s="52"/>
      <c r="AS321" s="58"/>
      <c r="AT321" s="57"/>
      <c r="AU321" s="52"/>
      <c r="AV321" s="52"/>
      <c r="AW321" s="58"/>
      <c r="AX321" s="33">
        <f t="shared" si="169"/>
        <v>0</v>
      </c>
      <c r="AY321" s="31">
        <f t="shared" si="170"/>
        <v>0</v>
      </c>
      <c r="AZ321" s="30">
        <f t="shared" si="171"/>
        <v>0</v>
      </c>
      <c r="BA321" s="34"/>
      <c r="BB321" s="34"/>
      <c r="BC321" s="34"/>
      <c r="BD321" s="76"/>
      <c r="BE321" s="34"/>
      <c r="BF321" s="34"/>
      <c r="BG321" s="34"/>
      <c r="BH321" s="34"/>
    </row>
    <row r="322" spans="1:60" s="17" customFormat="1" ht="19.5" customHeight="1" x14ac:dyDescent="0.35">
      <c r="A322" s="41">
        <f t="shared" si="166"/>
        <v>45425</v>
      </c>
      <c r="B322" s="37" t="str">
        <f t="shared" si="166"/>
        <v>Çevirme</v>
      </c>
      <c r="C322" s="65">
        <f t="shared" si="167"/>
        <v>0</v>
      </c>
      <c r="D322" s="67">
        <f t="shared" si="168"/>
        <v>40</v>
      </c>
      <c r="E322" s="57"/>
      <c r="F322" s="52"/>
      <c r="G322" s="52"/>
      <c r="H322" s="58"/>
      <c r="I322" s="57"/>
      <c r="J322" s="52"/>
      <c r="K322" s="52"/>
      <c r="L322" s="58"/>
      <c r="M322" s="57"/>
      <c r="N322" s="52"/>
      <c r="O322" s="52"/>
      <c r="P322" s="58"/>
      <c r="Q322" s="57"/>
      <c r="R322" s="52"/>
      <c r="S322" s="52"/>
      <c r="T322" s="52"/>
      <c r="U322" s="58"/>
      <c r="V322" s="57"/>
      <c r="W322" s="52"/>
      <c r="X322" s="52"/>
      <c r="Y322" s="58"/>
      <c r="Z322" s="57"/>
      <c r="AA322" s="52"/>
      <c r="AB322" s="52"/>
      <c r="AC322" s="58"/>
      <c r="AD322" s="57"/>
      <c r="AE322" s="52"/>
      <c r="AF322" s="52"/>
      <c r="AG322" s="58"/>
      <c r="AH322" s="57"/>
      <c r="AI322" s="52"/>
      <c r="AJ322" s="52"/>
      <c r="AK322" s="58"/>
      <c r="AL322" s="57"/>
      <c r="AM322" s="52"/>
      <c r="AN322" s="52"/>
      <c r="AO322" s="58"/>
      <c r="AP322" s="57"/>
      <c r="AQ322" s="52"/>
      <c r="AR322" s="52"/>
      <c r="AS322" s="58"/>
      <c r="AT322" s="57"/>
      <c r="AU322" s="52"/>
      <c r="AV322" s="52"/>
      <c r="AW322" s="58"/>
      <c r="AX322" s="33">
        <f t="shared" si="169"/>
        <v>0</v>
      </c>
      <c r="AY322" s="31">
        <f t="shared" si="170"/>
        <v>0</v>
      </c>
      <c r="AZ322" s="30">
        <f t="shared" si="171"/>
        <v>0</v>
      </c>
      <c r="BA322" s="34"/>
      <c r="BB322" s="34"/>
      <c r="BC322" s="34"/>
      <c r="BD322" s="76"/>
      <c r="BE322" s="34"/>
      <c r="BF322" s="34"/>
      <c r="BG322" s="34"/>
      <c r="BH322" s="34"/>
    </row>
    <row r="323" spans="1:60" s="17" customFormat="1" ht="19.5" customHeight="1" x14ac:dyDescent="0.35">
      <c r="A323" s="41">
        <f>A320</f>
        <v>45425</v>
      </c>
      <c r="B323" s="37" t="str">
        <f t="shared" si="166"/>
        <v>Çevirme</v>
      </c>
      <c r="C323" s="65">
        <f t="shared" si="167"/>
        <v>0</v>
      </c>
      <c r="D323" s="67">
        <f t="shared" si="168"/>
        <v>40</v>
      </c>
      <c r="E323" s="57"/>
      <c r="F323" s="52"/>
      <c r="G323" s="52"/>
      <c r="H323" s="58"/>
      <c r="I323" s="57"/>
      <c r="J323" s="52"/>
      <c r="K323" s="52"/>
      <c r="L323" s="58"/>
      <c r="M323" s="57"/>
      <c r="N323" s="52"/>
      <c r="O323" s="52"/>
      <c r="P323" s="58"/>
      <c r="Q323" s="57"/>
      <c r="R323" s="52"/>
      <c r="S323" s="52"/>
      <c r="T323" s="52"/>
      <c r="U323" s="58"/>
      <c r="V323" s="57"/>
      <c r="W323" s="52"/>
      <c r="X323" s="52"/>
      <c r="Y323" s="58"/>
      <c r="Z323" s="57"/>
      <c r="AA323" s="52"/>
      <c r="AB323" s="52"/>
      <c r="AC323" s="58"/>
      <c r="AD323" s="57"/>
      <c r="AE323" s="52"/>
      <c r="AF323" s="52"/>
      <c r="AG323" s="58"/>
      <c r="AH323" s="57"/>
      <c r="AI323" s="52"/>
      <c r="AJ323" s="52"/>
      <c r="AK323" s="58"/>
      <c r="AL323" s="57"/>
      <c r="AM323" s="52"/>
      <c r="AN323" s="52"/>
      <c r="AO323" s="58"/>
      <c r="AP323" s="57"/>
      <c r="AQ323" s="52"/>
      <c r="AR323" s="52"/>
      <c r="AS323" s="58"/>
      <c r="AT323" s="57"/>
      <c r="AU323" s="52"/>
      <c r="AV323" s="52"/>
      <c r="AW323" s="58"/>
      <c r="AX323" s="33">
        <f t="shared" si="169"/>
        <v>0</v>
      </c>
      <c r="AY323" s="31">
        <f t="shared" si="170"/>
        <v>0</v>
      </c>
      <c r="AZ323" s="30">
        <f t="shared" si="171"/>
        <v>0</v>
      </c>
      <c r="BA323" s="34"/>
      <c r="BB323" s="34"/>
      <c r="BC323" s="34"/>
      <c r="BD323" s="76"/>
      <c r="BE323" s="34"/>
      <c r="BF323" s="34"/>
      <c r="BG323" s="34"/>
      <c r="BH323" s="34"/>
    </row>
    <row r="324" spans="1:60" s="17" customFormat="1" ht="19.5" customHeight="1" x14ac:dyDescent="0.35">
      <c r="A324" s="41">
        <f t="shared" ref="A324:B326" si="172">A323</f>
        <v>45425</v>
      </c>
      <c r="B324" s="37" t="str">
        <f t="shared" si="172"/>
        <v>Çevirme</v>
      </c>
      <c r="C324" s="65">
        <f t="shared" si="167"/>
        <v>0</v>
      </c>
      <c r="D324" s="67">
        <f t="shared" si="168"/>
        <v>40</v>
      </c>
      <c r="E324" s="57"/>
      <c r="F324" s="52"/>
      <c r="G324" s="52"/>
      <c r="H324" s="58"/>
      <c r="I324" s="57"/>
      <c r="J324" s="52"/>
      <c r="K324" s="52"/>
      <c r="L324" s="58"/>
      <c r="M324" s="57"/>
      <c r="N324" s="52"/>
      <c r="O324" s="52"/>
      <c r="P324" s="58"/>
      <c r="Q324" s="57"/>
      <c r="R324" s="52"/>
      <c r="S324" s="52"/>
      <c r="T324" s="52"/>
      <c r="U324" s="58"/>
      <c r="V324" s="57"/>
      <c r="W324" s="52"/>
      <c r="X324" s="52"/>
      <c r="Y324" s="58"/>
      <c r="Z324" s="57"/>
      <c r="AA324" s="52"/>
      <c r="AB324" s="52"/>
      <c r="AC324" s="58"/>
      <c r="AD324" s="57"/>
      <c r="AE324" s="52"/>
      <c r="AF324" s="52"/>
      <c r="AG324" s="58"/>
      <c r="AH324" s="57"/>
      <c r="AI324" s="52"/>
      <c r="AJ324" s="52"/>
      <c r="AK324" s="58"/>
      <c r="AL324" s="57"/>
      <c r="AM324" s="52"/>
      <c r="AN324" s="52"/>
      <c r="AO324" s="58"/>
      <c r="AP324" s="57"/>
      <c r="AQ324" s="52"/>
      <c r="AR324" s="52"/>
      <c r="AS324" s="58"/>
      <c r="AT324" s="57"/>
      <c r="AU324" s="52"/>
      <c r="AV324" s="52"/>
      <c r="AW324" s="58"/>
      <c r="AX324" s="33">
        <f t="shared" si="169"/>
        <v>0</v>
      </c>
      <c r="AY324" s="31">
        <f t="shared" si="170"/>
        <v>0</v>
      </c>
      <c r="AZ324" s="30">
        <f t="shared" si="171"/>
        <v>0</v>
      </c>
      <c r="BA324" s="34"/>
      <c r="BB324" s="34"/>
      <c r="BC324" s="34"/>
      <c r="BD324" s="76"/>
      <c r="BE324" s="34"/>
      <c r="BF324" s="34"/>
      <c r="BG324" s="34"/>
      <c r="BH324" s="34"/>
    </row>
    <row r="325" spans="1:60" s="17" customFormat="1" ht="19.5" customHeight="1" thickBot="1" x14ac:dyDescent="0.4">
      <c r="A325" s="41">
        <f t="shared" si="172"/>
        <v>45425</v>
      </c>
      <c r="B325" s="37" t="str">
        <f t="shared" si="172"/>
        <v>Çevirme</v>
      </c>
      <c r="C325" s="65">
        <f t="shared" si="167"/>
        <v>0</v>
      </c>
      <c r="D325" s="67">
        <f t="shared" si="168"/>
        <v>40</v>
      </c>
      <c r="E325" s="59"/>
      <c r="F325" s="60"/>
      <c r="G325" s="61"/>
      <c r="H325" s="62"/>
      <c r="I325" s="59"/>
      <c r="J325" s="60"/>
      <c r="K325" s="61"/>
      <c r="L325" s="62"/>
      <c r="M325" s="59"/>
      <c r="N325" s="60"/>
      <c r="O325" s="61"/>
      <c r="P325" s="62"/>
      <c r="Q325" s="64"/>
      <c r="R325" s="61"/>
      <c r="S325" s="61"/>
      <c r="T325" s="61"/>
      <c r="U325" s="62"/>
      <c r="V325" s="59"/>
      <c r="W325" s="60"/>
      <c r="X325" s="61"/>
      <c r="Y325" s="62"/>
      <c r="Z325" s="59"/>
      <c r="AA325" s="60"/>
      <c r="AB325" s="61"/>
      <c r="AC325" s="62"/>
      <c r="AD325" s="59"/>
      <c r="AE325" s="60"/>
      <c r="AF325" s="61"/>
      <c r="AG325" s="62"/>
      <c r="AH325" s="59"/>
      <c r="AI325" s="60"/>
      <c r="AJ325" s="61"/>
      <c r="AK325" s="62"/>
      <c r="AL325" s="59"/>
      <c r="AM325" s="60"/>
      <c r="AN325" s="61"/>
      <c r="AO325" s="62"/>
      <c r="AP325" s="59"/>
      <c r="AQ325" s="60"/>
      <c r="AR325" s="61"/>
      <c r="AS325" s="62"/>
      <c r="AT325" s="59"/>
      <c r="AU325" s="60"/>
      <c r="AV325" s="61"/>
      <c r="AW325" s="62"/>
      <c r="AX325" s="33">
        <f t="shared" si="169"/>
        <v>0</v>
      </c>
      <c r="AY325" s="31">
        <f t="shared" si="170"/>
        <v>0</v>
      </c>
      <c r="AZ325" s="30">
        <f t="shared" si="171"/>
        <v>0</v>
      </c>
      <c r="BA325" s="34"/>
      <c r="BB325" s="34"/>
      <c r="BC325" s="34"/>
      <c r="BD325" s="76"/>
      <c r="BE325" s="34"/>
      <c r="BF325" s="34"/>
      <c r="BG325" s="34"/>
      <c r="BH325" s="34"/>
    </row>
    <row r="326" spans="1:60" s="17" customFormat="1" ht="19.5" customHeight="1" thickBot="1" x14ac:dyDescent="0.45">
      <c r="A326" s="41">
        <f t="shared" si="172"/>
        <v>45425</v>
      </c>
      <c r="B326" s="139" t="str">
        <f>B319</f>
        <v>Çevirme</v>
      </c>
      <c r="C326" s="140"/>
      <c r="D326" s="40">
        <f>C182/8</f>
        <v>500</v>
      </c>
      <c r="E326" s="147">
        <f>SUM(E319:H325)</f>
        <v>0</v>
      </c>
      <c r="F326" s="148"/>
      <c r="G326" s="148"/>
      <c r="H326" s="149"/>
      <c r="I326" s="147">
        <f>SUM(I319:L325)</f>
        <v>0</v>
      </c>
      <c r="J326" s="148"/>
      <c r="K326" s="148"/>
      <c r="L326" s="149"/>
      <c r="M326" s="147">
        <f>SUM(M319:P325)</f>
        <v>0</v>
      </c>
      <c r="N326" s="148"/>
      <c r="O326" s="148"/>
      <c r="P326" s="149"/>
      <c r="Q326" s="147">
        <f>SUM(Q319:U325)</f>
        <v>0</v>
      </c>
      <c r="R326" s="148"/>
      <c r="S326" s="148"/>
      <c r="T326" s="148"/>
      <c r="U326" s="149"/>
      <c r="V326" s="147">
        <f>SUM(V319:Y325)</f>
        <v>0</v>
      </c>
      <c r="W326" s="148"/>
      <c r="X326" s="148"/>
      <c r="Y326" s="149"/>
      <c r="Z326" s="147">
        <f>SUM(Z319:AC325)</f>
        <v>0</v>
      </c>
      <c r="AA326" s="148"/>
      <c r="AB326" s="148"/>
      <c r="AC326" s="149"/>
      <c r="AD326" s="147">
        <f>SUM(AD319:AG325)</f>
        <v>0</v>
      </c>
      <c r="AE326" s="148"/>
      <c r="AF326" s="148"/>
      <c r="AG326" s="149"/>
      <c r="AH326" s="147">
        <f>SUM(AH319:AK325)</f>
        <v>0</v>
      </c>
      <c r="AI326" s="148"/>
      <c r="AJ326" s="148"/>
      <c r="AK326" s="149"/>
      <c r="AL326" s="147">
        <f>SUM(AL319:AO325)</f>
        <v>0</v>
      </c>
      <c r="AM326" s="148"/>
      <c r="AN326" s="148"/>
      <c r="AO326" s="149"/>
      <c r="AP326" s="147">
        <f>SUM(AP319:AS325)</f>
        <v>0</v>
      </c>
      <c r="AQ326" s="148"/>
      <c r="AR326" s="148"/>
      <c r="AS326" s="149"/>
      <c r="AT326" s="147">
        <f>SUM(AT319:AW325)</f>
        <v>0</v>
      </c>
      <c r="AU326" s="148"/>
      <c r="AV326" s="148"/>
      <c r="AW326" s="149"/>
      <c r="AX326" s="87">
        <f>SUM(AX319:AX325)</f>
        <v>0</v>
      </c>
      <c r="AY326" s="88">
        <f>IFERROR(AVERAGEIF(E326:AV326,"&lt;&gt;0",(E326:AV326)),)</f>
        <v>0</v>
      </c>
      <c r="AZ326" s="46">
        <f>IFERROR(AX326/BB320,0)</f>
        <v>0</v>
      </c>
      <c r="BA326" s="34"/>
      <c r="BB326" s="34"/>
      <c r="BC326" s="34"/>
      <c r="BD326" s="76"/>
      <c r="BE326" s="34"/>
      <c r="BF326" s="34"/>
      <c r="BG326" s="34"/>
      <c r="BH326" s="34"/>
    </row>
    <row r="327" spans="1:60" s="17" customFormat="1" ht="19.5" customHeight="1" thickBot="1" x14ac:dyDescent="0.4">
      <c r="A327" s="42">
        <f>A318</f>
        <v>45425</v>
      </c>
      <c r="B327" s="38" t="str">
        <f>B328</f>
        <v>ÇEVİRME BEDEN</v>
      </c>
      <c r="C327" s="39" t="s">
        <v>180</v>
      </c>
      <c r="D327" s="69" t="s">
        <v>181</v>
      </c>
      <c r="E327" s="48">
        <v>0.34375</v>
      </c>
      <c r="F327" s="49">
        <v>0.35416666666666669</v>
      </c>
      <c r="G327" s="49">
        <v>0.36458333333333331</v>
      </c>
      <c r="H327" s="50">
        <v>0.375</v>
      </c>
      <c r="I327" s="48">
        <v>0.38541666666666702</v>
      </c>
      <c r="J327" s="49">
        <v>0.39583333333333298</v>
      </c>
      <c r="K327" s="49">
        <v>0.40625</v>
      </c>
      <c r="L327" s="50">
        <v>0.41666666666666702</v>
      </c>
      <c r="M327" s="48">
        <v>0.4375</v>
      </c>
      <c r="N327" s="49">
        <v>0.44791666666666702</v>
      </c>
      <c r="O327" s="49">
        <v>0.45833333333333398</v>
      </c>
      <c r="P327" s="50">
        <v>0.46875</v>
      </c>
      <c r="Q327" s="48">
        <v>0.47916666666666702</v>
      </c>
      <c r="R327" s="49">
        <v>0.48958333333333398</v>
      </c>
      <c r="S327" s="49">
        <v>0.5</v>
      </c>
      <c r="T327" s="50">
        <v>0.51041666666666696</v>
      </c>
      <c r="U327" s="51">
        <v>0.52083333333333204</v>
      </c>
      <c r="V327" s="48">
        <v>0.5625</v>
      </c>
      <c r="W327" s="49">
        <v>0.57291666666666663</v>
      </c>
      <c r="X327" s="49">
        <v>0.58333333333333304</v>
      </c>
      <c r="Y327" s="50">
        <v>0.59375</v>
      </c>
      <c r="Z327" s="48">
        <v>0.60416666666666696</v>
      </c>
      <c r="AA327" s="49">
        <v>0.61458333333333304</v>
      </c>
      <c r="AB327" s="49">
        <v>0.625</v>
      </c>
      <c r="AC327" s="50">
        <v>0.63541666666666596</v>
      </c>
      <c r="AD327" s="48">
        <v>0.65625</v>
      </c>
      <c r="AE327" s="49">
        <v>0.66666666666666663</v>
      </c>
      <c r="AF327" s="49">
        <v>0.67708333333333304</v>
      </c>
      <c r="AG327" s="50">
        <v>0.6875</v>
      </c>
      <c r="AH327" s="48">
        <v>0.69791666666666696</v>
      </c>
      <c r="AI327" s="49">
        <v>0.70833333333333304</v>
      </c>
      <c r="AJ327" s="49">
        <v>0.71875</v>
      </c>
      <c r="AK327" s="50">
        <v>0.72916666666666696</v>
      </c>
      <c r="AL327" s="48">
        <v>0.73958333333333404</v>
      </c>
      <c r="AM327" s="49">
        <v>0.750000000000001</v>
      </c>
      <c r="AN327" s="49">
        <v>0.76041666666666796</v>
      </c>
      <c r="AO327" s="50">
        <v>0.77083333333333504</v>
      </c>
      <c r="AP327" s="48">
        <v>0.781250000000002</v>
      </c>
      <c r="AQ327" s="49">
        <v>0.79166666666666896</v>
      </c>
      <c r="AR327" s="49">
        <v>0.80208333333333603</v>
      </c>
      <c r="AS327" s="50">
        <v>0.812500000000003</v>
      </c>
      <c r="AT327" s="48">
        <v>0.82291666666666996</v>
      </c>
      <c r="AU327" s="49">
        <v>0.83333333333333703</v>
      </c>
      <c r="AV327" s="49">
        <v>0.843750000000004</v>
      </c>
      <c r="AW327" s="50">
        <v>0.85416666666666663</v>
      </c>
      <c r="AX327" s="68" t="s">
        <v>260</v>
      </c>
      <c r="AY327" s="28" t="s">
        <v>261</v>
      </c>
      <c r="AZ327" s="29" t="s">
        <v>262</v>
      </c>
      <c r="BA327" s="136" t="str">
        <f>B328</f>
        <v>ÇEVİRME BEDEN</v>
      </c>
      <c r="BB327" s="137"/>
      <c r="BC327" s="137"/>
      <c r="BD327" s="137"/>
      <c r="BE327" s="137"/>
      <c r="BF327" s="137"/>
      <c r="BG327" s="137"/>
      <c r="BH327" s="138"/>
    </row>
    <row r="328" spans="1:60" s="17" customFormat="1" ht="19.5" customHeight="1" thickBot="1" x14ac:dyDescent="0.4">
      <c r="A328" s="41">
        <f t="shared" ref="A328:B332" si="173">A327</f>
        <v>45425</v>
      </c>
      <c r="B328" s="37" t="str">
        <f>B152</f>
        <v>ÇEVİRME BEDEN</v>
      </c>
      <c r="C328" s="65" t="str">
        <f>C152</f>
        <v>92 BEDEN</v>
      </c>
      <c r="D328" s="70">
        <f>D143</f>
        <v>35</v>
      </c>
      <c r="E328" s="63"/>
      <c r="F328" s="55"/>
      <c r="G328" s="55"/>
      <c r="H328" s="56"/>
      <c r="I328" s="63"/>
      <c r="J328" s="55"/>
      <c r="K328" s="55"/>
      <c r="L328" s="56"/>
      <c r="M328" s="63"/>
      <c r="N328" s="55"/>
      <c r="O328" s="55"/>
      <c r="P328" s="56"/>
      <c r="Q328" s="63"/>
      <c r="R328" s="55"/>
      <c r="S328" s="55"/>
      <c r="T328" s="55"/>
      <c r="U328" s="56"/>
      <c r="V328" s="63"/>
      <c r="W328" s="55"/>
      <c r="X328" s="55"/>
      <c r="Y328" s="56"/>
      <c r="Z328" s="63"/>
      <c r="AA328" s="55"/>
      <c r="AB328" s="55"/>
      <c r="AC328" s="56"/>
      <c r="AD328" s="63"/>
      <c r="AE328" s="55"/>
      <c r="AF328" s="55"/>
      <c r="AG328" s="56"/>
      <c r="AH328" s="63"/>
      <c r="AI328" s="55"/>
      <c r="AJ328" s="55"/>
      <c r="AK328" s="56"/>
      <c r="AL328" s="63"/>
      <c r="AM328" s="55"/>
      <c r="AN328" s="55"/>
      <c r="AO328" s="56"/>
      <c r="AP328" s="63"/>
      <c r="AQ328" s="55"/>
      <c r="AR328" s="55"/>
      <c r="AS328" s="56"/>
      <c r="AT328" s="53"/>
      <c r="AU328" s="54"/>
      <c r="AV328" s="55"/>
      <c r="AW328" s="56"/>
      <c r="AX328" s="33">
        <f>SUM(E328:AW328)</f>
        <v>0</v>
      </c>
      <c r="AY328" s="31">
        <f>IFERROR(AVERAGEIF(E328:AW328,"&lt;&gt;0",(E328:AW328)),)</f>
        <v>0</v>
      </c>
      <c r="AZ328" s="30">
        <f>IFERROR(AY328/D328,0)</f>
        <v>0</v>
      </c>
      <c r="BA328" s="93"/>
      <c r="BB328" s="93" t="str">
        <f t="shared" ref="BB328:BG328" si="174">BA182</f>
        <v>XS</v>
      </c>
      <c r="BC328" s="93" t="str">
        <f t="shared" si="174"/>
        <v>S</v>
      </c>
      <c r="BD328" s="93" t="str">
        <f t="shared" si="174"/>
        <v>M</v>
      </c>
      <c r="BE328" s="93" t="str">
        <f t="shared" si="174"/>
        <v>L</v>
      </c>
      <c r="BF328" s="93" t="str">
        <f t="shared" si="174"/>
        <v>XL</v>
      </c>
      <c r="BG328" s="93" t="str">
        <f t="shared" si="174"/>
        <v>XXL</v>
      </c>
      <c r="BH328" s="93"/>
    </row>
    <row r="329" spans="1:60" s="17" customFormat="1" ht="19.5" customHeight="1" thickBot="1" x14ac:dyDescent="0.4">
      <c r="A329" s="41">
        <f t="shared" si="173"/>
        <v>45425</v>
      </c>
      <c r="B329" s="37" t="str">
        <f t="shared" si="173"/>
        <v>ÇEVİRME BEDEN</v>
      </c>
      <c r="C329" s="65" t="str">
        <f t="shared" ref="C329:C334" si="175">C153</f>
        <v>98/104 BEDEN</v>
      </c>
      <c r="D329" s="67">
        <f t="shared" ref="D329:D334" si="176">D328</f>
        <v>35</v>
      </c>
      <c r="E329" s="57"/>
      <c r="F329" s="52"/>
      <c r="G329" s="52"/>
      <c r="H329" s="58"/>
      <c r="I329" s="57"/>
      <c r="J329" s="52"/>
      <c r="K329" s="52"/>
      <c r="L329" s="58"/>
      <c r="M329" s="57"/>
      <c r="N329" s="52"/>
      <c r="O329" s="52"/>
      <c r="P329" s="58"/>
      <c r="Q329" s="57"/>
      <c r="R329" s="52"/>
      <c r="S329" s="52"/>
      <c r="T329" s="52"/>
      <c r="U329" s="58"/>
      <c r="V329" s="57"/>
      <c r="W329" s="52"/>
      <c r="X329" s="52"/>
      <c r="Y329" s="58"/>
      <c r="Z329" s="57"/>
      <c r="AA329" s="52"/>
      <c r="AB329" s="52"/>
      <c r="AC329" s="58"/>
      <c r="AD329" s="57"/>
      <c r="AE329" s="52"/>
      <c r="AF329" s="52"/>
      <c r="AG329" s="58"/>
      <c r="AH329" s="57"/>
      <c r="AI329" s="52"/>
      <c r="AJ329" s="52"/>
      <c r="AK329" s="58"/>
      <c r="AL329" s="57"/>
      <c r="AM329" s="52"/>
      <c r="AN329" s="52"/>
      <c r="AO329" s="58"/>
      <c r="AP329" s="57"/>
      <c r="AQ329" s="52"/>
      <c r="AR329" s="52"/>
      <c r="AS329" s="58"/>
      <c r="AT329" s="57"/>
      <c r="AU329" s="52"/>
      <c r="AV329" s="52"/>
      <c r="AW329" s="58"/>
      <c r="AX329" s="33">
        <f t="shared" ref="AX329:AX334" si="177">SUM(E329:AW329)</f>
        <v>0</v>
      </c>
      <c r="AY329" s="31">
        <f t="shared" ref="AY329:AY334" si="178">IFERROR(AVERAGEIF(E329:AW329,"&lt;&gt;0",(E329:AW329)),)</f>
        <v>0</v>
      </c>
      <c r="AZ329" s="30">
        <f t="shared" ref="AZ329:AZ334" si="179">IFERROR(AY329/D329,0)</f>
        <v>0</v>
      </c>
      <c r="BA329" s="94" t="s">
        <v>194</v>
      </c>
      <c r="BB329" s="96">
        <f t="shared" ref="BB329:BG329" si="180">BB221</f>
        <v>0</v>
      </c>
      <c r="BC329" s="96">
        <f t="shared" si="180"/>
        <v>0</v>
      </c>
      <c r="BD329" s="96">
        <f t="shared" si="180"/>
        <v>0</v>
      </c>
      <c r="BE329" s="96">
        <f t="shared" si="180"/>
        <v>0</v>
      </c>
      <c r="BF329" s="96">
        <f t="shared" si="180"/>
        <v>0</v>
      </c>
      <c r="BG329" s="96">
        <f t="shared" si="180"/>
        <v>0</v>
      </c>
      <c r="BH329" s="99">
        <f>SUM(BB329:BG329)</f>
        <v>0</v>
      </c>
    </row>
    <row r="330" spans="1:60" s="17" customFormat="1" ht="19.5" customHeight="1" thickBot="1" x14ac:dyDescent="0.4">
      <c r="A330" s="41">
        <f t="shared" si="173"/>
        <v>45425</v>
      </c>
      <c r="B330" s="37" t="str">
        <f t="shared" si="173"/>
        <v>ÇEVİRME BEDEN</v>
      </c>
      <c r="C330" s="65" t="str">
        <f t="shared" si="175"/>
        <v>110/116 BEDEN</v>
      </c>
      <c r="D330" s="67">
        <f t="shared" si="176"/>
        <v>35</v>
      </c>
      <c r="E330" s="57"/>
      <c r="F330" s="52"/>
      <c r="G330" s="52"/>
      <c r="H330" s="58"/>
      <c r="I330" s="57"/>
      <c r="J330" s="52"/>
      <c r="K330" s="52"/>
      <c r="L330" s="58"/>
      <c r="M330" s="57"/>
      <c r="N330" s="52"/>
      <c r="O330" s="52"/>
      <c r="P330" s="58"/>
      <c r="Q330" s="57"/>
      <c r="R330" s="52"/>
      <c r="S330" s="52"/>
      <c r="T330" s="52"/>
      <c r="U330" s="58"/>
      <c r="V330" s="57"/>
      <c r="W330" s="52"/>
      <c r="X330" s="52"/>
      <c r="Y330" s="58"/>
      <c r="Z330" s="57"/>
      <c r="AA330" s="52"/>
      <c r="AB330" s="52"/>
      <c r="AC330" s="58"/>
      <c r="AD330" s="57"/>
      <c r="AE330" s="52"/>
      <c r="AF330" s="52"/>
      <c r="AG330" s="58"/>
      <c r="AH330" s="57"/>
      <c r="AI330" s="52"/>
      <c r="AJ330" s="52"/>
      <c r="AK330" s="58"/>
      <c r="AL330" s="57"/>
      <c r="AM330" s="52"/>
      <c r="AN330" s="52"/>
      <c r="AO330" s="58"/>
      <c r="AP330" s="57"/>
      <c r="AQ330" s="52"/>
      <c r="AR330" s="52"/>
      <c r="AS330" s="58"/>
      <c r="AT330" s="57"/>
      <c r="AU330" s="52"/>
      <c r="AV330" s="52"/>
      <c r="AW330" s="58"/>
      <c r="AX330" s="33">
        <f t="shared" si="177"/>
        <v>0</v>
      </c>
      <c r="AY330" s="31">
        <f t="shared" si="178"/>
        <v>0</v>
      </c>
      <c r="AZ330" s="30">
        <f t="shared" si="179"/>
        <v>0</v>
      </c>
      <c r="BA330" s="94" t="s">
        <v>195</v>
      </c>
      <c r="BB330" s="96">
        <f>SUMIF(C328:C334,BB328,AX328:AX334)+BB154</f>
        <v>0</v>
      </c>
      <c r="BC330" s="96">
        <f>SUMIF(C328:C334,BC328,AX328:AX334)+BC154</f>
        <v>0</v>
      </c>
      <c r="BD330" s="96">
        <f>SUMIF(C328:C334,BD328,AX328:AX334)+BD154</f>
        <v>0</v>
      </c>
      <c r="BE330" s="96">
        <f>SUMIF(C328:C334,BE328,AX328:AX334)+BE154</f>
        <v>0</v>
      </c>
      <c r="BF330" s="96">
        <f>SUMIF(C328:C334,BF328,AX328:AX334)+BF154</f>
        <v>0</v>
      </c>
      <c r="BG330" s="96">
        <f>SUMIF(C328:C334,BG328,AX328:AX334)+BG154</f>
        <v>0</v>
      </c>
      <c r="BH330" s="99">
        <f>SUM(BB330:BG330)</f>
        <v>0</v>
      </c>
    </row>
    <row r="331" spans="1:60" s="17" customFormat="1" ht="19.5" customHeight="1" thickBot="1" x14ac:dyDescent="0.4">
      <c r="A331" s="41">
        <f t="shared" si="173"/>
        <v>45425</v>
      </c>
      <c r="B331" s="37" t="str">
        <f t="shared" si="173"/>
        <v>ÇEVİRME BEDEN</v>
      </c>
      <c r="C331" s="65" t="str">
        <f t="shared" si="175"/>
        <v>122/128 BEDEN</v>
      </c>
      <c r="D331" s="67">
        <f t="shared" si="176"/>
        <v>35</v>
      </c>
      <c r="E331" s="57"/>
      <c r="F331" s="52"/>
      <c r="G331" s="52"/>
      <c r="H331" s="58"/>
      <c r="I331" s="57"/>
      <c r="J331" s="52"/>
      <c r="K331" s="52"/>
      <c r="L331" s="58"/>
      <c r="M331" s="57"/>
      <c r="N331" s="52"/>
      <c r="O331" s="52"/>
      <c r="P331" s="58"/>
      <c r="Q331" s="57"/>
      <c r="R331" s="52"/>
      <c r="S331" s="52"/>
      <c r="T331" s="52"/>
      <c r="U331" s="58"/>
      <c r="V331" s="57"/>
      <c r="W331" s="52"/>
      <c r="X331" s="52"/>
      <c r="Y331" s="58"/>
      <c r="Z331" s="57"/>
      <c r="AA331" s="52"/>
      <c r="AB331" s="52"/>
      <c r="AC331" s="58"/>
      <c r="AD331" s="57"/>
      <c r="AE331" s="52"/>
      <c r="AF331" s="52"/>
      <c r="AG331" s="58"/>
      <c r="AH331" s="57"/>
      <c r="AI331" s="52"/>
      <c r="AJ331" s="52"/>
      <c r="AK331" s="58"/>
      <c r="AL331" s="57"/>
      <c r="AM331" s="52"/>
      <c r="AN331" s="52"/>
      <c r="AO331" s="58"/>
      <c r="AP331" s="57"/>
      <c r="AQ331" s="52"/>
      <c r="AR331" s="52"/>
      <c r="AS331" s="58"/>
      <c r="AT331" s="57"/>
      <c r="AU331" s="52"/>
      <c r="AV331" s="52"/>
      <c r="AW331" s="58"/>
      <c r="AX331" s="33">
        <f t="shared" si="177"/>
        <v>0</v>
      </c>
      <c r="AY331" s="31">
        <f t="shared" si="178"/>
        <v>0</v>
      </c>
      <c r="AZ331" s="30">
        <f t="shared" si="179"/>
        <v>0</v>
      </c>
      <c r="BA331" s="94" t="s">
        <v>196</v>
      </c>
      <c r="BB331" s="96">
        <f t="shared" ref="BB331:BG331" si="181">BB329-BB330</f>
        <v>0</v>
      </c>
      <c r="BC331" s="96">
        <f t="shared" si="181"/>
        <v>0</v>
      </c>
      <c r="BD331" s="96">
        <f t="shared" si="181"/>
        <v>0</v>
      </c>
      <c r="BE331" s="96">
        <f t="shared" si="181"/>
        <v>0</v>
      </c>
      <c r="BF331" s="96">
        <f t="shared" si="181"/>
        <v>0</v>
      </c>
      <c r="BG331" s="96">
        <f t="shared" si="181"/>
        <v>0</v>
      </c>
      <c r="BH331" s="99">
        <f>SUM(BB331:BG331)</f>
        <v>0</v>
      </c>
    </row>
    <row r="332" spans="1:60" s="17" customFormat="1" ht="19.5" customHeight="1" x14ac:dyDescent="0.35">
      <c r="A332" s="41">
        <f>A329</f>
        <v>45425</v>
      </c>
      <c r="B332" s="37" t="str">
        <f t="shared" si="173"/>
        <v>ÇEVİRME BEDEN</v>
      </c>
      <c r="C332" s="65" t="str">
        <f t="shared" si="175"/>
        <v>146/152 BEDEN</v>
      </c>
      <c r="D332" s="67">
        <f t="shared" si="176"/>
        <v>35</v>
      </c>
      <c r="E332" s="57"/>
      <c r="F332" s="52"/>
      <c r="G332" s="52"/>
      <c r="H332" s="58"/>
      <c r="I332" s="57"/>
      <c r="J332" s="52"/>
      <c r="K332" s="52"/>
      <c r="L332" s="58"/>
      <c r="M332" s="57"/>
      <c r="N332" s="52"/>
      <c r="O332" s="52"/>
      <c r="P332" s="58"/>
      <c r="Q332" s="57"/>
      <c r="R332" s="52"/>
      <c r="S332" s="52"/>
      <c r="T332" s="52"/>
      <c r="U332" s="58"/>
      <c r="V332" s="57"/>
      <c r="W332" s="52"/>
      <c r="X332" s="52"/>
      <c r="Y332" s="58"/>
      <c r="Z332" s="57"/>
      <c r="AA332" s="52"/>
      <c r="AB332" s="52"/>
      <c r="AC332" s="58"/>
      <c r="AD332" s="57"/>
      <c r="AE332" s="52"/>
      <c r="AF332" s="52"/>
      <c r="AG332" s="58"/>
      <c r="AH332" s="57"/>
      <c r="AI332" s="52"/>
      <c r="AJ332" s="52"/>
      <c r="AK332" s="58"/>
      <c r="AL332" s="57"/>
      <c r="AM332" s="52"/>
      <c r="AN332" s="52"/>
      <c r="AO332" s="58"/>
      <c r="AP332" s="57"/>
      <c r="AQ332" s="52"/>
      <c r="AR332" s="52"/>
      <c r="AS332" s="58"/>
      <c r="AT332" s="57"/>
      <c r="AU332" s="52"/>
      <c r="AV332" s="52"/>
      <c r="AW332" s="58"/>
      <c r="AX332" s="33">
        <f t="shared" si="177"/>
        <v>0</v>
      </c>
      <c r="AY332" s="31">
        <f t="shared" si="178"/>
        <v>0</v>
      </c>
      <c r="AZ332" s="30">
        <f t="shared" si="179"/>
        <v>0</v>
      </c>
      <c r="BA332" s="34"/>
      <c r="BB332" s="34"/>
      <c r="BC332" s="34"/>
      <c r="BD332" s="76"/>
      <c r="BE332" s="34"/>
      <c r="BF332" s="34"/>
      <c r="BG332" s="34"/>
      <c r="BH332" s="34"/>
    </row>
    <row r="333" spans="1:60" s="17" customFormat="1" ht="19.5" customHeight="1" x14ac:dyDescent="0.35">
      <c r="A333" s="41">
        <f t="shared" ref="A333:B335" si="182">A332</f>
        <v>45425</v>
      </c>
      <c r="B333" s="37" t="str">
        <f t="shared" si="182"/>
        <v>ÇEVİRME BEDEN</v>
      </c>
      <c r="C333" s="65">
        <f t="shared" si="175"/>
        <v>0</v>
      </c>
      <c r="D333" s="67">
        <f t="shared" si="176"/>
        <v>35</v>
      </c>
      <c r="E333" s="57"/>
      <c r="F333" s="52"/>
      <c r="G333" s="52"/>
      <c r="H333" s="58"/>
      <c r="I333" s="57"/>
      <c r="J333" s="52"/>
      <c r="K333" s="52"/>
      <c r="L333" s="58"/>
      <c r="M333" s="57"/>
      <c r="N333" s="52"/>
      <c r="O333" s="52"/>
      <c r="P333" s="58"/>
      <c r="Q333" s="57"/>
      <c r="R333" s="52"/>
      <c r="S333" s="52"/>
      <c r="T333" s="52"/>
      <c r="U333" s="58"/>
      <c r="V333" s="57"/>
      <c r="W333" s="52"/>
      <c r="X333" s="52"/>
      <c r="Y333" s="58"/>
      <c r="Z333" s="57"/>
      <c r="AA333" s="52"/>
      <c r="AB333" s="52"/>
      <c r="AC333" s="58"/>
      <c r="AD333" s="57"/>
      <c r="AE333" s="52"/>
      <c r="AF333" s="52"/>
      <c r="AG333" s="58"/>
      <c r="AH333" s="57"/>
      <c r="AI333" s="52"/>
      <c r="AJ333" s="52"/>
      <c r="AK333" s="58"/>
      <c r="AL333" s="57"/>
      <c r="AM333" s="52"/>
      <c r="AN333" s="52"/>
      <c r="AO333" s="58"/>
      <c r="AP333" s="57"/>
      <c r="AQ333" s="52"/>
      <c r="AR333" s="52"/>
      <c r="AS333" s="58"/>
      <c r="AT333" s="57"/>
      <c r="AU333" s="52"/>
      <c r="AV333" s="52"/>
      <c r="AW333" s="58"/>
      <c r="AX333" s="33">
        <f t="shared" si="177"/>
        <v>0</v>
      </c>
      <c r="AY333" s="31">
        <f t="shared" si="178"/>
        <v>0</v>
      </c>
      <c r="AZ333" s="30">
        <f t="shared" si="179"/>
        <v>0</v>
      </c>
      <c r="BA333" s="34"/>
      <c r="BB333" s="34"/>
      <c r="BC333" s="34"/>
      <c r="BD333" s="76"/>
      <c r="BE333" s="34"/>
      <c r="BF333" s="34"/>
      <c r="BG333" s="34"/>
      <c r="BH333" s="34"/>
    </row>
    <row r="334" spans="1:60" s="17" customFormat="1" ht="19.5" customHeight="1" thickBot="1" x14ac:dyDescent="0.4">
      <c r="A334" s="41">
        <f t="shared" si="182"/>
        <v>45425</v>
      </c>
      <c r="B334" s="37" t="str">
        <f t="shared" si="182"/>
        <v>ÇEVİRME BEDEN</v>
      </c>
      <c r="C334" s="65">
        <f t="shared" si="175"/>
        <v>0</v>
      </c>
      <c r="D334" s="67">
        <f t="shared" si="176"/>
        <v>35</v>
      </c>
      <c r="E334" s="59"/>
      <c r="F334" s="60"/>
      <c r="G334" s="61"/>
      <c r="H334" s="62"/>
      <c r="I334" s="59"/>
      <c r="J334" s="60"/>
      <c r="K334" s="61"/>
      <c r="L334" s="62"/>
      <c r="M334" s="59"/>
      <c r="N334" s="60"/>
      <c r="O334" s="61"/>
      <c r="P334" s="62"/>
      <c r="Q334" s="64"/>
      <c r="R334" s="61"/>
      <c r="S334" s="61"/>
      <c r="T334" s="61"/>
      <c r="U334" s="62"/>
      <c r="V334" s="59"/>
      <c r="W334" s="60"/>
      <c r="X334" s="61"/>
      <c r="Y334" s="62"/>
      <c r="Z334" s="59"/>
      <c r="AA334" s="60"/>
      <c r="AB334" s="61"/>
      <c r="AC334" s="62"/>
      <c r="AD334" s="59"/>
      <c r="AE334" s="60"/>
      <c r="AF334" s="61"/>
      <c r="AG334" s="62"/>
      <c r="AH334" s="59"/>
      <c r="AI334" s="60"/>
      <c r="AJ334" s="61"/>
      <c r="AK334" s="62"/>
      <c r="AL334" s="59"/>
      <c r="AM334" s="60"/>
      <c r="AN334" s="61"/>
      <c r="AO334" s="62"/>
      <c r="AP334" s="59"/>
      <c r="AQ334" s="60"/>
      <c r="AR334" s="61"/>
      <c r="AS334" s="62"/>
      <c r="AT334" s="59"/>
      <c r="AU334" s="60"/>
      <c r="AV334" s="61"/>
      <c r="AW334" s="62"/>
      <c r="AX334" s="33">
        <f t="shared" si="177"/>
        <v>0</v>
      </c>
      <c r="AY334" s="31">
        <f t="shared" si="178"/>
        <v>0</v>
      </c>
      <c r="AZ334" s="30">
        <f t="shared" si="179"/>
        <v>0</v>
      </c>
      <c r="BA334" s="34"/>
      <c r="BB334" s="34"/>
      <c r="BC334" s="34"/>
      <c r="BD334" s="76"/>
      <c r="BE334" s="34"/>
      <c r="BF334" s="34"/>
      <c r="BG334" s="34"/>
      <c r="BH334" s="34"/>
    </row>
    <row r="335" spans="1:60" s="17" customFormat="1" ht="19.5" customHeight="1" thickBot="1" x14ac:dyDescent="0.45">
      <c r="A335" s="41">
        <f t="shared" si="182"/>
        <v>45425</v>
      </c>
      <c r="B335" s="139" t="str">
        <f>B328</f>
        <v>ÇEVİRME BEDEN</v>
      </c>
      <c r="C335" s="140"/>
      <c r="D335" s="40">
        <f>C182/8</f>
        <v>500</v>
      </c>
      <c r="E335" s="147">
        <f>SUM(E328:H334)</f>
        <v>0</v>
      </c>
      <c r="F335" s="148"/>
      <c r="G335" s="148"/>
      <c r="H335" s="149"/>
      <c r="I335" s="147">
        <f>SUM(I328:L334)</f>
        <v>0</v>
      </c>
      <c r="J335" s="148"/>
      <c r="K335" s="148"/>
      <c r="L335" s="149"/>
      <c r="M335" s="147">
        <f>SUM(M328:P334)</f>
        <v>0</v>
      </c>
      <c r="N335" s="148"/>
      <c r="O335" s="148"/>
      <c r="P335" s="149"/>
      <c r="Q335" s="147">
        <f>SUM(Q328:U334)</f>
        <v>0</v>
      </c>
      <c r="R335" s="148"/>
      <c r="S335" s="148"/>
      <c r="T335" s="148"/>
      <c r="U335" s="149"/>
      <c r="V335" s="147">
        <f>SUM(V328:Y334)</f>
        <v>0</v>
      </c>
      <c r="W335" s="148"/>
      <c r="X335" s="148"/>
      <c r="Y335" s="149"/>
      <c r="Z335" s="147">
        <f>SUM(Z328:AC334)</f>
        <v>0</v>
      </c>
      <c r="AA335" s="148"/>
      <c r="AB335" s="148"/>
      <c r="AC335" s="149"/>
      <c r="AD335" s="147">
        <f>SUM(AD328:AG334)</f>
        <v>0</v>
      </c>
      <c r="AE335" s="148"/>
      <c r="AF335" s="148"/>
      <c r="AG335" s="149"/>
      <c r="AH335" s="147">
        <f>SUM(AH328:AK334)</f>
        <v>0</v>
      </c>
      <c r="AI335" s="148"/>
      <c r="AJ335" s="148"/>
      <c r="AK335" s="149"/>
      <c r="AL335" s="147">
        <f>SUM(AL328:AO334)</f>
        <v>0</v>
      </c>
      <c r="AM335" s="148"/>
      <c r="AN335" s="148"/>
      <c r="AO335" s="149"/>
      <c r="AP335" s="147">
        <f>SUM(AP328:AS334)</f>
        <v>0</v>
      </c>
      <c r="AQ335" s="148"/>
      <c r="AR335" s="148"/>
      <c r="AS335" s="149"/>
      <c r="AT335" s="147">
        <f>SUM(AT328:AW334)</f>
        <v>0</v>
      </c>
      <c r="AU335" s="148"/>
      <c r="AV335" s="148"/>
      <c r="AW335" s="149"/>
      <c r="AX335" s="87">
        <f>SUM(AX328:AX334)</f>
        <v>0</v>
      </c>
      <c r="AY335" s="88">
        <f>IFERROR(AVERAGEIF(E335:AV335,"&lt;&gt;0",(E335:AV335)),)</f>
        <v>0</v>
      </c>
      <c r="AZ335" s="46">
        <f>IFERROR(AX335/BB329,0)</f>
        <v>0</v>
      </c>
      <c r="BA335" s="34"/>
      <c r="BB335" s="34"/>
      <c r="BC335" s="34"/>
      <c r="BD335" s="76"/>
      <c r="BE335" s="34"/>
      <c r="BF335" s="34"/>
      <c r="BG335" s="34"/>
      <c r="BH335" s="34"/>
    </row>
    <row r="336" spans="1:60" s="17" customFormat="1" ht="19.5" customHeight="1" thickBot="1" x14ac:dyDescent="0.4">
      <c r="A336" s="42">
        <f>A327</f>
        <v>45425</v>
      </c>
      <c r="B336" s="38">
        <v>50</v>
      </c>
      <c r="C336" s="39" t="s">
        <v>180</v>
      </c>
      <c r="D336" s="69" t="s">
        <v>181</v>
      </c>
      <c r="E336" s="48">
        <v>0.34375</v>
      </c>
      <c r="F336" s="49">
        <v>0.35416666666666669</v>
      </c>
      <c r="G336" s="49">
        <v>0.36458333333333331</v>
      </c>
      <c r="H336" s="50">
        <v>0.375</v>
      </c>
      <c r="I336" s="48">
        <v>0.38541666666666702</v>
      </c>
      <c r="J336" s="49">
        <v>0.39583333333333298</v>
      </c>
      <c r="K336" s="49">
        <v>0.40625</v>
      </c>
      <c r="L336" s="50">
        <v>0.41666666666666702</v>
      </c>
      <c r="M336" s="48">
        <v>0.4375</v>
      </c>
      <c r="N336" s="49">
        <v>0.44791666666666702</v>
      </c>
      <c r="O336" s="49">
        <v>0.45833333333333398</v>
      </c>
      <c r="P336" s="50">
        <v>0.46875</v>
      </c>
      <c r="Q336" s="82">
        <v>0.47916666666666702</v>
      </c>
      <c r="R336" s="83">
        <v>0.48958333333333398</v>
      </c>
      <c r="S336" s="83">
        <v>0.5</v>
      </c>
      <c r="T336" s="84">
        <v>0.51041666666666696</v>
      </c>
      <c r="U336" s="85">
        <v>0.52083333333333204</v>
      </c>
      <c r="V336" s="48">
        <v>0.5625</v>
      </c>
      <c r="W336" s="49">
        <v>0.57291666666666663</v>
      </c>
      <c r="X336" s="49">
        <v>0.58333333333333304</v>
      </c>
      <c r="Y336" s="50">
        <v>0.59375</v>
      </c>
      <c r="Z336" s="48">
        <v>0.60416666666666696</v>
      </c>
      <c r="AA336" s="49">
        <v>0.61458333333333304</v>
      </c>
      <c r="AB336" s="49">
        <v>0.625</v>
      </c>
      <c r="AC336" s="50">
        <v>0.63541666666666596</v>
      </c>
      <c r="AD336" s="48">
        <v>0.65625</v>
      </c>
      <c r="AE336" s="49">
        <v>0.66666666666666663</v>
      </c>
      <c r="AF336" s="49">
        <v>0.67708333333333304</v>
      </c>
      <c r="AG336" s="50">
        <v>0.6875</v>
      </c>
      <c r="AH336" s="48">
        <v>0.69791666666666696</v>
      </c>
      <c r="AI336" s="49">
        <v>0.70833333333333304</v>
      </c>
      <c r="AJ336" s="49">
        <v>0.71875</v>
      </c>
      <c r="AK336" s="50">
        <v>0.72916666666666696</v>
      </c>
      <c r="AL336" s="48">
        <v>0.73958333333333404</v>
      </c>
      <c r="AM336" s="49">
        <v>0.750000000000001</v>
      </c>
      <c r="AN336" s="49">
        <v>0.76041666666666796</v>
      </c>
      <c r="AO336" s="50">
        <v>0.77083333333333504</v>
      </c>
      <c r="AP336" s="48">
        <v>0.781250000000002</v>
      </c>
      <c r="AQ336" s="49">
        <v>0.79166666666666896</v>
      </c>
      <c r="AR336" s="49">
        <v>0.80208333333333603</v>
      </c>
      <c r="AS336" s="50">
        <v>0.812500000000003</v>
      </c>
      <c r="AT336" s="48">
        <v>0.82291666666666996</v>
      </c>
      <c r="AU336" s="49">
        <v>0.83333333333333703</v>
      </c>
      <c r="AV336" s="49">
        <v>0.843750000000004</v>
      </c>
      <c r="AW336" s="50">
        <v>0.85416666666666663</v>
      </c>
      <c r="AX336" s="68" t="s">
        <v>260</v>
      </c>
      <c r="AY336" s="28" t="s">
        <v>261</v>
      </c>
      <c r="AZ336" s="29" t="s">
        <v>262</v>
      </c>
      <c r="BA336" s="136" t="str">
        <f>B337</f>
        <v>Ütü</v>
      </c>
      <c r="BB336" s="137"/>
      <c r="BC336" s="137"/>
      <c r="BD336" s="137"/>
      <c r="BE336" s="137"/>
      <c r="BF336" s="137"/>
      <c r="BG336" s="137"/>
      <c r="BH336" s="138"/>
    </row>
    <row r="337" spans="1:60" s="17" customFormat="1" ht="19.5" customHeight="1" thickBot="1" x14ac:dyDescent="0.4">
      <c r="A337" s="41">
        <f t="shared" ref="A337:B341" si="183">A336</f>
        <v>45425</v>
      </c>
      <c r="B337" s="37" t="str">
        <f>B161</f>
        <v>Ütü</v>
      </c>
      <c r="C337" s="65">
        <f>C161</f>
        <v>0</v>
      </c>
      <c r="D337" s="70">
        <f>D161</f>
        <v>60</v>
      </c>
      <c r="E337" s="63"/>
      <c r="F337" s="55"/>
      <c r="G337" s="55"/>
      <c r="H337" s="56"/>
      <c r="I337" s="63"/>
      <c r="J337" s="55"/>
      <c r="K337" s="55"/>
      <c r="L337" s="56"/>
      <c r="M337" s="63"/>
      <c r="N337" s="55"/>
      <c r="O337" s="55"/>
      <c r="P337" s="56"/>
      <c r="Q337" s="63"/>
      <c r="R337" s="55"/>
      <c r="S337" s="55"/>
      <c r="T337" s="55"/>
      <c r="U337" s="56"/>
      <c r="V337" s="63"/>
      <c r="W337" s="55"/>
      <c r="X337" s="55"/>
      <c r="Y337" s="56"/>
      <c r="Z337" s="63"/>
      <c r="AA337" s="55"/>
      <c r="AB337" s="55"/>
      <c r="AC337" s="56"/>
      <c r="AD337" s="63"/>
      <c r="AE337" s="55"/>
      <c r="AF337" s="55"/>
      <c r="AG337" s="56"/>
      <c r="AH337" s="63"/>
      <c r="AI337" s="55"/>
      <c r="AJ337" s="55"/>
      <c r="AK337" s="56"/>
      <c r="AL337" s="53"/>
      <c r="AM337" s="54"/>
      <c r="AN337" s="55"/>
      <c r="AO337" s="56"/>
      <c r="AP337" s="53"/>
      <c r="AQ337" s="54"/>
      <c r="AR337" s="55"/>
      <c r="AS337" s="56"/>
      <c r="AT337" s="53"/>
      <c r="AU337" s="54"/>
      <c r="AV337" s="55"/>
      <c r="AW337" s="56"/>
      <c r="AX337" s="33">
        <f>SUM(E337:AW337)</f>
        <v>0</v>
      </c>
      <c r="AY337" s="31">
        <f>IFERROR(AVERAGEIF(E337:AW337,"&lt;&gt;0",(E337:AW337)),)</f>
        <v>0</v>
      </c>
      <c r="AZ337" s="30">
        <f>IFERROR(AY337/D337,0)</f>
        <v>0</v>
      </c>
      <c r="BA337" s="103" t="s">
        <v>182</v>
      </c>
      <c r="BB337" s="100" t="s">
        <v>183</v>
      </c>
      <c r="BC337" s="100" t="s">
        <v>184</v>
      </c>
      <c r="BD337" s="101" t="s">
        <v>185</v>
      </c>
      <c r="BE337" s="100" t="s">
        <v>186</v>
      </c>
      <c r="BF337" s="102" t="s">
        <v>187</v>
      </c>
      <c r="BG337" s="100" t="s">
        <v>188</v>
      </c>
      <c r="BH337" s="102" t="s">
        <v>189</v>
      </c>
    </row>
    <row r="338" spans="1:60" s="17" customFormat="1" ht="19.5" customHeight="1" thickBot="1" x14ac:dyDescent="0.4">
      <c r="A338" s="41">
        <f t="shared" si="183"/>
        <v>45425</v>
      </c>
      <c r="B338" s="37" t="str">
        <f t="shared" si="183"/>
        <v>Ütü</v>
      </c>
      <c r="C338" s="65">
        <f t="shared" ref="C338:C343" si="184">C162</f>
        <v>0</v>
      </c>
      <c r="D338" s="67">
        <f t="shared" ref="D338:D343" si="185">D337</f>
        <v>60</v>
      </c>
      <c r="E338" s="57"/>
      <c r="F338" s="52"/>
      <c r="G338" s="52"/>
      <c r="H338" s="58"/>
      <c r="I338" s="57"/>
      <c r="J338" s="52"/>
      <c r="K338" s="52"/>
      <c r="L338" s="58"/>
      <c r="M338" s="57"/>
      <c r="N338" s="52"/>
      <c r="O338" s="52"/>
      <c r="P338" s="58"/>
      <c r="Q338" s="57"/>
      <c r="R338" s="52"/>
      <c r="S338" s="52"/>
      <c r="T338" s="52"/>
      <c r="U338" s="58"/>
      <c r="V338" s="57"/>
      <c r="W338" s="52"/>
      <c r="X338" s="52"/>
      <c r="Y338" s="58"/>
      <c r="Z338" s="57"/>
      <c r="AA338" s="52"/>
      <c r="AB338" s="52"/>
      <c r="AC338" s="58"/>
      <c r="AD338" s="57"/>
      <c r="AE338" s="52"/>
      <c r="AF338" s="52"/>
      <c r="AG338" s="58"/>
      <c r="AH338" s="57"/>
      <c r="AI338" s="52"/>
      <c r="AJ338" s="52"/>
      <c r="AK338" s="58"/>
      <c r="AL338" s="57"/>
      <c r="AM338" s="52"/>
      <c r="AN338" s="52"/>
      <c r="AO338" s="58"/>
      <c r="AP338" s="57"/>
      <c r="AQ338" s="52"/>
      <c r="AR338" s="52"/>
      <c r="AS338" s="58"/>
      <c r="AT338" s="57"/>
      <c r="AU338" s="52"/>
      <c r="AV338" s="52"/>
      <c r="AW338" s="58"/>
      <c r="AX338" s="33">
        <f t="shared" ref="AX338:AX343" si="186">SUM(E338:AW338)</f>
        <v>0</v>
      </c>
      <c r="AY338" s="31">
        <f t="shared" ref="AY338:AY343" si="187">IFERROR(AVERAGEIF(E338:AW338,"&lt;&gt;0",(E338:AW338)),)</f>
        <v>0</v>
      </c>
      <c r="AZ338" s="30">
        <f t="shared" ref="AZ338:AZ343" si="188">IFERROR(AY338/D338,0)</f>
        <v>0</v>
      </c>
      <c r="BA338" s="94">
        <f>AX344+BA162</f>
        <v>0</v>
      </c>
      <c r="BB338" s="95">
        <f>(D326*8)</f>
        <v>4000</v>
      </c>
      <c r="BC338" s="96">
        <f>C181-BA338</f>
        <v>42311</v>
      </c>
      <c r="BD338" s="96">
        <f>BA311-BA338</f>
        <v>0</v>
      </c>
      <c r="BE338" s="97">
        <f>IFERROR(BC338/E344,0)</f>
        <v>0</v>
      </c>
      <c r="BF338" s="98">
        <f>IFERROR(BE338/9,0)</f>
        <v>0</v>
      </c>
      <c r="BG338" s="97">
        <f>IFERROR(BC338/AY344,0)</f>
        <v>0</v>
      </c>
      <c r="BH338" s="97">
        <f>IFERROR(BG338/9,0)</f>
        <v>0</v>
      </c>
    </row>
    <row r="339" spans="1:60" s="17" customFormat="1" ht="19.5" customHeight="1" x14ac:dyDescent="0.35">
      <c r="A339" s="41">
        <f t="shared" si="183"/>
        <v>45425</v>
      </c>
      <c r="B339" s="37" t="str">
        <f t="shared" si="183"/>
        <v>Ütü</v>
      </c>
      <c r="C339" s="65">
        <f t="shared" si="184"/>
        <v>0</v>
      </c>
      <c r="D339" s="67">
        <f t="shared" si="185"/>
        <v>60</v>
      </c>
      <c r="E339" s="57"/>
      <c r="F339" s="52"/>
      <c r="G339" s="52"/>
      <c r="H339" s="58"/>
      <c r="I339" s="57"/>
      <c r="J339" s="52"/>
      <c r="K339" s="52"/>
      <c r="L339" s="58"/>
      <c r="M339" s="57"/>
      <c r="N339" s="52"/>
      <c r="O339" s="52"/>
      <c r="P339" s="58"/>
      <c r="Q339" s="57"/>
      <c r="R339" s="52"/>
      <c r="S339" s="52"/>
      <c r="T339" s="52"/>
      <c r="U339" s="58"/>
      <c r="V339" s="57"/>
      <c r="W339" s="52"/>
      <c r="X339" s="52"/>
      <c r="Y339" s="58"/>
      <c r="Z339" s="57"/>
      <c r="AA339" s="52"/>
      <c r="AB339" s="52"/>
      <c r="AC339" s="58"/>
      <c r="AD339" s="57"/>
      <c r="AE339" s="52"/>
      <c r="AF339" s="52"/>
      <c r="AG339" s="58"/>
      <c r="AH339" s="57"/>
      <c r="AI339" s="52"/>
      <c r="AJ339" s="52"/>
      <c r="AK339" s="58"/>
      <c r="AL339" s="57"/>
      <c r="AM339" s="52"/>
      <c r="AN339" s="52"/>
      <c r="AO339" s="58"/>
      <c r="AP339" s="57"/>
      <c r="AQ339" s="52"/>
      <c r="AR339" s="52"/>
      <c r="AS339" s="58"/>
      <c r="AT339" s="57"/>
      <c r="AU339" s="52"/>
      <c r="AV339" s="52"/>
      <c r="AW339" s="58"/>
      <c r="AX339" s="33">
        <f t="shared" si="186"/>
        <v>0</v>
      </c>
      <c r="AY339" s="31">
        <f t="shared" si="187"/>
        <v>0</v>
      </c>
      <c r="AZ339" s="30">
        <f t="shared" si="188"/>
        <v>0</v>
      </c>
      <c r="BA339" s="34"/>
      <c r="BB339" s="34"/>
      <c r="BC339" s="34"/>
      <c r="BD339" s="76"/>
      <c r="BE339" s="34"/>
      <c r="BF339" s="34"/>
      <c r="BG339" s="34"/>
      <c r="BH339" s="34"/>
    </row>
    <row r="340" spans="1:60" s="17" customFormat="1" ht="19.5" customHeight="1" x14ac:dyDescent="0.35">
      <c r="A340" s="41">
        <f t="shared" si="183"/>
        <v>45425</v>
      </c>
      <c r="B340" s="37" t="str">
        <f t="shared" si="183"/>
        <v>Ütü</v>
      </c>
      <c r="C340" s="65">
        <f t="shared" si="184"/>
        <v>0</v>
      </c>
      <c r="D340" s="67">
        <f t="shared" si="185"/>
        <v>60</v>
      </c>
      <c r="E340" s="57"/>
      <c r="F340" s="52"/>
      <c r="G340" s="52"/>
      <c r="H340" s="58"/>
      <c r="I340" s="57"/>
      <c r="J340" s="52"/>
      <c r="K340" s="52"/>
      <c r="L340" s="58"/>
      <c r="M340" s="57"/>
      <c r="N340" s="52"/>
      <c r="O340" s="52"/>
      <c r="P340" s="58"/>
      <c r="Q340" s="57"/>
      <c r="R340" s="52"/>
      <c r="S340" s="52"/>
      <c r="T340" s="52"/>
      <c r="U340" s="58"/>
      <c r="V340" s="57"/>
      <c r="W340" s="52"/>
      <c r="X340" s="52"/>
      <c r="Y340" s="58"/>
      <c r="Z340" s="57"/>
      <c r="AA340" s="52"/>
      <c r="AB340" s="52"/>
      <c r="AC340" s="58"/>
      <c r="AD340" s="57"/>
      <c r="AE340" s="52"/>
      <c r="AF340" s="52"/>
      <c r="AG340" s="58"/>
      <c r="AH340" s="57"/>
      <c r="AI340" s="52"/>
      <c r="AJ340" s="52"/>
      <c r="AK340" s="58"/>
      <c r="AL340" s="57"/>
      <c r="AM340" s="52"/>
      <c r="AN340" s="52"/>
      <c r="AO340" s="58"/>
      <c r="AP340" s="57"/>
      <c r="AQ340" s="52"/>
      <c r="AR340" s="52"/>
      <c r="AS340" s="58"/>
      <c r="AT340" s="57"/>
      <c r="AU340" s="52"/>
      <c r="AV340" s="52"/>
      <c r="AW340" s="58"/>
      <c r="AX340" s="33">
        <f t="shared" si="186"/>
        <v>0</v>
      </c>
      <c r="AY340" s="31">
        <f t="shared" si="187"/>
        <v>0</v>
      </c>
      <c r="AZ340" s="30">
        <f t="shared" si="188"/>
        <v>0</v>
      </c>
      <c r="BA340" s="34"/>
      <c r="BB340" s="34"/>
      <c r="BC340" s="34"/>
      <c r="BD340" s="76"/>
      <c r="BE340" s="34"/>
      <c r="BF340" s="34"/>
      <c r="BG340" s="34"/>
      <c r="BH340" s="34"/>
    </row>
    <row r="341" spans="1:60" s="17" customFormat="1" ht="19.5" customHeight="1" x14ac:dyDescent="0.35">
      <c r="A341" s="41">
        <f>A338</f>
        <v>45425</v>
      </c>
      <c r="B341" s="37" t="str">
        <f t="shared" si="183"/>
        <v>Ütü</v>
      </c>
      <c r="C341" s="65">
        <f t="shared" si="184"/>
        <v>0</v>
      </c>
      <c r="D341" s="67">
        <f t="shared" si="185"/>
        <v>60</v>
      </c>
      <c r="E341" s="57"/>
      <c r="F341" s="52"/>
      <c r="G341" s="52"/>
      <c r="H341" s="58"/>
      <c r="I341" s="57"/>
      <c r="J341" s="52"/>
      <c r="K341" s="52"/>
      <c r="L341" s="58"/>
      <c r="M341" s="57"/>
      <c r="N341" s="52"/>
      <c r="O341" s="52"/>
      <c r="P341" s="58"/>
      <c r="Q341" s="57"/>
      <c r="R341" s="52"/>
      <c r="S341" s="52"/>
      <c r="T341" s="52"/>
      <c r="U341" s="58"/>
      <c r="V341" s="57"/>
      <c r="W341" s="52"/>
      <c r="X341" s="52"/>
      <c r="Y341" s="58"/>
      <c r="Z341" s="57"/>
      <c r="AA341" s="52"/>
      <c r="AB341" s="52"/>
      <c r="AC341" s="58"/>
      <c r="AD341" s="57"/>
      <c r="AE341" s="52"/>
      <c r="AF341" s="52"/>
      <c r="AG341" s="58"/>
      <c r="AH341" s="57"/>
      <c r="AI341" s="52"/>
      <c r="AJ341" s="52"/>
      <c r="AK341" s="58"/>
      <c r="AL341" s="57"/>
      <c r="AM341" s="52"/>
      <c r="AN341" s="52"/>
      <c r="AO341" s="58"/>
      <c r="AP341" s="57"/>
      <c r="AQ341" s="52"/>
      <c r="AR341" s="52"/>
      <c r="AS341" s="58"/>
      <c r="AT341" s="57"/>
      <c r="AU341" s="52"/>
      <c r="AV341" s="52"/>
      <c r="AW341" s="58"/>
      <c r="AX341" s="33">
        <f t="shared" si="186"/>
        <v>0</v>
      </c>
      <c r="AY341" s="31">
        <f t="shared" si="187"/>
        <v>0</v>
      </c>
      <c r="AZ341" s="30">
        <f t="shared" si="188"/>
        <v>0</v>
      </c>
      <c r="BA341" s="34"/>
      <c r="BB341" s="34"/>
      <c r="BC341" s="34"/>
      <c r="BD341" s="76"/>
      <c r="BE341" s="34"/>
      <c r="BF341" s="34"/>
      <c r="BG341" s="34"/>
      <c r="BH341" s="34"/>
    </row>
    <row r="342" spans="1:60" s="17" customFormat="1" ht="19.5" customHeight="1" x14ac:dyDescent="0.35">
      <c r="A342" s="41">
        <f t="shared" ref="A342:B344" si="189">A341</f>
        <v>45425</v>
      </c>
      <c r="B342" s="37" t="str">
        <f t="shared" si="189"/>
        <v>Ütü</v>
      </c>
      <c r="C342" s="65">
        <f t="shared" si="184"/>
        <v>0</v>
      </c>
      <c r="D342" s="67">
        <f t="shared" si="185"/>
        <v>60</v>
      </c>
      <c r="E342" s="57"/>
      <c r="F342" s="52"/>
      <c r="G342" s="52"/>
      <c r="H342" s="58"/>
      <c r="I342" s="57"/>
      <c r="J342" s="52"/>
      <c r="K342" s="52"/>
      <c r="L342" s="58"/>
      <c r="M342" s="57"/>
      <c r="N342" s="52"/>
      <c r="O342" s="52"/>
      <c r="P342" s="78"/>
      <c r="Q342" s="57"/>
      <c r="R342" s="52"/>
      <c r="S342" s="52"/>
      <c r="T342" s="52"/>
      <c r="U342" s="58"/>
      <c r="V342" s="80"/>
      <c r="W342" s="52"/>
      <c r="X342" s="52"/>
      <c r="Y342" s="58"/>
      <c r="Z342" s="57"/>
      <c r="AA342" s="52"/>
      <c r="AB342" s="52"/>
      <c r="AC342" s="58"/>
      <c r="AD342" s="57"/>
      <c r="AE342" s="52"/>
      <c r="AF342" s="52"/>
      <c r="AG342" s="58"/>
      <c r="AH342" s="57"/>
      <c r="AI342" s="52"/>
      <c r="AJ342" s="52"/>
      <c r="AK342" s="58"/>
      <c r="AL342" s="57"/>
      <c r="AM342" s="52"/>
      <c r="AN342" s="52"/>
      <c r="AO342" s="58"/>
      <c r="AP342" s="57"/>
      <c r="AQ342" s="52"/>
      <c r="AR342" s="52"/>
      <c r="AS342" s="58"/>
      <c r="AT342" s="57"/>
      <c r="AU342" s="52"/>
      <c r="AV342" s="52"/>
      <c r="AW342" s="58"/>
      <c r="AX342" s="33">
        <f t="shared" si="186"/>
        <v>0</v>
      </c>
      <c r="AY342" s="31">
        <f t="shared" si="187"/>
        <v>0</v>
      </c>
      <c r="AZ342" s="30">
        <f t="shared" si="188"/>
        <v>0</v>
      </c>
      <c r="BA342" s="34"/>
      <c r="BB342" s="34"/>
      <c r="BC342" s="34"/>
      <c r="BD342" s="76"/>
      <c r="BE342" s="34"/>
      <c r="BF342" s="34"/>
      <c r="BG342" s="34"/>
      <c r="BH342" s="34"/>
    </row>
    <row r="343" spans="1:60" s="17" customFormat="1" ht="19.5" customHeight="1" thickBot="1" x14ac:dyDescent="0.4">
      <c r="A343" s="41">
        <f t="shared" si="189"/>
        <v>45425</v>
      </c>
      <c r="B343" s="37" t="str">
        <f t="shared" si="189"/>
        <v>Ütü</v>
      </c>
      <c r="C343" s="65">
        <f t="shared" si="184"/>
        <v>0</v>
      </c>
      <c r="D343" s="67">
        <f t="shared" si="185"/>
        <v>60</v>
      </c>
      <c r="E343" s="59"/>
      <c r="F343" s="60"/>
      <c r="G343" s="61"/>
      <c r="H343" s="62"/>
      <c r="I343" s="59"/>
      <c r="J343" s="60"/>
      <c r="K343" s="61"/>
      <c r="L343" s="62"/>
      <c r="M343" s="59"/>
      <c r="N343" s="60"/>
      <c r="O343" s="61"/>
      <c r="P343" s="79"/>
      <c r="Q343" s="64"/>
      <c r="R343" s="61"/>
      <c r="S343" s="61"/>
      <c r="T343" s="61"/>
      <c r="U343" s="62"/>
      <c r="V343" s="81"/>
      <c r="W343" s="60"/>
      <c r="X343" s="61"/>
      <c r="Y343" s="62"/>
      <c r="Z343" s="59"/>
      <c r="AA343" s="60"/>
      <c r="AB343" s="61"/>
      <c r="AC343" s="62"/>
      <c r="AD343" s="59"/>
      <c r="AE343" s="60"/>
      <c r="AF343" s="61"/>
      <c r="AG343" s="62"/>
      <c r="AH343" s="59"/>
      <c r="AI343" s="60"/>
      <c r="AJ343" s="61"/>
      <c r="AK343" s="62"/>
      <c r="AL343" s="59"/>
      <c r="AM343" s="60"/>
      <c r="AN343" s="61"/>
      <c r="AO343" s="62"/>
      <c r="AP343" s="59"/>
      <c r="AQ343" s="60"/>
      <c r="AR343" s="61"/>
      <c r="AS343" s="62"/>
      <c r="AT343" s="59"/>
      <c r="AU343" s="60"/>
      <c r="AV343" s="61"/>
      <c r="AW343" s="62"/>
      <c r="AX343" s="33">
        <f t="shared" si="186"/>
        <v>0</v>
      </c>
      <c r="AY343" s="31">
        <f t="shared" si="187"/>
        <v>0</v>
      </c>
      <c r="AZ343" s="30">
        <f t="shared" si="188"/>
        <v>0</v>
      </c>
      <c r="BA343" s="34"/>
      <c r="BB343" s="34"/>
      <c r="BC343" s="34"/>
      <c r="BD343" s="76"/>
      <c r="BE343" s="34"/>
      <c r="BF343" s="34"/>
      <c r="BG343" s="34"/>
      <c r="BH343" s="34"/>
    </row>
    <row r="344" spans="1:60" s="17" customFormat="1" ht="19.5" customHeight="1" thickBot="1" x14ac:dyDescent="0.45">
      <c r="A344" s="41">
        <f t="shared" si="189"/>
        <v>45425</v>
      </c>
      <c r="B344" s="139" t="str">
        <f>B337</f>
        <v>Ütü</v>
      </c>
      <c r="C344" s="140"/>
      <c r="D344" s="40">
        <f>C182/8</f>
        <v>500</v>
      </c>
      <c r="E344" s="141">
        <f>SUM(E337:H343)</f>
        <v>0</v>
      </c>
      <c r="F344" s="142"/>
      <c r="G344" s="142"/>
      <c r="H344" s="143"/>
      <c r="I344" s="141">
        <f>SUM(I337:L343)</f>
        <v>0</v>
      </c>
      <c r="J344" s="142"/>
      <c r="K344" s="142"/>
      <c r="L344" s="143"/>
      <c r="M344" s="141">
        <f>SUM(M337:P343)</f>
        <v>0</v>
      </c>
      <c r="N344" s="142"/>
      <c r="O344" s="142"/>
      <c r="P344" s="143"/>
      <c r="Q344" s="144">
        <f>SUM(Q337:U343)</f>
        <v>0</v>
      </c>
      <c r="R344" s="145"/>
      <c r="S344" s="145"/>
      <c r="T344" s="145"/>
      <c r="U344" s="146"/>
      <c r="V344" s="141">
        <f>SUM(V337:Y343)</f>
        <v>0</v>
      </c>
      <c r="W344" s="142"/>
      <c r="X344" s="142"/>
      <c r="Y344" s="143"/>
      <c r="Z344" s="141">
        <f>SUM(Z337:AC343)</f>
        <v>0</v>
      </c>
      <c r="AA344" s="142"/>
      <c r="AB344" s="142"/>
      <c r="AC344" s="143"/>
      <c r="AD344" s="147">
        <f>SUM(AD337:AG343)</f>
        <v>0</v>
      </c>
      <c r="AE344" s="148"/>
      <c r="AF344" s="148"/>
      <c r="AG344" s="149"/>
      <c r="AH344" s="147">
        <f>SUM(AH337:AK343)</f>
        <v>0</v>
      </c>
      <c r="AI344" s="148"/>
      <c r="AJ344" s="148"/>
      <c r="AK344" s="149"/>
      <c r="AL344" s="147">
        <f>SUM(AL337:AO343)</f>
        <v>0</v>
      </c>
      <c r="AM344" s="148"/>
      <c r="AN344" s="148"/>
      <c r="AO344" s="149"/>
      <c r="AP344" s="147">
        <f>SUM(AP337:AS343)</f>
        <v>0</v>
      </c>
      <c r="AQ344" s="148"/>
      <c r="AR344" s="148"/>
      <c r="AS344" s="149"/>
      <c r="AT344" s="147">
        <f>SUM(AT337:AW343)</f>
        <v>0</v>
      </c>
      <c r="AU344" s="148"/>
      <c r="AV344" s="148"/>
      <c r="AW344" s="149"/>
      <c r="AX344" s="87">
        <f>SUM(AX337:AX343)</f>
        <v>0</v>
      </c>
      <c r="AY344" s="88">
        <f>IFERROR(AVERAGEIF(E344:AV344,"&lt;&gt;0",(E344:AV344)),)</f>
        <v>0</v>
      </c>
      <c r="AZ344" s="46">
        <f>IFERROR(AX344/BB338,0)</f>
        <v>0</v>
      </c>
      <c r="BA344" s="34"/>
      <c r="BB344" s="34"/>
      <c r="BC344" s="34"/>
      <c r="BD344" s="76"/>
      <c r="BE344" s="34"/>
      <c r="BF344" s="34"/>
      <c r="BG344" s="34"/>
      <c r="BH344" s="34"/>
    </row>
    <row r="345" spans="1:60" s="17" customFormat="1" ht="19.5" customHeight="1" thickBot="1" x14ac:dyDescent="0.4">
      <c r="A345" s="42">
        <f>A336</f>
        <v>45425</v>
      </c>
      <c r="B345" s="38" t="str">
        <f>B346</f>
        <v>Kalite</v>
      </c>
      <c r="C345" s="39" t="s">
        <v>180</v>
      </c>
      <c r="D345" s="69" t="s">
        <v>181</v>
      </c>
      <c r="E345" s="48">
        <v>0.34375</v>
      </c>
      <c r="F345" s="49">
        <v>0.35416666666666669</v>
      </c>
      <c r="G345" s="49">
        <v>0.36458333333333331</v>
      </c>
      <c r="H345" s="50">
        <v>0.375</v>
      </c>
      <c r="I345" s="48">
        <v>0.38541666666666702</v>
      </c>
      <c r="J345" s="49">
        <v>0.39583333333333298</v>
      </c>
      <c r="K345" s="49">
        <v>0.40625</v>
      </c>
      <c r="L345" s="50">
        <v>0.41666666666666702</v>
      </c>
      <c r="M345" s="48">
        <v>0.4375</v>
      </c>
      <c r="N345" s="49">
        <v>0.44791666666666702</v>
      </c>
      <c r="O345" s="49">
        <v>0.45833333333333398</v>
      </c>
      <c r="P345" s="50">
        <v>0.46875</v>
      </c>
      <c r="Q345" s="82">
        <v>0.47916666666666702</v>
      </c>
      <c r="R345" s="83">
        <v>0.48958333333333398</v>
      </c>
      <c r="S345" s="83">
        <v>0.5</v>
      </c>
      <c r="T345" s="84">
        <v>0.51041666666666696</v>
      </c>
      <c r="U345" s="85">
        <v>0.52083333333333204</v>
      </c>
      <c r="V345" s="48">
        <v>0.5625</v>
      </c>
      <c r="W345" s="49">
        <v>0.57291666666666663</v>
      </c>
      <c r="X345" s="49">
        <v>0.58333333333333304</v>
      </c>
      <c r="Y345" s="50">
        <v>0.59375</v>
      </c>
      <c r="Z345" s="48">
        <v>0.60416666666666696</v>
      </c>
      <c r="AA345" s="49">
        <v>0.61458333333333304</v>
      </c>
      <c r="AB345" s="49">
        <v>0.625</v>
      </c>
      <c r="AC345" s="50">
        <v>0.63541666666666596</v>
      </c>
      <c r="AD345" s="48">
        <v>0.65625</v>
      </c>
      <c r="AE345" s="49">
        <v>0.66666666666666663</v>
      </c>
      <c r="AF345" s="49">
        <v>0.67708333333333304</v>
      </c>
      <c r="AG345" s="50">
        <v>0.6875</v>
      </c>
      <c r="AH345" s="48">
        <v>0.69791666666666696</v>
      </c>
      <c r="AI345" s="49">
        <v>0.70833333333333304</v>
      </c>
      <c r="AJ345" s="49">
        <v>0.71875</v>
      </c>
      <c r="AK345" s="50">
        <v>0.72916666666666696</v>
      </c>
      <c r="AL345" s="48">
        <v>0.73958333333333404</v>
      </c>
      <c r="AM345" s="49">
        <v>0.750000000000001</v>
      </c>
      <c r="AN345" s="49">
        <v>0.76041666666666796</v>
      </c>
      <c r="AO345" s="50">
        <v>0.77083333333333504</v>
      </c>
      <c r="AP345" s="48">
        <v>0.781250000000002</v>
      </c>
      <c r="AQ345" s="49">
        <v>0.79166666666666896</v>
      </c>
      <c r="AR345" s="49">
        <v>0.80208333333333603</v>
      </c>
      <c r="AS345" s="50">
        <v>0.812500000000003</v>
      </c>
      <c r="AT345" s="48">
        <v>0.82291666666666996</v>
      </c>
      <c r="AU345" s="49">
        <v>0.83333333333333703</v>
      </c>
      <c r="AV345" s="49">
        <v>0.843750000000004</v>
      </c>
      <c r="AW345" s="50">
        <v>0.85416666666666663</v>
      </c>
      <c r="AX345" s="68" t="s">
        <v>260</v>
      </c>
      <c r="AY345" s="28" t="s">
        <v>261</v>
      </c>
      <c r="AZ345" s="29" t="s">
        <v>262</v>
      </c>
      <c r="BA345" s="136" t="str">
        <f>B346</f>
        <v>Kalite</v>
      </c>
      <c r="BB345" s="137"/>
      <c r="BC345" s="137"/>
      <c r="BD345" s="137"/>
      <c r="BE345" s="137"/>
      <c r="BF345" s="137"/>
      <c r="BG345" s="137"/>
      <c r="BH345" s="138"/>
    </row>
    <row r="346" spans="1:60" s="17" customFormat="1" ht="19.5" customHeight="1" thickBot="1" x14ac:dyDescent="0.4">
      <c r="A346" s="41">
        <f t="shared" ref="A346:B350" si="190">A345</f>
        <v>45425</v>
      </c>
      <c r="B346" s="37" t="str">
        <f>B170</f>
        <v>Kalite</v>
      </c>
      <c r="C346" s="65">
        <f>C170</f>
        <v>0</v>
      </c>
      <c r="D346" s="70">
        <f>D170</f>
        <v>60</v>
      </c>
      <c r="E346" s="63"/>
      <c r="F346" s="55"/>
      <c r="G346" s="55"/>
      <c r="H346" s="56"/>
      <c r="I346" s="63"/>
      <c r="J346" s="55"/>
      <c r="K346" s="55"/>
      <c r="L346" s="56"/>
      <c r="M346" s="63"/>
      <c r="N346" s="55"/>
      <c r="O346" s="55"/>
      <c r="P346" s="56"/>
      <c r="Q346" s="63"/>
      <c r="R346" s="55"/>
      <c r="S346" s="55"/>
      <c r="T346" s="55"/>
      <c r="U346" s="56"/>
      <c r="V346" s="63"/>
      <c r="W346" s="55"/>
      <c r="X346" s="55"/>
      <c r="Y346" s="56"/>
      <c r="Z346" s="63"/>
      <c r="AA346" s="55"/>
      <c r="AB346" s="55"/>
      <c r="AC346" s="56"/>
      <c r="AD346" s="63"/>
      <c r="AE346" s="55"/>
      <c r="AF346" s="55"/>
      <c r="AG346" s="56"/>
      <c r="AH346" s="63"/>
      <c r="AI346" s="55"/>
      <c r="AJ346" s="55"/>
      <c r="AK346" s="56"/>
      <c r="AL346" s="53"/>
      <c r="AM346" s="54"/>
      <c r="AN346" s="55"/>
      <c r="AO346" s="56"/>
      <c r="AP346" s="53"/>
      <c r="AQ346" s="54"/>
      <c r="AR346" s="55"/>
      <c r="AS346" s="56"/>
      <c r="AT346" s="53"/>
      <c r="AU346" s="54"/>
      <c r="AV346" s="55"/>
      <c r="AW346" s="56"/>
      <c r="AX346" s="33">
        <f>SUM(E346:AW346)</f>
        <v>0</v>
      </c>
      <c r="AY346" s="31">
        <f>IFERROR(AVERAGEIF(E346:AW346,"&lt;&gt;0",(E346:AW346)),)</f>
        <v>0</v>
      </c>
      <c r="AZ346" s="30">
        <f>IFERROR(AY346/D346,0)</f>
        <v>0</v>
      </c>
      <c r="BA346" s="103" t="s">
        <v>182</v>
      </c>
      <c r="BB346" s="100" t="s">
        <v>183</v>
      </c>
      <c r="BC346" s="100" t="s">
        <v>184</v>
      </c>
      <c r="BD346" s="101" t="s">
        <v>185</v>
      </c>
      <c r="BE346" s="100" t="s">
        <v>186</v>
      </c>
      <c r="BF346" s="102" t="s">
        <v>187</v>
      </c>
      <c r="BG346" s="100" t="s">
        <v>188</v>
      </c>
      <c r="BH346" s="102" t="s">
        <v>189</v>
      </c>
    </row>
    <row r="347" spans="1:60" s="17" customFormat="1" ht="19.5" customHeight="1" thickBot="1" x14ac:dyDescent="0.4">
      <c r="A347" s="41">
        <f t="shared" si="190"/>
        <v>45425</v>
      </c>
      <c r="B347" s="37" t="str">
        <f t="shared" si="190"/>
        <v>Kalite</v>
      </c>
      <c r="C347" s="65">
        <f t="shared" ref="C347:C352" si="191">C171</f>
        <v>0</v>
      </c>
      <c r="D347" s="67">
        <f t="shared" ref="D347:D352" si="192">D346</f>
        <v>60</v>
      </c>
      <c r="E347" s="57"/>
      <c r="F347" s="52"/>
      <c r="G347" s="52"/>
      <c r="H347" s="58"/>
      <c r="I347" s="57"/>
      <c r="J347" s="52"/>
      <c r="K347" s="52"/>
      <c r="L347" s="58"/>
      <c r="M347" s="57"/>
      <c r="N347" s="52"/>
      <c r="O347" s="52"/>
      <c r="P347" s="58"/>
      <c r="Q347" s="57"/>
      <c r="R347" s="52"/>
      <c r="S347" s="52"/>
      <c r="T347" s="52"/>
      <c r="U347" s="58"/>
      <c r="V347" s="57"/>
      <c r="W347" s="52"/>
      <c r="X347" s="52"/>
      <c r="Y347" s="58"/>
      <c r="Z347" s="57"/>
      <c r="AA347" s="52"/>
      <c r="AB347" s="52"/>
      <c r="AC347" s="58"/>
      <c r="AD347" s="57"/>
      <c r="AE347" s="52"/>
      <c r="AF347" s="52"/>
      <c r="AG347" s="58"/>
      <c r="AH347" s="57"/>
      <c r="AI347" s="52"/>
      <c r="AJ347" s="52"/>
      <c r="AK347" s="58"/>
      <c r="AL347" s="57"/>
      <c r="AM347" s="52"/>
      <c r="AN347" s="52"/>
      <c r="AO347" s="58"/>
      <c r="AP347" s="57"/>
      <c r="AQ347" s="52"/>
      <c r="AR347" s="52"/>
      <c r="AS347" s="58"/>
      <c r="AT347" s="57"/>
      <c r="AU347" s="52"/>
      <c r="AV347" s="52"/>
      <c r="AW347" s="58"/>
      <c r="AX347" s="33">
        <f t="shared" ref="AX347:AX352" si="193">SUM(E347:AW347)</f>
        <v>0</v>
      </c>
      <c r="AY347" s="31">
        <f t="shared" ref="AY347:AY352" si="194">IFERROR(AVERAGEIF(E347:AW347,"&lt;&gt;0",(E347:AW347)),)</f>
        <v>0</v>
      </c>
      <c r="AZ347" s="30">
        <f t="shared" ref="AZ347:AZ352" si="195">IFERROR(AY347/D347,0)</f>
        <v>0</v>
      </c>
      <c r="BA347" s="94">
        <f>AX353+BA171</f>
        <v>0</v>
      </c>
      <c r="BB347" s="95">
        <f>(D353*8)</f>
        <v>4000</v>
      </c>
      <c r="BC347" s="96">
        <f>C181-BA347</f>
        <v>42311</v>
      </c>
      <c r="BD347" s="96">
        <f>BA338-BA347</f>
        <v>0</v>
      </c>
      <c r="BE347" s="97">
        <f>IFERROR(BC347/E353,0)</f>
        <v>0</v>
      </c>
      <c r="BF347" s="98">
        <f>IFERROR(BE347/9,0)</f>
        <v>0</v>
      </c>
      <c r="BG347" s="97">
        <f>IFERROR(BC347/AY353,0)</f>
        <v>0</v>
      </c>
      <c r="BH347" s="97">
        <f>IFERROR(BG347/9,0)</f>
        <v>0</v>
      </c>
    </row>
    <row r="348" spans="1:60" s="17" customFormat="1" ht="19.5" customHeight="1" x14ac:dyDescent="0.35">
      <c r="A348" s="41">
        <f t="shared" si="190"/>
        <v>45425</v>
      </c>
      <c r="B348" s="37" t="str">
        <f t="shared" si="190"/>
        <v>Kalite</v>
      </c>
      <c r="C348" s="65">
        <f t="shared" si="191"/>
        <v>0</v>
      </c>
      <c r="D348" s="67">
        <f t="shared" si="192"/>
        <v>60</v>
      </c>
      <c r="E348" s="57"/>
      <c r="F348" s="52"/>
      <c r="G348" s="52"/>
      <c r="H348" s="58"/>
      <c r="I348" s="57"/>
      <c r="J348" s="52"/>
      <c r="K348" s="52"/>
      <c r="L348" s="58"/>
      <c r="M348" s="57"/>
      <c r="N348" s="52"/>
      <c r="O348" s="52"/>
      <c r="P348" s="58"/>
      <c r="Q348" s="57"/>
      <c r="R348" s="52"/>
      <c r="S348" s="52"/>
      <c r="T348" s="52"/>
      <c r="U348" s="58"/>
      <c r="V348" s="57"/>
      <c r="W348" s="52"/>
      <c r="X348" s="52"/>
      <c r="Y348" s="58"/>
      <c r="Z348" s="57"/>
      <c r="AA348" s="52"/>
      <c r="AB348" s="52"/>
      <c r="AC348" s="58"/>
      <c r="AD348" s="57"/>
      <c r="AE348" s="52"/>
      <c r="AF348" s="52"/>
      <c r="AG348" s="58"/>
      <c r="AH348" s="57"/>
      <c r="AI348" s="52"/>
      <c r="AJ348" s="52"/>
      <c r="AK348" s="58"/>
      <c r="AL348" s="57"/>
      <c r="AM348" s="52"/>
      <c r="AN348" s="52"/>
      <c r="AO348" s="58"/>
      <c r="AP348" s="57"/>
      <c r="AQ348" s="52"/>
      <c r="AR348" s="52"/>
      <c r="AS348" s="58"/>
      <c r="AT348" s="57"/>
      <c r="AU348" s="52"/>
      <c r="AV348" s="52"/>
      <c r="AW348" s="58"/>
      <c r="AX348" s="33">
        <f t="shared" si="193"/>
        <v>0</v>
      </c>
      <c r="AY348" s="31">
        <f t="shared" si="194"/>
        <v>0</v>
      </c>
      <c r="AZ348" s="30">
        <f t="shared" si="195"/>
        <v>0</v>
      </c>
      <c r="BA348" s="34"/>
      <c r="BB348" s="34"/>
      <c r="BC348" s="34"/>
      <c r="BD348" s="76"/>
      <c r="BE348" s="34"/>
      <c r="BF348" s="34"/>
      <c r="BG348" s="34"/>
      <c r="BH348" s="34"/>
    </row>
    <row r="349" spans="1:60" s="17" customFormat="1" ht="19.5" customHeight="1" x14ac:dyDescent="0.35">
      <c r="A349" s="41">
        <f t="shared" si="190"/>
        <v>45425</v>
      </c>
      <c r="B349" s="37" t="str">
        <f t="shared" si="190"/>
        <v>Kalite</v>
      </c>
      <c r="C349" s="65">
        <f t="shared" si="191"/>
        <v>0</v>
      </c>
      <c r="D349" s="67">
        <f t="shared" si="192"/>
        <v>60</v>
      </c>
      <c r="E349" s="57"/>
      <c r="F349" s="52"/>
      <c r="G349" s="52"/>
      <c r="H349" s="58"/>
      <c r="I349" s="57"/>
      <c r="J349" s="52"/>
      <c r="K349" s="52"/>
      <c r="L349" s="58"/>
      <c r="M349" s="57"/>
      <c r="N349" s="52"/>
      <c r="O349" s="52"/>
      <c r="P349" s="58"/>
      <c r="Q349" s="57"/>
      <c r="R349" s="52"/>
      <c r="S349" s="52"/>
      <c r="T349" s="52"/>
      <c r="U349" s="58"/>
      <c r="V349" s="57"/>
      <c r="W349" s="52"/>
      <c r="X349" s="52"/>
      <c r="Y349" s="58"/>
      <c r="Z349" s="57"/>
      <c r="AA349" s="52"/>
      <c r="AB349" s="52"/>
      <c r="AC349" s="58"/>
      <c r="AD349" s="57"/>
      <c r="AE349" s="52"/>
      <c r="AF349" s="52"/>
      <c r="AG349" s="58"/>
      <c r="AH349" s="57"/>
      <c r="AI349" s="52"/>
      <c r="AJ349" s="52"/>
      <c r="AK349" s="58"/>
      <c r="AL349" s="57"/>
      <c r="AM349" s="52"/>
      <c r="AN349" s="52"/>
      <c r="AO349" s="58"/>
      <c r="AP349" s="57"/>
      <c r="AQ349" s="52"/>
      <c r="AR349" s="52"/>
      <c r="AS349" s="58"/>
      <c r="AT349" s="57"/>
      <c r="AU349" s="52"/>
      <c r="AV349" s="52"/>
      <c r="AW349" s="58"/>
      <c r="AX349" s="33">
        <f t="shared" si="193"/>
        <v>0</v>
      </c>
      <c r="AY349" s="31">
        <f t="shared" si="194"/>
        <v>0</v>
      </c>
      <c r="AZ349" s="30">
        <f t="shared" si="195"/>
        <v>0</v>
      </c>
      <c r="BA349" s="34"/>
      <c r="BB349" s="34"/>
      <c r="BC349" s="34"/>
      <c r="BD349" s="76"/>
      <c r="BE349" s="34"/>
      <c r="BF349" s="34"/>
      <c r="BG349" s="34"/>
      <c r="BH349" s="34"/>
    </row>
    <row r="350" spans="1:60" s="17" customFormat="1" ht="19.5" customHeight="1" x14ac:dyDescent="0.35">
      <c r="A350" s="41">
        <f>A347</f>
        <v>45425</v>
      </c>
      <c r="B350" s="37" t="str">
        <f t="shared" si="190"/>
        <v>Kalite</v>
      </c>
      <c r="C350" s="65">
        <f t="shared" si="191"/>
        <v>0</v>
      </c>
      <c r="D350" s="67">
        <f t="shared" si="192"/>
        <v>60</v>
      </c>
      <c r="E350" s="57"/>
      <c r="F350" s="52"/>
      <c r="G350" s="52"/>
      <c r="H350" s="58"/>
      <c r="I350" s="57"/>
      <c r="J350" s="52"/>
      <c r="K350" s="52"/>
      <c r="L350" s="58"/>
      <c r="M350" s="57"/>
      <c r="N350" s="52"/>
      <c r="O350" s="52"/>
      <c r="P350" s="58"/>
      <c r="Q350" s="57"/>
      <c r="R350" s="52"/>
      <c r="S350" s="52"/>
      <c r="T350" s="52"/>
      <c r="U350" s="58"/>
      <c r="V350" s="57"/>
      <c r="W350" s="52"/>
      <c r="X350" s="52"/>
      <c r="Y350" s="58"/>
      <c r="Z350" s="57"/>
      <c r="AA350" s="52"/>
      <c r="AB350" s="52"/>
      <c r="AC350" s="58"/>
      <c r="AD350" s="57"/>
      <c r="AE350" s="52"/>
      <c r="AF350" s="52"/>
      <c r="AG350" s="58"/>
      <c r="AH350" s="57"/>
      <c r="AI350" s="52"/>
      <c r="AJ350" s="52"/>
      <c r="AK350" s="58"/>
      <c r="AL350" s="57"/>
      <c r="AM350" s="52"/>
      <c r="AN350" s="52"/>
      <c r="AO350" s="58"/>
      <c r="AP350" s="57"/>
      <c r="AQ350" s="52"/>
      <c r="AR350" s="52"/>
      <c r="AS350" s="58"/>
      <c r="AT350" s="57"/>
      <c r="AU350" s="52"/>
      <c r="AV350" s="52"/>
      <c r="AW350" s="58"/>
      <c r="AX350" s="33">
        <f t="shared" si="193"/>
        <v>0</v>
      </c>
      <c r="AY350" s="31">
        <f t="shared" si="194"/>
        <v>0</v>
      </c>
      <c r="AZ350" s="30">
        <f t="shared" si="195"/>
        <v>0</v>
      </c>
      <c r="BA350" s="34"/>
      <c r="BB350" s="34"/>
      <c r="BC350" s="34"/>
      <c r="BD350" s="76"/>
      <c r="BE350" s="34"/>
      <c r="BF350" s="34"/>
      <c r="BG350" s="34"/>
      <c r="BH350" s="34"/>
    </row>
    <row r="351" spans="1:60" s="17" customFormat="1" ht="19.5" customHeight="1" x14ac:dyDescent="0.35">
      <c r="A351" s="41">
        <f t="shared" ref="A351:B353" si="196">A350</f>
        <v>45425</v>
      </c>
      <c r="B351" s="37" t="str">
        <f t="shared" si="196"/>
        <v>Kalite</v>
      </c>
      <c r="C351" s="65">
        <f t="shared" si="191"/>
        <v>0</v>
      </c>
      <c r="D351" s="67">
        <f t="shared" si="192"/>
        <v>60</v>
      </c>
      <c r="E351" s="57"/>
      <c r="F351" s="52"/>
      <c r="G351" s="52"/>
      <c r="H351" s="58"/>
      <c r="I351" s="57"/>
      <c r="J351" s="52"/>
      <c r="K351" s="52"/>
      <c r="L351" s="58"/>
      <c r="M351" s="57"/>
      <c r="N351" s="52"/>
      <c r="O351" s="52"/>
      <c r="P351" s="78"/>
      <c r="Q351" s="57"/>
      <c r="R351" s="52"/>
      <c r="S351" s="52"/>
      <c r="T351" s="52"/>
      <c r="U351" s="58"/>
      <c r="V351" s="80"/>
      <c r="W351" s="52"/>
      <c r="X351" s="52"/>
      <c r="Y351" s="58"/>
      <c r="Z351" s="57"/>
      <c r="AA351" s="52"/>
      <c r="AB351" s="52"/>
      <c r="AC351" s="58"/>
      <c r="AD351" s="57"/>
      <c r="AE351" s="52"/>
      <c r="AF351" s="52"/>
      <c r="AG351" s="58"/>
      <c r="AH351" s="57"/>
      <c r="AI351" s="52"/>
      <c r="AJ351" s="52"/>
      <c r="AK351" s="58"/>
      <c r="AL351" s="57"/>
      <c r="AM351" s="52"/>
      <c r="AN351" s="52"/>
      <c r="AO351" s="58"/>
      <c r="AP351" s="57"/>
      <c r="AQ351" s="52"/>
      <c r="AR351" s="52"/>
      <c r="AS351" s="58"/>
      <c r="AT351" s="57"/>
      <c r="AU351" s="52"/>
      <c r="AV351" s="52"/>
      <c r="AW351" s="58"/>
      <c r="AX351" s="33">
        <f t="shared" si="193"/>
        <v>0</v>
      </c>
      <c r="AY351" s="31">
        <f t="shared" si="194"/>
        <v>0</v>
      </c>
      <c r="AZ351" s="30">
        <f t="shared" si="195"/>
        <v>0</v>
      </c>
      <c r="BA351" s="34"/>
      <c r="BB351" s="34"/>
      <c r="BC351" s="34"/>
      <c r="BD351" s="76"/>
      <c r="BE351" s="34"/>
      <c r="BF351" s="34"/>
      <c r="BG351" s="34"/>
      <c r="BH351" s="34"/>
    </row>
    <row r="352" spans="1:60" s="17" customFormat="1" ht="19.5" customHeight="1" thickBot="1" x14ac:dyDescent="0.4">
      <c r="A352" s="41">
        <f t="shared" si="196"/>
        <v>45425</v>
      </c>
      <c r="B352" s="37" t="str">
        <f t="shared" si="196"/>
        <v>Kalite</v>
      </c>
      <c r="C352" s="65">
        <f t="shared" si="191"/>
        <v>0</v>
      </c>
      <c r="D352" s="67">
        <f t="shared" si="192"/>
        <v>60</v>
      </c>
      <c r="E352" s="59"/>
      <c r="F352" s="60"/>
      <c r="G352" s="61"/>
      <c r="H352" s="62"/>
      <c r="I352" s="59"/>
      <c r="J352" s="60"/>
      <c r="K352" s="61"/>
      <c r="L352" s="62"/>
      <c r="M352" s="59"/>
      <c r="N352" s="60"/>
      <c r="O352" s="61"/>
      <c r="P352" s="79"/>
      <c r="Q352" s="64"/>
      <c r="R352" s="61"/>
      <c r="S352" s="61"/>
      <c r="T352" s="61"/>
      <c r="U352" s="62"/>
      <c r="V352" s="81"/>
      <c r="W352" s="60"/>
      <c r="X352" s="61"/>
      <c r="Y352" s="62"/>
      <c r="Z352" s="59"/>
      <c r="AA352" s="60"/>
      <c r="AB352" s="61"/>
      <c r="AC352" s="62"/>
      <c r="AD352" s="59"/>
      <c r="AE352" s="60"/>
      <c r="AF352" s="61"/>
      <c r="AG352" s="62"/>
      <c r="AH352" s="59"/>
      <c r="AI352" s="60"/>
      <c r="AJ352" s="61"/>
      <c r="AK352" s="62"/>
      <c r="AL352" s="59"/>
      <c r="AM352" s="60"/>
      <c r="AN352" s="61"/>
      <c r="AO352" s="62"/>
      <c r="AP352" s="59"/>
      <c r="AQ352" s="60"/>
      <c r="AR352" s="61"/>
      <c r="AS352" s="62"/>
      <c r="AT352" s="59"/>
      <c r="AU352" s="60"/>
      <c r="AV352" s="61"/>
      <c r="AW352" s="62"/>
      <c r="AX352" s="33">
        <f t="shared" si="193"/>
        <v>0</v>
      </c>
      <c r="AY352" s="31">
        <f t="shared" si="194"/>
        <v>0</v>
      </c>
      <c r="AZ352" s="30">
        <f t="shared" si="195"/>
        <v>0</v>
      </c>
      <c r="BA352" s="34"/>
      <c r="BB352" s="34"/>
      <c r="BC352" s="34"/>
      <c r="BD352" s="76"/>
      <c r="BE352" s="34"/>
      <c r="BF352" s="34"/>
      <c r="BG352" s="34"/>
      <c r="BH352" s="34"/>
    </row>
    <row r="353" spans="1:60" s="17" customFormat="1" ht="19.5" customHeight="1" thickBot="1" x14ac:dyDescent="0.45">
      <c r="A353" s="41">
        <f t="shared" si="196"/>
        <v>45425</v>
      </c>
      <c r="B353" s="139" t="str">
        <f>B346</f>
        <v>Kalite</v>
      </c>
      <c r="C353" s="140"/>
      <c r="D353" s="40">
        <f>C182/8</f>
        <v>500</v>
      </c>
      <c r="E353" s="141">
        <f>SUM(E346:H352)</f>
        <v>0</v>
      </c>
      <c r="F353" s="142"/>
      <c r="G353" s="142"/>
      <c r="H353" s="143"/>
      <c r="I353" s="141">
        <f>SUM(I346:L352)</f>
        <v>0</v>
      </c>
      <c r="J353" s="142"/>
      <c r="K353" s="142"/>
      <c r="L353" s="143"/>
      <c r="M353" s="141">
        <f>SUM(M346:P352)</f>
        <v>0</v>
      </c>
      <c r="N353" s="142"/>
      <c r="O353" s="142"/>
      <c r="P353" s="143"/>
      <c r="Q353" s="144">
        <f>SUM(Q346:U352)</f>
        <v>0</v>
      </c>
      <c r="R353" s="145"/>
      <c r="S353" s="145"/>
      <c r="T353" s="145"/>
      <c r="U353" s="146"/>
      <c r="V353" s="141">
        <f>SUM(V346:Y352)</f>
        <v>0</v>
      </c>
      <c r="W353" s="142"/>
      <c r="X353" s="142"/>
      <c r="Y353" s="143"/>
      <c r="Z353" s="141">
        <f>SUM(Z346:AC352)</f>
        <v>0</v>
      </c>
      <c r="AA353" s="142"/>
      <c r="AB353" s="142"/>
      <c r="AC353" s="143"/>
      <c r="AD353" s="147">
        <f>SUM(AD346:AG352)</f>
        <v>0</v>
      </c>
      <c r="AE353" s="148"/>
      <c r="AF353" s="148"/>
      <c r="AG353" s="149"/>
      <c r="AH353" s="147">
        <f>SUM(AH346:AK352)</f>
        <v>0</v>
      </c>
      <c r="AI353" s="148"/>
      <c r="AJ353" s="148"/>
      <c r="AK353" s="149"/>
      <c r="AL353" s="147">
        <f>SUM(AL346:AO352)</f>
        <v>0</v>
      </c>
      <c r="AM353" s="148"/>
      <c r="AN353" s="148"/>
      <c r="AO353" s="149"/>
      <c r="AP353" s="147">
        <f>SUM(AP346:AS352)</f>
        <v>0</v>
      </c>
      <c r="AQ353" s="148"/>
      <c r="AR353" s="148"/>
      <c r="AS353" s="149"/>
      <c r="AT353" s="147">
        <f>SUM(AT346:AW352)</f>
        <v>0</v>
      </c>
      <c r="AU353" s="148"/>
      <c r="AV353" s="148"/>
      <c r="AW353" s="149"/>
      <c r="AX353" s="87">
        <f>SUM(AX346:AX352)</f>
        <v>0</v>
      </c>
      <c r="AY353" s="88">
        <f>IFERROR(AVERAGEIF(E353:AV353,"&lt;&gt;0",(E353:AV353)),)</f>
        <v>0</v>
      </c>
      <c r="AZ353" s="46">
        <f>IFERROR(AX353/BB347,0)</f>
        <v>0</v>
      </c>
      <c r="BA353" s="34"/>
      <c r="BB353" s="34"/>
      <c r="BC353" s="34"/>
      <c r="BD353" s="76"/>
      <c r="BE353" s="34"/>
      <c r="BF353" s="34"/>
      <c r="BG353" s="34"/>
      <c r="BH353" s="34"/>
    </row>
    <row r="354" spans="1:60" s="17" customFormat="1" ht="19.5" customHeight="1" x14ac:dyDescent="0.35">
      <c r="A354" s="109"/>
      <c r="B354" s="35" t="s">
        <v>168</v>
      </c>
      <c r="C354" s="24">
        <v>45439</v>
      </c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  <c r="AB354" s="109"/>
      <c r="AC354" s="109"/>
      <c r="AD354" s="109"/>
      <c r="AE354" s="109"/>
      <c r="AF354" s="109"/>
      <c r="AG354" s="109"/>
      <c r="AH354" s="109"/>
      <c r="AI354" s="109"/>
      <c r="AJ354" s="109"/>
      <c r="AK354" s="109"/>
      <c r="AL354" s="109"/>
      <c r="AM354" s="109"/>
      <c r="AN354" s="109"/>
      <c r="AO354" s="109"/>
      <c r="AP354" s="109"/>
      <c r="AQ354" s="109"/>
      <c r="AR354" s="109"/>
      <c r="AS354" s="109"/>
      <c r="AT354" s="109"/>
      <c r="AU354" s="109"/>
      <c r="AV354" s="109"/>
      <c r="AW354" s="109"/>
      <c r="AX354" s="109"/>
      <c r="AY354" s="109"/>
      <c r="AZ354" s="109"/>
      <c r="BA354" s="109"/>
      <c r="BB354" s="109"/>
      <c r="BC354" s="109"/>
      <c r="BD354" s="110"/>
      <c r="BE354" s="109"/>
      <c r="BF354" s="109"/>
      <c r="BG354" s="109"/>
      <c r="BH354" s="109"/>
    </row>
    <row r="355" spans="1:60" s="17" customFormat="1" ht="19.5" customHeight="1" x14ac:dyDescent="0.35">
      <c r="A355" s="109"/>
      <c r="B355" s="35" t="s">
        <v>169</v>
      </c>
      <c r="C355" s="77">
        <f>C179</f>
        <v>0</v>
      </c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  <c r="AB355" s="109"/>
      <c r="AC355" s="109"/>
      <c r="AD355" s="109"/>
      <c r="AE355" s="109"/>
      <c r="AF355" s="109"/>
      <c r="AG355" s="109"/>
      <c r="AH355" s="109"/>
      <c r="AI355" s="109"/>
      <c r="AJ355" s="109"/>
      <c r="AK355" s="109"/>
      <c r="AL355" s="109"/>
      <c r="AM355" s="109"/>
      <c r="AN355" s="109"/>
      <c r="AO355" s="109"/>
      <c r="AP355" s="109"/>
      <c r="AQ355" s="109"/>
      <c r="AR355" s="109"/>
      <c r="AS355" s="109"/>
      <c r="AT355" s="109"/>
      <c r="AU355" s="109"/>
      <c r="AV355" s="109"/>
      <c r="AW355" s="109"/>
      <c r="AX355" s="109"/>
      <c r="AY355" s="109"/>
      <c r="AZ355" s="109"/>
      <c r="BA355" s="20" t="s">
        <v>170</v>
      </c>
      <c r="BB355" s="21" t="s">
        <v>171</v>
      </c>
      <c r="BC355" s="26" t="s">
        <v>172</v>
      </c>
      <c r="BD355" s="110"/>
      <c r="BE355" s="109"/>
      <c r="BF355" s="109"/>
      <c r="BG355" s="109"/>
      <c r="BH355" s="109"/>
    </row>
    <row r="356" spans="1:60" s="17" customFormat="1" ht="19.5" customHeight="1" x14ac:dyDescent="0.35">
      <c r="A356" s="109"/>
      <c r="B356" s="35" t="s">
        <v>173</v>
      </c>
      <c r="C356" s="77" t="str">
        <f>C180</f>
        <v>H&amp;M MAN</v>
      </c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  <c r="AB356" s="109"/>
      <c r="AC356" s="109"/>
      <c r="AD356" s="109"/>
      <c r="AE356" s="109"/>
      <c r="AF356" s="109"/>
      <c r="AG356" s="109"/>
      <c r="AH356" s="109"/>
      <c r="AI356" s="109"/>
      <c r="AJ356" s="109"/>
      <c r="AK356" s="109"/>
      <c r="AL356" s="109"/>
      <c r="AM356" s="109"/>
      <c r="AN356" s="109"/>
      <c r="AO356" s="109"/>
      <c r="AP356" s="109"/>
      <c r="AQ356" s="109"/>
      <c r="AR356" s="109"/>
      <c r="AS356" s="109"/>
      <c r="AT356" s="109"/>
      <c r="AU356" s="109"/>
      <c r="AV356" s="109"/>
      <c r="AW356" s="109"/>
      <c r="AX356" s="109"/>
      <c r="AY356" s="109"/>
      <c r="AZ356" s="109"/>
      <c r="BA356" s="32" t="s">
        <v>174</v>
      </c>
      <c r="BB356" s="22" t="s">
        <v>175</v>
      </c>
      <c r="BC356" s="109"/>
      <c r="BD356" s="110"/>
      <c r="BE356" s="109"/>
      <c r="BF356" s="109"/>
      <c r="BG356" s="109"/>
      <c r="BH356" s="109"/>
    </row>
    <row r="357" spans="1:60" s="17" customFormat="1" ht="19.5" customHeight="1" thickBot="1" x14ac:dyDescent="0.4">
      <c r="A357" s="109"/>
      <c r="B357" s="35" t="s">
        <v>176</v>
      </c>
      <c r="C357" s="25">
        <f>C181</f>
        <v>42311</v>
      </c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  <c r="AB357" s="109"/>
      <c r="AC357" s="109"/>
      <c r="AD357" s="109"/>
      <c r="AE357" s="109"/>
      <c r="AF357" s="109"/>
      <c r="AG357" s="109"/>
      <c r="AH357" s="109"/>
      <c r="AI357" s="109"/>
      <c r="AJ357" s="109"/>
      <c r="AK357" s="109"/>
      <c r="AL357" s="109"/>
      <c r="AM357" s="109"/>
      <c r="AN357" s="109"/>
      <c r="AO357" s="109"/>
      <c r="AP357" s="109"/>
      <c r="AQ357" s="109"/>
      <c r="AR357" s="109"/>
      <c r="AS357" s="109"/>
      <c r="AT357" s="109"/>
      <c r="AU357" s="109"/>
      <c r="AV357" s="109"/>
      <c r="AW357" s="109"/>
      <c r="AX357" s="109"/>
      <c r="AY357" s="109"/>
      <c r="AZ357" s="109"/>
      <c r="BA357" s="27" t="s">
        <v>177</v>
      </c>
      <c r="BB357" s="23" t="s">
        <v>178</v>
      </c>
      <c r="BC357" s="109"/>
      <c r="BD357" s="110"/>
      <c r="BE357" s="109"/>
      <c r="BF357" s="109"/>
      <c r="BG357" s="109"/>
      <c r="BH357" s="109"/>
    </row>
    <row r="358" spans="1:60" s="17" customFormat="1" ht="19.5" customHeight="1" x14ac:dyDescent="0.35">
      <c r="A358" s="109"/>
      <c r="B358" s="36" t="s">
        <v>179</v>
      </c>
      <c r="C358" s="25">
        <f>C182</f>
        <v>4000</v>
      </c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  <c r="AB358" s="109"/>
      <c r="AC358" s="109"/>
      <c r="AD358" s="109"/>
      <c r="AE358" s="109"/>
      <c r="AF358" s="109"/>
      <c r="AG358" s="109"/>
      <c r="AH358" s="109"/>
      <c r="AI358" s="109"/>
      <c r="AJ358" s="109"/>
      <c r="AK358" s="109"/>
      <c r="AL358" s="109"/>
      <c r="AM358" s="109"/>
      <c r="AN358" s="109"/>
      <c r="AO358" s="109"/>
      <c r="AP358" s="109"/>
      <c r="AQ358" s="109"/>
      <c r="AR358" s="109"/>
      <c r="AS358" s="109"/>
      <c r="AT358" s="109"/>
      <c r="AU358" s="109"/>
      <c r="AV358" s="109"/>
      <c r="AW358" s="109"/>
      <c r="AX358" s="109"/>
      <c r="AY358" s="109"/>
      <c r="AZ358" s="109"/>
      <c r="BA358" s="12" t="str">
        <f t="shared" ref="BA358:BG358" si="197">BA182</f>
        <v>XS</v>
      </c>
      <c r="BB358" s="12" t="str">
        <f t="shared" si="197"/>
        <v>S</v>
      </c>
      <c r="BC358" s="12" t="str">
        <f t="shared" si="197"/>
        <v>M</v>
      </c>
      <c r="BD358" s="12" t="str">
        <f t="shared" si="197"/>
        <v>L</v>
      </c>
      <c r="BE358" s="12" t="str">
        <f t="shared" si="197"/>
        <v>XL</v>
      </c>
      <c r="BF358" s="12" t="str">
        <f t="shared" si="197"/>
        <v>XXL</v>
      </c>
      <c r="BG358" s="12">
        <f t="shared" si="197"/>
        <v>0</v>
      </c>
      <c r="BH358" s="13"/>
    </row>
    <row r="359" spans="1:60" s="17" customFormat="1" ht="19.5" customHeight="1" thickBot="1" x14ac:dyDescent="0.4">
      <c r="A359" s="109"/>
      <c r="B359" s="36" t="s">
        <v>197</v>
      </c>
      <c r="C359" s="25" t="str">
        <f>C183</f>
        <v>EKRU</v>
      </c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  <c r="AB359" s="109"/>
      <c r="AC359" s="109"/>
      <c r="AD359" s="109"/>
      <c r="AE359" s="109"/>
      <c r="AF359" s="109"/>
      <c r="AG359" s="109"/>
      <c r="AH359" s="109"/>
      <c r="AI359" s="109"/>
      <c r="AJ359" s="109"/>
      <c r="AK359" s="109"/>
      <c r="AL359" s="109"/>
      <c r="AM359" s="109"/>
      <c r="AN359" s="109"/>
      <c r="AO359" s="109"/>
      <c r="AP359" s="109"/>
      <c r="AQ359" s="109"/>
      <c r="AR359" s="109"/>
      <c r="AS359" s="109"/>
      <c r="AT359" s="109"/>
      <c r="AU359" s="109"/>
      <c r="AV359" s="109"/>
      <c r="AW359" s="109"/>
      <c r="AX359" s="109"/>
      <c r="AY359" s="109"/>
      <c r="AZ359" s="109"/>
      <c r="BA359" s="14">
        <f t="shared" ref="BA359:BG359" si="198">BA183</f>
        <v>492</v>
      </c>
      <c r="BB359" s="14">
        <f t="shared" si="198"/>
        <v>11438</v>
      </c>
      <c r="BC359" s="14">
        <f t="shared" si="198"/>
        <v>13689</v>
      </c>
      <c r="BD359" s="14">
        <f t="shared" si="198"/>
        <v>9760</v>
      </c>
      <c r="BE359" s="14">
        <f t="shared" si="198"/>
        <v>4794</v>
      </c>
      <c r="BF359" s="14">
        <f t="shared" si="198"/>
        <v>2138</v>
      </c>
      <c r="BG359" s="14">
        <f t="shared" si="198"/>
        <v>0</v>
      </c>
      <c r="BH359" s="15">
        <f>SUM(BA359:BG359)</f>
        <v>42311</v>
      </c>
    </row>
    <row r="360" spans="1:60" s="17" customFormat="1" ht="19.5" customHeight="1" thickBot="1" x14ac:dyDescent="0.4">
      <c r="A360" s="42">
        <f>C354</f>
        <v>45439</v>
      </c>
      <c r="B360" s="38" t="str">
        <f>B361</f>
        <v>Yaka İç Dikiş</v>
      </c>
      <c r="C360" s="39" t="s">
        <v>180</v>
      </c>
      <c r="D360" s="69" t="s">
        <v>181</v>
      </c>
      <c r="E360" s="48">
        <v>0.34375</v>
      </c>
      <c r="F360" s="49">
        <v>0.35416666666666669</v>
      </c>
      <c r="G360" s="49">
        <v>0.36458333333333331</v>
      </c>
      <c r="H360" s="50">
        <v>0.375</v>
      </c>
      <c r="I360" s="48">
        <v>0.38541666666666702</v>
      </c>
      <c r="J360" s="49">
        <v>0.39583333333333298</v>
      </c>
      <c r="K360" s="49">
        <v>0.40625</v>
      </c>
      <c r="L360" s="50">
        <v>0.41666666666666702</v>
      </c>
      <c r="M360" s="48">
        <v>0.4375</v>
      </c>
      <c r="N360" s="49">
        <v>0.44791666666666702</v>
      </c>
      <c r="O360" s="49">
        <v>0.45833333333333398</v>
      </c>
      <c r="P360" s="50">
        <v>0.46875</v>
      </c>
      <c r="Q360" s="48">
        <v>0.47916666666666702</v>
      </c>
      <c r="R360" s="49">
        <v>0.48958333333333398</v>
      </c>
      <c r="S360" s="49">
        <v>0.5</v>
      </c>
      <c r="T360" s="50">
        <v>0.51041666666666696</v>
      </c>
      <c r="U360" s="51">
        <v>0.52083333333333204</v>
      </c>
      <c r="V360" s="48">
        <v>0.5625</v>
      </c>
      <c r="W360" s="49">
        <v>0.57291666666666663</v>
      </c>
      <c r="X360" s="49">
        <v>0.58333333333333304</v>
      </c>
      <c r="Y360" s="50">
        <v>0.59375</v>
      </c>
      <c r="Z360" s="48">
        <v>0.60416666666666696</v>
      </c>
      <c r="AA360" s="49">
        <v>0.61458333333333304</v>
      </c>
      <c r="AB360" s="49">
        <v>0.625</v>
      </c>
      <c r="AC360" s="50">
        <v>0.63541666666666596</v>
      </c>
      <c r="AD360" s="48">
        <v>0.65625</v>
      </c>
      <c r="AE360" s="49">
        <v>0.66666666666666663</v>
      </c>
      <c r="AF360" s="49">
        <v>0.67708333333333304</v>
      </c>
      <c r="AG360" s="50">
        <v>0.6875</v>
      </c>
      <c r="AH360" s="48">
        <v>0.69791666666666696</v>
      </c>
      <c r="AI360" s="49">
        <v>0.70833333333333304</v>
      </c>
      <c r="AJ360" s="49">
        <v>0.71875</v>
      </c>
      <c r="AK360" s="50">
        <v>0.72916666666666696</v>
      </c>
      <c r="AL360" s="48">
        <v>0.73958333333333404</v>
      </c>
      <c r="AM360" s="49">
        <v>0.750000000000001</v>
      </c>
      <c r="AN360" s="49">
        <v>0.76041666666666796</v>
      </c>
      <c r="AO360" s="50">
        <v>0.77083333333333504</v>
      </c>
      <c r="AP360" s="48">
        <v>0.781250000000002</v>
      </c>
      <c r="AQ360" s="49">
        <v>0.79166666666666896</v>
      </c>
      <c r="AR360" s="49">
        <v>0.80208333333333603</v>
      </c>
      <c r="AS360" s="50">
        <v>0.812500000000003</v>
      </c>
      <c r="AT360" s="48">
        <v>0.82291666666666996</v>
      </c>
      <c r="AU360" s="49">
        <v>0.83333333333333703</v>
      </c>
      <c r="AV360" s="49">
        <v>0.843750000000004</v>
      </c>
      <c r="AW360" s="50">
        <v>0.85416666666666663</v>
      </c>
      <c r="AX360" s="68" t="s">
        <v>260</v>
      </c>
      <c r="AY360" s="28" t="s">
        <v>261</v>
      </c>
      <c r="AZ360" s="29" t="s">
        <v>262</v>
      </c>
      <c r="BA360" s="136" t="str">
        <f>B361</f>
        <v>Yaka İç Dikiş</v>
      </c>
      <c r="BB360" s="137"/>
      <c r="BC360" s="137"/>
      <c r="BD360" s="137"/>
      <c r="BE360" s="137"/>
      <c r="BF360" s="137"/>
      <c r="BG360" s="137"/>
      <c r="BH360" s="138"/>
    </row>
    <row r="361" spans="1:60" s="17" customFormat="1" ht="19.5" customHeight="1" thickBot="1" x14ac:dyDescent="0.4">
      <c r="A361" s="41">
        <f t="shared" ref="A361:A366" si="199">A360</f>
        <v>45439</v>
      </c>
      <c r="B361" s="37" t="str">
        <f>B185</f>
        <v>Yaka İç Dikiş</v>
      </c>
      <c r="C361" s="66" t="s">
        <v>56</v>
      </c>
      <c r="D361" s="70">
        <f>D185</f>
        <v>200</v>
      </c>
      <c r="E361" s="63"/>
      <c r="F361" s="55"/>
      <c r="G361" s="55"/>
      <c r="H361" s="56"/>
      <c r="I361" s="63"/>
      <c r="J361" s="55"/>
      <c r="K361" s="55"/>
      <c r="L361" s="56"/>
      <c r="M361" s="63"/>
      <c r="N361" s="55"/>
      <c r="O361" s="55"/>
      <c r="P361" s="56"/>
      <c r="Q361" s="63"/>
      <c r="R361" s="55"/>
      <c r="S361" s="55"/>
      <c r="T361" s="55"/>
      <c r="U361" s="56"/>
      <c r="V361" s="63"/>
      <c r="W361" s="55"/>
      <c r="X361" s="55"/>
      <c r="Y361" s="56"/>
      <c r="Z361" s="63"/>
      <c r="AA361" s="55"/>
      <c r="AB361" s="55"/>
      <c r="AC361" s="56"/>
      <c r="AD361" s="63"/>
      <c r="AE361" s="55">
        <v>90</v>
      </c>
      <c r="AF361" s="55">
        <v>180</v>
      </c>
      <c r="AG361" s="56">
        <v>100</v>
      </c>
      <c r="AH361" s="63">
        <v>200</v>
      </c>
      <c r="AI361" s="55">
        <v>190</v>
      </c>
      <c r="AJ361" s="55">
        <v>190</v>
      </c>
      <c r="AK361" s="56">
        <v>190</v>
      </c>
      <c r="AL361" s="63">
        <v>190</v>
      </c>
      <c r="AM361" s="55">
        <v>120</v>
      </c>
      <c r="AN361" s="55">
        <v>190</v>
      </c>
      <c r="AO361" s="56"/>
      <c r="AP361" s="63"/>
      <c r="AQ361" s="54"/>
      <c r="AR361" s="55"/>
      <c r="AS361" s="56"/>
      <c r="AT361" s="53"/>
      <c r="AU361" s="54"/>
      <c r="AV361" s="55"/>
      <c r="AW361" s="56"/>
      <c r="AX361" s="33">
        <f>SUM(E361:AW361)</f>
        <v>1640</v>
      </c>
      <c r="AY361" s="31">
        <f>IFERROR(AVERAGEIF(E361:AW361,"&lt;&gt;0",(E361:AW361)),)</f>
        <v>164</v>
      </c>
      <c r="AZ361" s="30">
        <f>IFERROR(AY361/D361,0)</f>
        <v>0.82</v>
      </c>
      <c r="BA361" s="103" t="s">
        <v>182</v>
      </c>
      <c r="BB361" s="100" t="s">
        <v>183</v>
      </c>
      <c r="BC361" s="100" t="s">
        <v>184</v>
      </c>
      <c r="BD361" s="101" t="s">
        <v>185</v>
      </c>
      <c r="BE361" s="100" t="s">
        <v>186</v>
      </c>
      <c r="BF361" s="102" t="s">
        <v>187</v>
      </c>
      <c r="BG361" s="100" t="s">
        <v>188</v>
      </c>
      <c r="BH361" s="102" t="s">
        <v>189</v>
      </c>
    </row>
    <row r="362" spans="1:60" s="17" customFormat="1" ht="19.5" customHeight="1" thickBot="1" x14ac:dyDescent="0.4">
      <c r="A362" s="41">
        <f t="shared" si="199"/>
        <v>45439</v>
      </c>
      <c r="B362" s="37" t="str">
        <f>B361</f>
        <v>Yaka İç Dikiş</v>
      </c>
      <c r="C362" s="66">
        <f>C186</f>
        <v>0</v>
      </c>
      <c r="D362" s="67">
        <f>D361</f>
        <v>200</v>
      </c>
      <c r="E362" s="57"/>
      <c r="F362" s="52"/>
      <c r="G362" s="52"/>
      <c r="H362" s="58"/>
      <c r="I362" s="57"/>
      <c r="J362" s="52"/>
      <c r="K362" s="52"/>
      <c r="L362" s="58"/>
      <c r="M362" s="57"/>
      <c r="N362" s="52"/>
      <c r="O362" s="52"/>
      <c r="P362" s="58"/>
      <c r="Q362" s="57"/>
      <c r="R362" s="52"/>
      <c r="S362" s="52"/>
      <c r="T362" s="52"/>
      <c r="U362" s="58"/>
      <c r="V362" s="57"/>
      <c r="W362" s="52"/>
      <c r="X362" s="52"/>
      <c r="Y362" s="58"/>
      <c r="Z362" s="57"/>
      <c r="AA362" s="52"/>
      <c r="AB362" s="52"/>
      <c r="AC362" s="58"/>
      <c r="AD362" s="57"/>
      <c r="AE362" s="52"/>
      <c r="AF362" s="52"/>
      <c r="AG362" s="58"/>
      <c r="AH362" s="57"/>
      <c r="AI362" s="52"/>
      <c r="AJ362" s="52"/>
      <c r="AK362" s="58"/>
      <c r="AL362" s="57"/>
      <c r="AM362" s="52"/>
      <c r="AN362" s="52"/>
      <c r="AO362" s="58"/>
      <c r="AP362" s="57"/>
      <c r="AQ362" s="52"/>
      <c r="AR362" s="52"/>
      <c r="AS362" s="58"/>
      <c r="AT362" s="57"/>
      <c r="AU362" s="52"/>
      <c r="AV362" s="52"/>
      <c r="AW362" s="58"/>
      <c r="AX362" s="33">
        <f>SUM(E362:AW362)</f>
        <v>0</v>
      </c>
      <c r="AY362" s="31">
        <f>IFERROR(AVERAGEIF(E362:AW362,"&lt;&gt;0",(E362:AW362)),)</f>
        <v>0</v>
      </c>
      <c r="AZ362" s="30">
        <f>IFERROR(AY362/D362,0)</f>
        <v>0</v>
      </c>
      <c r="BA362" s="94">
        <f>AX366+BA186</f>
        <v>1740</v>
      </c>
      <c r="BB362" s="95">
        <f>(D366*8)</f>
        <v>4000</v>
      </c>
      <c r="BC362" s="96">
        <f>C357-BA362</f>
        <v>40571</v>
      </c>
      <c r="BD362" s="96">
        <f>BC362</f>
        <v>40571</v>
      </c>
      <c r="BE362" s="97">
        <f>IFERROR(BC362/E366,0)</f>
        <v>0</v>
      </c>
      <c r="BF362" s="98">
        <f>IFERROR(BE362/9,0)</f>
        <v>0</v>
      </c>
      <c r="BG362" s="97">
        <f>IFERROR(BC362/AY366,0)</f>
        <v>74.215243902439028</v>
      </c>
      <c r="BH362" s="97">
        <f>IFERROR(BG362/9,0)</f>
        <v>8.2461382113821138</v>
      </c>
    </row>
    <row r="363" spans="1:60" s="17" customFormat="1" ht="19.5" customHeight="1" x14ac:dyDescent="0.35">
      <c r="A363" s="41">
        <f t="shared" si="199"/>
        <v>45439</v>
      </c>
      <c r="B363" s="37" t="str">
        <f>B362</f>
        <v>Yaka İç Dikiş</v>
      </c>
      <c r="C363" s="66">
        <f>C187</f>
        <v>0</v>
      </c>
      <c r="D363" s="67">
        <f>D362</f>
        <v>200</v>
      </c>
      <c r="E363" s="57"/>
      <c r="F363" s="52"/>
      <c r="G363" s="52"/>
      <c r="H363" s="58"/>
      <c r="I363" s="57"/>
      <c r="J363" s="52"/>
      <c r="K363" s="52"/>
      <c r="L363" s="58"/>
      <c r="M363" s="57"/>
      <c r="N363" s="52"/>
      <c r="O363" s="52"/>
      <c r="P363" s="58"/>
      <c r="Q363" s="57"/>
      <c r="R363" s="52"/>
      <c r="S363" s="52"/>
      <c r="T363" s="52"/>
      <c r="U363" s="58"/>
      <c r="V363" s="57"/>
      <c r="W363" s="52"/>
      <c r="X363" s="52"/>
      <c r="Y363" s="58"/>
      <c r="Z363" s="57"/>
      <c r="AA363" s="52"/>
      <c r="AB363" s="52"/>
      <c r="AC363" s="58"/>
      <c r="AD363" s="57"/>
      <c r="AE363" s="52"/>
      <c r="AF363" s="52"/>
      <c r="AG363" s="58"/>
      <c r="AH363" s="57"/>
      <c r="AI363" s="52"/>
      <c r="AJ363" s="52"/>
      <c r="AK363" s="58"/>
      <c r="AL363" s="57"/>
      <c r="AM363" s="52"/>
      <c r="AN363" s="52"/>
      <c r="AO363" s="58"/>
      <c r="AP363" s="57"/>
      <c r="AQ363" s="52"/>
      <c r="AR363" s="52"/>
      <c r="AS363" s="58"/>
      <c r="AT363" s="57"/>
      <c r="AU363" s="52"/>
      <c r="AV363" s="52"/>
      <c r="AW363" s="58"/>
      <c r="AX363" s="33">
        <f>SUM(E363:AW363)</f>
        <v>0</v>
      </c>
      <c r="AY363" s="31">
        <f>IFERROR(AVERAGEIF(E363:AW363,"&lt;&gt;0",(E363:AW363)),)</f>
        <v>0</v>
      </c>
      <c r="AZ363" s="30">
        <f>IFERROR(AY363/D363,0)</f>
        <v>0</v>
      </c>
      <c r="BA363" s="34"/>
      <c r="BB363" s="34"/>
      <c r="BC363" s="34"/>
      <c r="BD363" s="76"/>
      <c r="BE363" s="34"/>
      <c r="BF363" s="34"/>
      <c r="BG363" s="34"/>
      <c r="BH363" s="34"/>
    </row>
    <row r="364" spans="1:60" s="17" customFormat="1" ht="19.5" customHeight="1" x14ac:dyDescent="0.35">
      <c r="A364" s="41">
        <f t="shared" si="199"/>
        <v>45439</v>
      </c>
      <c r="B364" s="37" t="str">
        <f>B363</f>
        <v>Yaka İç Dikiş</v>
      </c>
      <c r="C364" s="66">
        <f>C188</f>
        <v>0</v>
      </c>
      <c r="D364" s="67">
        <f>D363</f>
        <v>200</v>
      </c>
      <c r="E364" s="57"/>
      <c r="F364" s="52"/>
      <c r="G364" s="52"/>
      <c r="H364" s="58"/>
      <c r="I364" s="57"/>
      <c r="J364" s="52"/>
      <c r="K364" s="52"/>
      <c r="L364" s="58"/>
      <c r="M364" s="57"/>
      <c r="N364" s="52"/>
      <c r="O364" s="52"/>
      <c r="P364" s="58"/>
      <c r="Q364" s="57"/>
      <c r="R364" s="52"/>
      <c r="S364" s="52"/>
      <c r="T364" s="52"/>
      <c r="U364" s="58"/>
      <c r="V364" s="57"/>
      <c r="W364" s="52"/>
      <c r="X364" s="52"/>
      <c r="Y364" s="58"/>
      <c r="Z364" s="57"/>
      <c r="AA364" s="52"/>
      <c r="AB364" s="52"/>
      <c r="AC364" s="58"/>
      <c r="AD364" s="57"/>
      <c r="AE364" s="52"/>
      <c r="AF364" s="52"/>
      <c r="AG364" s="58"/>
      <c r="AH364" s="57"/>
      <c r="AI364" s="52"/>
      <c r="AJ364" s="52"/>
      <c r="AK364" s="58"/>
      <c r="AL364" s="57"/>
      <c r="AM364" s="52"/>
      <c r="AN364" s="52"/>
      <c r="AO364" s="58"/>
      <c r="AP364" s="57"/>
      <c r="AQ364" s="52"/>
      <c r="AR364" s="52"/>
      <c r="AS364" s="58"/>
      <c r="AT364" s="57"/>
      <c r="AU364" s="52"/>
      <c r="AV364" s="52"/>
      <c r="AW364" s="58"/>
      <c r="AX364" s="33">
        <f>SUM(E364:AW364)</f>
        <v>0</v>
      </c>
      <c r="AY364" s="31">
        <f>IFERROR(AVERAGEIF(E364:AW364,"&lt;&gt;0",(E364:AW364)),)</f>
        <v>0</v>
      </c>
      <c r="AZ364" s="30">
        <f>IFERROR(AY364/D364,0)</f>
        <v>0</v>
      </c>
      <c r="BA364" s="34"/>
      <c r="BB364" s="34"/>
      <c r="BC364" s="34"/>
      <c r="BD364" s="76"/>
      <c r="BE364" s="34"/>
      <c r="BF364" s="34"/>
      <c r="BG364" s="34"/>
      <c r="BH364" s="34"/>
    </row>
    <row r="365" spans="1:60" s="17" customFormat="1" ht="19.5" customHeight="1" thickBot="1" x14ac:dyDescent="0.4">
      <c r="A365" s="41">
        <f t="shared" si="199"/>
        <v>45439</v>
      </c>
      <c r="B365" s="37" t="str">
        <f>B364</f>
        <v>Yaka İç Dikiş</v>
      </c>
      <c r="C365" s="66">
        <f>C189</f>
        <v>0</v>
      </c>
      <c r="D365" s="67">
        <f>D364</f>
        <v>200</v>
      </c>
      <c r="E365" s="64"/>
      <c r="F365" s="61"/>
      <c r="G365" s="61"/>
      <c r="H365" s="62"/>
      <c r="I365" s="64"/>
      <c r="J365" s="61"/>
      <c r="K365" s="61"/>
      <c r="L365" s="62"/>
      <c r="M365" s="64"/>
      <c r="N365" s="61"/>
      <c r="O365" s="61"/>
      <c r="P365" s="62"/>
      <c r="Q365" s="64"/>
      <c r="R365" s="61"/>
      <c r="S365" s="61"/>
      <c r="T365" s="61"/>
      <c r="U365" s="62"/>
      <c r="V365" s="64"/>
      <c r="W365" s="61"/>
      <c r="X365" s="61"/>
      <c r="Y365" s="62"/>
      <c r="Z365" s="59"/>
      <c r="AA365" s="60"/>
      <c r="AB365" s="61"/>
      <c r="AC365" s="62"/>
      <c r="AD365" s="59"/>
      <c r="AE365" s="60"/>
      <c r="AF365" s="61"/>
      <c r="AG365" s="62"/>
      <c r="AH365" s="59"/>
      <c r="AI365" s="60"/>
      <c r="AJ365" s="61"/>
      <c r="AK365" s="62"/>
      <c r="AL365" s="59"/>
      <c r="AM365" s="60"/>
      <c r="AN365" s="61"/>
      <c r="AO365" s="62"/>
      <c r="AP365" s="59"/>
      <c r="AQ365" s="60"/>
      <c r="AR365" s="61"/>
      <c r="AS365" s="62"/>
      <c r="AT365" s="59"/>
      <c r="AU365" s="60"/>
      <c r="AV365" s="61"/>
      <c r="AW365" s="62"/>
      <c r="AX365" s="43">
        <f>SUM(E365:AW365)</f>
        <v>0</v>
      </c>
      <c r="AY365" s="44">
        <f>IFERROR(AVERAGEIF(E365:AW365,"&lt;&gt;0",(E365:AW365)),)</f>
        <v>0</v>
      </c>
      <c r="AZ365" s="45">
        <f>IFERROR(AY365/D365,0)</f>
        <v>0</v>
      </c>
      <c r="BA365" s="34"/>
      <c r="BB365" s="34"/>
      <c r="BC365" s="34"/>
      <c r="BD365" s="76"/>
      <c r="BE365" s="34"/>
      <c r="BF365" s="34"/>
      <c r="BG365" s="34"/>
      <c r="BH365" s="34"/>
    </row>
    <row r="366" spans="1:60" s="17" customFormat="1" ht="19.5" customHeight="1" thickBot="1" x14ac:dyDescent="0.45">
      <c r="A366" s="41">
        <f t="shared" si="199"/>
        <v>45439</v>
      </c>
      <c r="B366" s="139" t="str">
        <f>B361</f>
        <v>Yaka İç Dikiş</v>
      </c>
      <c r="C366" s="140"/>
      <c r="D366" s="40">
        <f>C358/8</f>
        <v>500</v>
      </c>
      <c r="E366" s="151">
        <f>SUM(E361:H365)</f>
        <v>0</v>
      </c>
      <c r="F366" s="152"/>
      <c r="G366" s="152"/>
      <c r="H366" s="153"/>
      <c r="I366" s="151">
        <f>SUM(I361:L365)</f>
        <v>0</v>
      </c>
      <c r="J366" s="152"/>
      <c r="K366" s="152"/>
      <c r="L366" s="153"/>
      <c r="M366" s="151">
        <f>SUM(M361:P365)</f>
        <v>0</v>
      </c>
      <c r="N366" s="152"/>
      <c r="O366" s="152"/>
      <c r="P366" s="153"/>
      <c r="Q366" s="151">
        <f>SUM(Q361:U365)</f>
        <v>0</v>
      </c>
      <c r="R366" s="152"/>
      <c r="S366" s="152"/>
      <c r="T366" s="152"/>
      <c r="U366" s="153"/>
      <c r="V366" s="151">
        <f>SUM(V361:Y365)</f>
        <v>0</v>
      </c>
      <c r="W366" s="152"/>
      <c r="X366" s="152"/>
      <c r="Y366" s="153"/>
      <c r="Z366" s="151">
        <f>SUM(Z361:AC365)</f>
        <v>0</v>
      </c>
      <c r="AA366" s="152"/>
      <c r="AB366" s="152"/>
      <c r="AC366" s="153"/>
      <c r="AD366" s="151">
        <f>SUM(AD361:AG365)</f>
        <v>370</v>
      </c>
      <c r="AE366" s="152"/>
      <c r="AF366" s="152"/>
      <c r="AG366" s="153"/>
      <c r="AH366" s="151">
        <f>SUM(AH361:AK365)</f>
        <v>770</v>
      </c>
      <c r="AI366" s="152"/>
      <c r="AJ366" s="152"/>
      <c r="AK366" s="153"/>
      <c r="AL366" s="151">
        <f>SUM(AL361:AO365)</f>
        <v>500</v>
      </c>
      <c r="AM366" s="152"/>
      <c r="AN366" s="152"/>
      <c r="AO366" s="153"/>
      <c r="AP366" s="151">
        <f>SUM(AP361:AS365)</f>
        <v>0</v>
      </c>
      <c r="AQ366" s="152"/>
      <c r="AR366" s="152"/>
      <c r="AS366" s="153"/>
      <c r="AT366" s="151">
        <f>SUM(AT361:AW365)</f>
        <v>0</v>
      </c>
      <c r="AU366" s="152"/>
      <c r="AV366" s="152"/>
      <c r="AW366" s="153"/>
      <c r="AX366" s="87">
        <f>SUM(AX361:AX365)</f>
        <v>1640</v>
      </c>
      <c r="AY366" s="88">
        <f>IFERROR(AVERAGEIF(E366:AV366,"&lt;&gt;0",(E366:AV366)),)</f>
        <v>546.66666666666663</v>
      </c>
      <c r="AZ366" s="46">
        <f>IFERROR(AX366/BB362,0)</f>
        <v>0.41</v>
      </c>
      <c r="BA366" s="34"/>
      <c r="BB366" s="34"/>
      <c r="BC366" s="34"/>
      <c r="BD366" s="76"/>
      <c r="BE366" s="34"/>
      <c r="BF366" s="34"/>
      <c r="BG366" s="34"/>
      <c r="BH366" s="34"/>
    </row>
    <row r="367" spans="1:60" s="17" customFormat="1" ht="19.5" customHeight="1" thickBot="1" x14ac:dyDescent="0.4">
      <c r="A367" s="42">
        <f>A360</f>
        <v>45439</v>
      </c>
      <c r="B367" s="38" t="str">
        <f>B368</f>
        <v>Yaka Tıktık</v>
      </c>
      <c r="C367" s="39" t="s">
        <v>180</v>
      </c>
      <c r="D367" s="69" t="s">
        <v>181</v>
      </c>
      <c r="E367" s="48">
        <v>0.34375</v>
      </c>
      <c r="F367" s="49">
        <v>0.35416666666666669</v>
      </c>
      <c r="G367" s="49">
        <v>0.36458333333333331</v>
      </c>
      <c r="H367" s="50">
        <v>0.375</v>
      </c>
      <c r="I367" s="48">
        <v>0.38541666666666702</v>
      </c>
      <c r="J367" s="49">
        <v>0.39583333333333298</v>
      </c>
      <c r="K367" s="49">
        <v>0.40625</v>
      </c>
      <c r="L367" s="50">
        <v>0.41666666666666702</v>
      </c>
      <c r="M367" s="48">
        <v>0.4375</v>
      </c>
      <c r="N367" s="49">
        <v>0.44791666666666702</v>
      </c>
      <c r="O367" s="49">
        <v>0.45833333333333398</v>
      </c>
      <c r="P367" s="50">
        <v>0.46875</v>
      </c>
      <c r="Q367" s="48">
        <v>0.47916666666666702</v>
      </c>
      <c r="R367" s="49">
        <v>0.48958333333333398</v>
      </c>
      <c r="S367" s="49">
        <v>0.5</v>
      </c>
      <c r="T367" s="50">
        <v>0.51041666666666696</v>
      </c>
      <c r="U367" s="51">
        <v>0.52083333333333204</v>
      </c>
      <c r="V367" s="48">
        <v>0.5625</v>
      </c>
      <c r="W367" s="49">
        <v>0.57291666666666663</v>
      </c>
      <c r="X367" s="49">
        <v>0.58333333333333304</v>
      </c>
      <c r="Y367" s="50">
        <v>0.59375</v>
      </c>
      <c r="Z367" s="48">
        <v>0.60416666666666696</v>
      </c>
      <c r="AA367" s="49">
        <v>0.61458333333333304</v>
      </c>
      <c r="AB367" s="49">
        <v>0.625</v>
      </c>
      <c r="AC367" s="50">
        <v>0.63541666666666596</v>
      </c>
      <c r="AD367" s="48">
        <v>0.65625</v>
      </c>
      <c r="AE367" s="49">
        <v>0.66666666666666663</v>
      </c>
      <c r="AF367" s="49">
        <v>0.67708333333333304</v>
      </c>
      <c r="AG367" s="50">
        <v>0.6875</v>
      </c>
      <c r="AH367" s="48">
        <v>0.69791666666666696</v>
      </c>
      <c r="AI367" s="49">
        <v>0.70833333333333304</v>
      </c>
      <c r="AJ367" s="49">
        <v>0.71875</v>
      </c>
      <c r="AK367" s="50">
        <v>0.72916666666666696</v>
      </c>
      <c r="AL367" s="48">
        <v>0.73958333333333404</v>
      </c>
      <c r="AM367" s="49">
        <v>0.750000000000001</v>
      </c>
      <c r="AN367" s="49">
        <v>0.76041666666666796</v>
      </c>
      <c r="AO367" s="50">
        <v>0.77083333333333504</v>
      </c>
      <c r="AP367" s="48">
        <v>0.781250000000002</v>
      </c>
      <c r="AQ367" s="49">
        <v>0.79166666666666896</v>
      </c>
      <c r="AR367" s="49">
        <v>0.80208333333333603</v>
      </c>
      <c r="AS367" s="50">
        <v>0.812500000000003</v>
      </c>
      <c r="AT367" s="48">
        <v>0.82291666666666996</v>
      </c>
      <c r="AU367" s="49">
        <v>0.83333333333333703</v>
      </c>
      <c r="AV367" s="49">
        <v>0.843750000000004</v>
      </c>
      <c r="AW367" s="50">
        <v>0.85416666666666663</v>
      </c>
      <c r="AX367" s="68" t="s">
        <v>260</v>
      </c>
      <c r="AY367" s="28" t="s">
        <v>261</v>
      </c>
      <c r="AZ367" s="29" t="s">
        <v>262</v>
      </c>
      <c r="BA367" s="136" t="str">
        <f>B368</f>
        <v>Yaka Tıktık</v>
      </c>
      <c r="BB367" s="137"/>
      <c r="BC367" s="137"/>
      <c r="BD367" s="137"/>
      <c r="BE367" s="137"/>
      <c r="BF367" s="137"/>
      <c r="BG367" s="137"/>
      <c r="BH367" s="138"/>
    </row>
    <row r="368" spans="1:60" s="17" customFormat="1" ht="19.5" customHeight="1" thickBot="1" x14ac:dyDescent="0.4">
      <c r="A368" s="41">
        <f>A360</f>
        <v>45439</v>
      </c>
      <c r="B368" s="37" t="str">
        <f>B192</f>
        <v>Yaka Tıktık</v>
      </c>
      <c r="C368" s="66" t="s">
        <v>273</v>
      </c>
      <c r="D368" s="70">
        <f>D192</f>
        <v>150</v>
      </c>
      <c r="E368" s="63"/>
      <c r="F368" s="55"/>
      <c r="G368" s="55"/>
      <c r="H368" s="56"/>
      <c r="I368" s="63"/>
      <c r="J368" s="55"/>
      <c r="K368" s="55"/>
      <c r="L368" s="56"/>
      <c r="M368" s="63"/>
      <c r="N368" s="55"/>
      <c r="O368" s="55"/>
      <c r="P368" s="56"/>
      <c r="Q368" s="63"/>
      <c r="R368" s="55"/>
      <c r="S368" s="55"/>
      <c r="T368" s="55"/>
      <c r="U368" s="56"/>
      <c r="V368" s="63"/>
      <c r="W368" s="55"/>
      <c r="X368" s="55"/>
      <c r="Y368" s="56"/>
      <c r="Z368" s="63"/>
      <c r="AA368" s="55"/>
      <c r="AB368" s="55"/>
      <c r="AC368" s="56"/>
      <c r="AD368" s="63"/>
      <c r="AE368" s="55"/>
      <c r="AF368" s="55"/>
      <c r="AG368" s="56"/>
      <c r="AH368" s="63">
        <v>30</v>
      </c>
      <c r="AI368" s="55">
        <v>110</v>
      </c>
      <c r="AJ368" s="55"/>
      <c r="AK368" s="56"/>
      <c r="AL368" s="63"/>
      <c r="AM368" s="55">
        <v>50</v>
      </c>
      <c r="AN368" s="55">
        <v>100</v>
      </c>
      <c r="AO368" s="56"/>
      <c r="AP368" s="63"/>
      <c r="AQ368" s="54"/>
      <c r="AR368" s="55"/>
      <c r="AS368" s="56"/>
      <c r="AT368" s="53"/>
      <c r="AU368" s="54"/>
      <c r="AV368" s="55"/>
      <c r="AW368" s="56"/>
      <c r="AX368" s="33">
        <f>SUM(E368:AW368)</f>
        <v>290</v>
      </c>
      <c r="AY368" s="31">
        <f>IFERROR(AVERAGEIF(E368:AW368,"&lt;&gt;0",(E368:AW368)),)</f>
        <v>72.5</v>
      </c>
      <c r="AZ368" s="30">
        <f>IFERROR(AY368/D368,0)</f>
        <v>0.48333333333333334</v>
      </c>
      <c r="BA368" s="103" t="s">
        <v>182</v>
      </c>
      <c r="BB368" s="100" t="s">
        <v>183</v>
      </c>
      <c r="BC368" s="100" t="s">
        <v>184</v>
      </c>
      <c r="BD368" s="101" t="s">
        <v>185</v>
      </c>
      <c r="BE368" s="100" t="s">
        <v>186</v>
      </c>
      <c r="BF368" s="102" t="s">
        <v>187</v>
      </c>
      <c r="BG368" s="100" t="s">
        <v>188</v>
      </c>
      <c r="BH368" s="102" t="s">
        <v>189</v>
      </c>
    </row>
    <row r="369" spans="1:60" s="17" customFormat="1" ht="19.5" customHeight="1" thickBot="1" x14ac:dyDescent="0.4">
      <c r="A369" s="41">
        <f t="shared" ref="A369:B369" si="200">A368</f>
        <v>45439</v>
      </c>
      <c r="B369" s="37" t="str">
        <f t="shared" si="200"/>
        <v>Yaka Tıktık</v>
      </c>
      <c r="C369" s="66">
        <f>C193</f>
        <v>0</v>
      </c>
      <c r="D369" s="67">
        <f>D368</f>
        <v>150</v>
      </c>
      <c r="E369" s="57"/>
      <c r="F369" s="52"/>
      <c r="G369" s="52"/>
      <c r="H369" s="58"/>
      <c r="I369" s="57"/>
      <c r="J369" s="52"/>
      <c r="K369" s="52"/>
      <c r="L369" s="58"/>
      <c r="M369" s="57"/>
      <c r="N369" s="52"/>
      <c r="O369" s="52"/>
      <c r="P369" s="58"/>
      <c r="Q369" s="57"/>
      <c r="R369" s="52"/>
      <c r="S369" s="52"/>
      <c r="T369" s="52"/>
      <c r="U369" s="58"/>
      <c r="V369" s="57"/>
      <c r="W369" s="52"/>
      <c r="X369" s="52"/>
      <c r="Y369" s="58"/>
      <c r="Z369" s="57"/>
      <c r="AA369" s="52"/>
      <c r="AB369" s="52"/>
      <c r="AC369" s="58"/>
      <c r="AD369" s="57"/>
      <c r="AE369" s="52"/>
      <c r="AF369" s="52"/>
      <c r="AG369" s="58"/>
      <c r="AH369" s="57"/>
      <c r="AI369" s="52"/>
      <c r="AJ369" s="52"/>
      <c r="AK369" s="58"/>
      <c r="AL369" s="57"/>
      <c r="AM369" s="52"/>
      <c r="AN369" s="52"/>
      <c r="AO369" s="58"/>
      <c r="AP369" s="57"/>
      <c r="AQ369" s="52"/>
      <c r="AR369" s="52"/>
      <c r="AS369" s="58"/>
      <c r="AT369" s="57"/>
      <c r="AU369" s="52"/>
      <c r="AV369" s="52"/>
      <c r="AW369" s="58"/>
      <c r="AX369" s="33">
        <f>SUM(E369:AW369)</f>
        <v>0</v>
      </c>
      <c r="AY369" s="31">
        <f>IFERROR(AVERAGEIF(E369:AW369,"&lt;&gt;0",(E369:AW369)),)</f>
        <v>0</v>
      </c>
      <c r="AZ369" s="30">
        <f>IFERROR(AY369/D369,0)</f>
        <v>0</v>
      </c>
      <c r="BA369" s="94">
        <f>AX373+BA193</f>
        <v>290</v>
      </c>
      <c r="BB369" s="95">
        <f>(D373*8)</f>
        <v>4000</v>
      </c>
      <c r="BC369" s="96">
        <f>C357-BA369</f>
        <v>42021</v>
      </c>
      <c r="BD369" s="96">
        <f>BA362-BA369</f>
        <v>1450</v>
      </c>
      <c r="BE369" s="97">
        <f>IFERROR(BC369/E373,0)</f>
        <v>0</v>
      </c>
      <c r="BF369" s="98">
        <f>IFERROR(BE369/9,0)</f>
        <v>0</v>
      </c>
      <c r="BG369" s="97">
        <f>IFERROR(BC369/AY373,0)</f>
        <v>289.8</v>
      </c>
      <c r="BH369" s="97">
        <f>IFERROR(BG369/9,0)</f>
        <v>32.200000000000003</v>
      </c>
    </row>
    <row r="370" spans="1:60" s="17" customFormat="1" ht="19.5" customHeight="1" x14ac:dyDescent="0.35">
      <c r="A370" s="41">
        <f t="shared" ref="A370:B370" si="201">A369</f>
        <v>45439</v>
      </c>
      <c r="B370" s="37" t="str">
        <f t="shared" si="201"/>
        <v>Yaka Tıktık</v>
      </c>
      <c r="C370" s="66">
        <f>C194</f>
        <v>0</v>
      </c>
      <c r="D370" s="67">
        <f>D369</f>
        <v>150</v>
      </c>
      <c r="E370" s="57"/>
      <c r="F370" s="52"/>
      <c r="G370" s="52"/>
      <c r="H370" s="58"/>
      <c r="I370" s="57"/>
      <c r="J370" s="52"/>
      <c r="K370" s="52"/>
      <c r="L370" s="58"/>
      <c r="M370" s="57"/>
      <c r="N370" s="52"/>
      <c r="O370" s="52"/>
      <c r="P370" s="58"/>
      <c r="Q370" s="57"/>
      <c r="R370" s="52"/>
      <c r="S370" s="52"/>
      <c r="T370" s="52"/>
      <c r="U370" s="58"/>
      <c r="V370" s="57"/>
      <c r="W370" s="52"/>
      <c r="X370" s="52"/>
      <c r="Y370" s="58"/>
      <c r="Z370" s="57"/>
      <c r="AA370" s="52"/>
      <c r="AB370" s="52"/>
      <c r="AC370" s="58"/>
      <c r="AD370" s="57"/>
      <c r="AE370" s="52"/>
      <c r="AF370" s="52"/>
      <c r="AG370" s="58"/>
      <c r="AH370" s="57"/>
      <c r="AI370" s="52"/>
      <c r="AJ370" s="52"/>
      <c r="AK370" s="58"/>
      <c r="AL370" s="57"/>
      <c r="AM370" s="52"/>
      <c r="AN370" s="52"/>
      <c r="AO370" s="58"/>
      <c r="AP370" s="57"/>
      <c r="AQ370" s="52"/>
      <c r="AR370" s="52"/>
      <c r="AS370" s="58"/>
      <c r="AT370" s="57"/>
      <c r="AU370" s="52"/>
      <c r="AV370" s="52"/>
      <c r="AW370" s="58"/>
      <c r="AX370" s="33">
        <f>SUM(E370:AW370)</f>
        <v>0</v>
      </c>
      <c r="AY370" s="31">
        <f>IFERROR(AVERAGEIF(E370:AW370,"&lt;&gt;0",(E370:AW370)),)</f>
        <v>0</v>
      </c>
      <c r="AZ370" s="30">
        <f>IFERROR(AY370/D370,0)</f>
        <v>0</v>
      </c>
      <c r="BA370" s="34"/>
      <c r="BB370" s="34"/>
      <c r="BC370" s="34"/>
      <c r="BD370" s="76"/>
      <c r="BE370" s="34"/>
      <c r="BF370" s="34"/>
      <c r="BG370" s="34"/>
      <c r="BH370" s="34"/>
    </row>
    <row r="371" spans="1:60" s="17" customFormat="1" ht="19.5" customHeight="1" x14ac:dyDescent="0.35">
      <c r="A371" s="41">
        <f t="shared" ref="A371:B371" si="202">A370</f>
        <v>45439</v>
      </c>
      <c r="B371" s="37" t="str">
        <f t="shared" si="202"/>
        <v>Yaka Tıktık</v>
      </c>
      <c r="C371" s="66">
        <f>C195</f>
        <v>0</v>
      </c>
      <c r="D371" s="67">
        <f>D370</f>
        <v>150</v>
      </c>
      <c r="E371" s="57"/>
      <c r="F371" s="52"/>
      <c r="G371" s="52"/>
      <c r="H371" s="58"/>
      <c r="I371" s="57"/>
      <c r="J371" s="52"/>
      <c r="K371" s="52"/>
      <c r="L371" s="58"/>
      <c r="M371" s="57"/>
      <c r="N371" s="52"/>
      <c r="O371" s="52"/>
      <c r="P371" s="58"/>
      <c r="Q371" s="57"/>
      <c r="R371" s="52"/>
      <c r="S371" s="52"/>
      <c r="T371" s="52"/>
      <c r="U371" s="58"/>
      <c r="V371" s="57"/>
      <c r="W371" s="52"/>
      <c r="X371" s="52"/>
      <c r="Y371" s="58"/>
      <c r="Z371" s="57"/>
      <c r="AA371" s="52"/>
      <c r="AB371" s="52"/>
      <c r="AC371" s="58"/>
      <c r="AD371" s="57"/>
      <c r="AE371" s="52"/>
      <c r="AF371" s="52"/>
      <c r="AG371" s="58"/>
      <c r="AH371" s="57"/>
      <c r="AI371" s="52"/>
      <c r="AJ371" s="52"/>
      <c r="AK371" s="58"/>
      <c r="AL371" s="57"/>
      <c r="AM371" s="52"/>
      <c r="AN371" s="52"/>
      <c r="AO371" s="58"/>
      <c r="AP371" s="57"/>
      <c r="AQ371" s="52"/>
      <c r="AR371" s="52"/>
      <c r="AS371" s="58"/>
      <c r="AT371" s="57"/>
      <c r="AU371" s="52"/>
      <c r="AV371" s="52"/>
      <c r="AW371" s="58"/>
      <c r="AX371" s="33">
        <f>SUM(E371:AW371)</f>
        <v>0</v>
      </c>
      <c r="AY371" s="31">
        <f>IFERROR(AVERAGEIF(E371:AW371,"&lt;&gt;0",(E371:AW371)),)</f>
        <v>0</v>
      </c>
      <c r="AZ371" s="30">
        <f>IFERROR(AY371/D371,0)</f>
        <v>0</v>
      </c>
      <c r="BA371" s="34"/>
      <c r="BB371" s="34"/>
      <c r="BC371" s="34"/>
      <c r="BD371" s="76"/>
      <c r="BE371" s="34"/>
      <c r="BF371" s="34"/>
      <c r="BG371" s="34"/>
      <c r="BH371" s="34"/>
    </row>
    <row r="372" spans="1:60" s="17" customFormat="1" ht="19.5" customHeight="1" thickBot="1" x14ac:dyDescent="0.4">
      <c r="A372" s="41">
        <f t="shared" ref="A372:B372" si="203">A371</f>
        <v>45439</v>
      </c>
      <c r="B372" s="37" t="str">
        <f t="shared" si="203"/>
        <v>Yaka Tıktık</v>
      </c>
      <c r="C372" s="66">
        <f>C196</f>
        <v>0</v>
      </c>
      <c r="D372" s="67">
        <f>D371</f>
        <v>150</v>
      </c>
      <c r="E372" s="64"/>
      <c r="F372" s="61"/>
      <c r="G372" s="61"/>
      <c r="H372" s="62"/>
      <c r="I372" s="64"/>
      <c r="J372" s="61"/>
      <c r="K372" s="61"/>
      <c r="L372" s="62"/>
      <c r="M372" s="64"/>
      <c r="N372" s="61"/>
      <c r="O372" s="61"/>
      <c r="P372" s="62"/>
      <c r="Q372" s="64"/>
      <c r="R372" s="61"/>
      <c r="S372" s="61"/>
      <c r="T372" s="61"/>
      <c r="U372" s="62"/>
      <c r="V372" s="64"/>
      <c r="W372" s="61"/>
      <c r="X372" s="61"/>
      <c r="Y372" s="62"/>
      <c r="Z372" s="59"/>
      <c r="AA372" s="60"/>
      <c r="AB372" s="61"/>
      <c r="AC372" s="62"/>
      <c r="AD372" s="59"/>
      <c r="AE372" s="60"/>
      <c r="AF372" s="61"/>
      <c r="AG372" s="62"/>
      <c r="AH372" s="59"/>
      <c r="AI372" s="60"/>
      <c r="AJ372" s="61"/>
      <c r="AK372" s="62"/>
      <c r="AL372" s="59"/>
      <c r="AM372" s="60"/>
      <c r="AN372" s="61"/>
      <c r="AO372" s="62"/>
      <c r="AP372" s="59"/>
      <c r="AQ372" s="60"/>
      <c r="AR372" s="61"/>
      <c r="AS372" s="62"/>
      <c r="AT372" s="59"/>
      <c r="AU372" s="60"/>
      <c r="AV372" s="61"/>
      <c r="AW372" s="62"/>
      <c r="AX372" s="43">
        <f>SUM(E372:AW372)</f>
        <v>0</v>
      </c>
      <c r="AY372" s="44">
        <f>IFERROR(AVERAGEIF(E372:AW372,"&lt;&gt;0",(E372:AW372)),)</f>
        <v>0</v>
      </c>
      <c r="AZ372" s="45">
        <f>IFERROR(AY372/D372,0)</f>
        <v>0</v>
      </c>
      <c r="BA372" s="34"/>
      <c r="BB372" s="34"/>
      <c r="BC372" s="34"/>
      <c r="BD372" s="76"/>
      <c r="BE372" s="34"/>
      <c r="BF372" s="34"/>
      <c r="BG372" s="34"/>
      <c r="BH372" s="34"/>
    </row>
    <row r="373" spans="1:60" s="17" customFormat="1" ht="19.5" customHeight="1" thickBot="1" x14ac:dyDescent="0.45">
      <c r="A373" s="41">
        <f>A372</f>
        <v>45439</v>
      </c>
      <c r="B373" s="139" t="str">
        <f>B368</f>
        <v>Yaka Tıktık</v>
      </c>
      <c r="C373" s="140"/>
      <c r="D373" s="40">
        <f>C358/8</f>
        <v>500</v>
      </c>
      <c r="E373" s="151">
        <f>SUM(E368:H372)</f>
        <v>0</v>
      </c>
      <c r="F373" s="152"/>
      <c r="G373" s="152"/>
      <c r="H373" s="153"/>
      <c r="I373" s="151">
        <f>SUM(I368:L372)</f>
        <v>0</v>
      </c>
      <c r="J373" s="152"/>
      <c r="K373" s="152"/>
      <c r="L373" s="153"/>
      <c r="M373" s="151">
        <f>SUM(M368:P372)</f>
        <v>0</v>
      </c>
      <c r="N373" s="152"/>
      <c r="O373" s="152"/>
      <c r="P373" s="153"/>
      <c r="Q373" s="151">
        <f>SUM(Q368:U372)</f>
        <v>0</v>
      </c>
      <c r="R373" s="152"/>
      <c r="S373" s="152"/>
      <c r="T373" s="152"/>
      <c r="U373" s="153"/>
      <c r="V373" s="151">
        <f>SUM(V368:Y372)</f>
        <v>0</v>
      </c>
      <c r="W373" s="152"/>
      <c r="X373" s="152"/>
      <c r="Y373" s="153"/>
      <c r="Z373" s="151">
        <f>SUM(Z368:AC372)</f>
        <v>0</v>
      </c>
      <c r="AA373" s="152"/>
      <c r="AB373" s="152"/>
      <c r="AC373" s="153"/>
      <c r="AD373" s="151">
        <f>SUM(AD368:AG372)</f>
        <v>0</v>
      </c>
      <c r="AE373" s="152"/>
      <c r="AF373" s="152"/>
      <c r="AG373" s="153"/>
      <c r="AH373" s="151">
        <f>SUM(AH368:AK372)</f>
        <v>140</v>
      </c>
      <c r="AI373" s="152"/>
      <c r="AJ373" s="152"/>
      <c r="AK373" s="153"/>
      <c r="AL373" s="151">
        <f>SUM(AL368:AO372)</f>
        <v>150</v>
      </c>
      <c r="AM373" s="152"/>
      <c r="AN373" s="152"/>
      <c r="AO373" s="153"/>
      <c r="AP373" s="151">
        <f>SUM(AP368:AS372)</f>
        <v>0</v>
      </c>
      <c r="AQ373" s="152"/>
      <c r="AR373" s="152"/>
      <c r="AS373" s="153"/>
      <c r="AT373" s="151">
        <f>SUM(AT368:AW372)</f>
        <v>0</v>
      </c>
      <c r="AU373" s="152"/>
      <c r="AV373" s="152"/>
      <c r="AW373" s="153"/>
      <c r="AX373" s="87">
        <f>SUM(AX368:AX372)</f>
        <v>290</v>
      </c>
      <c r="AY373" s="88">
        <f>IFERROR(AVERAGEIF(E373:AV373,"&lt;&gt;0",(E373:AV373)),)</f>
        <v>145</v>
      </c>
      <c r="AZ373" s="46">
        <f>IFERROR(AX373/BB369,0)</f>
        <v>7.2499999999999995E-2</v>
      </c>
      <c r="BA373" s="34"/>
      <c r="BB373" s="34"/>
      <c r="BC373" s="34"/>
      <c r="BD373" s="76"/>
      <c r="BE373" s="34"/>
      <c r="BF373" s="34"/>
      <c r="BG373" s="34"/>
      <c r="BH373" s="34"/>
    </row>
    <row r="374" spans="1:60" s="17" customFormat="1" ht="19.5" customHeight="1" thickBot="1" x14ac:dyDescent="0.4">
      <c r="A374" s="42">
        <f>A360</f>
        <v>45439</v>
      </c>
      <c r="B374" s="38" t="str">
        <f>B375</f>
        <v>Etiket Hazırlama</v>
      </c>
      <c r="C374" s="39" t="s">
        <v>180</v>
      </c>
      <c r="D374" s="69" t="s">
        <v>181</v>
      </c>
      <c r="E374" s="48">
        <v>0.34375</v>
      </c>
      <c r="F374" s="49">
        <v>0.35416666666666669</v>
      </c>
      <c r="G374" s="49">
        <v>0.36458333333333331</v>
      </c>
      <c r="H374" s="50">
        <v>0.375</v>
      </c>
      <c r="I374" s="48">
        <v>0.38541666666666702</v>
      </c>
      <c r="J374" s="49">
        <v>0.39583333333333298</v>
      </c>
      <c r="K374" s="49">
        <v>0.40625</v>
      </c>
      <c r="L374" s="50">
        <v>0.41666666666666702</v>
      </c>
      <c r="M374" s="48">
        <v>0.4375</v>
      </c>
      <c r="N374" s="49">
        <v>0.44791666666666702</v>
      </c>
      <c r="O374" s="49">
        <v>0.45833333333333398</v>
      </c>
      <c r="P374" s="50">
        <v>0.46875</v>
      </c>
      <c r="Q374" s="48">
        <v>0.47916666666666702</v>
      </c>
      <c r="R374" s="49">
        <v>0.48958333333333398</v>
      </c>
      <c r="S374" s="49">
        <v>0.5</v>
      </c>
      <c r="T374" s="50">
        <v>0.51041666666666696</v>
      </c>
      <c r="U374" s="51">
        <v>0.52083333333333204</v>
      </c>
      <c r="V374" s="48">
        <v>0.5625</v>
      </c>
      <c r="W374" s="49">
        <v>0.57291666666666663</v>
      </c>
      <c r="X374" s="49">
        <v>0.58333333333333304</v>
      </c>
      <c r="Y374" s="50">
        <v>0.59375</v>
      </c>
      <c r="Z374" s="48">
        <v>0.60416666666666696</v>
      </c>
      <c r="AA374" s="49">
        <v>0.61458333333333304</v>
      </c>
      <c r="AB374" s="49">
        <v>0.625</v>
      </c>
      <c r="AC374" s="50">
        <v>0.63541666666666596</v>
      </c>
      <c r="AD374" s="48">
        <v>0.65625</v>
      </c>
      <c r="AE374" s="49">
        <v>0.66666666666666663</v>
      </c>
      <c r="AF374" s="49">
        <v>0.67708333333333304</v>
      </c>
      <c r="AG374" s="50">
        <v>0.6875</v>
      </c>
      <c r="AH374" s="48">
        <v>0.69791666666666696</v>
      </c>
      <c r="AI374" s="49">
        <v>0.70833333333333304</v>
      </c>
      <c r="AJ374" s="49">
        <v>0.71875</v>
      </c>
      <c r="AK374" s="50">
        <v>0.72916666666666696</v>
      </c>
      <c r="AL374" s="48">
        <v>0.73958333333333404</v>
      </c>
      <c r="AM374" s="49">
        <v>0.750000000000001</v>
      </c>
      <c r="AN374" s="49">
        <v>0.76041666666666796</v>
      </c>
      <c r="AO374" s="50">
        <v>0.77083333333333504</v>
      </c>
      <c r="AP374" s="48">
        <v>0.781250000000002</v>
      </c>
      <c r="AQ374" s="49">
        <v>0.79166666666666896</v>
      </c>
      <c r="AR374" s="49">
        <v>0.80208333333333603</v>
      </c>
      <c r="AS374" s="50">
        <v>0.812500000000003</v>
      </c>
      <c r="AT374" s="48">
        <v>0.82291666666666996</v>
      </c>
      <c r="AU374" s="49">
        <v>0.83333333333333703</v>
      </c>
      <c r="AV374" s="49">
        <v>0.843750000000004</v>
      </c>
      <c r="AW374" s="50">
        <v>0.85416666666666663</v>
      </c>
      <c r="AX374" s="68" t="s">
        <v>260</v>
      </c>
      <c r="AY374" s="28" t="s">
        <v>261</v>
      </c>
      <c r="AZ374" s="29" t="s">
        <v>262</v>
      </c>
      <c r="BA374" s="136" t="str">
        <f>B375</f>
        <v>Etiket Hazırlama</v>
      </c>
      <c r="BB374" s="137"/>
      <c r="BC374" s="137"/>
      <c r="BD374" s="137"/>
      <c r="BE374" s="137"/>
      <c r="BF374" s="137"/>
      <c r="BG374" s="137"/>
      <c r="BH374" s="138"/>
    </row>
    <row r="375" spans="1:60" s="17" customFormat="1" ht="19.5" customHeight="1" thickBot="1" x14ac:dyDescent="0.4">
      <c r="A375" s="41">
        <f t="shared" ref="A375:A380" si="204">A374</f>
        <v>45439</v>
      </c>
      <c r="B375" s="37" t="str">
        <f>B199</f>
        <v>Etiket Hazırlama</v>
      </c>
      <c r="C375" s="66" t="s">
        <v>284</v>
      </c>
      <c r="D375" s="70">
        <f>D199</f>
        <v>120</v>
      </c>
      <c r="E375" s="63">
        <v>40</v>
      </c>
      <c r="F375" s="55">
        <v>100</v>
      </c>
      <c r="G375" s="55">
        <v>95</v>
      </c>
      <c r="H375" s="56">
        <v>80</v>
      </c>
      <c r="I375" s="63">
        <v>90</v>
      </c>
      <c r="J375" s="55">
        <v>95</v>
      </c>
      <c r="K375" s="55"/>
      <c r="L375" s="56"/>
      <c r="M375" s="63"/>
      <c r="N375" s="55"/>
      <c r="O375" s="55"/>
      <c r="P375" s="56"/>
      <c r="Q375" s="63"/>
      <c r="R375" s="55"/>
      <c r="S375" s="55"/>
      <c r="T375" s="55"/>
      <c r="U375" s="56"/>
      <c r="V375" s="63"/>
      <c r="W375" s="55"/>
      <c r="X375" s="55"/>
      <c r="Y375" s="56"/>
      <c r="Z375" s="63"/>
      <c r="AA375" s="55"/>
      <c r="AB375" s="55"/>
      <c r="AC375" s="56">
        <v>122</v>
      </c>
      <c r="AD375" s="63">
        <v>102</v>
      </c>
      <c r="AE375" s="55">
        <v>85</v>
      </c>
      <c r="AF375" s="55">
        <v>90</v>
      </c>
      <c r="AG375" s="56">
        <v>95</v>
      </c>
      <c r="AH375" s="63">
        <v>85</v>
      </c>
      <c r="AI375" s="55">
        <v>90</v>
      </c>
      <c r="AJ375" s="55">
        <v>100</v>
      </c>
      <c r="AK375" s="56">
        <v>90</v>
      </c>
      <c r="AL375" s="63">
        <v>90</v>
      </c>
      <c r="AM375" s="55">
        <v>105</v>
      </c>
      <c r="AN375" s="55">
        <v>80</v>
      </c>
      <c r="AO375" s="56"/>
      <c r="AP375" s="63"/>
      <c r="AQ375" s="54"/>
      <c r="AR375" s="55"/>
      <c r="AS375" s="56"/>
      <c r="AT375" s="53"/>
      <c r="AU375" s="54"/>
      <c r="AV375" s="55"/>
      <c r="AW375" s="56"/>
      <c r="AX375" s="33">
        <f>SUM(E375:AW375)</f>
        <v>1634</v>
      </c>
      <c r="AY375" s="31">
        <f>IFERROR(AVERAGEIF(E375:AW375,"&lt;&gt;0",(E375:AW375)),)</f>
        <v>90.777777777777771</v>
      </c>
      <c r="AZ375" s="30">
        <f>IFERROR(AY375/D375,0)</f>
        <v>0.75648148148148142</v>
      </c>
      <c r="BA375" s="103" t="s">
        <v>182</v>
      </c>
      <c r="BB375" s="100" t="s">
        <v>183</v>
      </c>
      <c r="BC375" s="100" t="s">
        <v>184</v>
      </c>
      <c r="BD375" s="101" t="s">
        <v>185</v>
      </c>
      <c r="BE375" s="100" t="s">
        <v>186</v>
      </c>
      <c r="BF375" s="102" t="s">
        <v>187</v>
      </c>
      <c r="BG375" s="100" t="s">
        <v>188</v>
      </c>
      <c r="BH375" s="102" t="s">
        <v>189</v>
      </c>
    </row>
    <row r="376" spans="1:60" s="17" customFormat="1" ht="19.5" customHeight="1" thickBot="1" x14ac:dyDescent="0.4">
      <c r="A376" s="41">
        <f t="shared" si="204"/>
        <v>45439</v>
      </c>
      <c r="B376" s="37" t="str">
        <f>B375</f>
        <v>Etiket Hazırlama</v>
      </c>
      <c r="C376" s="66">
        <f>C200</f>
        <v>0</v>
      </c>
      <c r="D376" s="67">
        <f>D375</f>
        <v>120</v>
      </c>
      <c r="E376" s="57"/>
      <c r="F376" s="52"/>
      <c r="G376" s="52"/>
      <c r="H376" s="58"/>
      <c r="I376" s="57"/>
      <c r="J376" s="52"/>
      <c r="K376" s="52"/>
      <c r="L376" s="58"/>
      <c r="M376" s="57"/>
      <c r="N376" s="52"/>
      <c r="O376" s="52"/>
      <c r="P376" s="58"/>
      <c r="Q376" s="57"/>
      <c r="R376" s="52"/>
      <c r="S376" s="52"/>
      <c r="T376" s="52"/>
      <c r="U376" s="58"/>
      <c r="V376" s="57"/>
      <c r="W376" s="52"/>
      <c r="X376" s="52"/>
      <c r="Y376" s="58"/>
      <c r="Z376" s="57"/>
      <c r="AA376" s="52"/>
      <c r="AB376" s="52"/>
      <c r="AC376" s="58"/>
      <c r="AD376" s="57"/>
      <c r="AE376" s="52"/>
      <c r="AF376" s="52"/>
      <c r="AG376" s="58"/>
      <c r="AH376" s="57"/>
      <c r="AI376" s="52"/>
      <c r="AJ376" s="52"/>
      <c r="AK376" s="58"/>
      <c r="AL376" s="57"/>
      <c r="AM376" s="52"/>
      <c r="AN376" s="52"/>
      <c r="AO376" s="58"/>
      <c r="AP376" s="57"/>
      <c r="AQ376" s="52"/>
      <c r="AR376" s="52"/>
      <c r="AS376" s="58"/>
      <c r="AT376" s="57"/>
      <c r="AU376" s="52"/>
      <c r="AV376" s="52"/>
      <c r="AW376" s="58"/>
      <c r="AX376" s="33">
        <f>SUM(E376:AW376)</f>
        <v>0</v>
      </c>
      <c r="AY376" s="31">
        <f>IFERROR(AVERAGEIF(E376:AW376,"&lt;&gt;0",(E376:AW376)),)</f>
        <v>0</v>
      </c>
      <c r="AZ376" s="30">
        <f>IFERROR(AY376/D376,0)</f>
        <v>0</v>
      </c>
      <c r="BA376" s="94">
        <f>AX380+BA200</f>
        <v>1634</v>
      </c>
      <c r="BB376" s="95">
        <f>(D380*8)</f>
        <v>4000</v>
      </c>
      <c r="BC376" s="96">
        <f>C357-BA376</f>
        <v>40677</v>
      </c>
      <c r="BD376" s="96">
        <f>BC376</f>
        <v>40677</v>
      </c>
      <c r="BE376" s="97">
        <f>IFERROR(BC376/E380,0)</f>
        <v>129.13333333333333</v>
      </c>
      <c r="BF376" s="98">
        <f>IFERROR(BE376/9,0)</f>
        <v>14.348148148148148</v>
      </c>
      <c r="BG376" s="97">
        <f>IFERROR(BC376/AY380,0)</f>
        <v>149.36474908200736</v>
      </c>
      <c r="BH376" s="97">
        <f>IFERROR(BG376/9,0)</f>
        <v>16.596083231334152</v>
      </c>
    </row>
    <row r="377" spans="1:60" s="17" customFormat="1" ht="19.5" customHeight="1" x14ac:dyDescent="0.35">
      <c r="A377" s="41">
        <f t="shared" si="204"/>
        <v>45439</v>
      </c>
      <c r="B377" s="37" t="str">
        <f>B376</f>
        <v>Etiket Hazırlama</v>
      </c>
      <c r="C377" s="66">
        <f>C201</f>
        <v>0</v>
      </c>
      <c r="D377" s="67">
        <f>D376</f>
        <v>120</v>
      </c>
      <c r="E377" s="57"/>
      <c r="F377" s="52"/>
      <c r="G377" s="52"/>
      <c r="H377" s="58"/>
      <c r="I377" s="57"/>
      <c r="J377" s="52"/>
      <c r="K377" s="52"/>
      <c r="L377" s="58"/>
      <c r="M377" s="57"/>
      <c r="N377" s="52"/>
      <c r="O377" s="52"/>
      <c r="P377" s="58"/>
      <c r="Q377" s="57"/>
      <c r="R377" s="52"/>
      <c r="S377" s="52"/>
      <c r="T377" s="52"/>
      <c r="U377" s="58"/>
      <c r="V377" s="57"/>
      <c r="W377" s="52"/>
      <c r="X377" s="52"/>
      <c r="Y377" s="58"/>
      <c r="Z377" s="57"/>
      <c r="AA377" s="52"/>
      <c r="AB377" s="52"/>
      <c r="AC377" s="58"/>
      <c r="AD377" s="57"/>
      <c r="AE377" s="52"/>
      <c r="AF377" s="52"/>
      <c r="AG377" s="58"/>
      <c r="AH377" s="57"/>
      <c r="AI377" s="52"/>
      <c r="AJ377" s="52"/>
      <c r="AK377" s="58"/>
      <c r="AL377" s="57"/>
      <c r="AM377" s="52"/>
      <c r="AN377" s="52"/>
      <c r="AO377" s="58"/>
      <c r="AP377" s="57"/>
      <c r="AQ377" s="52"/>
      <c r="AR377" s="52"/>
      <c r="AS377" s="58"/>
      <c r="AT377" s="57"/>
      <c r="AU377" s="52"/>
      <c r="AV377" s="52"/>
      <c r="AW377" s="58"/>
      <c r="AX377" s="33">
        <f>SUM(E377:AW377)</f>
        <v>0</v>
      </c>
      <c r="AY377" s="31">
        <f>IFERROR(AVERAGEIF(E377:AW377,"&lt;&gt;0",(E377:AW377)),)</f>
        <v>0</v>
      </c>
      <c r="AZ377" s="30">
        <f>IFERROR(AY377/D377,0)</f>
        <v>0</v>
      </c>
      <c r="BA377" s="34"/>
      <c r="BB377" s="34"/>
      <c r="BC377" s="34"/>
      <c r="BD377" s="76"/>
      <c r="BE377" s="34"/>
      <c r="BF377" s="34"/>
      <c r="BG377" s="34"/>
      <c r="BH377" s="34"/>
    </row>
    <row r="378" spans="1:60" s="17" customFormat="1" ht="19.5" customHeight="1" x14ac:dyDescent="0.35">
      <c r="A378" s="41">
        <f t="shared" si="204"/>
        <v>45439</v>
      </c>
      <c r="B378" s="37" t="str">
        <f>B377</f>
        <v>Etiket Hazırlama</v>
      </c>
      <c r="C378" s="66">
        <f>C202</f>
        <v>0</v>
      </c>
      <c r="D378" s="67">
        <f>D377</f>
        <v>120</v>
      </c>
      <c r="E378" s="57"/>
      <c r="F378" s="52"/>
      <c r="G378" s="52"/>
      <c r="H378" s="58"/>
      <c r="I378" s="57"/>
      <c r="J378" s="52"/>
      <c r="K378" s="52"/>
      <c r="L378" s="58"/>
      <c r="M378" s="57"/>
      <c r="N378" s="52"/>
      <c r="O378" s="52"/>
      <c r="P378" s="58"/>
      <c r="Q378" s="57"/>
      <c r="R378" s="52"/>
      <c r="S378" s="52"/>
      <c r="T378" s="52"/>
      <c r="U378" s="58"/>
      <c r="V378" s="57"/>
      <c r="W378" s="52"/>
      <c r="X378" s="52"/>
      <c r="Y378" s="58"/>
      <c r="Z378" s="57"/>
      <c r="AA378" s="52"/>
      <c r="AB378" s="52"/>
      <c r="AC378" s="58"/>
      <c r="AD378" s="57"/>
      <c r="AE378" s="52"/>
      <c r="AF378" s="52"/>
      <c r="AG378" s="58"/>
      <c r="AH378" s="57"/>
      <c r="AI378" s="52"/>
      <c r="AJ378" s="52"/>
      <c r="AK378" s="58"/>
      <c r="AL378" s="57"/>
      <c r="AM378" s="52"/>
      <c r="AN378" s="52"/>
      <c r="AO378" s="58"/>
      <c r="AP378" s="57"/>
      <c r="AQ378" s="52"/>
      <c r="AR378" s="52"/>
      <c r="AS378" s="58"/>
      <c r="AT378" s="57"/>
      <c r="AU378" s="52"/>
      <c r="AV378" s="52"/>
      <c r="AW378" s="58"/>
      <c r="AX378" s="33">
        <f>SUM(E378:AW378)</f>
        <v>0</v>
      </c>
      <c r="AY378" s="31">
        <f>IFERROR(AVERAGEIF(E378:AW378,"&lt;&gt;0",(E378:AW378)),)</f>
        <v>0</v>
      </c>
      <c r="AZ378" s="30">
        <f>IFERROR(AY378/D378,0)</f>
        <v>0</v>
      </c>
      <c r="BA378" s="34"/>
      <c r="BB378" s="34"/>
      <c r="BC378" s="34"/>
      <c r="BD378" s="76"/>
      <c r="BE378" s="34"/>
      <c r="BF378" s="34"/>
      <c r="BG378" s="34"/>
      <c r="BH378" s="34"/>
    </row>
    <row r="379" spans="1:60" s="17" customFormat="1" ht="19.5" customHeight="1" thickBot="1" x14ac:dyDescent="0.4">
      <c r="A379" s="41">
        <f t="shared" si="204"/>
        <v>45439</v>
      </c>
      <c r="B379" s="37" t="str">
        <f>B378</f>
        <v>Etiket Hazırlama</v>
      </c>
      <c r="C379" s="66">
        <f>C203</f>
        <v>0</v>
      </c>
      <c r="D379" s="67">
        <f>D378</f>
        <v>120</v>
      </c>
      <c r="E379" s="64"/>
      <c r="F379" s="61"/>
      <c r="G379" s="61"/>
      <c r="H379" s="62"/>
      <c r="I379" s="64"/>
      <c r="J379" s="61"/>
      <c r="K379" s="61"/>
      <c r="L379" s="62"/>
      <c r="M379" s="64"/>
      <c r="N379" s="61"/>
      <c r="O379" s="61"/>
      <c r="P379" s="62"/>
      <c r="Q379" s="64"/>
      <c r="R379" s="61"/>
      <c r="S379" s="61"/>
      <c r="T379" s="61"/>
      <c r="U379" s="62"/>
      <c r="V379" s="64"/>
      <c r="W379" s="61"/>
      <c r="X379" s="61"/>
      <c r="Y379" s="62"/>
      <c r="Z379" s="59"/>
      <c r="AA379" s="60"/>
      <c r="AB379" s="61"/>
      <c r="AC379" s="62"/>
      <c r="AD379" s="59"/>
      <c r="AE379" s="60"/>
      <c r="AF379" s="61"/>
      <c r="AG379" s="62"/>
      <c r="AH379" s="59"/>
      <c r="AI379" s="60"/>
      <c r="AJ379" s="61"/>
      <c r="AK379" s="62"/>
      <c r="AL379" s="59"/>
      <c r="AM379" s="60"/>
      <c r="AN379" s="61"/>
      <c r="AO379" s="62"/>
      <c r="AP379" s="59"/>
      <c r="AQ379" s="60"/>
      <c r="AR379" s="61"/>
      <c r="AS379" s="62"/>
      <c r="AT379" s="59"/>
      <c r="AU379" s="60"/>
      <c r="AV379" s="61"/>
      <c r="AW379" s="62"/>
      <c r="AX379" s="43">
        <f>SUM(E379:AW379)</f>
        <v>0</v>
      </c>
      <c r="AY379" s="44">
        <f>IFERROR(AVERAGEIF(E379:AW379,"&lt;&gt;0",(E379:AW379)),)</f>
        <v>0</v>
      </c>
      <c r="AZ379" s="45">
        <f>IFERROR(AY379/D379,0)</f>
        <v>0</v>
      </c>
      <c r="BA379" s="34"/>
      <c r="BB379" s="34"/>
      <c r="BC379" s="34"/>
      <c r="BD379" s="76"/>
      <c r="BE379" s="34"/>
      <c r="BF379" s="34"/>
      <c r="BG379" s="34"/>
      <c r="BH379" s="34"/>
    </row>
    <row r="380" spans="1:60" s="17" customFormat="1" ht="19.5" customHeight="1" thickBot="1" x14ac:dyDescent="0.45">
      <c r="A380" s="41">
        <f t="shared" si="204"/>
        <v>45439</v>
      </c>
      <c r="B380" s="139" t="str">
        <f>B375</f>
        <v>Etiket Hazırlama</v>
      </c>
      <c r="C380" s="140"/>
      <c r="D380" s="40">
        <f>C358/8</f>
        <v>500</v>
      </c>
      <c r="E380" s="151">
        <f>SUM(E375:H379)</f>
        <v>315</v>
      </c>
      <c r="F380" s="152"/>
      <c r="G380" s="152"/>
      <c r="H380" s="153"/>
      <c r="I380" s="151">
        <f>SUM(I375:L379)</f>
        <v>185</v>
      </c>
      <c r="J380" s="152"/>
      <c r="K380" s="152"/>
      <c r="L380" s="153"/>
      <c r="M380" s="151">
        <f>SUM(M375:P379)</f>
        <v>0</v>
      </c>
      <c r="N380" s="152"/>
      <c r="O380" s="152"/>
      <c r="P380" s="153"/>
      <c r="Q380" s="151">
        <f>SUM(Q375:U379)</f>
        <v>0</v>
      </c>
      <c r="R380" s="152"/>
      <c r="S380" s="152"/>
      <c r="T380" s="152"/>
      <c r="U380" s="153"/>
      <c r="V380" s="151">
        <f>SUM(V375:Y379)</f>
        <v>0</v>
      </c>
      <c r="W380" s="152"/>
      <c r="X380" s="152"/>
      <c r="Y380" s="153"/>
      <c r="Z380" s="151">
        <f>SUM(Z375:AC379)</f>
        <v>122</v>
      </c>
      <c r="AA380" s="152"/>
      <c r="AB380" s="152"/>
      <c r="AC380" s="153"/>
      <c r="AD380" s="151">
        <f>SUM(AD375:AG379)</f>
        <v>372</v>
      </c>
      <c r="AE380" s="152"/>
      <c r="AF380" s="152"/>
      <c r="AG380" s="153"/>
      <c r="AH380" s="151">
        <f>SUM(AH375:AK379)</f>
        <v>365</v>
      </c>
      <c r="AI380" s="152"/>
      <c r="AJ380" s="152"/>
      <c r="AK380" s="153"/>
      <c r="AL380" s="151">
        <f>SUM(AL375:AO379)</f>
        <v>275</v>
      </c>
      <c r="AM380" s="152"/>
      <c r="AN380" s="152"/>
      <c r="AO380" s="153"/>
      <c r="AP380" s="151">
        <f>SUM(AP375:AS379)</f>
        <v>0</v>
      </c>
      <c r="AQ380" s="152"/>
      <c r="AR380" s="152"/>
      <c r="AS380" s="153"/>
      <c r="AT380" s="151">
        <f>SUM(AT375:AW379)</f>
        <v>0</v>
      </c>
      <c r="AU380" s="152"/>
      <c r="AV380" s="152"/>
      <c r="AW380" s="153"/>
      <c r="AX380" s="87">
        <f>SUM(AX375:AX379)</f>
        <v>1634</v>
      </c>
      <c r="AY380" s="88">
        <f>IFERROR(AVERAGEIF(E380:AV380,"&lt;&gt;0",(E380:AV380)),)</f>
        <v>272.33333333333331</v>
      </c>
      <c r="AZ380" s="46">
        <f>IFERROR(AX380/BB376,0)</f>
        <v>0.40849999999999997</v>
      </c>
      <c r="BA380" s="34"/>
      <c r="BB380" s="34"/>
      <c r="BC380" s="34"/>
      <c r="BD380" s="76"/>
      <c r="BE380" s="34"/>
      <c r="BF380" s="34"/>
      <c r="BG380" s="34"/>
      <c r="BH380" s="34"/>
    </row>
    <row r="381" spans="1:60" s="17" customFormat="1" ht="19.5" customHeight="1" thickBot="1" x14ac:dyDescent="0.4">
      <c r="A381" s="42">
        <f>A360</f>
        <v>45439</v>
      </c>
      <c r="B381" s="38" t="str">
        <f>B382</f>
        <v>Tela Yapıştırma</v>
      </c>
      <c r="C381" s="39" t="s">
        <v>180</v>
      </c>
      <c r="D381" s="69" t="s">
        <v>181</v>
      </c>
      <c r="E381" s="48">
        <v>0.34375</v>
      </c>
      <c r="F381" s="49">
        <v>0.35416666666666669</v>
      </c>
      <c r="G381" s="49">
        <v>0.36458333333333331</v>
      </c>
      <c r="H381" s="50">
        <v>0.375</v>
      </c>
      <c r="I381" s="48">
        <v>0.38541666666666702</v>
      </c>
      <c r="J381" s="49">
        <v>0.39583333333333298</v>
      </c>
      <c r="K381" s="49">
        <v>0.40625</v>
      </c>
      <c r="L381" s="50">
        <v>0.41666666666666702</v>
      </c>
      <c r="M381" s="48">
        <v>0.4375</v>
      </c>
      <c r="N381" s="49">
        <v>0.44791666666666702</v>
      </c>
      <c r="O381" s="49">
        <v>0.45833333333333398</v>
      </c>
      <c r="P381" s="50">
        <v>0.46875</v>
      </c>
      <c r="Q381" s="48">
        <v>0.47916666666666702</v>
      </c>
      <c r="R381" s="49">
        <v>0.48958333333333398</v>
      </c>
      <c r="S381" s="49">
        <v>0.5</v>
      </c>
      <c r="T381" s="50">
        <v>0.51041666666666696</v>
      </c>
      <c r="U381" s="51">
        <v>0.52083333333333204</v>
      </c>
      <c r="V381" s="48">
        <v>0.5625</v>
      </c>
      <c r="W381" s="49">
        <v>0.57291666666666663</v>
      </c>
      <c r="X381" s="49">
        <v>0.58333333333333304</v>
      </c>
      <c r="Y381" s="50">
        <v>0.59375</v>
      </c>
      <c r="Z381" s="48">
        <v>0.60416666666666696</v>
      </c>
      <c r="AA381" s="49">
        <v>0.61458333333333304</v>
      </c>
      <c r="AB381" s="49">
        <v>0.625</v>
      </c>
      <c r="AC381" s="50">
        <v>0.63541666666666596</v>
      </c>
      <c r="AD381" s="48">
        <v>0.65625</v>
      </c>
      <c r="AE381" s="49">
        <v>0.66666666666666663</v>
      </c>
      <c r="AF381" s="49">
        <v>0.67708333333333304</v>
      </c>
      <c r="AG381" s="50">
        <v>0.6875</v>
      </c>
      <c r="AH381" s="48">
        <v>0.69791666666666696</v>
      </c>
      <c r="AI381" s="49">
        <v>0.70833333333333304</v>
      </c>
      <c r="AJ381" s="49">
        <v>0.71875</v>
      </c>
      <c r="AK381" s="50">
        <v>0.72916666666666696</v>
      </c>
      <c r="AL381" s="48">
        <v>0.73958333333333404</v>
      </c>
      <c r="AM381" s="49">
        <v>0.750000000000001</v>
      </c>
      <c r="AN381" s="49">
        <v>0.76041666666666796</v>
      </c>
      <c r="AO381" s="50">
        <v>0.77083333333333504</v>
      </c>
      <c r="AP381" s="48">
        <v>0.781250000000002</v>
      </c>
      <c r="AQ381" s="49">
        <v>0.79166666666666896</v>
      </c>
      <c r="AR381" s="49">
        <v>0.80208333333333603</v>
      </c>
      <c r="AS381" s="50">
        <v>0.812500000000003</v>
      </c>
      <c r="AT381" s="48">
        <v>0.82291666666666996</v>
      </c>
      <c r="AU381" s="49">
        <v>0.83333333333333703</v>
      </c>
      <c r="AV381" s="49">
        <v>0.843750000000004</v>
      </c>
      <c r="AW381" s="50">
        <v>0.85416666666666663</v>
      </c>
      <c r="AX381" s="68" t="s">
        <v>260</v>
      </c>
      <c r="AY381" s="28" t="s">
        <v>261</v>
      </c>
      <c r="AZ381" s="29" t="s">
        <v>262</v>
      </c>
      <c r="BA381" s="136" t="str">
        <f>B382</f>
        <v>Tela Yapıştırma</v>
      </c>
      <c r="BB381" s="137"/>
      <c r="BC381" s="137"/>
      <c r="BD381" s="137"/>
      <c r="BE381" s="137"/>
      <c r="BF381" s="137"/>
      <c r="BG381" s="137"/>
      <c r="BH381" s="138"/>
    </row>
    <row r="382" spans="1:60" s="17" customFormat="1" ht="19.5" customHeight="1" thickBot="1" x14ac:dyDescent="0.4">
      <c r="A382" s="41">
        <f>A374</f>
        <v>45439</v>
      </c>
      <c r="B382" s="37" t="str">
        <f>B206</f>
        <v>Tela Yapıştırma</v>
      </c>
      <c r="C382" s="66" t="str">
        <f>C206</f>
        <v>AYŞE ADADA</v>
      </c>
      <c r="D382" s="70">
        <f>D206</f>
        <v>200</v>
      </c>
      <c r="E382" s="63"/>
      <c r="F382" s="55"/>
      <c r="G382" s="55"/>
      <c r="H382" s="56"/>
      <c r="I382" s="63"/>
      <c r="J382" s="55"/>
      <c r="K382" s="55"/>
      <c r="L382" s="56"/>
      <c r="M382" s="63"/>
      <c r="N382" s="55"/>
      <c r="O382" s="55"/>
      <c r="P382" s="56"/>
      <c r="Q382" s="63"/>
      <c r="R382" s="55"/>
      <c r="S382" s="55"/>
      <c r="T382" s="55"/>
      <c r="U382" s="56"/>
      <c r="V382" s="63"/>
      <c r="W382" s="55"/>
      <c r="X382" s="55"/>
      <c r="Y382" s="56"/>
      <c r="Z382" s="63"/>
      <c r="AA382" s="55"/>
      <c r="AB382" s="55"/>
      <c r="AC382" s="56"/>
      <c r="AD382" s="63"/>
      <c r="AE382" s="55"/>
      <c r="AF382" s="55"/>
      <c r="AG382" s="56"/>
      <c r="AH382" s="63"/>
      <c r="AI382" s="55"/>
      <c r="AJ382" s="55"/>
      <c r="AK382" s="56"/>
      <c r="AL382" s="63"/>
      <c r="AM382" s="55"/>
      <c r="AN382" s="55"/>
      <c r="AO382" s="56"/>
      <c r="AP382" s="63"/>
      <c r="AQ382" s="54"/>
      <c r="AR382" s="55"/>
      <c r="AS382" s="56"/>
      <c r="AT382" s="53"/>
      <c r="AU382" s="54"/>
      <c r="AV382" s="55"/>
      <c r="AW382" s="56"/>
      <c r="AX382" s="33">
        <f>SUM(E382:AW382)</f>
        <v>0</v>
      </c>
      <c r="AY382" s="31">
        <f>IFERROR(AVERAGEIF(E382:AW382,"&lt;&gt;0",(E382:AW382)),)</f>
        <v>0</v>
      </c>
      <c r="AZ382" s="30">
        <f>IFERROR(AY382/D382,0)</f>
        <v>0</v>
      </c>
      <c r="BA382" s="103" t="s">
        <v>182</v>
      </c>
      <c r="BB382" s="100" t="s">
        <v>183</v>
      </c>
      <c r="BC382" s="100" t="s">
        <v>184</v>
      </c>
      <c r="BD382" s="101" t="s">
        <v>185</v>
      </c>
      <c r="BE382" s="100" t="s">
        <v>186</v>
      </c>
      <c r="BF382" s="102" t="s">
        <v>187</v>
      </c>
      <c r="BG382" s="100" t="s">
        <v>188</v>
      </c>
      <c r="BH382" s="102" t="s">
        <v>189</v>
      </c>
    </row>
    <row r="383" spans="1:60" s="17" customFormat="1" ht="19.5" customHeight="1" thickBot="1" x14ac:dyDescent="0.4">
      <c r="A383" s="41">
        <f t="shared" ref="A383:B383" si="205">A382</f>
        <v>45439</v>
      </c>
      <c r="B383" s="37" t="str">
        <f t="shared" si="205"/>
        <v>Tela Yapıştırma</v>
      </c>
      <c r="C383" s="66">
        <f>C207</f>
        <v>0</v>
      </c>
      <c r="D383" s="67">
        <f>D382</f>
        <v>200</v>
      </c>
      <c r="E383" s="57"/>
      <c r="F383" s="52"/>
      <c r="G383" s="52"/>
      <c r="H383" s="58"/>
      <c r="I383" s="57"/>
      <c r="J383" s="52"/>
      <c r="K383" s="52"/>
      <c r="L383" s="58"/>
      <c r="M383" s="57"/>
      <c r="N383" s="52"/>
      <c r="O383" s="52"/>
      <c r="P383" s="58"/>
      <c r="Q383" s="57"/>
      <c r="R383" s="52"/>
      <c r="S383" s="52"/>
      <c r="T383" s="52"/>
      <c r="U383" s="58"/>
      <c r="V383" s="57"/>
      <c r="W383" s="52"/>
      <c r="X383" s="52"/>
      <c r="Y383" s="58"/>
      <c r="Z383" s="57"/>
      <c r="AA383" s="52"/>
      <c r="AB383" s="52"/>
      <c r="AC383" s="58"/>
      <c r="AD383" s="57"/>
      <c r="AE383" s="52"/>
      <c r="AF383" s="52"/>
      <c r="AG383" s="58"/>
      <c r="AH383" s="57"/>
      <c r="AI383" s="52"/>
      <c r="AJ383" s="52"/>
      <c r="AK383" s="58"/>
      <c r="AL383" s="57"/>
      <c r="AM383" s="52"/>
      <c r="AN383" s="52"/>
      <c r="AO383" s="58"/>
      <c r="AP383" s="57"/>
      <c r="AQ383" s="52"/>
      <c r="AR383" s="52"/>
      <c r="AS383" s="58"/>
      <c r="AT383" s="57"/>
      <c r="AU383" s="52"/>
      <c r="AV383" s="52"/>
      <c r="AW383" s="58"/>
      <c r="AX383" s="33">
        <f>SUM(E383:AW383)</f>
        <v>0</v>
      </c>
      <c r="AY383" s="31">
        <f>IFERROR(AVERAGEIF(E383:AW383,"&lt;&gt;0",(E383:AW383)),)</f>
        <v>0</v>
      </c>
      <c r="AZ383" s="30">
        <f>IFERROR(AY383/D383,0)</f>
        <v>0</v>
      </c>
      <c r="BA383" s="94">
        <f>AX387+BA207</f>
        <v>0</v>
      </c>
      <c r="BB383" s="95">
        <f>(D387*8)</f>
        <v>4000</v>
      </c>
      <c r="BC383" s="96">
        <f>C357-BA383</f>
        <v>42311</v>
      </c>
      <c r="BD383" s="96">
        <f>BC383</f>
        <v>42311</v>
      </c>
      <c r="BE383" s="97">
        <f>IFERROR(BC383/E387,0)</f>
        <v>0</v>
      </c>
      <c r="BF383" s="98">
        <f>IFERROR(BE383/9,0)</f>
        <v>0</v>
      </c>
      <c r="BG383" s="97">
        <f>IFERROR(BC383/AY387,0)</f>
        <v>0</v>
      </c>
      <c r="BH383" s="97">
        <f>IFERROR(BG383/9,0)</f>
        <v>0</v>
      </c>
    </row>
    <row r="384" spans="1:60" s="17" customFormat="1" ht="19.5" customHeight="1" x14ac:dyDescent="0.35">
      <c r="A384" s="41">
        <f t="shared" ref="A384:B384" si="206">A383</f>
        <v>45439</v>
      </c>
      <c r="B384" s="37" t="str">
        <f t="shared" si="206"/>
        <v>Tela Yapıştırma</v>
      </c>
      <c r="C384" s="66">
        <f>C208</f>
        <v>0</v>
      </c>
      <c r="D384" s="67">
        <f>D383</f>
        <v>200</v>
      </c>
      <c r="E384" s="57"/>
      <c r="F384" s="52"/>
      <c r="G384" s="52"/>
      <c r="H384" s="58"/>
      <c r="I384" s="57"/>
      <c r="J384" s="52"/>
      <c r="K384" s="52"/>
      <c r="L384" s="58"/>
      <c r="M384" s="57"/>
      <c r="N384" s="52"/>
      <c r="O384" s="52"/>
      <c r="P384" s="58"/>
      <c r="Q384" s="57"/>
      <c r="R384" s="52"/>
      <c r="S384" s="52"/>
      <c r="T384" s="52"/>
      <c r="U384" s="58"/>
      <c r="V384" s="57"/>
      <c r="W384" s="52"/>
      <c r="X384" s="52"/>
      <c r="Y384" s="58"/>
      <c r="Z384" s="57"/>
      <c r="AA384" s="52"/>
      <c r="AB384" s="52"/>
      <c r="AC384" s="58"/>
      <c r="AD384" s="57"/>
      <c r="AE384" s="52"/>
      <c r="AF384" s="52"/>
      <c r="AG384" s="58"/>
      <c r="AH384" s="57"/>
      <c r="AI384" s="52"/>
      <c r="AJ384" s="52"/>
      <c r="AK384" s="58"/>
      <c r="AL384" s="57"/>
      <c r="AM384" s="52"/>
      <c r="AN384" s="52"/>
      <c r="AO384" s="58"/>
      <c r="AP384" s="57"/>
      <c r="AQ384" s="52"/>
      <c r="AR384" s="52"/>
      <c r="AS384" s="58"/>
      <c r="AT384" s="57"/>
      <c r="AU384" s="52"/>
      <c r="AV384" s="52"/>
      <c r="AW384" s="58"/>
      <c r="AX384" s="33">
        <f>SUM(E384:AW384)</f>
        <v>0</v>
      </c>
      <c r="AY384" s="31">
        <f>IFERROR(AVERAGEIF(E384:AW384,"&lt;&gt;0",(E384:AW384)),)</f>
        <v>0</v>
      </c>
      <c r="AZ384" s="30">
        <f>IFERROR(AY384/D384,0)</f>
        <v>0</v>
      </c>
      <c r="BA384" s="34"/>
      <c r="BB384" s="34"/>
      <c r="BC384" s="34"/>
      <c r="BD384" s="76"/>
      <c r="BE384" s="34"/>
      <c r="BF384" s="34"/>
      <c r="BG384" s="34"/>
      <c r="BH384" s="34"/>
    </row>
    <row r="385" spans="1:60" s="17" customFormat="1" ht="19.5" customHeight="1" x14ac:dyDescent="0.35">
      <c r="A385" s="41">
        <f t="shared" ref="A385:B385" si="207">A384</f>
        <v>45439</v>
      </c>
      <c r="B385" s="37" t="str">
        <f t="shared" si="207"/>
        <v>Tela Yapıştırma</v>
      </c>
      <c r="C385" s="66">
        <f>C209</f>
        <v>0</v>
      </c>
      <c r="D385" s="67">
        <f>D384</f>
        <v>200</v>
      </c>
      <c r="E385" s="57"/>
      <c r="F385" s="52"/>
      <c r="G385" s="52"/>
      <c r="H385" s="58"/>
      <c r="I385" s="57"/>
      <c r="J385" s="52"/>
      <c r="K385" s="52"/>
      <c r="L385" s="58"/>
      <c r="M385" s="57"/>
      <c r="N385" s="52"/>
      <c r="O385" s="52"/>
      <c r="P385" s="58"/>
      <c r="Q385" s="57"/>
      <c r="R385" s="52"/>
      <c r="S385" s="52"/>
      <c r="T385" s="52"/>
      <c r="U385" s="58"/>
      <c r="V385" s="57"/>
      <c r="W385" s="52"/>
      <c r="X385" s="52"/>
      <c r="Y385" s="58"/>
      <c r="Z385" s="57"/>
      <c r="AA385" s="52"/>
      <c r="AB385" s="52"/>
      <c r="AC385" s="58"/>
      <c r="AD385" s="57"/>
      <c r="AE385" s="52"/>
      <c r="AF385" s="52"/>
      <c r="AG385" s="58"/>
      <c r="AH385" s="57"/>
      <c r="AI385" s="52"/>
      <c r="AJ385" s="52"/>
      <c r="AK385" s="58"/>
      <c r="AL385" s="57"/>
      <c r="AM385" s="52"/>
      <c r="AN385" s="52"/>
      <c r="AO385" s="58"/>
      <c r="AP385" s="57"/>
      <c r="AQ385" s="52"/>
      <c r="AR385" s="52"/>
      <c r="AS385" s="58"/>
      <c r="AT385" s="57"/>
      <c r="AU385" s="52"/>
      <c r="AV385" s="52"/>
      <c r="AW385" s="58"/>
      <c r="AX385" s="33">
        <f>SUM(E385:AW385)</f>
        <v>0</v>
      </c>
      <c r="AY385" s="31">
        <f>IFERROR(AVERAGEIF(E385:AW385,"&lt;&gt;0",(E385:AW385)),)</f>
        <v>0</v>
      </c>
      <c r="AZ385" s="30">
        <f>IFERROR(AY385/D385,0)</f>
        <v>0</v>
      </c>
      <c r="BA385" s="34"/>
      <c r="BB385" s="34"/>
      <c r="BC385" s="34"/>
      <c r="BD385" s="76"/>
      <c r="BE385" s="34"/>
      <c r="BF385" s="34"/>
      <c r="BG385" s="34"/>
      <c r="BH385" s="34"/>
    </row>
    <row r="386" spans="1:60" s="17" customFormat="1" ht="19.5" customHeight="1" thickBot="1" x14ac:dyDescent="0.4">
      <c r="A386" s="41">
        <f t="shared" ref="A386:B386" si="208">A385</f>
        <v>45439</v>
      </c>
      <c r="B386" s="37" t="str">
        <f t="shared" si="208"/>
        <v>Tela Yapıştırma</v>
      </c>
      <c r="C386" s="66">
        <f>C210</f>
        <v>0</v>
      </c>
      <c r="D386" s="67">
        <f>D385</f>
        <v>200</v>
      </c>
      <c r="E386" s="64"/>
      <c r="F386" s="61"/>
      <c r="G386" s="61"/>
      <c r="H386" s="62"/>
      <c r="I386" s="64"/>
      <c r="J386" s="61"/>
      <c r="K386" s="61"/>
      <c r="L386" s="62"/>
      <c r="M386" s="64"/>
      <c r="N386" s="61"/>
      <c r="O386" s="61"/>
      <c r="P386" s="62"/>
      <c r="Q386" s="64"/>
      <c r="R386" s="61"/>
      <c r="S386" s="61"/>
      <c r="T386" s="61"/>
      <c r="U386" s="62"/>
      <c r="V386" s="64"/>
      <c r="W386" s="61"/>
      <c r="X386" s="61"/>
      <c r="Y386" s="62"/>
      <c r="Z386" s="59"/>
      <c r="AA386" s="60"/>
      <c r="AB386" s="61"/>
      <c r="AC386" s="62"/>
      <c r="AD386" s="59"/>
      <c r="AE386" s="60"/>
      <c r="AF386" s="61"/>
      <c r="AG386" s="62"/>
      <c r="AH386" s="59"/>
      <c r="AI386" s="60"/>
      <c r="AJ386" s="61"/>
      <c r="AK386" s="62"/>
      <c r="AL386" s="59"/>
      <c r="AM386" s="60"/>
      <c r="AN386" s="61"/>
      <c r="AO386" s="62"/>
      <c r="AP386" s="59"/>
      <c r="AQ386" s="60"/>
      <c r="AR386" s="61"/>
      <c r="AS386" s="62"/>
      <c r="AT386" s="59"/>
      <c r="AU386" s="60"/>
      <c r="AV386" s="61"/>
      <c r="AW386" s="62"/>
      <c r="AX386" s="43">
        <f>SUM(E386:AW386)</f>
        <v>0</v>
      </c>
      <c r="AY386" s="44">
        <f>IFERROR(AVERAGEIF(E386:AW386,"&lt;&gt;0",(E386:AW386)),)</f>
        <v>0</v>
      </c>
      <c r="AZ386" s="45">
        <f>IFERROR(AY386/D386,0)</f>
        <v>0</v>
      </c>
      <c r="BA386" s="34"/>
      <c r="BB386" s="34"/>
      <c r="BC386" s="34"/>
      <c r="BD386" s="76"/>
      <c r="BE386" s="34"/>
      <c r="BF386" s="34"/>
      <c r="BG386" s="34"/>
      <c r="BH386" s="34"/>
    </row>
    <row r="387" spans="1:60" s="17" customFormat="1" ht="19.5" customHeight="1" thickBot="1" x14ac:dyDescent="0.45">
      <c r="A387" s="41">
        <f>A386</f>
        <v>45439</v>
      </c>
      <c r="B387" s="139" t="str">
        <f>B382</f>
        <v>Tela Yapıştırma</v>
      </c>
      <c r="C387" s="140"/>
      <c r="D387" s="40">
        <f>C358/8</f>
        <v>500</v>
      </c>
      <c r="E387" s="151">
        <f>SUM(E382:H386)</f>
        <v>0</v>
      </c>
      <c r="F387" s="152"/>
      <c r="G387" s="152"/>
      <c r="H387" s="153"/>
      <c r="I387" s="151">
        <f>SUM(I382:L386)</f>
        <v>0</v>
      </c>
      <c r="J387" s="152"/>
      <c r="K387" s="152"/>
      <c r="L387" s="153"/>
      <c r="M387" s="151">
        <f>SUM(M382:P386)</f>
        <v>0</v>
      </c>
      <c r="N387" s="152"/>
      <c r="O387" s="152"/>
      <c r="P387" s="153"/>
      <c r="Q387" s="151">
        <f>SUM(Q382:U386)</f>
        <v>0</v>
      </c>
      <c r="R387" s="152"/>
      <c r="S387" s="152"/>
      <c r="T387" s="152"/>
      <c r="U387" s="153"/>
      <c r="V387" s="151">
        <f>SUM(V382:Y386)</f>
        <v>0</v>
      </c>
      <c r="W387" s="152"/>
      <c r="X387" s="152"/>
      <c r="Y387" s="153"/>
      <c r="Z387" s="151">
        <f>SUM(Z382:AC386)</f>
        <v>0</v>
      </c>
      <c r="AA387" s="152"/>
      <c r="AB387" s="152"/>
      <c r="AC387" s="153"/>
      <c r="AD387" s="151">
        <f>SUM(AD382:AG386)</f>
        <v>0</v>
      </c>
      <c r="AE387" s="152"/>
      <c r="AF387" s="152"/>
      <c r="AG387" s="153"/>
      <c r="AH387" s="151">
        <f>SUM(AH382:AK386)</f>
        <v>0</v>
      </c>
      <c r="AI387" s="152"/>
      <c r="AJ387" s="152"/>
      <c r="AK387" s="153"/>
      <c r="AL387" s="151">
        <f>SUM(AL382:AO386)</f>
        <v>0</v>
      </c>
      <c r="AM387" s="152"/>
      <c r="AN387" s="152"/>
      <c r="AO387" s="153"/>
      <c r="AP387" s="151">
        <f>SUM(AP382:AS386)</f>
        <v>0</v>
      </c>
      <c r="AQ387" s="152"/>
      <c r="AR387" s="152"/>
      <c r="AS387" s="153"/>
      <c r="AT387" s="151">
        <f>SUM(AT382:AW386)</f>
        <v>0</v>
      </c>
      <c r="AU387" s="152"/>
      <c r="AV387" s="152"/>
      <c r="AW387" s="153"/>
      <c r="AX387" s="87">
        <f>SUM(AX382:AX386)</f>
        <v>0</v>
      </c>
      <c r="AY387" s="88">
        <f>IFERROR(AVERAGEIF(E387:AV387,"&lt;&gt;0",(E387:AV387)),)</f>
        <v>0</v>
      </c>
      <c r="AZ387" s="46">
        <f>IFERROR(AX387/BB383,0)</f>
        <v>0</v>
      </c>
      <c r="BA387" s="34"/>
      <c r="BB387" s="34"/>
      <c r="BC387" s="34"/>
      <c r="BD387" s="76"/>
      <c r="BE387" s="34"/>
      <c r="BF387" s="34"/>
      <c r="BG387" s="34"/>
      <c r="BH387" s="34"/>
    </row>
    <row r="388" spans="1:60" s="17" customFormat="1" ht="19.5" customHeight="1" thickBot="1" x14ac:dyDescent="0.4">
      <c r="A388" s="42">
        <f>A374</f>
        <v>45439</v>
      </c>
      <c r="B388" s="38">
        <f>B389</f>
        <v>0</v>
      </c>
      <c r="C388" s="39" t="s">
        <v>180</v>
      </c>
      <c r="D388" s="69" t="s">
        <v>181</v>
      </c>
      <c r="E388" s="48">
        <v>0.34375</v>
      </c>
      <c r="F388" s="49">
        <v>0.35416666666666669</v>
      </c>
      <c r="G388" s="49">
        <v>0.36458333333333331</v>
      </c>
      <c r="H388" s="50">
        <v>0.375</v>
      </c>
      <c r="I388" s="48">
        <v>0.38541666666666702</v>
      </c>
      <c r="J388" s="49">
        <v>0.39583333333333298</v>
      </c>
      <c r="K388" s="49">
        <v>0.40625</v>
      </c>
      <c r="L388" s="50">
        <v>0.41666666666666702</v>
      </c>
      <c r="M388" s="48">
        <v>0.4375</v>
      </c>
      <c r="N388" s="49">
        <v>0.44791666666666702</v>
      </c>
      <c r="O388" s="49">
        <v>0.45833333333333398</v>
      </c>
      <c r="P388" s="50">
        <v>0.46875</v>
      </c>
      <c r="Q388" s="48">
        <v>0.47916666666666702</v>
      </c>
      <c r="R388" s="49">
        <v>0.48958333333333398</v>
      </c>
      <c r="S388" s="49">
        <v>0.5</v>
      </c>
      <c r="T388" s="50">
        <v>0.51041666666666696</v>
      </c>
      <c r="U388" s="51">
        <v>0.52083333333333204</v>
      </c>
      <c r="V388" s="48">
        <v>0.5625</v>
      </c>
      <c r="W388" s="49">
        <v>0.57291666666666663</v>
      </c>
      <c r="X388" s="49">
        <v>0.58333333333333304</v>
      </c>
      <c r="Y388" s="50">
        <v>0.59375</v>
      </c>
      <c r="Z388" s="48">
        <v>0.60416666666666696</v>
      </c>
      <c r="AA388" s="49">
        <v>0.61458333333333304</v>
      </c>
      <c r="AB388" s="49">
        <v>0.625</v>
      </c>
      <c r="AC388" s="50">
        <v>0.63541666666666596</v>
      </c>
      <c r="AD388" s="48">
        <v>0.65625</v>
      </c>
      <c r="AE388" s="49">
        <v>0.66666666666666663</v>
      </c>
      <c r="AF388" s="49">
        <v>0.67708333333333304</v>
      </c>
      <c r="AG388" s="50">
        <v>0.6875</v>
      </c>
      <c r="AH388" s="48">
        <v>0.69791666666666696</v>
      </c>
      <c r="AI388" s="49">
        <v>0.70833333333333304</v>
      </c>
      <c r="AJ388" s="49">
        <v>0.71875</v>
      </c>
      <c r="AK388" s="50">
        <v>0.72916666666666696</v>
      </c>
      <c r="AL388" s="48">
        <v>0.73958333333333404</v>
      </c>
      <c r="AM388" s="49">
        <v>0.750000000000001</v>
      </c>
      <c r="AN388" s="49">
        <v>0.76041666666666796</v>
      </c>
      <c r="AO388" s="50">
        <v>0.77083333333333504</v>
      </c>
      <c r="AP388" s="48">
        <v>0.781250000000002</v>
      </c>
      <c r="AQ388" s="49">
        <v>0.79166666666666896</v>
      </c>
      <c r="AR388" s="49">
        <v>0.80208333333333603</v>
      </c>
      <c r="AS388" s="50">
        <v>0.812500000000003</v>
      </c>
      <c r="AT388" s="48">
        <v>0.82291666666666996</v>
      </c>
      <c r="AU388" s="49">
        <v>0.83333333333333703</v>
      </c>
      <c r="AV388" s="49">
        <v>0.843750000000004</v>
      </c>
      <c r="AW388" s="50">
        <v>0.85416666666666663</v>
      </c>
      <c r="AX388" s="68" t="s">
        <v>260</v>
      </c>
      <c r="AY388" s="28" t="s">
        <v>261</v>
      </c>
      <c r="AZ388" s="29" t="s">
        <v>262</v>
      </c>
      <c r="BA388" s="136">
        <f>B389</f>
        <v>0</v>
      </c>
      <c r="BB388" s="137"/>
      <c r="BC388" s="137"/>
      <c r="BD388" s="137"/>
      <c r="BE388" s="137"/>
      <c r="BF388" s="137"/>
      <c r="BG388" s="137"/>
      <c r="BH388" s="138"/>
    </row>
    <row r="389" spans="1:60" s="17" customFormat="1" ht="19.5" customHeight="1" thickBot="1" x14ac:dyDescent="0.4">
      <c r="A389" s="41">
        <f>A381</f>
        <v>45439</v>
      </c>
      <c r="B389" s="37">
        <f>B213</f>
        <v>0</v>
      </c>
      <c r="C389" s="66">
        <f>C213</f>
        <v>0</v>
      </c>
      <c r="D389" s="70">
        <f>D213</f>
        <v>200</v>
      </c>
      <c r="E389" s="63"/>
      <c r="F389" s="55"/>
      <c r="G389" s="55"/>
      <c r="H389" s="56"/>
      <c r="I389" s="63"/>
      <c r="J389" s="55"/>
      <c r="K389" s="55"/>
      <c r="L389" s="56"/>
      <c r="M389" s="63"/>
      <c r="N389" s="55"/>
      <c r="O389" s="55"/>
      <c r="P389" s="56"/>
      <c r="Q389" s="63"/>
      <c r="R389" s="55"/>
      <c r="S389" s="55"/>
      <c r="T389" s="55"/>
      <c r="U389" s="56"/>
      <c r="V389" s="63"/>
      <c r="W389" s="55"/>
      <c r="X389" s="55"/>
      <c r="Y389" s="56"/>
      <c r="Z389" s="63"/>
      <c r="AA389" s="55"/>
      <c r="AB389" s="55"/>
      <c r="AC389" s="56"/>
      <c r="AD389" s="63"/>
      <c r="AE389" s="55"/>
      <c r="AF389" s="55"/>
      <c r="AG389" s="56"/>
      <c r="AH389" s="63"/>
      <c r="AI389" s="55"/>
      <c r="AJ389" s="55"/>
      <c r="AK389" s="56"/>
      <c r="AL389" s="63"/>
      <c r="AM389" s="55"/>
      <c r="AN389" s="55"/>
      <c r="AO389" s="56"/>
      <c r="AP389" s="63"/>
      <c r="AQ389" s="54"/>
      <c r="AR389" s="55"/>
      <c r="AS389" s="56"/>
      <c r="AT389" s="53"/>
      <c r="AU389" s="54"/>
      <c r="AV389" s="55"/>
      <c r="AW389" s="56"/>
      <c r="AX389" s="33">
        <f>SUM(E389:AW389)</f>
        <v>0</v>
      </c>
      <c r="AY389" s="31">
        <f>IFERROR(AVERAGEIF(E389:AW389,"&lt;&gt;0",(E389:AW389)),)</f>
        <v>0</v>
      </c>
      <c r="AZ389" s="30">
        <f>IFERROR(AY389/D389,0)</f>
        <v>0</v>
      </c>
      <c r="BA389" s="103" t="s">
        <v>182</v>
      </c>
      <c r="BB389" s="100" t="s">
        <v>183</v>
      </c>
      <c r="BC389" s="100" t="s">
        <v>184</v>
      </c>
      <c r="BD389" s="101" t="s">
        <v>185</v>
      </c>
      <c r="BE389" s="100" t="s">
        <v>186</v>
      </c>
      <c r="BF389" s="102" t="s">
        <v>187</v>
      </c>
      <c r="BG389" s="100" t="s">
        <v>188</v>
      </c>
      <c r="BH389" s="102" t="s">
        <v>189</v>
      </c>
    </row>
    <row r="390" spans="1:60" s="17" customFormat="1" ht="19.5" customHeight="1" thickBot="1" x14ac:dyDescent="0.4">
      <c r="A390" s="41">
        <f t="shared" ref="A390:B390" si="209">A389</f>
        <v>45439</v>
      </c>
      <c r="B390" s="37">
        <f t="shared" si="209"/>
        <v>0</v>
      </c>
      <c r="C390" s="66">
        <f>C214</f>
        <v>0</v>
      </c>
      <c r="D390" s="67">
        <f>D389</f>
        <v>200</v>
      </c>
      <c r="E390" s="57"/>
      <c r="F390" s="52"/>
      <c r="G390" s="52"/>
      <c r="H390" s="58"/>
      <c r="I390" s="57"/>
      <c r="J390" s="52"/>
      <c r="K390" s="52"/>
      <c r="L390" s="58"/>
      <c r="M390" s="57"/>
      <c r="N390" s="52"/>
      <c r="O390" s="52"/>
      <c r="P390" s="58"/>
      <c r="Q390" s="57"/>
      <c r="R390" s="52"/>
      <c r="S390" s="52"/>
      <c r="T390" s="52"/>
      <c r="U390" s="58"/>
      <c r="V390" s="57"/>
      <c r="W390" s="52"/>
      <c r="X390" s="52"/>
      <c r="Y390" s="58"/>
      <c r="Z390" s="57"/>
      <c r="AA390" s="52"/>
      <c r="AB390" s="52"/>
      <c r="AC390" s="58"/>
      <c r="AD390" s="57"/>
      <c r="AE390" s="52"/>
      <c r="AF390" s="52"/>
      <c r="AG390" s="58"/>
      <c r="AH390" s="57"/>
      <c r="AI390" s="52"/>
      <c r="AJ390" s="52"/>
      <c r="AK390" s="58"/>
      <c r="AL390" s="57"/>
      <c r="AM390" s="52"/>
      <c r="AN390" s="52"/>
      <c r="AO390" s="58"/>
      <c r="AP390" s="57"/>
      <c r="AQ390" s="52"/>
      <c r="AR390" s="52"/>
      <c r="AS390" s="58"/>
      <c r="AT390" s="57"/>
      <c r="AU390" s="52"/>
      <c r="AV390" s="52"/>
      <c r="AW390" s="58"/>
      <c r="AX390" s="33">
        <f>SUM(E390:AW390)</f>
        <v>0</v>
      </c>
      <c r="AY390" s="31">
        <f>IFERROR(AVERAGEIF(E390:AW390,"&lt;&gt;0",(E390:AW390)),)</f>
        <v>0</v>
      </c>
      <c r="AZ390" s="30">
        <f>IFERROR(AY390/D390,0)</f>
        <v>0</v>
      </c>
      <c r="BA390" s="94">
        <f>AX394+BA214</f>
        <v>0</v>
      </c>
      <c r="BB390" s="95">
        <f>(D394*8)</f>
        <v>4000</v>
      </c>
      <c r="BC390" s="96">
        <f>C357-BA390</f>
        <v>42311</v>
      </c>
      <c r="BD390" s="96">
        <f>BA383-BA390</f>
        <v>0</v>
      </c>
      <c r="BE390" s="97">
        <f>IFERROR(BC390/E394,0)</f>
        <v>0</v>
      </c>
      <c r="BF390" s="98">
        <f>IFERROR(BE390/9,0)</f>
        <v>0</v>
      </c>
      <c r="BG390" s="97">
        <f>IFERROR(BC390/AY394,0)</f>
        <v>0</v>
      </c>
      <c r="BH390" s="97">
        <f>IFERROR(BG390/9,0)</f>
        <v>0</v>
      </c>
    </row>
    <row r="391" spans="1:60" s="17" customFormat="1" ht="19.5" customHeight="1" x14ac:dyDescent="0.35">
      <c r="A391" s="41">
        <f t="shared" ref="A391:B391" si="210">A390</f>
        <v>45439</v>
      </c>
      <c r="B391" s="37">
        <f t="shared" si="210"/>
        <v>0</v>
      </c>
      <c r="C391" s="66">
        <f>C215</f>
        <v>0</v>
      </c>
      <c r="D391" s="67">
        <f>D390</f>
        <v>200</v>
      </c>
      <c r="E391" s="57"/>
      <c r="F391" s="52"/>
      <c r="G391" s="52"/>
      <c r="H391" s="58"/>
      <c r="I391" s="57"/>
      <c r="J391" s="52"/>
      <c r="K391" s="52"/>
      <c r="L391" s="58"/>
      <c r="M391" s="57"/>
      <c r="N391" s="52"/>
      <c r="O391" s="52"/>
      <c r="P391" s="58"/>
      <c r="Q391" s="57"/>
      <c r="R391" s="52"/>
      <c r="S391" s="52"/>
      <c r="T391" s="52"/>
      <c r="U391" s="58"/>
      <c r="V391" s="57"/>
      <c r="W391" s="52"/>
      <c r="X391" s="52"/>
      <c r="Y391" s="58"/>
      <c r="Z391" s="57"/>
      <c r="AA391" s="52"/>
      <c r="AB391" s="52"/>
      <c r="AC391" s="58"/>
      <c r="AD391" s="57"/>
      <c r="AE391" s="52"/>
      <c r="AF391" s="52"/>
      <c r="AG391" s="58"/>
      <c r="AH391" s="57"/>
      <c r="AI391" s="52"/>
      <c r="AJ391" s="52"/>
      <c r="AK391" s="58"/>
      <c r="AL391" s="57"/>
      <c r="AM391" s="52"/>
      <c r="AN391" s="52"/>
      <c r="AO391" s="58"/>
      <c r="AP391" s="57"/>
      <c r="AQ391" s="52"/>
      <c r="AR391" s="52"/>
      <c r="AS391" s="58"/>
      <c r="AT391" s="57"/>
      <c r="AU391" s="52"/>
      <c r="AV391" s="52"/>
      <c r="AW391" s="58"/>
      <c r="AX391" s="33">
        <f>SUM(E391:AW391)</f>
        <v>0</v>
      </c>
      <c r="AY391" s="31">
        <f>IFERROR(AVERAGEIF(E391:AW391,"&lt;&gt;0",(E391:AW391)),)</f>
        <v>0</v>
      </c>
      <c r="AZ391" s="30">
        <f>IFERROR(AY391/D391,0)</f>
        <v>0</v>
      </c>
      <c r="BA391" s="34"/>
      <c r="BB391" s="34"/>
      <c r="BC391" s="34"/>
      <c r="BD391" s="76"/>
      <c r="BE391" s="34"/>
      <c r="BF391" s="34"/>
      <c r="BG391" s="34"/>
      <c r="BH391" s="34"/>
    </row>
    <row r="392" spans="1:60" s="17" customFormat="1" ht="19.5" customHeight="1" x14ac:dyDescent="0.35">
      <c r="A392" s="41">
        <f t="shared" ref="A392:B392" si="211">A391</f>
        <v>45439</v>
      </c>
      <c r="B392" s="37">
        <f t="shared" si="211"/>
        <v>0</v>
      </c>
      <c r="C392" s="66">
        <f>C216</f>
        <v>0</v>
      </c>
      <c r="D392" s="67">
        <f>D391</f>
        <v>200</v>
      </c>
      <c r="E392" s="57"/>
      <c r="F392" s="52"/>
      <c r="G392" s="52"/>
      <c r="H392" s="58"/>
      <c r="I392" s="57"/>
      <c r="J392" s="52"/>
      <c r="K392" s="52"/>
      <c r="L392" s="58"/>
      <c r="M392" s="57"/>
      <c r="N392" s="52"/>
      <c r="O392" s="52"/>
      <c r="P392" s="58"/>
      <c r="Q392" s="57"/>
      <c r="R392" s="52"/>
      <c r="S392" s="52"/>
      <c r="T392" s="52"/>
      <c r="U392" s="58"/>
      <c r="V392" s="57"/>
      <c r="W392" s="52"/>
      <c r="X392" s="52"/>
      <c r="Y392" s="58"/>
      <c r="Z392" s="57"/>
      <c r="AA392" s="52"/>
      <c r="AB392" s="52"/>
      <c r="AC392" s="58"/>
      <c r="AD392" s="57"/>
      <c r="AE392" s="52"/>
      <c r="AF392" s="52"/>
      <c r="AG392" s="58"/>
      <c r="AH392" s="57"/>
      <c r="AI392" s="52"/>
      <c r="AJ392" s="52"/>
      <c r="AK392" s="58"/>
      <c r="AL392" s="57"/>
      <c r="AM392" s="52"/>
      <c r="AN392" s="52"/>
      <c r="AO392" s="58"/>
      <c r="AP392" s="57"/>
      <c r="AQ392" s="52"/>
      <c r="AR392" s="52"/>
      <c r="AS392" s="58"/>
      <c r="AT392" s="57"/>
      <c r="AU392" s="52"/>
      <c r="AV392" s="52"/>
      <c r="AW392" s="58"/>
      <c r="AX392" s="33">
        <f>SUM(E392:AW392)</f>
        <v>0</v>
      </c>
      <c r="AY392" s="31">
        <f>IFERROR(AVERAGEIF(E392:AW392,"&lt;&gt;0",(E392:AW392)),)</f>
        <v>0</v>
      </c>
      <c r="AZ392" s="30">
        <f>IFERROR(AY392/D392,0)</f>
        <v>0</v>
      </c>
      <c r="BA392" s="34"/>
      <c r="BB392" s="34"/>
      <c r="BC392" s="34"/>
      <c r="BD392" s="76"/>
      <c r="BE392" s="34"/>
      <c r="BF392" s="34"/>
      <c r="BG392" s="34"/>
      <c r="BH392" s="34"/>
    </row>
    <row r="393" spans="1:60" s="17" customFormat="1" ht="19.5" customHeight="1" thickBot="1" x14ac:dyDescent="0.4">
      <c r="A393" s="41">
        <f t="shared" ref="A393:B393" si="212">A392</f>
        <v>45439</v>
      </c>
      <c r="B393" s="37">
        <f t="shared" si="212"/>
        <v>0</v>
      </c>
      <c r="C393" s="66">
        <f>C217</f>
        <v>0</v>
      </c>
      <c r="D393" s="67">
        <f>D392</f>
        <v>200</v>
      </c>
      <c r="E393" s="64"/>
      <c r="F393" s="61"/>
      <c r="G393" s="61"/>
      <c r="H393" s="62"/>
      <c r="I393" s="64"/>
      <c r="J393" s="61"/>
      <c r="K393" s="61"/>
      <c r="L393" s="62"/>
      <c r="M393" s="64"/>
      <c r="N393" s="61"/>
      <c r="O393" s="61"/>
      <c r="P393" s="62"/>
      <c r="Q393" s="64"/>
      <c r="R393" s="61"/>
      <c r="S393" s="61"/>
      <c r="T393" s="61"/>
      <c r="U393" s="62"/>
      <c r="V393" s="64"/>
      <c r="W393" s="61"/>
      <c r="X393" s="61"/>
      <c r="Y393" s="62"/>
      <c r="Z393" s="59"/>
      <c r="AA393" s="60"/>
      <c r="AB393" s="61"/>
      <c r="AC393" s="62"/>
      <c r="AD393" s="59"/>
      <c r="AE393" s="60"/>
      <c r="AF393" s="61"/>
      <c r="AG393" s="62"/>
      <c r="AH393" s="59"/>
      <c r="AI393" s="60"/>
      <c r="AJ393" s="61"/>
      <c r="AK393" s="62"/>
      <c r="AL393" s="59"/>
      <c r="AM393" s="60"/>
      <c r="AN393" s="61"/>
      <c r="AO393" s="62"/>
      <c r="AP393" s="59"/>
      <c r="AQ393" s="60"/>
      <c r="AR393" s="61"/>
      <c r="AS393" s="62"/>
      <c r="AT393" s="59"/>
      <c r="AU393" s="60"/>
      <c r="AV393" s="61"/>
      <c r="AW393" s="62"/>
      <c r="AX393" s="43">
        <f>SUM(E393:AW393)</f>
        <v>0</v>
      </c>
      <c r="AY393" s="44">
        <f>IFERROR(AVERAGEIF(E393:AW393,"&lt;&gt;0",(E393:AW393)),)</f>
        <v>0</v>
      </c>
      <c r="AZ393" s="45">
        <f>IFERROR(AY393/D393,0)</f>
        <v>0</v>
      </c>
      <c r="BA393" s="34"/>
      <c r="BB393" s="34"/>
      <c r="BC393" s="34"/>
      <c r="BD393" s="76"/>
      <c r="BE393" s="34"/>
      <c r="BF393" s="34"/>
      <c r="BG393" s="34"/>
      <c r="BH393" s="34"/>
    </row>
    <row r="394" spans="1:60" s="17" customFormat="1" ht="19.5" customHeight="1" thickBot="1" x14ac:dyDescent="0.45">
      <c r="A394" s="41">
        <f>A393</f>
        <v>45439</v>
      </c>
      <c r="B394" s="139">
        <f>B389</f>
        <v>0</v>
      </c>
      <c r="C394" s="140"/>
      <c r="D394" s="40">
        <f>C358/8</f>
        <v>500</v>
      </c>
      <c r="E394" s="151">
        <f>SUM(E389:H393)</f>
        <v>0</v>
      </c>
      <c r="F394" s="152"/>
      <c r="G394" s="152"/>
      <c r="H394" s="153"/>
      <c r="I394" s="151">
        <f>SUM(I389:L393)</f>
        <v>0</v>
      </c>
      <c r="J394" s="152"/>
      <c r="K394" s="152"/>
      <c r="L394" s="153"/>
      <c r="M394" s="151">
        <f>SUM(M389:P393)</f>
        <v>0</v>
      </c>
      <c r="N394" s="152"/>
      <c r="O394" s="152"/>
      <c r="P394" s="153"/>
      <c r="Q394" s="151">
        <f>SUM(Q389:U393)</f>
        <v>0</v>
      </c>
      <c r="R394" s="152"/>
      <c r="S394" s="152"/>
      <c r="T394" s="152"/>
      <c r="U394" s="153"/>
      <c r="V394" s="151">
        <f>SUM(V389:Y393)</f>
        <v>0</v>
      </c>
      <c r="W394" s="152"/>
      <c r="X394" s="152"/>
      <c r="Y394" s="153"/>
      <c r="Z394" s="151">
        <f>SUM(Z389:AC393)</f>
        <v>0</v>
      </c>
      <c r="AA394" s="152"/>
      <c r="AB394" s="152"/>
      <c r="AC394" s="153"/>
      <c r="AD394" s="151">
        <f>SUM(AD389:AG393)</f>
        <v>0</v>
      </c>
      <c r="AE394" s="152"/>
      <c r="AF394" s="152"/>
      <c r="AG394" s="153"/>
      <c r="AH394" s="151">
        <f>SUM(AH389:AK393)</f>
        <v>0</v>
      </c>
      <c r="AI394" s="152"/>
      <c r="AJ394" s="152"/>
      <c r="AK394" s="153"/>
      <c r="AL394" s="151">
        <f>SUM(AL389:AO393)</f>
        <v>0</v>
      </c>
      <c r="AM394" s="152"/>
      <c r="AN394" s="152"/>
      <c r="AO394" s="153"/>
      <c r="AP394" s="151">
        <f>SUM(AP389:AS393)</f>
        <v>0</v>
      </c>
      <c r="AQ394" s="152"/>
      <c r="AR394" s="152"/>
      <c r="AS394" s="153"/>
      <c r="AT394" s="151">
        <f>SUM(AT389:AW393)</f>
        <v>0</v>
      </c>
      <c r="AU394" s="152"/>
      <c r="AV394" s="152"/>
      <c r="AW394" s="153"/>
      <c r="AX394" s="87">
        <f>SUM(AX389:AX393)</f>
        <v>0</v>
      </c>
      <c r="AY394" s="88">
        <f>IFERROR(AVERAGEIF(E394:AV394,"&lt;&gt;0",(E394:AV394)),)</f>
        <v>0</v>
      </c>
      <c r="AZ394" s="46">
        <f>IFERROR(AX394/BB390,0)</f>
        <v>0</v>
      </c>
      <c r="BA394" s="34"/>
      <c r="BB394" s="34"/>
      <c r="BC394" s="34"/>
      <c r="BD394" s="76"/>
      <c r="BE394" s="34"/>
      <c r="BF394" s="34"/>
      <c r="BG394" s="34"/>
      <c r="BH394" s="34"/>
    </row>
    <row r="395" spans="1:60" s="17" customFormat="1" ht="19.5" customHeight="1" thickBot="1" x14ac:dyDescent="0.4">
      <c r="A395" s="42">
        <f>A388</f>
        <v>45439</v>
      </c>
      <c r="B395" s="38" t="str">
        <f>B396</f>
        <v>BANT GİRİŞ</v>
      </c>
      <c r="C395" s="39" t="s">
        <v>180</v>
      </c>
      <c r="D395" s="69" t="s">
        <v>181</v>
      </c>
      <c r="E395" s="48">
        <v>0.34375</v>
      </c>
      <c r="F395" s="49">
        <v>0.35416666666666669</v>
      </c>
      <c r="G395" s="49">
        <v>0.36458333333333331</v>
      </c>
      <c r="H395" s="50">
        <v>0.375</v>
      </c>
      <c r="I395" s="48">
        <v>0.38541666666666702</v>
      </c>
      <c r="J395" s="49">
        <v>0.39583333333333298</v>
      </c>
      <c r="K395" s="49">
        <v>0.40625</v>
      </c>
      <c r="L395" s="50">
        <v>0.41666666666666702</v>
      </c>
      <c r="M395" s="48">
        <v>0.4375</v>
      </c>
      <c r="N395" s="49">
        <v>0.44791666666666702</v>
      </c>
      <c r="O395" s="49">
        <v>0.45833333333333398</v>
      </c>
      <c r="P395" s="50">
        <v>0.46875</v>
      </c>
      <c r="Q395" s="48">
        <v>0.47916666666666702</v>
      </c>
      <c r="R395" s="49">
        <v>0.48958333333333398</v>
      </c>
      <c r="S395" s="49">
        <v>0.5</v>
      </c>
      <c r="T395" s="50">
        <v>0.51041666666666696</v>
      </c>
      <c r="U395" s="51">
        <v>0.52083333333333204</v>
      </c>
      <c r="V395" s="48">
        <v>0.5625</v>
      </c>
      <c r="W395" s="49">
        <v>0.57291666666666663</v>
      </c>
      <c r="X395" s="49">
        <v>0.58333333333333304</v>
      </c>
      <c r="Y395" s="50">
        <v>0.59375</v>
      </c>
      <c r="Z395" s="48">
        <v>0.60416666666666696</v>
      </c>
      <c r="AA395" s="49">
        <v>0.61458333333333304</v>
      </c>
      <c r="AB395" s="49">
        <v>0.625</v>
      </c>
      <c r="AC395" s="50">
        <v>0.63541666666666596</v>
      </c>
      <c r="AD395" s="48">
        <v>0.65625</v>
      </c>
      <c r="AE395" s="49">
        <v>0.66666666666666663</v>
      </c>
      <c r="AF395" s="49">
        <v>0.67708333333333304</v>
      </c>
      <c r="AG395" s="50">
        <v>0.6875</v>
      </c>
      <c r="AH395" s="48">
        <v>0.69791666666666696</v>
      </c>
      <c r="AI395" s="49">
        <v>0.70833333333333304</v>
      </c>
      <c r="AJ395" s="49">
        <v>0.71875</v>
      </c>
      <c r="AK395" s="50">
        <v>0.72916666666666696</v>
      </c>
      <c r="AL395" s="48">
        <v>0.73958333333333404</v>
      </c>
      <c r="AM395" s="49">
        <v>0.750000000000001</v>
      </c>
      <c r="AN395" s="49">
        <v>0.76041666666666796</v>
      </c>
      <c r="AO395" s="50">
        <v>0.77083333333333504</v>
      </c>
      <c r="AP395" s="48">
        <v>0.781250000000002</v>
      </c>
      <c r="AQ395" s="49">
        <v>0.79166666666666896</v>
      </c>
      <c r="AR395" s="49">
        <v>0.80208333333333603</v>
      </c>
      <c r="AS395" s="50">
        <v>0.812500000000003</v>
      </c>
      <c r="AT395" s="48">
        <v>0.82291666666666996</v>
      </c>
      <c r="AU395" s="49">
        <v>0.83333333333333703</v>
      </c>
      <c r="AV395" s="49">
        <v>0.843750000000004</v>
      </c>
      <c r="AW395" s="50">
        <v>0.85416666666666663</v>
      </c>
      <c r="AX395" s="68" t="s">
        <v>260</v>
      </c>
      <c r="AY395" s="28" t="s">
        <v>261</v>
      </c>
      <c r="AZ395" s="29" t="s">
        <v>262</v>
      </c>
      <c r="BA395" s="136" t="str">
        <f>B396</f>
        <v>BANT GİRİŞ</v>
      </c>
      <c r="BB395" s="137"/>
      <c r="BC395" s="137"/>
      <c r="BD395" s="137"/>
      <c r="BE395" s="137"/>
      <c r="BF395" s="137"/>
      <c r="BG395" s="137"/>
      <c r="BH395" s="138"/>
    </row>
    <row r="396" spans="1:60" s="17" customFormat="1" ht="19.5" customHeight="1" thickBot="1" x14ac:dyDescent="0.4">
      <c r="A396" s="41">
        <f t="shared" ref="A396" si="213">A395</f>
        <v>45439</v>
      </c>
      <c r="B396" s="37" t="str">
        <f>B220</f>
        <v>BANT GİRİŞ</v>
      </c>
      <c r="C396" s="65" t="str">
        <f>C220</f>
        <v>XS</v>
      </c>
      <c r="D396" s="70">
        <f>D220</f>
        <v>120</v>
      </c>
      <c r="E396" s="63"/>
      <c r="F396" s="55"/>
      <c r="G396" s="55"/>
      <c r="H396" s="56"/>
      <c r="I396" s="63"/>
      <c r="J396" s="55"/>
      <c r="K396" s="55"/>
      <c r="L396" s="56"/>
      <c r="M396" s="63"/>
      <c r="N396" s="55"/>
      <c r="O396" s="55"/>
      <c r="P396" s="56"/>
      <c r="Q396" s="63"/>
      <c r="R396" s="55"/>
      <c r="S396" s="55"/>
      <c r="T396" s="55"/>
      <c r="U396" s="56"/>
      <c r="V396" s="63"/>
      <c r="W396" s="55"/>
      <c r="X396" s="55"/>
      <c r="Y396" s="56"/>
      <c r="Z396" s="63"/>
      <c r="AA396" s="55"/>
      <c r="AB396" s="55"/>
      <c r="AC396" s="56"/>
      <c r="AD396" s="63"/>
      <c r="AE396" s="55"/>
      <c r="AF396" s="55"/>
      <c r="AG396" s="56"/>
      <c r="AH396" s="63"/>
      <c r="AI396" s="55"/>
      <c r="AJ396" s="55"/>
      <c r="AK396" s="56"/>
      <c r="AL396" s="63"/>
      <c r="AM396" s="55"/>
      <c r="AN396" s="55"/>
      <c r="AO396" s="56"/>
      <c r="AP396" s="63"/>
      <c r="AQ396" s="54"/>
      <c r="AR396" s="55"/>
      <c r="AS396" s="56"/>
      <c r="AT396" s="53"/>
      <c r="AU396" s="54"/>
      <c r="AV396" s="55"/>
      <c r="AW396" s="56"/>
      <c r="AX396" s="33">
        <f>SUM(E396:AW396)</f>
        <v>0</v>
      </c>
      <c r="AY396" s="31">
        <f>IFERROR(AVERAGEIF(E396:AW396,"&lt;&gt;0",(E396:AW396)),)</f>
        <v>0</v>
      </c>
      <c r="AZ396" s="30">
        <f>IFERROR(AY396/D396,0)</f>
        <v>0</v>
      </c>
      <c r="BA396" s="19"/>
      <c r="BB396" s="19" t="str">
        <f t="shared" ref="BB396" si="214">BA358</f>
        <v>XS</v>
      </c>
      <c r="BC396" s="19" t="str">
        <f t="shared" ref="BC396" si="215">BB358</f>
        <v>S</v>
      </c>
      <c r="BD396" s="19" t="str">
        <f t="shared" ref="BD396" si="216">BC358</f>
        <v>M</v>
      </c>
      <c r="BE396" s="19" t="str">
        <f t="shared" ref="BE396" si="217">BD358</f>
        <v>L</v>
      </c>
      <c r="BF396" s="19" t="str">
        <f t="shared" ref="BF396" si="218">BE358</f>
        <v>XL</v>
      </c>
      <c r="BG396" s="19" t="str">
        <f t="shared" ref="BG396" si="219">BF358</f>
        <v>XXL</v>
      </c>
      <c r="BH396" s="19" t="s">
        <v>190</v>
      </c>
    </row>
    <row r="397" spans="1:60" s="17" customFormat="1" ht="19.5" customHeight="1" thickBot="1" x14ac:dyDescent="0.4">
      <c r="A397" s="41">
        <f t="shared" ref="A397:B397" si="220">A396</f>
        <v>45439</v>
      </c>
      <c r="B397" s="37" t="str">
        <f t="shared" si="220"/>
        <v>BANT GİRİŞ</v>
      </c>
      <c r="C397" s="65" t="str">
        <f t="shared" ref="C397:C402" si="221">C221</f>
        <v>S</v>
      </c>
      <c r="D397" s="67">
        <f t="shared" ref="D397:D402" si="222">D396</f>
        <v>120</v>
      </c>
      <c r="E397" s="57"/>
      <c r="F397" s="52"/>
      <c r="G397" s="52"/>
      <c r="H397" s="58"/>
      <c r="I397" s="57"/>
      <c r="J397" s="52"/>
      <c r="K397" s="52"/>
      <c r="L397" s="58"/>
      <c r="M397" s="57"/>
      <c r="N397" s="52"/>
      <c r="O397" s="52"/>
      <c r="P397" s="58"/>
      <c r="Q397" s="57"/>
      <c r="R397" s="52"/>
      <c r="S397" s="52"/>
      <c r="T397" s="52"/>
      <c r="U397" s="58"/>
      <c r="V397" s="57"/>
      <c r="W397" s="52"/>
      <c r="X397" s="52"/>
      <c r="Y397" s="58"/>
      <c r="Z397" s="57"/>
      <c r="AA397" s="52"/>
      <c r="AB397" s="52"/>
      <c r="AC397" s="58"/>
      <c r="AD397" s="57"/>
      <c r="AE397" s="52"/>
      <c r="AF397" s="52"/>
      <c r="AG397" s="58"/>
      <c r="AH397" s="57"/>
      <c r="AI397" s="52"/>
      <c r="AJ397" s="52"/>
      <c r="AK397" s="58"/>
      <c r="AL397" s="57"/>
      <c r="AM397" s="52"/>
      <c r="AN397" s="52"/>
      <c r="AO397" s="58"/>
      <c r="AP397" s="57"/>
      <c r="AQ397" s="52"/>
      <c r="AR397" s="52"/>
      <c r="AS397" s="58"/>
      <c r="AT397" s="57"/>
      <c r="AU397" s="52"/>
      <c r="AV397" s="52"/>
      <c r="AW397" s="58"/>
      <c r="AX397" s="33">
        <f t="shared" ref="AX397:AX402" si="223">SUM(E397:AW397)</f>
        <v>0</v>
      </c>
      <c r="AY397" s="31">
        <f t="shared" ref="AY397:AY402" si="224">IFERROR(AVERAGEIF(E397:AW397,"&lt;&gt;0",(E397:AW397)),)</f>
        <v>0</v>
      </c>
      <c r="AZ397" s="30">
        <f t="shared" ref="AZ397:AZ402" si="225">IFERROR(AY397/D397,0)</f>
        <v>0</v>
      </c>
      <c r="BA397" s="94" t="s">
        <v>192</v>
      </c>
      <c r="BB397" s="96">
        <f>SUMIF(C396:C402,BB396,AX396:AX402)+BB221</f>
        <v>0</v>
      </c>
      <c r="BC397" s="96">
        <f>SUMIF(C396:C402,BC396,AX396:AX402)+BC221</f>
        <v>0</v>
      </c>
      <c r="BD397" s="96">
        <f>SUMIF(C396:C402,BD396,AX396:AX402)+BD221</f>
        <v>0</v>
      </c>
      <c r="BE397" s="96">
        <f>SUMIF(C396:C402,BE396,AX396:AX402)+BE221</f>
        <v>0</v>
      </c>
      <c r="BF397" s="96">
        <f>SUMIF(C396:C402,BF396,AX396:AX402)+BF221</f>
        <v>0</v>
      </c>
      <c r="BG397" s="96"/>
      <c r="BH397" s="99">
        <f>SUM(BB397:BG397)</f>
        <v>0</v>
      </c>
    </row>
    <row r="398" spans="1:60" s="17" customFormat="1" ht="19.5" customHeight="1" thickBot="1" x14ac:dyDescent="0.4">
      <c r="A398" s="41">
        <f t="shared" ref="A398:B398" si="226">A397</f>
        <v>45439</v>
      </c>
      <c r="B398" s="37" t="str">
        <f t="shared" si="226"/>
        <v>BANT GİRİŞ</v>
      </c>
      <c r="C398" s="65" t="str">
        <f t="shared" si="221"/>
        <v>M</v>
      </c>
      <c r="D398" s="67">
        <f t="shared" si="222"/>
        <v>120</v>
      </c>
      <c r="E398" s="57"/>
      <c r="F398" s="52"/>
      <c r="G398" s="52"/>
      <c r="H398" s="58"/>
      <c r="I398" s="57"/>
      <c r="J398" s="52"/>
      <c r="K398" s="52"/>
      <c r="L398" s="58"/>
      <c r="M398" s="57"/>
      <c r="N398" s="52"/>
      <c r="O398" s="52"/>
      <c r="P398" s="58"/>
      <c r="Q398" s="57"/>
      <c r="R398" s="52"/>
      <c r="S398" s="52"/>
      <c r="T398" s="52"/>
      <c r="U398" s="58"/>
      <c r="V398" s="57"/>
      <c r="W398" s="52"/>
      <c r="X398" s="52"/>
      <c r="Y398" s="58"/>
      <c r="Z398" s="57"/>
      <c r="AA398" s="52"/>
      <c r="AB398" s="52"/>
      <c r="AC398" s="58"/>
      <c r="AD398" s="57"/>
      <c r="AE398" s="52"/>
      <c r="AF398" s="52"/>
      <c r="AG398" s="58"/>
      <c r="AH398" s="57"/>
      <c r="AI398" s="52"/>
      <c r="AJ398" s="52"/>
      <c r="AK398" s="58"/>
      <c r="AL398" s="57"/>
      <c r="AM398" s="52"/>
      <c r="AN398" s="52"/>
      <c r="AO398" s="58"/>
      <c r="AP398" s="57"/>
      <c r="AQ398" s="52"/>
      <c r="AR398" s="52"/>
      <c r="AS398" s="58"/>
      <c r="AT398" s="57"/>
      <c r="AU398" s="52"/>
      <c r="AV398" s="52"/>
      <c r="AW398" s="58"/>
      <c r="AX398" s="33">
        <f t="shared" si="223"/>
        <v>0</v>
      </c>
      <c r="AY398" s="31">
        <f t="shared" si="224"/>
        <v>0</v>
      </c>
      <c r="AZ398" s="30">
        <f t="shared" si="225"/>
        <v>0</v>
      </c>
      <c r="BA398" s="94" t="s">
        <v>193</v>
      </c>
      <c r="BB398" s="96">
        <f>BA359-BB397</f>
        <v>492</v>
      </c>
      <c r="BC398" s="96">
        <f>BB359-BC397</f>
        <v>11438</v>
      </c>
      <c r="BD398" s="96">
        <f>BC359-BD397</f>
        <v>13689</v>
      </c>
      <c r="BE398" s="96">
        <f>BD359-BE397</f>
        <v>9760</v>
      </c>
      <c r="BF398" s="96">
        <f>BE359-BF397</f>
        <v>4794</v>
      </c>
      <c r="BG398" s="96"/>
      <c r="BH398" s="96">
        <f>SUM(BB398:BG398)</f>
        <v>40173</v>
      </c>
    </row>
    <row r="399" spans="1:60" s="17" customFormat="1" ht="19.5" customHeight="1" x14ac:dyDescent="0.35">
      <c r="A399" s="41">
        <f t="shared" ref="A399:B399" si="227">A398</f>
        <v>45439</v>
      </c>
      <c r="B399" s="37" t="str">
        <f t="shared" si="227"/>
        <v>BANT GİRİŞ</v>
      </c>
      <c r="C399" s="65" t="str">
        <f t="shared" si="221"/>
        <v>L</v>
      </c>
      <c r="D399" s="67">
        <f t="shared" si="222"/>
        <v>120</v>
      </c>
      <c r="E399" s="57"/>
      <c r="F399" s="52"/>
      <c r="G399" s="52"/>
      <c r="H399" s="58"/>
      <c r="I399" s="57"/>
      <c r="J399" s="52"/>
      <c r="K399" s="52"/>
      <c r="L399" s="58"/>
      <c r="M399" s="57"/>
      <c r="N399" s="52"/>
      <c r="O399" s="52"/>
      <c r="P399" s="58"/>
      <c r="Q399" s="57"/>
      <c r="R399" s="52"/>
      <c r="S399" s="52"/>
      <c r="T399" s="52"/>
      <c r="U399" s="58"/>
      <c r="V399" s="57"/>
      <c r="W399" s="52"/>
      <c r="X399" s="52"/>
      <c r="Y399" s="58"/>
      <c r="Z399" s="57"/>
      <c r="AA399" s="52"/>
      <c r="AB399" s="52"/>
      <c r="AC399" s="58"/>
      <c r="AD399" s="57"/>
      <c r="AE399" s="52"/>
      <c r="AF399" s="52"/>
      <c r="AG399" s="58"/>
      <c r="AH399" s="57"/>
      <c r="AI399" s="52"/>
      <c r="AJ399" s="52"/>
      <c r="AK399" s="58"/>
      <c r="AL399" s="57"/>
      <c r="AM399" s="52"/>
      <c r="AN399" s="52"/>
      <c r="AO399" s="58"/>
      <c r="AP399" s="57"/>
      <c r="AQ399" s="52"/>
      <c r="AR399" s="52"/>
      <c r="AS399" s="58"/>
      <c r="AT399" s="57"/>
      <c r="AU399" s="52"/>
      <c r="AV399" s="52"/>
      <c r="AW399" s="58"/>
      <c r="AX399" s="33">
        <f t="shared" si="223"/>
        <v>0</v>
      </c>
      <c r="AY399" s="31">
        <f t="shared" si="224"/>
        <v>0</v>
      </c>
      <c r="AZ399" s="30">
        <f t="shared" si="225"/>
        <v>0</v>
      </c>
      <c r="BA399" s="34"/>
      <c r="BB399" s="34"/>
      <c r="BC399" s="34"/>
      <c r="BD399" s="76"/>
      <c r="BE399" s="34"/>
      <c r="BF399" s="34"/>
      <c r="BG399" s="34"/>
      <c r="BH399" s="34"/>
    </row>
    <row r="400" spans="1:60" s="17" customFormat="1" ht="19.5" customHeight="1" x14ac:dyDescent="0.35">
      <c r="A400" s="41">
        <f>A397</f>
        <v>45439</v>
      </c>
      <c r="B400" s="37" t="str">
        <f t="shared" ref="B400" si="228">B399</f>
        <v>BANT GİRİŞ</v>
      </c>
      <c r="C400" s="65" t="str">
        <f t="shared" si="221"/>
        <v>XXL</v>
      </c>
      <c r="D400" s="67">
        <f t="shared" si="222"/>
        <v>120</v>
      </c>
      <c r="E400" s="57"/>
      <c r="F400" s="52"/>
      <c r="G400" s="52"/>
      <c r="H400" s="58"/>
      <c r="I400" s="57"/>
      <c r="J400" s="52"/>
      <c r="K400" s="52"/>
      <c r="L400" s="58"/>
      <c r="M400" s="57"/>
      <c r="N400" s="52"/>
      <c r="O400" s="52"/>
      <c r="P400" s="58"/>
      <c r="Q400" s="57"/>
      <c r="R400" s="52"/>
      <c r="S400" s="52"/>
      <c r="T400" s="52"/>
      <c r="U400" s="58"/>
      <c r="V400" s="57"/>
      <c r="W400" s="52"/>
      <c r="X400" s="52"/>
      <c r="Y400" s="58"/>
      <c r="Z400" s="57"/>
      <c r="AA400" s="52"/>
      <c r="AB400" s="52"/>
      <c r="AC400" s="58"/>
      <c r="AD400" s="57"/>
      <c r="AE400" s="52"/>
      <c r="AF400" s="52"/>
      <c r="AG400" s="58"/>
      <c r="AH400" s="57"/>
      <c r="AI400" s="52"/>
      <c r="AJ400" s="52"/>
      <c r="AK400" s="58"/>
      <c r="AL400" s="57"/>
      <c r="AM400" s="52"/>
      <c r="AN400" s="52"/>
      <c r="AO400" s="58"/>
      <c r="AP400" s="57"/>
      <c r="AQ400" s="52"/>
      <c r="AR400" s="52"/>
      <c r="AS400" s="58"/>
      <c r="AT400" s="57"/>
      <c r="AU400" s="52"/>
      <c r="AV400" s="52"/>
      <c r="AW400" s="58"/>
      <c r="AX400" s="33">
        <f t="shared" si="223"/>
        <v>0</v>
      </c>
      <c r="AY400" s="31">
        <f t="shared" si="224"/>
        <v>0</v>
      </c>
      <c r="AZ400" s="30">
        <f t="shared" si="225"/>
        <v>0</v>
      </c>
      <c r="BA400" s="34"/>
      <c r="BB400" s="34"/>
      <c r="BC400" s="34"/>
      <c r="BD400" s="76"/>
      <c r="BE400" s="34"/>
      <c r="BF400" s="34"/>
      <c r="BG400" s="34"/>
      <c r="BH400" s="34"/>
    </row>
    <row r="401" spans="1:60" s="17" customFormat="1" ht="19.5" customHeight="1" x14ac:dyDescent="0.35">
      <c r="A401" s="41">
        <f t="shared" ref="A401:B401" si="229">A400</f>
        <v>45439</v>
      </c>
      <c r="B401" s="37" t="str">
        <f t="shared" si="229"/>
        <v>BANT GİRİŞ</v>
      </c>
      <c r="C401" s="65">
        <f t="shared" si="221"/>
        <v>0</v>
      </c>
      <c r="D401" s="67">
        <f t="shared" si="222"/>
        <v>120</v>
      </c>
      <c r="E401" s="57"/>
      <c r="F401" s="52"/>
      <c r="G401" s="52"/>
      <c r="H401" s="58"/>
      <c r="I401" s="57"/>
      <c r="J401" s="52"/>
      <c r="K401" s="52"/>
      <c r="L401" s="58"/>
      <c r="M401" s="57"/>
      <c r="N401" s="52"/>
      <c r="O401" s="52"/>
      <c r="P401" s="58"/>
      <c r="Q401" s="57"/>
      <c r="R401" s="52"/>
      <c r="S401" s="52"/>
      <c r="T401" s="52"/>
      <c r="U401" s="58"/>
      <c r="V401" s="57"/>
      <c r="W401" s="52"/>
      <c r="X401" s="52"/>
      <c r="Y401" s="58"/>
      <c r="Z401" s="57"/>
      <c r="AA401" s="52"/>
      <c r="AB401" s="52"/>
      <c r="AC401" s="58"/>
      <c r="AD401" s="57"/>
      <c r="AE401" s="52"/>
      <c r="AF401" s="52"/>
      <c r="AG401" s="58"/>
      <c r="AH401" s="57"/>
      <c r="AI401" s="52"/>
      <c r="AJ401" s="52"/>
      <c r="AK401" s="58"/>
      <c r="AL401" s="57"/>
      <c r="AM401" s="52"/>
      <c r="AN401" s="52"/>
      <c r="AO401" s="58"/>
      <c r="AP401" s="57"/>
      <c r="AQ401" s="52"/>
      <c r="AR401" s="52"/>
      <c r="AS401" s="58"/>
      <c r="AT401" s="57"/>
      <c r="AU401" s="52"/>
      <c r="AV401" s="52"/>
      <c r="AW401" s="58"/>
      <c r="AX401" s="33">
        <f t="shared" si="223"/>
        <v>0</v>
      </c>
      <c r="AY401" s="31">
        <f t="shared" si="224"/>
        <v>0</v>
      </c>
      <c r="AZ401" s="30">
        <f t="shared" si="225"/>
        <v>0</v>
      </c>
      <c r="BA401" s="34"/>
      <c r="BB401" s="34"/>
      <c r="BC401" s="34"/>
      <c r="BD401" s="76"/>
      <c r="BE401" s="34"/>
      <c r="BF401" s="34"/>
      <c r="BG401" s="34"/>
      <c r="BH401" s="34"/>
    </row>
    <row r="402" spans="1:60" s="17" customFormat="1" ht="19.5" customHeight="1" thickBot="1" x14ac:dyDescent="0.4">
      <c r="A402" s="41">
        <f t="shared" ref="A402:B402" si="230">A401</f>
        <v>45439</v>
      </c>
      <c r="B402" s="37" t="str">
        <f t="shared" si="230"/>
        <v>BANT GİRİŞ</v>
      </c>
      <c r="C402" s="65">
        <f t="shared" si="221"/>
        <v>0</v>
      </c>
      <c r="D402" s="67">
        <f t="shared" si="222"/>
        <v>120</v>
      </c>
      <c r="E402" s="59"/>
      <c r="F402" s="60"/>
      <c r="G402" s="61"/>
      <c r="H402" s="62"/>
      <c r="I402" s="59"/>
      <c r="J402" s="60"/>
      <c r="K402" s="61"/>
      <c r="L402" s="62"/>
      <c r="M402" s="59"/>
      <c r="N402" s="60"/>
      <c r="O402" s="61"/>
      <c r="P402" s="62"/>
      <c r="Q402" s="64"/>
      <c r="R402" s="61"/>
      <c r="S402" s="61"/>
      <c r="T402" s="61"/>
      <c r="U402" s="62"/>
      <c r="V402" s="59"/>
      <c r="W402" s="60"/>
      <c r="X402" s="61"/>
      <c r="Y402" s="62"/>
      <c r="Z402" s="59"/>
      <c r="AA402" s="60"/>
      <c r="AB402" s="61"/>
      <c r="AC402" s="62"/>
      <c r="AD402" s="59"/>
      <c r="AE402" s="60"/>
      <c r="AF402" s="61"/>
      <c r="AG402" s="62"/>
      <c r="AH402" s="59"/>
      <c r="AI402" s="60"/>
      <c r="AJ402" s="61"/>
      <c r="AK402" s="62"/>
      <c r="AL402" s="59"/>
      <c r="AM402" s="60"/>
      <c r="AN402" s="61"/>
      <c r="AO402" s="62"/>
      <c r="AP402" s="59"/>
      <c r="AQ402" s="60"/>
      <c r="AR402" s="61"/>
      <c r="AS402" s="62"/>
      <c r="AT402" s="59"/>
      <c r="AU402" s="60"/>
      <c r="AV402" s="61"/>
      <c r="AW402" s="62"/>
      <c r="AX402" s="33">
        <f t="shared" si="223"/>
        <v>0</v>
      </c>
      <c r="AY402" s="31">
        <f t="shared" si="224"/>
        <v>0</v>
      </c>
      <c r="AZ402" s="30">
        <f t="shared" si="225"/>
        <v>0</v>
      </c>
      <c r="BA402" s="34"/>
      <c r="BB402" s="34"/>
      <c r="BC402" s="34"/>
      <c r="BD402" s="76"/>
      <c r="BE402" s="34"/>
      <c r="BF402" s="34"/>
      <c r="BG402" s="34"/>
      <c r="BH402" s="34"/>
    </row>
    <row r="403" spans="1:60" s="17" customFormat="1" ht="19.5" customHeight="1" thickBot="1" x14ac:dyDescent="0.45">
      <c r="A403" s="41">
        <f t="shared" ref="A403" si="231">A402</f>
        <v>45439</v>
      </c>
      <c r="B403" s="139" t="str">
        <f>B396</f>
        <v>BANT GİRİŞ</v>
      </c>
      <c r="C403" s="140"/>
      <c r="D403" s="40">
        <f>C358/8</f>
        <v>500</v>
      </c>
      <c r="E403" s="147">
        <f>SUM(E396:H402)</f>
        <v>0</v>
      </c>
      <c r="F403" s="148"/>
      <c r="G403" s="148"/>
      <c r="H403" s="149"/>
      <c r="I403" s="147">
        <f>SUM(I396:L402)</f>
        <v>0</v>
      </c>
      <c r="J403" s="148"/>
      <c r="K403" s="148"/>
      <c r="L403" s="149"/>
      <c r="M403" s="147">
        <f>SUM(M396:P402)</f>
        <v>0</v>
      </c>
      <c r="N403" s="148"/>
      <c r="O403" s="148"/>
      <c r="P403" s="149"/>
      <c r="Q403" s="147">
        <f>SUM(Q396:U402)</f>
        <v>0</v>
      </c>
      <c r="R403" s="148"/>
      <c r="S403" s="148"/>
      <c r="T403" s="148"/>
      <c r="U403" s="149"/>
      <c r="V403" s="147">
        <f>SUM(V396:Y402)</f>
        <v>0</v>
      </c>
      <c r="W403" s="148"/>
      <c r="X403" s="148"/>
      <c r="Y403" s="149"/>
      <c r="Z403" s="147">
        <f>SUM(Z396:AC402)</f>
        <v>0</v>
      </c>
      <c r="AA403" s="148"/>
      <c r="AB403" s="148"/>
      <c r="AC403" s="149"/>
      <c r="AD403" s="147">
        <f>SUM(AD396:AG402)</f>
        <v>0</v>
      </c>
      <c r="AE403" s="148"/>
      <c r="AF403" s="148"/>
      <c r="AG403" s="149"/>
      <c r="AH403" s="147">
        <f>SUM(AH396:AK402)</f>
        <v>0</v>
      </c>
      <c r="AI403" s="148"/>
      <c r="AJ403" s="148"/>
      <c r="AK403" s="149"/>
      <c r="AL403" s="147">
        <f>SUM(AL396:AO402)</f>
        <v>0</v>
      </c>
      <c r="AM403" s="148"/>
      <c r="AN403" s="148"/>
      <c r="AO403" s="149"/>
      <c r="AP403" s="147">
        <f>SUM(AP396:AS402)</f>
        <v>0</v>
      </c>
      <c r="AQ403" s="148"/>
      <c r="AR403" s="148"/>
      <c r="AS403" s="149"/>
      <c r="AT403" s="147">
        <f>SUM(AT396:AW402)</f>
        <v>0</v>
      </c>
      <c r="AU403" s="148"/>
      <c r="AV403" s="148"/>
      <c r="AW403" s="149"/>
      <c r="AX403" s="87">
        <f>SUM(AX396:AX402)</f>
        <v>0</v>
      </c>
      <c r="AY403" s="88">
        <f>IFERROR(AVERAGEIF(E403:AV403,"&lt;&gt;0",(E403:AV403)),)</f>
        <v>0</v>
      </c>
      <c r="AZ403" s="46">
        <f>IFERROR(AX403/BB397,0)</f>
        <v>0</v>
      </c>
      <c r="BA403" s="34"/>
      <c r="BB403" s="34"/>
      <c r="BC403" s="34"/>
      <c r="BD403" s="76"/>
      <c r="BE403" s="34"/>
      <c r="BF403" s="34"/>
      <c r="BG403" s="34"/>
      <c r="BH403" s="34"/>
    </row>
    <row r="404" spans="1:60" s="17" customFormat="1" ht="19.5" customHeight="1" thickBot="1" x14ac:dyDescent="0.4">
      <c r="A404" s="42">
        <f>A395</f>
        <v>45439</v>
      </c>
      <c r="B404" s="38" t="str">
        <f>B405</f>
        <v>Omuz Çatma</v>
      </c>
      <c r="C404" s="39" t="s">
        <v>180</v>
      </c>
      <c r="D404" s="69" t="s">
        <v>181</v>
      </c>
      <c r="E404" s="48">
        <v>0.34375</v>
      </c>
      <c r="F404" s="49">
        <v>0.35416666666666669</v>
      </c>
      <c r="G404" s="49">
        <v>0.36458333333333331</v>
      </c>
      <c r="H404" s="50">
        <v>0.375</v>
      </c>
      <c r="I404" s="48">
        <v>0.38541666666666702</v>
      </c>
      <c r="J404" s="49">
        <v>0.39583333333333298</v>
      </c>
      <c r="K404" s="49">
        <v>0.40625</v>
      </c>
      <c r="L404" s="50">
        <v>0.41666666666666702</v>
      </c>
      <c r="M404" s="48">
        <v>0.4375</v>
      </c>
      <c r="N404" s="49">
        <v>0.44791666666666702</v>
      </c>
      <c r="O404" s="49">
        <v>0.45833333333333398</v>
      </c>
      <c r="P404" s="50">
        <v>0.46875</v>
      </c>
      <c r="Q404" s="48">
        <v>0.47916666666666702</v>
      </c>
      <c r="R404" s="49">
        <v>0.48958333333333398</v>
      </c>
      <c r="S404" s="49">
        <v>0.5</v>
      </c>
      <c r="T404" s="50">
        <v>0.51041666666666696</v>
      </c>
      <c r="U404" s="51">
        <v>0.52083333333333204</v>
      </c>
      <c r="V404" s="48">
        <v>0.5625</v>
      </c>
      <c r="W404" s="49">
        <v>0.57291666666666663</v>
      </c>
      <c r="X404" s="49">
        <v>0.58333333333333304</v>
      </c>
      <c r="Y404" s="50">
        <v>0.59375</v>
      </c>
      <c r="Z404" s="48">
        <v>0.60416666666666696</v>
      </c>
      <c r="AA404" s="49">
        <v>0.61458333333333304</v>
      </c>
      <c r="AB404" s="49">
        <v>0.625</v>
      </c>
      <c r="AC404" s="50">
        <v>0.63541666666666596</v>
      </c>
      <c r="AD404" s="48">
        <v>0.65625</v>
      </c>
      <c r="AE404" s="49">
        <v>0.66666666666666663</v>
      </c>
      <c r="AF404" s="49">
        <v>0.67708333333333304</v>
      </c>
      <c r="AG404" s="50">
        <v>0.6875</v>
      </c>
      <c r="AH404" s="48">
        <v>0.69791666666666696</v>
      </c>
      <c r="AI404" s="49">
        <v>0.70833333333333304</v>
      </c>
      <c r="AJ404" s="49">
        <v>0.71875</v>
      </c>
      <c r="AK404" s="50">
        <v>0.72916666666666696</v>
      </c>
      <c r="AL404" s="48">
        <v>0.73958333333333404</v>
      </c>
      <c r="AM404" s="49">
        <v>0.750000000000001</v>
      </c>
      <c r="AN404" s="49">
        <v>0.76041666666666796</v>
      </c>
      <c r="AO404" s="50">
        <v>0.77083333333333504</v>
      </c>
      <c r="AP404" s="48">
        <v>0.781250000000002</v>
      </c>
      <c r="AQ404" s="49">
        <v>0.79166666666666896</v>
      </c>
      <c r="AR404" s="49">
        <v>0.80208333333333603</v>
      </c>
      <c r="AS404" s="50">
        <v>0.812500000000003</v>
      </c>
      <c r="AT404" s="48">
        <v>0.82291666666666996</v>
      </c>
      <c r="AU404" s="49">
        <v>0.83333333333333703</v>
      </c>
      <c r="AV404" s="49">
        <v>0.843750000000004</v>
      </c>
      <c r="AW404" s="50">
        <v>0.85416666666666663</v>
      </c>
      <c r="AX404" s="68" t="s">
        <v>260</v>
      </c>
      <c r="AY404" s="28" t="s">
        <v>261</v>
      </c>
      <c r="AZ404" s="29" t="s">
        <v>262</v>
      </c>
      <c r="BA404" s="136" t="str">
        <f>B405</f>
        <v>Omuz Çatma</v>
      </c>
      <c r="BB404" s="137"/>
      <c r="BC404" s="137"/>
      <c r="BD404" s="137"/>
      <c r="BE404" s="137"/>
      <c r="BF404" s="137"/>
      <c r="BG404" s="137"/>
      <c r="BH404" s="138"/>
    </row>
    <row r="405" spans="1:60" s="17" customFormat="1" ht="19.5" customHeight="1" thickBot="1" x14ac:dyDescent="0.4">
      <c r="A405" s="41">
        <f t="shared" ref="A405" si="232">A404</f>
        <v>45439</v>
      </c>
      <c r="B405" s="37" t="str">
        <f>B229</f>
        <v>Omuz Çatma</v>
      </c>
      <c r="C405" s="65" t="s">
        <v>54</v>
      </c>
      <c r="D405" s="70">
        <f>D229</f>
        <v>60</v>
      </c>
      <c r="E405" s="63"/>
      <c r="F405" s="55"/>
      <c r="G405" s="55"/>
      <c r="H405" s="56"/>
      <c r="I405" s="63"/>
      <c r="J405" s="55"/>
      <c r="K405" s="55"/>
      <c r="L405" s="56"/>
      <c r="M405" s="63"/>
      <c r="N405" s="55"/>
      <c r="O405" s="55">
        <v>35</v>
      </c>
      <c r="P405" s="56">
        <v>35</v>
      </c>
      <c r="Q405" s="63">
        <v>40</v>
      </c>
      <c r="R405" s="55">
        <v>38</v>
      </c>
      <c r="S405" s="55">
        <v>35</v>
      </c>
      <c r="T405" s="3">
        <v>0</v>
      </c>
      <c r="U405" s="56">
        <v>30</v>
      </c>
      <c r="V405" s="63">
        <v>35</v>
      </c>
      <c r="W405" s="55">
        <v>40</v>
      </c>
      <c r="X405" s="55">
        <v>40</v>
      </c>
      <c r="Y405" s="56">
        <v>30</v>
      </c>
      <c r="Z405" s="63">
        <v>30</v>
      </c>
      <c r="AA405" s="55">
        <v>23</v>
      </c>
      <c r="AB405" s="3">
        <v>0</v>
      </c>
      <c r="AC405" s="56">
        <v>43</v>
      </c>
      <c r="AD405" s="63"/>
      <c r="AE405" s="55"/>
      <c r="AF405" s="55"/>
      <c r="AG405" s="56"/>
      <c r="AH405" s="63"/>
      <c r="AI405" s="55"/>
      <c r="AJ405" s="55"/>
      <c r="AK405" s="56"/>
      <c r="AL405" s="63"/>
      <c r="AM405" s="55"/>
      <c r="AN405" s="55"/>
      <c r="AO405" s="56"/>
      <c r="AP405" s="63"/>
      <c r="AQ405" s="54"/>
      <c r="AR405" s="55"/>
      <c r="AS405" s="56"/>
      <c r="AT405" s="53"/>
      <c r="AU405" s="54"/>
      <c r="AV405" s="55"/>
      <c r="AW405" s="56"/>
      <c r="AX405" s="33">
        <f>SUM(E405:AW405)</f>
        <v>454</v>
      </c>
      <c r="AY405" s="31">
        <f>IFERROR(AVERAGEIF(E405:AW405,"&lt;&gt;0",(E405:AW405)),)</f>
        <v>34.92307692307692</v>
      </c>
      <c r="AZ405" s="30">
        <f>IFERROR(AY405/D405,0)</f>
        <v>0.58205128205128198</v>
      </c>
      <c r="BA405" s="103" t="s">
        <v>182</v>
      </c>
      <c r="BB405" s="100" t="s">
        <v>183</v>
      </c>
      <c r="BC405" s="100" t="s">
        <v>184</v>
      </c>
      <c r="BD405" s="101" t="s">
        <v>185</v>
      </c>
      <c r="BE405" s="100" t="s">
        <v>186</v>
      </c>
      <c r="BF405" s="102" t="s">
        <v>187</v>
      </c>
      <c r="BG405" s="100" t="s">
        <v>188</v>
      </c>
      <c r="BH405" s="102" t="s">
        <v>189</v>
      </c>
    </row>
    <row r="406" spans="1:60" s="17" customFormat="1" ht="19.5" customHeight="1" thickBot="1" x14ac:dyDescent="0.4">
      <c r="A406" s="41">
        <f t="shared" ref="A406:B406" si="233">A405</f>
        <v>45439</v>
      </c>
      <c r="B406" s="37" t="str">
        <f t="shared" si="233"/>
        <v>Omuz Çatma</v>
      </c>
      <c r="C406" s="65" t="s">
        <v>85</v>
      </c>
      <c r="D406" s="67">
        <f t="shared" ref="D406:D411" si="234">D405</f>
        <v>60</v>
      </c>
      <c r="E406" s="57"/>
      <c r="F406" s="52"/>
      <c r="G406" s="52"/>
      <c r="H406" s="58"/>
      <c r="I406" s="57"/>
      <c r="J406" s="52"/>
      <c r="K406" s="52"/>
      <c r="L406" s="58"/>
      <c r="M406" s="57"/>
      <c r="N406" s="52"/>
      <c r="O406" s="52"/>
      <c r="P406" s="58"/>
      <c r="Q406" s="57"/>
      <c r="R406" s="52"/>
      <c r="S406" s="52"/>
      <c r="T406" s="52"/>
      <c r="U406" s="58"/>
      <c r="V406" s="57"/>
      <c r="W406" s="52"/>
      <c r="X406" s="52"/>
      <c r="Y406" s="58"/>
      <c r="Z406" s="57"/>
      <c r="AA406" s="52"/>
      <c r="AB406" s="52"/>
      <c r="AC406" s="58"/>
      <c r="AD406" s="57"/>
      <c r="AE406" s="52">
        <v>20</v>
      </c>
      <c r="AF406" s="52">
        <v>45</v>
      </c>
      <c r="AG406" s="58">
        <v>20</v>
      </c>
      <c r="AH406" s="57">
        <v>40</v>
      </c>
      <c r="AI406" s="52">
        <v>45</v>
      </c>
      <c r="AJ406" s="52">
        <v>50</v>
      </c>
      <c r="AK406" s="58">
        <v>40</v>
      </c>
      <c r="AL406" s="57">
        <v>50</v>
      </c>
      <c r="AM406" s="52">
        <v>55</v>
      </c>
      <c r="AN406" s="52">
        <v>50</v>
      </c>
      <c r="AO406" s="58"/>
      <c r="AP406" s="57"/>
      <c r="AQ406" s="52"/>
      <c r="AR406" s="52"/>
      <c r="AS406" s="58"/>
      <c r="AT406" s="57"/>
      <c r="AU406" s="52"/>
      <c r="AV406" s="52"/>
      <c r="AW406" s="58"/>
      <c r="AX406" s="33">
        <f t="shared" ref="AX406:AX411" si="235">SUM(E406:AW406)</f>
        <v>415</v>
      </c>
      <c r="AY406" s="31">
        <f t="shared" ref="AY406:AY411" si="236">IFERROR(AVERAGEIF(E406:AW406,"&lt;&gt;0",(E406:AW406)),)</f>
        <v>41.5</v>
      </c>
      <c r="AZ406" s="30">
        <f t="shared" ref="AZ406:AZ411" si="237">IFERROR(AY406/D406,0)</f>
        <v>0.69166666666666665</v>
      </c>
      <c r="BA406" s="94">
        <f>AX412+BA230</f>
        <v>1482</v>
      </c>
      <c r="BB406" s="95">
        <f>(D412*8)</f>
        <v>4000</v>
      </c>
      <c r="BC406" s="96">
        <f>C357-BA406</f>
        <v>40829</v>
      </c>
      <c r="BD406" s="96">
        <f>BH397-BA406</f>
        <v>-1482</v>
      </c>
      <c r="BE406" s="97">
        <f>IFERROR(BC406/E412,0)</f>
        <v>0</v>
      </c>
      <c r="BF406" s="98">
        <f>IFERROR(BE406/9,0)</f>
        <v>0</v>
      </c>
      <c r="BG406" s="97">
        <f>IFERROR(BC406/AY412,0)</f>
        <v>192.84952766531714</v>
      </c>
      <c r="BH406" s="97">
        <f>IFERROR(BG406/9,0)</f>
        <v>21.427725296146349</v>
      </c>
    </row>
    <row r="407" spans="1:60" s="17" customFormat="1" ht="19.5" customHeight="1" x14ac:dyDescent="0.35">
      <c r="A407" s="41">
        <f t="shared" ref="A407:B407" si="238">A406</f>
        <v>45439</v>
      </c>
      <c r="B407" s="37" t="str">
        <f t="shared" si="238"/>
        <v>Omuz Çatma</v>
      </c>
      <c r="C407" s="65" t="s">
        <v>38</v>
      </c>
      <c r="D407" s="67">
        <f t="shared" si="234"/>
        <v>60</v>
      </c>
      <c r="E407" s="57"/>
      <c r="F407" s="52"/>
      <c r="G407" s="52"/>
      <c r="H407" s="58"/>
      <c r="I407" s="57"/>
      <c r="J407" s="52"/>
      <c r="K407" s="52"/>
      <c r="L407" s="58"/>
      <c r="M407" s="57"/>
      <c r="N407" s="52"/>
      <c r="O407" s="52"/>
      <c r="P407" s="58"/>
      <c r="Q407" s="57"/>
      <c r="R407" s="52"/>
      <c r="S407" s="52"/>
      <c r="T407" s="52"/>
      <c r="U407" s="58"/>
      <c r="V407" s="57"/>
      <c r="W407" s="52"/>
      <c r="X407" s="52"/>
      <c r="Y407" s="58"/>
      <c r="Z407" s="57"/>
      <c r="AA407" s="52"/>
      <c r="AB407" s="52"/>
      <c r="AC407" s="58"/>
      <c r="AD407" s="57"/>
      <c r="AE407" s="52">
        <v>24</v>
      </c>
      <c r="AF407" s="52">
        <v>40</v>
      </c>
      <c r="AG407" s="58">
        <v>35</v>
      </c>
      <c r="AH407" s="57">
        <v>32</v>
      </c>
      <c r="AI407" s="52">
        <v>20</v>
      </c>
      <c r="AJ407" s="52">
        <v>45</v>
      </c>
      <c r="AK407" s="58">
        <v>35</v>
      </c>
      <c r="AL407" s="57">
        <v>35</v>
      </c>
      <c r="AM407" s="52">
        <v>45</v>
      </c>
      <c r="AN407" s="52">
        <v>30</v>
      </c>
      <c r="AO407" s="58"/>
      <c r="AP407" s="57"/>
      <c r="AQ407" s="52"/>
      <c r="AR407" s="52"/>
      <c r="AS407" s="58"/>
      <c r="AT407" s="57"/>
      <c r="AU407" s="52"/>
      <c r="AV407" s="52"/>
      <c r="AW407" s="58"/>
      <c r="AX407" s="33">
        <f t="shared" si="235"/>
        <v>341</v>
      </c>
      <c r="AY407" s="31">
        <f t="shared" si="236"/>
        <v>34.1</v>
      </c>
      <c r="AZ407" s="30">
        <f t="shared" si="237"/>
        <v>0.56833333333333336</v>
      </c>
      <c r="BA407" s="34"/>
      <c r="BB407" s="34"/>
      <c r="BC407" s="34"/>
      <c r="BD407" s="76"/>
      <c r="BE407" s="34"/>
      <c r="BF407" s="34"/>
      <c r="BG407" s="34"/>
      <c r="BH407" s="34"/>
    </row>
    <row r="408" spans="1:60" s="17" customFormat="1" ht="19.5" customHeight="1" x14ac:dyDescent="0.35">
      <c r="A408" s="41">
        <f t="shared" ref="A408:B408" si="239">A407</f>
        <v>45439</v>
      </c>
      <c r="B408" s="37" t="str">
        <f t="shared" si="239"/>
        <v>Omuz Çatma</v>
      </c>
      <c r="C408" s="65" t="s">
        <v>272</v>
      </c>
      <c r="D408" s="67">
        <f t="shared" si="234"/>
        <v>60</v>
      </c>
      <c r="E408" s="57"/>
      <c r="F408" s="52"/>
      <c r="G408" s="52"/>
      <c r="H408" s="58"/>
      <c r="I408" s="57"/>
      <c r="J408" s="52"/>
      <c r="K408" s="52"/>
      <c r="L408" s="58"/>
      <c r="M408" s="57"/>
      <c r="N408" s="52"/>
      <c r="O408" s="52"/>
      <c r="P408" s="58"/>
      <c r="Q408" s="57"/>
      <c r="R408" s="52"/>
      <c r="S408" s="52"/>
      <c r="T408" s="52"/>
      <c r="U408" s="58"/>
      <c r="V408" s="57"/>
      <c r="W408" s="52"/>
      <c r="X408" s="52"/>
      <c r="Y408" s="58"/>
      <c r="Z408" s="57"/>
      <c r="AA408" s="52"/>
      <c r="AB408" s="52"/>
      <c r="AC408" s="58"/>
      <c r="AD408" s="57">
        <v>26</v>
      </c>
      <c r="AE408" s="52">
        <v>25</v>
      </c>
      <c r="AF408" s="52">
        <v>25</v>
      </c>
      <c r="AG408" s="58">
        <v>25</v>
      </c>
      <c r="AH408" s="57">
        <v>22</v>
      </c>
      <c r="AI408" s="52">
        <v>25</v>
      </c>
      <c r="AJ408" s="52">
        <v>25</v>
      </c>
      <c r="AK408" s="58">
        <v>25</v>
      </c>
      <c r="AL408" s="57">
        <v>22</v>
      </c>
      <c r="AM408" s="52">
        <v>25</v>
      </c>
      <c r="AN408" s="52">
        <v>27</v>
      </c>
      <c r="AO408" s="58"/>
      <c r="AP408" s="57"/>
      <c r="AQ408" s="52"/>
      <c r="AR408" s="52"/>
      <c r="AS408" s="58"/>
      <c r="AT408" s="57"/>
      <c r="AU408" s="52"/>
      <c r="AV408" s="52"/>
      <c r="AW408" s="58"/>
      <c r="AX408" s="33">
        <f t="shared" si="235"/>
        <v>272</v>
      </c>
      <c r="AY408" s="31">
        <f t="shared" si="236"/>
        <v>24.727272727272727</v>
      </c>
      <c r="AZ408" s="30">
        <f t="shared" si="237"/>
        <v>0.41212121212121211</v>
      </c>
      <c r="BA408" s="34"/>
      <c r="BB408" s="34"/>
      <c r="BC408" s="34"/>
      <c r="BD408" s="76"/>
      <c r="BE408" s="34"/>
      <c r="BF408" s="34"/>
      <c r="BG408" s="34"/>
      <c r="BH408" s="34"/>
    </row>
    <row r="409" spans="1:60" s="17" customFormat="1" ht="19.5" customHeight="1" x14ac:dyDescent="0.35">
      <c r="A409" s="41">
        <f>A406</f>
        <v>45439</v>
      </c>
      <c r="B409" s="37" t="str">
        <f t="shared" ref="B409" si="240">B408</f>
        <v>Omuz Çatma</v>
      </c>
      <c r="C409" s="65">
        <f t="shared" ref="C409:C411" si="241">C233</f>
        <v>0</v>
      </c>
      <c r="D409" s="67">
        <f t="shared" si="234"/>
        <v>60</v>
      </c>
      <c r="E409" s="57"/>
      <c r="F409" s="52"/>
      <c r="G409" s="52"/>
      <c r="H409" s="58"/>
      <c r="I409" s="57"/>
      <c r="J409" s="52"/>
      <c r="K409" s="52"/>
      <c r="L409" s="58"/>
      <c r="M409" s="57"/>
      <c r="N409" s="52"/>
      <c r="O409" s="52"/>
      <c r="P409" s="58"/>
      <c r="Q409" s="57"/>
      <c r="R409" s="52"/>
      <c r="S409" s="52"/>
      <c r="T409" s="52"/>
      <c r="U409" s="58"/>
      <c r="V409" s="57"/>
      <c r="W409" s="52"/>
      <c r="X409" s="52"/>
      <c r="Y409" s="58"/>
      <c r="Z409" s="57"/>
      <c r="AA409" s="52"/>
      <c r="AB409" s="52"/>
      <c r="AC409" s="58"/>
      <c r="AD409" s="57"/>
      <c r="AE409" s="52"/>
      <c r="AF409" s="52"/>
      <c r="AG409" s="58"/>
      <c r="AH409" s="57"/>
      <c r="AI409" s="52"/>
      <c r="AJ409" s="52"/>
      <c r="AK409" s="58"/>
      <c r="AL409" s="57"/>
      <c r="AM409" s="52"/>
      <c r="AN409" s="52"/>
      <c r="AO409" s="58"/>
      <c r="AP409" s="57"/>
      <c r="AQ409" s="52"/>
      <c r="AR409" s="52"/>
      <c r="AS409" s="58"/>
      <c r="AT409" s="57"/>
      <c r="AU409" s="52"/>
      <c r="AV409" s="52"/>
      <c r="AW409" s="58"/>
      <c r="AX409" s="33">
        <f t="shared" si="235"/>
        <v>0</v>
      </c>
      <c r="AY409" s="31">
        <f t="shared" si="236"/>
        <v>0</v>
      </c>
      <c r="AZ409" s="30">
        <f t="shared" si="237"/>
        <v>0</v>
      </c>
      <c r="BA409" s="34"/>
      <c r="BB409" s="34"/>
      <c r="BC409" s="34"/>
      <c r="BD409" s="76"/>
      <c r="BE409" s="34"/>
      <c r="BF409" s="34"/>
      <c r="BG409" s="34"/>
      <c r="BH409" s="34"/>
    </row>
    <row r="410" spans="1:60" s="17" customFormat="1" ht="19.5" customHeight="1" x14ac:dyDescent="0.35">
      <c r="A410" s="41">
        <f>A409</f>
        <v>45439</v>
      </c>
      <c r="B410" s="37" t="str">
        <f t="shared" ref="B410" si="242">B409</f>
        <v>Omuz Çatma</v>
      </c>
      <c r="C410" s="65">
        <f t="shared" si="241"/>
        <v>0</v>
      </c>
      <c r="D410" s="67">
        <f t="shared" si="234"/>
        <v>60</v>
      </c>
      <c r="E410" s="57"/>
      <c r="F410" s="52"/>
      <c r="G410" s="52"/>
      <c r="H410" s="58"/>
      <c r="I410" s="57"/>
      <c r="J410" s="52"/>
      <c r="K410" s="52"/>
      <c r="L410" s="58"/>
      <c r="M410" s="57"/>
      <c r="N410" s="52"/>
      <c r="O410" s="52"/>
      <c r="P410" s="58"/>
      <c r="Q410" s="57"/>
      <c r="R410" s="52"/>
      <c r="S410" s="52"/>
      <c r="T410" s="52"/>
      <c r="U410" s="58"/>
      <c r="V410" s="57"/>
      <c r="W410" s="52"/>
      <c r="X410" s="52"/>
      <c r="Y410" s="58"/>
      <c r="Z410" s="57"/>
      <c r="AA410" s="52"/>
      <c r="AB410" s="52"/>
      <c r="AC410" s="58"/>
      <c r="AD410" s="57"/>
      <c r="AE410" s="52"/>
      <c r="AF410" s="52"/>
      <c r="AG410" s="58"/>
      <c r="AH410" s="57"/>
      <c r="AI410" s="52"/>
      <c r="AJ410" s="52"/>
      <c r="AK410" s="58"/>
      <c r="AL410" s="57"/>
      <c r="AM410" s="52"/>
      <c r="AN410" s="52"/>
      <c r="AO410" s="58"/>
      <c r="AP410" s="57"/>
      <c r="AQ410" s="52"/>
      <c r="AR410" s="52"/>
      <c r="AS410" s="58"/>
      <c r="AT410" s="57"/>
      <c r="AU410" s="52"/>
      <c r="AV410" s="52"/>
      <c r="AW410" s="58"/>
      <c r="AX410" s="33">
        <f t="shared" si="235"/>
        <v>0</v>
      </c>
      <c r="AY410" s="31">
        <f t="shared" si="236"/>
        <v>0</v>
      </c>
      <c r="AZ410" s="30">
        <f t="shared" si="237"/>
        <v>0</v>
      </c>
      <c r="BA410" s="34"/>
      <c r="BB410" s="34"/>
      <c r="BC410" s="34"/>
      <c r="BD410" s="76"/>
      <c r="BE410" s="34"/>
      <c r="BF410" s="34"/>
      <c r="BG410" s="34"/>
      <c r="BH410" s="34"/>
    </row>
    <row r="411" spans="1:60" s="17" customFormat="1" ht="19.5" customHeight="1" thickBot="1" x14ac:dyDescent="0.4">
      <c r="A411" s="41">
        <f>A410</f>
        <v>45439</v>
      </c>
      <c r="B411" s="37" t="str">
        <f t="shared" ref="B411" si="243">B410</f>
        <v>Omuz Çatma</v>
      </c>
      <c r="C411" s="65">
        <f t="shared" si="241"/>
        <v>0</v>
      </c>
      <c r="D411" s="67">
        <f t="shared" si="234"/>
        <v>60</v>
      </c>
      <c r="E411" s="59"/>
      <c r="F411" s="60"/>
      <c r="G411" s="61"/>
      <c r="H411" s="62"/>
      <c r="I411" s="59"/>
      <c r="J411" s="60"/>
      <c r="K411" s="61"/>
      <c r="L411" s="62"/>
      <c r="M411" s="59"/>
      <c r="N411" s="60"/>
      <c r="O411" s="61"/>
      <c r="P411" s="62"/>
      <c r="Q411" s="64"/>
      <c r="R411" s="61"/>
      <c r="S411" s="61"/>
      <c r="T411" s="61"/>
      <c r="U411" s="62"/>
      <c r="V411" s="59"/>
      <c r="W411" s="60"/>
      <c r="X411" s="61"/>
      <c r="Y411" s="62"/>
      <c r="Z411" s="59"/>
      <c r="AA411" s="60"/>
      <c r="AB411" s="61"/>
      <c r="AC411" s="62"/>
      <c r="AD411" s="59"/>
      <c r="AE411" s="60"/>
      <c r="AF411" s="61"/>
      <c r="AG411" s="62"/>
      <c r="AH411" s="59"/>
      <c r="AI411" s="60"/>
      <c r="AJ411" s="61"/>
      <c r="AK411" s="62"/>
      <c r="AL411" s="59"/>
      <c r="AM411" s="60"/>
      <c r="AN411" s="61"/>
      <c r="AO411" s="62"/>
      <c r="AP411" s="59"/>
      <c r="AQ411" s="60"/>
      <c r="AR411" s="61"/>
      <c r="AS411" s="62"/>
      <c r="AT411" s="59"/>
      <c r="AU411" s="60"/>
      <c r="AV411" s="61"/>
      <c r="AW411" s="62"/>
      <c r="AX411" s="33">
        <f t="shared" si="235"/>
        <v>0</v>
      </c>
      <c r="AY411" s="31">
        <f t="shared" si="236"/>
        <v>0</v>
      </c>
      <c r="AZ411" s="30">
        <f t="shared" si="237"/>
        <v>0</v>
      </c>
      <c r="BA411" s="34"/>
      <c r="BB411" s="34"/>
      <c r="BC411" s="34"/>
      <c r="BD411" s="76"/>
      <c r="BE411" s="34"/>
      <c r="BF411" s="34"/>
      <c r="BG411" s="34"/>
      <c r="BH411" s="34"/>
    </row>
    <row r="412" spans="1:60" s="17" customFormat="1" ht="19.5" customHeight="1" thickBot="1" x14ac:dyDescent="0.45">
      <c r="A412" s="41">
        <f>A411</f>
        <v>45439</v>
      </c>
      <c r="B412" s="139" t="str">
        <f>B405</f>
        <v>Omuz Çatma</v>
      </c>
      <c r="C412" s="140"/>
      <c r="D412" s="40">
        <f>C358/8</f>
        <v>500</v>
      </c>
      <c r="E412" s="147">
        <f>SUM(E405:H411)</f>
        <v>0</v>
      </c>
      <c r="F412" s="148"/>
      <c r="G412" s="148"/>
      <c r="H412" s="149"/>
      <c r="I412" s="147">
        <f>SUM(I405:L411)</f>
        <v>0</v>
      </c>
      <c r="J412" s="148"/>
      <c r="K412" s="148"/>
      <c r="L412" s="149"/>
      <c r="M412" s="147">
        <f>SUM(M405:P411)</f>
        <v>70</v>
      </c>
      <c r="N412" s="148"/>
      <c r="O412" s="148"/>
      <c r="P412" s="149"/>
      <c r="Q412" s="147">
        <f>SUM(Q405:U411)</f>
        <v>143</v>
      </c>
      <c r="R412" s="148"/>
      <c r="S412" s="148"/>
      <c r="T412" s="148"/>
      <c r="U412" s="149"/>
      <c r="V412" s="147">
        <f>SUM(V405:Y411)</f>
        <v>145</v>
      </c>
      <c r="W412" s="148"/>
      <c r="X412" s="148"/>
      <c r="Y412" s="149"/>
      <c r="Z412" s="147">
        <f>SUM(Z405:AC411)</f>
        <v>96</v>
      </c>
      <c r="AA412" s="148"/>
      <c r="AB412" s="148"/>
      <c r="AC412" s="149"/>
      <c r="AD412" s="147">
        <f>SUM(AD405:AG411)</f>
        <v>285</v>
      </c>
      <c r="AE412" s="148"/>
      <c r="AF412" s="148"/>
      <c r="AG412" s="149"/>
      <c r="AH412" s="147">
        <f>SUM(AH405:AK411)</f>
        <v>404</v>
      </c>
      <c r="AI412" s="148"/>
      <c r="AJ412" s="148"/>
      <c r="AK412" s="149"/>
      <c r="AL412" s="147">
        <f>SUM(AL405:AO411)</f>
        <v>339</v>
      </c>
      <c r="AM412" s="148"/>
      <c r="AN412" s="148"/>
      <c r="AO412" s="149"/>
      <c r="AP412" s="147">
        <f>SUM(AP405:AS411)</f>
        <v>0</v>
      </c>
      <c r="AQ412" s="148"/>
      <c r="AR412" s="148"/>
      <c r="AS412" s="149"/>
      <c r="AT412" s="147">
        <f>SUM(AT405:AW411)</f>
        <v>0</v>
      </c>
      <c r="AU412" s="148"/>
      <c r="AV412" s="148"/>
      <c r="AW412" s="149"/>
      <c r="AX412" s="87">
        <f>SUM(AX405:AX411)</f>
        <v>1482</v>
      </c>
      <c r="AY412" s="88">
        <f>IFERROR(AVERAGEIF(E412:AV412,"&lt;&gt;0",(E412:AV412)),)</f>
        <v>211.71428571428572</v>
      </c>
      <c r="AZ412" s="46">
        <f>IFERROR(AX412/BB406,0)</f>
        <v>0.3705</v>
      </c>
      <c r="BA412" s="34"/>
      <c r="BB412" s="34"/>
      <c r="BC412" s="34"/>
      <c r="BD412" s="76"/>
      <c r="BE412" s="34"/>
      <c r="BF412" s="34"/>
      <c r="BG412" s="34"/>
      <c r="BH412" s="34"/>
    </row>
    <row r="413" spans="1:60" s="17" customFormat="1" ht="19.5" customHeight="1" thickBot="1" x14ac:dyDescent="0.4">
      <c r="A413" s="42">
        <f>A404</f>
        <v>45439</v>
      </c>
      <c r="B413" s="38" t="str">
        <f>B414</f>
        <v>Yaka Takma</v>
      </c>
      <c r="C413" s="39" t="s">
        <v>180</v>
      </c>
      <c r="D413" s="69" t="s">
        <v>181</v>
      </c>
      <c r="E413" s="48">
        <v>0.34375</v>
      </c>
      <c r="F413" s="49">
        <v>0.35416666666666669</v>
      </c>
      <c r="G413" s="49">
        <v>0.36458333333333331</v>
      </c>
      <c r="H413" s="50">
        <v>0.375</v>
      </c>
      <c r="I413" s="48">
        <v>0.38541666666666702</v>
      </c>
      <c r="J413" s="49">
        <v>0.39583333333333298</v>
      </c>
      <c r="K413" s="49">
        <v>0.40625</v>
      </c>
      <c r="L413" s="50">
        <v>0.41666666666666702</v>
      </c>
      <c r="M413" s="48">
        <v>0.4375</v>
      </c>
      <c r="N413" s="49">
        <v>0.44791666666666702</v>
      </c>
      <c r="O413" s="49">
        <v>0.45833333333333398</v>
      </c>
      <c r="P413" s="50">
        <v>0.46875</v>
      </c>
      <c r="Q413" s="48">
        <v>0.47916666666666702</v>
      </c>
      <c r="R413" s="49">
        <v>0.48958333333333398</v>
      </c>
      <c r="S413" s="49">
        <v>0.5</v>
      </c>
      <c r="T413" s="50">
        <v>0.51041666666666696</v>
      </c>
      <c r="U413" s="51">
        <v>0.52083333333333204</v>
      </c>
      <c r="V413" s="48">
        <v>0.5625</v>
      </c>
      <c r="W413" s="49">
        <v>0.57291666666666663</v>
      </c>
      <c r="X413" s="49">
        <v>0.58333333333333304</v>
      </c>
      <c r="Y413" s="50">
        <v>0.59375</v>
      </c>
      <c r="Z413" s="48">
        <v>0.60416666666666696</v>
      </c>
      <c r="AA413" s="49">
        <v>0.61458333333333304</v>
      </c>
      <c r="AB413" s="49">
        <v>0.625</v>
      </c>
      <c r="AC413" s="50">
        <v>0.63541666666666596</v>
      </c>
      <c r="AD413" s="48">
        <v>0.65625</v>
      </c>
      <c r="AE413" s="49">
        <v>0.66666666666666663</v>
      </c>
      <c r="AF413" s="49">
        <v>0.67708333333333304</v>
      </c>
      <c r="AG413" s="50">
        <v>0.6875</v>
      </c>
      <c r="AH413" s="48">
        <v>0.69791666666666696</v>
      </c>
      <c r="AI413" s="49">
        <v>0.70833333333333304</v>
      </c>
      <c r="AJ413" s="49">
        <v>0.71875</v>
      </c>
      <c r="AK413" s="50">
        <v>0.72916666666666696</v>
      </c>
      <c r="AL413" s="48">
        <v>0.73958333333333404</v>
      </c>
      <c r="AM413" s="49">
        <v>0.750000000000001</v>
      </c>
      <c r="AN413" s="49">
        <v>0.76041666666666796</v>
      </c>
      <c r="AO413" s="50">
        <v>0.77083333333333504</v>
      </c>
      <c r="AP413" s="48">
        <v>0.781250000000002</v>
      </c>
      <c r="AQ413" s="49">
        <v>0.79166666666666896</v>
      </c>
      <c r="AR413" s="49">
        <v>0.80208333333333603</v>
      </c>
      <c r="AS413" s="50">
        <v>0.812500000000003</v>
      </c>
      <c r="AT413" s="48">
        <v>0.82291666666666996</v>
      </c>
      <c r="AU413" s="49">
        <v>0.83333333333333703</v>
      </c>
      <c r="AV413" s="49">
        <v>0.843750000000004</v>
      </c>
      <c r="AW413" s="50">
        <v>0.85416666666666663</v>
      </c>
      <c r="AX413" s="68" t="s">
        <v>260</v>
      </c>
      <c r="AY413" s="28" t="s">
        <v>261</v>
      </c>
      <c r="AZ413" s="29" t="s">
        <v>262</v>
      </c>
      <c r="BA413" s="136" t="str">
        <f>B414</f>
        <v>Yaka Takma</v>
      </c>
      <c r="BB413" s="137"/>
      <c r="BC413" s="137"/>
      <c r="BD413" s="137"/>
      <c r="BE413" s="137"/>
      <c r="BF413" s="137"/>
      <c r="BG413" s="137"/>
      <c r="BH413" s="138"/>
    </row>
    <row r="414" spans="1:60" s="17" customFormat="1" ht="19.5" customHeight="1" thickBot="1" x14ac:dyDescent="0.4">
      <c r="A414" s="41">
        <f>A413</f>
        <v>45439</v>
      </c>
      <c r="B414" s="37" t="str">
        <f>B238</f>
        <v>Yaka Takma</v>
      </c>
      <c r="C414" s="65" t="s">
        <v>40</v>
      </c>
      <c r="D414" s="70">
        <f>D238</f>
        <v>70</v>
      </c>
      <c r="E414" s="53"/>
      <c r="F414" s="54"/>
      <c r="G414" s="55"/>
      <c r="H414" s="56"/>
      <c r="I414" s="53"/>
      <c r="J414" s="54"/>
      <c r="K414" s="55"/>
      <c r="L414" s="56"/>
      <c r="M414" s="53"/>
      <c r="N414" s="54"/>
      <c r="O414" s="55"/>
      <c r="P414" s="56"/>
      <c r="Q414" s="63"/>
      <c r="R414" s="55"/>
      <c r="S414" s="55"/>
      <c r="T414" s="55"/>
      <c r="U414" s="56"/>
      <c r="V414" s="53"/>
      <c r="W414" s="54"/>
      <c r="X414" s="55"/>
      <c r="Y414" s="56"/>
      <c r="Z414" s="53"/>
      <c r="AA414" s="54"/>
      <c r="AB414" s="55"/>
      <c r="AC414" s="56"/>
      <c r="AD414" s="53"/>
      <c r="AE414" s="54"/>
      <c r="AF414" s="55"/>
      <c r="AG414" s="56"/>
      <c r="AH414" s="53">
        <v>28</v>
      </c>
      <c r="AI414" s="54">
        <v>50</v>
      </c>
      <c r="AJ414" s="55">
        <v>50</v>
      </c>
      <c r="AK414" s="56">
        <v>50</v>
      </c>
      <c r="AL414" s="53">
        <v>50</v>
      </c>
      <c r="AM414" s="54">
        <v>60</v>
      </c>
      <c r="AN414" s="55">
        <v>40</v>
      </c>
      <c r="AO414" s="56"/>
      <c r="AP414" s="53"/>
      <c r="AQ414" s="54"/>
      <c r="AR414" s="55"/>
      <c r="AS414" s="56"/>
      <c r="AT414" s="53"/>
      <c r="AU414" s="54"/>
      <c r="AV414" s="55"/>
      <c r="AW414" s="56"/>
      <c r="AX414" s="33">
        <f>SUM(E414:AW414)</f>
        <v>328</v>
      </c>
      <c r="AY414" s="31">
        <f>IFERROR(AVERAGEIF(E414:AW414,"&lt;&gt;0",(E414:AW414)),)</f>
        <v>46.857142857142854</v>
      </c>
      <c r="AZ414" s="30">
        <f>IFERROR(AY414/D414,0)</f>
        <v>0.66938775510204074</v>
      </c>
      <c r="BA414" s="103" t="s">
        <v>182</v>
      </c>
      <c r="BB414" s="100" t="s">
        <v>183</v>
      </c>
      <c r="BC414" s="100" t="s">
        <v>184</v>
      </c>
      <c r="BD414" s="101" t="s">
        <v>185</v>
      </c>
      <c r="BE414" s="100" t="s">
        <v>186</v>
      </c>
      <c r="BF414" s="102" t="s">
        <v>187</v>
      </c>
      <c r="BG414" s="100" t="s">
        <v>188</v>
      </c>
      <c r="BH414" s="102" t="s">
        <v>189</v>
      </c>
    </row>
    <row r="415" spans="1:60" s="17" customFormat="1" ht="19.5" customHeight="1" thickBot="1" x14ac:dyDescent="0.4">
      <c r="A415" s="41">
        <f>A414</f>
        <v>45439</v>
      </c>
      <c r="B415" s="37" t="str">
        <f t="shared" ref="B415:B420" si="244">B414</f>
        <v>Yaka Takma</v>
      </c>
      <c r="C415" s="65" t="s">
        <v>11</v>
      </c>
      <c r="D415" s="67">
        <f t="shared" ref="D415:D420" si="245">D414</f>
        <v>70</v>
      </c>
      <c r="E415" s="57"/>
      <c r="F415" s="52"/>
      <c r="G415" s="52"/>
      <c r="H415" s="58"/>
      <c r="I415" s="57"/>
      <c r="J415" s="52"/>
      <c r="K415" s="52"/>
      <c r="L415" s="58"/>
      <c r="M415" s="57"/>
      <c r="N415" s="52"/>
      <c r="O415" s="52"/>
      <c r="P415" s="58"/>
      <c r="Q415" s="57"/>
      <c r="R415" s="52"/>
      <c r="S415" s="52"/>
      <c r="T415" s="52"/>
      <c r="U415" s="58"/>
      <c r="V415" s="57"/>
      <c r="W415" s="52"/>
      <c r="X415" s="52"/>
      <c r="Y415" s="58"/>
      <c r="Z415" s="57"/>
      <c r="AA415" s="52"/>
      <c r="AB415" s="52"/>
      <c r="AC415" s="58"/>
      <c r="AD415" s="57"/>
      <c r="AE415" s="52"/>
      <c r="AF415" s="52"/>
      <c r="AG415" s="58"/>
      <c r="AH415" s="57">
        <v>20</v>
      </c>
      <c r="AI415" s="52">
        <v>30</v>
      </c>
      <c r="AJ415" s="52">
        <v>50</v>
      </c>
      <c r="AK415" s="58">
        <v>55</v>
      </c>
      <c r="AL415" s="57">
        <v>60</v>
      </c>
      <c r="AM415" s="52">
        <v>60</v>
      </c>
      <c r="AN415" s="52">
        <v>30</v>
      </c>
      <c r="AO415" s="58"/>
      <c r="AP415" s="57"/>
      <c r="AQ415" s="52"/>
      <c r="AR415" s="52"/>
      <c r="AS415" s="58"/>
      <c r="AT415" s="57"/>
      <c r="AU415" s="52"/>
      <c r="AV415" s="52"/>
      <c r="AW415" s="58"/>
      <c r="AX415" s="33">
        <f t="shared" ref="AX415:AX420" si="246">SUM(E415:AW415)</f>
        <v>305</v>
      </c>
      <c r="AY415" s="31">
        <f t="shared" ref="AY415:AY420" si="247">IFERROR(AVERAGEIF(E415:AW415,"&lt;&gt;0",(E415:AW415)),)</f>
        <v>43.571428571428569</v>
      </c>
      <c r="AZ415" s="30">
        <f t="shared" ref="AZ415:AZ420" si="248">IFERROR(AY415/D415,0)</f>
        <v>0.62244897959183676</v>
      </c>
      <c r="BA415" s="94">
        <f>AX421+BA239</f>
        <v>633</v>
      </c>
      <c r="BB415" s="95">
        <f>(D421*8)</f>
        <v>4000</v>
      </c>
      <c r="BC415" s="96">
        <f>C357-BA415</f>
        <v>41678</v>
      </c>
      <c r="BD415" s="96">
        <f>BA406-BA415</f>
        <v>849</v>
      </c>
      <c r="BE415" s="97">
        <f>IFERROR(BC415/E421,0)</f>
        <v>0</v>
      </c>
      <c r="BF415" s="98">
        <f>IFERROR(BE415/9,0)</f>
        <v>0</v>
      </c>
      <c r="BG415" s="97">
        <f>IFERROR(BC415/AY421,0)</f>
        <v>131.68404423380727</v>
      </c>
      <c r="BH415" s="97">
        <f>IFERROR(BG415/9,0)</f>
        <v>14.631560470423031</v>
      </c>
    </row>
    <row r="416" spans="1:60" s="17" customFormat="1" ht="19.5" customHeight="1" x14ac:dyDescent="0.35">
      <c r="A416" s="41">
        <f>A415</f>
        <v>45439</v>
      </c>
      <c r="B416" s="37" t="str">
        <f t="shared" si="244"/>
        <v>Yaka Takma</v>
      </c>
      <c r="C416" s="65">
        <f t="shared" ref="C416:C420" si="249">C240</f>
        <v>0</v>
      </c>
      <c r="D416" s="67">
        <f t="shared" si="245"/>
        <v>70</v>
      </c>
      <c r="E416" s="57"/>
      <c r="F416" s="52"/>
      <c r="G416" s="52"/>
      <c r="H416" s="58"/>
      <c r="I416" s="57"/>
      <c r="J416" s="52"/>
      <c r="K416" s="52"/>
      <c r="L416" s="58"/>
      <c r="M416" s="57"/>
      <c r="N416" s="52"/>
      <c r="O416" s="52"/>
      <c r="P416" s="58"/>
      <c r="Q416" s="57"/>
      <c r="R416" s="52"/>
      <c r="S416" s="52"/>
      <c r="T416" s="52"/>
      <c r="U416" s="58"/>
      <c r="V416" s="57"/>
      <c r="W416" s="52"/>
      <c r="X416" s="52"/>
      <c r="Y416" s="58"/>
      <c r="Z416" s="57"/>
      <c r="AA416" s="52"/>
      <c r="AB416" s="52"/>
      <c r="AC416" s="58"/>
      <c r="AD416" s="57"/>
      <c r="AE416" s="52"/>
      <c r="AF416" s="52"/>
      <c r="AG416" s="58"/>
      <c r="AH416" s="57"/>
      <c r="AI416" s="52"/>
      <c r="AJ416" s="52"/>
      <c r="AK416" s="58"/>
      <c r="AL416" s="57"/>
      <c r="AM416" s="52"/>
      <c r="AN416" s="52"/>
      <c r="AO416" s="58"/>
      <c r="AP416" s="57"/>
      <c r="AQ416" s="52"/>
      <c r="AR416" s="52"/>
      <c r="AS416" s="58"/>
      <c r="AT416" s="57"/>
      <c r="AU416" s="52"/>
      <c r="AV416" s="52"/>
      <c r="AW416" s="58"/>
      <c r="AX416" s="33">
        <f t="shared" si="246"/>
        <v>0</v>
      </c>
      <c r="AY416" s="31">
        <f t="shared" si="247"/>
        <v>0</v>
      </c>
      <c r="AZ416" s="30">
        <f t="shared" si="248"/>
        <v>0</v>
      </c>
      <c r="BA416" s="34"/>
      <c r="BB416" s="34"/>
      <c r="BC416" s="34"/>
      <c r="BD416" s="76"/>
      <c r="BE416" s="34"/>
      <c r="BF416" s="34"/>
      <c r="BG416" s="34"/>
      <c r="BH416" s="34"/>
    </row>
    <row r="417" spans="1:60" s="17" customFormat="1" ht="19.5" customHeight="1" x14ac:dyDescent="0.35">
      <c r="A417" s="41">
        <f>A416</f>
        <v>45439</v>
      </c>
      <c r="B417" s="37" t="str">
        <f t="shared" si="244"/>
        <v>Yaka Takma</v>
      </c>
      <c r="C417" s="65">
        <f t="shared" si="249"/>
        <v>0</v>
      </c>
      <c r="D417" s="67">
        <f t="shared" si="245"/>
        <v>70</v>
      </c>
      <c r="E417" s="57"/>
      <c r="F417" s="52"/>
      <c r="G417" s="52"/>
      <c r="H417" s="58"/>
      <c r="I417" s="57"/>
      <c r="J417" s="52"/>
      <c r="K417" s="52"/>
      <c r="L417" s="58"/>
      <c r="M417" s="57"/>
      <c r="N417" s="52"/>
      <c r="O417" s="52"/>
      <c r="P417" s="58"/>
      <c r="Q417" s="57"/>
      <c r="R417" s="52"/>
      <c r="S417" s="52"/>
      <c r="T417" s="52"/>
      <c r="U417" s="58"/>
      <c r="V417" s="57"/>
      <c r="W417" s="52"/>
      <c r="X417" s="52"/>
      <c r="Y417" s="58"/>
      <c r="Z417" s="57"/>
      <c r="AA417" s="52"/>
      <c r="AB417" s="52"/>
      <c r="AC417" s="58"/>
      <c r="AD417" s="57"/>
      <c r="AE417" s="52"/>
      <c r="AF417" s="52"/>
      <c r="AG417" s="58"/>
      <c r="AH417" s="57"/>
      <c r="AI417" s="52"/>
      <c r="AJ417" s="52"/>
      <c r="AK417" s="58"/>
      <c r="AL417" s="57"/>
      <c r="AM417" s="52"/>
      <c r="AN417" s="52"/>
      <c r="AO417" s="58"/>
      <c r="AP417" s="57"/>
      <c r="AQ417" s="52"/>
      <c r="AR417" s="52"/>
      <c r="AS417" s="58"/>
      <c r="AT417" s="57"/>
      <c r="AU417" s="52"/>
      <c r="AV417" s="52"/>
      <c r="AW417" s="58"/>
      <c r="AX417" s="33">
        <f t="shared" si="246"/>
        <v>0</v>
      </c>
      <c r="AY417" s="31">
        <f t="shared" si="247"/>
        <v>0</v>
      </c>
      <c r="AZ417" s="30">
        <f t="shared" si="248"/>
        <v>0</v>
      </c>
      <c r="BA417" s="34"/>
      <c r="BB417" s="34"/>
      <c r="BC417" s="34"/>
      <c r="BD417" s="76"/>
      <c r="BE417" s="34"/>
      <c r="BF417" s="34"/>
      <c r="BG417" s="34"/>
      <c r="BH417" s="34"/>
    </row>
    <row r="418" spans="1:60" s="17" customFormat="1" ht="19.5" customHeight="1" x14ac:dyDescent="0.35">
      <c r="A418" s="41">
        <f>A415</f>
        <v>45439</v>
      </c>
      <c r="B418" s="37" t="str">
        <f t="shared" si="244"/>
        <v>Yaka Takma</v>
      </c>
      <c r="C418" s="65">
        <f t="shared" si="249"/>
        <v>0</v>
      </c>
      <c r="D418" s="67">
        <f t="shared" si="245"/>
        <v>70</v>
      </c>
      <c r="E418" s="57"/>
      <c r="F418" s="52"/>
      <c r="G418" s="52"/>
      <c r="H418" s="58"/>
      <c r="I418" s="57"/>
      <c r="J418" s="52"/>
      <c r="K418" s="52"/>
      <c r="L418" s="58"/>
      <c r="M418" s="57"/>
      <c r="N418" s="52"/>
      <c r="O418" s="52"/>
      <c r="P418" s="58"/>
      <c r="Q418" s="57"/>
      <c r="R418" s="52"/>
      <c r="S418" s="52"/>
      <c r="T418" s="52"/>
      <c r="U418" s="58"/>
      <c r="V418" s="57"/>
      <c r="W418" s="52"/>
      <c r="X418" s="52"/>
      <c r="Y418" s="58"/>
      <c r="Z418" s="57"/>
      <c r="AA418" s="52"/>
      <c r="AB418" s="52"/>
      <c r="AC418" s="58"/>
      <c r="AD418" s="57"/>
      <c r="AE418" s="52"/>
      <c r="AF418" s="52"/>
      <c r="AG418" s="58"/>
      <c r="AH418" s="57"/>
      <c r="AI418" s="52"/>
      <c r="AJ418" s="52"/>
      <c r="AK418" s="58"/>
      <c r="AL418" s="57"/>
      <c r="AM418" s="52"/>
      <c r="AN418" s="52"/>
      <c r="AO418" s="58"/>
      <c r="AP418" s="57"/>
      <c r="AQ418" s="52"/>
      <c r="AR418" s="52"/>
      <c r="AS418" s="58"/>
      <c r="AT418" s="57"/>
      <c r="AU418" s="52"/>
      <c r="AV418" s="52"/>
      <c r="AW418" s="58"/>
      <c r="AX418" s="33">
        <f t="shared" si="246"/>
        <v>0</v>
      </c>
      <c r="AY418" s="31">
        <f t="shared" si="247"/>
        <v>0</v>
      </c>
      <c r="AZ418" s="30">
        <f t="shared" si="248"/>
        <v>0</v>
      </c>
      <c r="BA418" s="34"/>
      <c r="BB418" s="34"/>
      <c r="BC418" s="34"/>
      <c r="BD418" s="76"/>
      <c r="BE418" s="34"/>
      <c r="BF418" s="34"/>
      <c r="BG418" s="34"/>
      <c r="BH418" s="34"/>
    </row>
    <row r="419" spans="1:60" s="17" customFormat="1" ht="19.5" customHeight="1" x14ac:dyDescent="0.35">
      <c r="A419" s="41">
        <f t="shared" ref="A419" si="250">A418</f>
        <v>45439</v>
      </c>
      <c r="B419" s="37" t="str">
        <f t="shared" si="244"/>
        <v>Yaka Takma</v>
      </c>
      <c r="C419" s="65">
        <f t="shared" si="249"/>
        <v>0</v>
      </c>
      <c r="D419" s="67">
        <f t="shared" si="245"/>
        <v>70</v>
      </c>
      <c r="E419" s="57"/>
      <c r="F419" s="52"/>
      <c r="G419" s="52"/>
      <c r="H419" s="58"/>
      <c r="I419" s="57"/>
      <c r="J419" s="52"/>
      <c r="K419" s="52"/>
      <c r="L419" s="58"/>
      <c r="M419" s="57"/>
      <c r="N419" s="52"/>
      <c r="O419" s="52"/>
      <c r="P419" s="58"/>
      <c r="Q419" s="57"/>
      <c r="R419" s="52"/>
      <c r="S419" s="52"/>
      <c r="T419" s="52"/>
      <c r="U419" s="58"/>
      <c r="V419" s="57"/>
      <c r="W419" s="52"/>
      <c r="X419" s="52"/>
      <c r="Y419" s="58"/>
      <c r="Z419" s="57"/>
      <c r="AA419" s="52"/>
      <c r="AB419" s="52"/>
      <c r="AC419" s="58"/>
      <c r="AD419" s="57"/>
      <c r="AE419" s="52"/>
      <c r="AF419" s="52"/>
      <c r="AG419" s="58"/>
      <c r="AH419" s="57"/>
      <c r="AI419" s="52"/>
      <c r="AJ419" s="52"/>
      <c r="AK419" s="58"/>
      <c r="AL419" s="57"/>
      <c r="AM419" s="52"/>
      <c r="AN419" s="52"/>
      <c r="AO419" s="58"/>
      <c r="AP419" s="57"/>
      <c r="AQ419" s="52"/>
      <c r="AR419" s="52"/>
      <c r="AS419" s="58"/>
      <c r="AT419" s="57"/>
      <c r="AU419" s="52"/>
      <c r="AV419" s="52"/>
      <c r="AW419" s="58"/>
      <c r="AX419" s="33">
        <f t="shared" si="246"/>
        <v>0</v>
      </c>
      <c r="AY419" s="31">
        <f t="shared" si="247"/>
        <v>0</v>
      </c>
      <c r="AZ419" s="30">
        <f t="shared" si="248"/>
        <v>0</v>
      </c>
      <c r="BA419" s="34"/>
      <c r="BB419" s="34"/>
      <c r="BC419" s="34"/>
      <c r="BD419" s="76"/>
      <c r="BE419" s="34"/>
      <c r="BF419" s="34"/>
      <c r="BG419" s="34"/>
      <c r="BH419" s="34"/>
    </row>
    <row r="420" spans="1:60" s="17" customFormat="1" ht="19.5" customHeight="1" thickBot="1" x14ac:dyDescent="0.4">
      <c r="A420" s="41">
        <f t="shared" ref="A420" si="251">A419</f>
        <v>45439</v>
      </c>
      <c r="B420" s="37" t="str">
        <f t="shared" si="244"/>
        <v>Yaka Takma</v>
      </c>
      <c r="C420" s="65">
        <f t="shared" si="249"/>
        <v>0</v>
      </c>
      <c r="D420" s="67">
        <f t="shared" si="245"/>
        <v>70</v>
      </c>
      <c r="E420" s="59"/>
      <c r="F420" s="60"/>
      <c r="G420" s="61"/>
      <c r="H420" s="62"/>
      <c r="I420" s="59"/>
      <c r="J420" s="60"/>
      <c r="K420" s="61"/>
      <c r="L420" s="62"/>
      <c r="M420" s="59"/>
      <c r="N420" s="60"/>
      <c r="O420" s="61"/>
      <c r="P420" s="62"/>
      <c r="Q420" s="64"/>
      <c r="R420" s="61"/>
      <c r="S420" s="61"/>
      <c r="T420" s="61"/>
      <c r="U420" s="62"/>
      <c r="V420" s="59"/>
      <c r="W420" s="60"/>
      <c r="X420" s="61"/>
      <c r="Y420" s="62"/>
      <c r="Z420" s="59"/>
      <c r="AA420" s="60"/>
      <c r="AB420" s="61"/>
      <c r="AC420" s="62"/>
      <c r="AD420" s="59"/>
      <c r="AE420" s="60"/>
      <c r="AF420" s="61"/>
      <c r="AG420" s="62"/>
      <c r="AH420" s="59"/>
      <c r="AI420" s="60"/>
      <c r="AJ420" s="61"/>
      <c r="AK420" s="62"/>
      <c r="AL420" s="59"/>
      <c r="AM420" s="60"/>
      <c r="AN420" s="61"/>
      <c r="AO420" s="62"/>
      <c r="AP420" s="59"/>
      <c r="AQ420" s="60"/>
      <c r="AR420" s="61"/>
      <c r="AS420" s="62"/>
      <c r="AT420" s="59"/>
      <c r="AU420" s="60"/>
      <c r="AV420" s="61"/>
      <c r="AW420" s="62"/>
      <c r="AX420" s="33">
        <f t="shared" si="246"/>
        <v>0</v>
      </c>
      <c r="AY420" s="31">
        <f t="shared" si="247"/>
        <v>0</v>
      </c>
      <c r="AZ420" s="30">
        <f t="shared" si="248"/>
        <v>0</v>
      </c>
      <c r="BA420" s="34"/>
      <c r="BB420" s="34"/>
      <c r="BC420" s="34"/>
      <c r="BD420" s="76"/>
      <c r="BE420" s="34"/>
      <c r="BF420" s="34"/>
      <c r="BG420" s="34"/>
      <c r="BH420" s="34"/>
    </row>
    <row r="421" spans="1:60" s="17" customFormat="1" ht="19.5" customHeight="1" thickBot="1" x14ac:dyDescent="0.45">
      <c r="A421" s="41">
        <f t="shared" ref="A421" si="252">A420</f>
        <v>45439</v>
      </c>
      <c r="B421" s="139" t="str">
        <f>B414</f>
        <v>Yaka Takma</v>
      </c>
      <c r="C421" s="140"/>
      <c r="D421" s="40">
        <f>C358/8</f>
        <v>500</v>
      </c>
      <c r="E421" s="147">
        <f>SUM(E414:H420)</f>
        <v>0</v>
      </c>
      <c r="F421" s="148"/>
      <c r="G421" s="148"/>
      <c r="H421" s="149"/>
      <c r="I421" s="147">
        <f>SUM(I414:L420)</f>
        <v>0</v>
      </c>
      <c r="J421" s="148"/>
      <c r="K421" s="148"/>
      <c r="L421" s="149"/>
      <c r="M421" s="147">
        <f>SUM(M414:P420)</f>
        <v>0</v>
      </c>
      <c r="N421" s="148"/>
      <c r="O421" s="148"/>
      <c r="P421" s="149"/>
      <c r="Q421" s="147">
        <f>SUM(Q414:U420)</f>
        <v>0</v>
      </c>
      <c r="R421" s="148"/>
      <c r="S421" s="148"/>
      <c r="T421" s="148"/>
      <c r="U421" s="149"/>
      <c r="V421" s="147">
        <f>SUM(V414:Y420)</f>
        <v>0</v>
      </c>
      <c r="W421" s="148"/>
      <c r="X421" s="148"/>
      <c r="Y421" s="149"/>
      <c r="Z421" s="147">
        <f>SUM(Z414:AC420)</f>
        <v>0</v>
      </c>
      <c r="AA421" s="148"/>
      <c r="AB421" s="148"/>
      <c r="AC421" s="149"/>
      <c r="AD421" s="147">
        <f>SUM(AD414:AG420)</f>
        <v>0</v>
      </c>
      <c r="AE421" s="148"/>
      <c r="AF421" s="148"/>
      <c r="AG421" s="149"/>
      <c r="AH421" s="147">
        <f>SUM(AH414:AK420)</f>
        <v>333</v>
      </c>
      <c r="AI421" s="148"/>
      <c r="AJ421" s="148"/>
      <c r="AK421" s="149"/>
      <c r="AL421" s="147">
        <f>SUM(AL414:AO420)</f>
        <v>300</v>
      </c>
      <c r="AM421" s="148"/>
      <c r="AN421" s="148"/>
      <c r="AO421" s="149"/>
      <c r="AP421" s="147">
        <f>SUM(AP414:AS420)</f>
        <v>0</v>
      </c>
      <c r="AQ421" s="148"/>
      <c r="AR421" s="148"/>
      <c r="AS421" s="149"/>
      <c r="AT421" s="147">
        <f>SUM(AT414:AW420)</f>
        <v>0</v>
      </c>
      <c r="AU421" s="148"/>
      <c r="AV421" s="148"/>
      <c r="AW421" s="149"/>
      <c r="AX421" s="87">
        <f>SUM(AX414:AX420)</f>
        <v>633</v>
      </c>
      <c r="AY421" s="88">
        <f>IFERROR(AVERAGEIF(E421:AV421,"&lt;&gt;0",(E421:AV421)),)</f>
        <v>316.5</v>
      </c>
      <c r="AZ421" s="46">
        <f>IFERROR(AX421/BB415,0)</f>
        <v>0.15825</v>
      </c>
      <c r="BA421" s="34"/>
      <c r="BB421" s="34"/>
      <c r="BC421" s="34"/>
      <c r="BD421" s="76"/>
      <c r="BE421" s="34"/>
      <c r="BF421" s="34"/>
      <c r="BG421" s="34"/>
      <c r="BH421" s="34"/>
    </row>
    <row r="422" spans="1:60" s="17" customFormat="1" ht="19.5" customHeight="1" thickBot="1" x14ac:dyDescent="0.4">
      <c r="A422" s="42">
        <f t="shared" ref="A422" si="253">A421</f>
        <v>45439</v>
      </c>
      <c r="B422" s="38" t="str">
        <f>B423</f>
        <v>Ense Biye</v>
      </c>
      <c r="C422" s="39" t="s">
        <v>180</v>
      </c>
      <c r="D422" s="69" t="s">
        <v>181</v>
      </c>
      <c r="E422" s="48">
        <v>0.34375</v>
      </c>
      <c r="F422" s="49">
        <v>0.35416666666666669</v>
      </c>
      <c r="G422" s="49">
        <v>0.36458333333333331</v>
      </c>
      <c r="H422" s="50">
        <v>0.375</v>
      </c>
      <c r="I422" s="48">
        <v>0.38541666666666702</v>
      </c>
      <c r="J422" s="49">
        <v>0.39583333333333298</v>
      </c>
      <c r="K422" s="49">
        <v>0.40625</v>
      </c>
      <c r="L422" s="50">
        <v>0.41666666666666702</v>
      </c>
      <c r="M422" s="48">
        <v>0.4375</v>
      </c>
      <c r="N422" s="49">
        <v>0.44791666666666702</v>
      </c>
      <c r="O422" s="49">
        <v>0.45833333333333398</v>
      </c>
      <c r="P422" s="50">
        <v>0.46875</v>
      </c>
      <c r="Q422" s="48">
        <v>0.47916666666666702</v>
      </c>
      <c r="R422" s="49">
        <v>0.48958333333333398</v>
      </c>
      <c r="S422" s="49">
        <v>0.5</v>
      </c>
      <c r="T422" s="50">
        <v>0.51041666666666696</v>
      </c>
      <c r="U422" s="51">
        <v>0.52083333333333204</v>
      </c>
      <c r="V422" s="48">
        <v>0.5625</v>
      </c>
      <c r="W422" s="49">
        <v>0.57291666666666663</v>
      </c>
      <c r="X422" s="49">
        <v>0.58333333333333304</v>
      </c>
      <c r="Y422" s="50">
        <v>0.59375</v>
      </c>
      <c r="Z422" s="48">
        <v>0.60416666666666696</v>
      </c>
      <c r="AA422" s="49">
        <v>0.61458333333333304</v>
      </c>
      <c r="AB422" s="49">
        <v>0.625</v>
      </c>
      <c r="AC422" s="50">
        <v>0.63541666666666596</v>
      </c>
      <c r="AD422" s="48">
        <v>0.65625</v>
      </c>
      <c r="AE422" s="49">
        <v>0.66666666666666663</v>
      </c>
      <c r="AF422" s="49">
        <v>0.67708333333333304</v>
      </c>
      <c r="AG422" s="50">
        <v>0.6875</v>
      </c>
      <c r="AH422" s="48">
        <v>0.69791666666666696</v>
      </c>
      <c r="AI422" s="49">
        <v>0.70833333333333304</v>
      </c>
      <c r="AJ422" s="49">
        <v>0.71875</v>
      </c>
      <c r="AK422" s="50">
        <v>0.72916666666666696</v>
      </c>
      <c r="AL422" s="48">
        <v>0.73958333333333404</v>
      </c>
      <c r="AM422" s="49">
        <v>0.750000000000001</v>
      </c>
      <c r="AN422" s="49">
        <v>0.76041666666666796</v>
      </c>
      <c r="AO422" s="50">
        <v>0.77083333333333504</v>
      </c>
      <c r="AP422" s="48">
        <v>0.781250000000002</v>
      </c>
      <c r="AQ422" s="49">
        <v>0.79166666666666896</v>
      </c>
      <c r="AR422" s="49">
        <v>0.80208333333333603</v>
      </c>
      <c r="AS422" s="50">
        <v>0.812500000000003</v>
      </c>
      <c r="AT422" s="48">
        <v>0.82291666666666996</v>
      </c>
      <c r="AU422" s="49">
        <v>0.83333333333333703</v>
      </c>
      <c r="AV422" s="49">
        <v>0.843750000000004</v>
      </c>
      <c r="AW422" s="50">
        <v>0.85416666666666663</v>
      </c>
      <c r="AX422" s="68" t="s">
        <v>260</v>
      </c>
      <c r="AY422" s="28" t="s">
        <v>261</v>
      </c>
      <c r="AZ422" s="29" t="s">
        <v>262</v>
      </c>
      <c r="BA422" s="136" t="str">
        <f>B423</f>
        <v>Ense Biye</v>
      </c>
      <c r="BB422" s="137"/>
      <c r="BC422" s="137"/>
      <c r="BD422" s="137"/>
      <c r="BE422" s="137"/>
      <c r="BF422" s="137"/>
      <c r="BG422" s="137"/>
      <c r="BH422" s="138"/>
    </row>
    <row r="423" spans="1:60" s="17" customFormat="1" ht="19.5" customHeight="1" thickBot="1" x14ac:dyDescent="0.4">
      <c r="A423" s="41">
        <f t="shared" ref="A423" si="254">A422</f>
        <v>45439</v>
      </c>
      <c r="B423" s="37" t="str">
        <f>B247</f>
        <v>Ense Biye</v>
      </c>
      <c r="C423" s="65" t="s">
        <v>34</v>
      </c>
      <c r="D423" s="70">
        <f>D247</f>
        <v>100</v>
      </c>
      <c r="E423" s="63"/>
      <c r="F423" s="55"/>
      <c r="G423" s="55"/>
      <c r="H423" s="56"/>
      <c r="I423" s="63"/>
      <c r="J423" s="55"/>
      <c r="K423" s="55"/>
      <c r="L423" s="56"/>
      <c r="M423" s="63"/>
      <c r="N423" s="55"/>
      <c r="O423" s="55"/>
      <c r="P423" s="56"/>
      <c r="Q423" s="63"/>
      <c r="R423" s="55"/>
      <c r="S423" s="55"/>
      <c r="T423" s="55"/>
      <c r="U423" s="56"/>
      <c r="V423" s="63"/>
      <c r="W423" s="55"/>
      <c r="X423" s="55"/>
      <c r="Y423" s="56"/>
      <c r="Z423" s="63"/>
      <c r="AA423" s="55"/>
      <c r="AB423" s="55"/>
      <c r="AC423" s="56"/>
      <c r="AD423" s="63"/>
      <c r="AE423" s="55"/>
      <c r="AF423" s="55"/>
      <c r="AG423" s="56"/>
      <c r="AH423" s="63"/>
      <c r="AI423" s="55"/>
      <c r="AJ423" s="55">
        <v>90</v>
      </c>
      <c r="AK423" s="56">
        <v>75</v>
      </c>
      <c r="AL423" s="63">
        <v>80</v>
      </c>
      <c r="AM423" s="55">
        <v>85</v>
      </c>
      <c r="AN423" s="55">
        <v>80</v>
      </c>
      <c r="AO423" s="56"/>
      <c r="AP423" s="53"/>
      <c r="AQ423" s="54"/>
      <c r="AR423" s="55"/>
      <c r="AS423" s="56"/>
      <c r="AT423" s="53"/>
      <c r="AU423" s="54"/>
      <c r="AV423" s="55"/>
      <c r="AW423" s="56"/>
      <c r="AX423" s="33">
        <f>SUM(E423:AW423)</f>
        <v>410</v>
      </c>
      <c r="AY423" s="31">
        <f>IFERROR(AVERAGEIF(E423:AW423,"&lt;&gt;0",(E423:AW423)),)</f>
        <v>82</v>
      </c>
      <c r="AZ423" s="30">
        <f>IFERROR(AY423/D423,0)</f>
        <v>0.82</v>
      </c>
      <c r="BA423" s="103" t="s">
        <v>182</v>
      </c>
      <c r="BB423" s="100" t="s">
        <v>183</v>
      </c>
      <c r="BC423" s="100" t="s">
        <v>184</v>
      </c>
      <c r="BD423" s="101" t="s">
        <v>185</v>
      </c>
      <c r="BE423" s="100" t="s">
        <v>186</v>
      </c>
      <c r="BF423" s="102" t="s">
        <v>187</v>
      </c>
      <c r="BG423" s="100" t="s">
        <v>188</v>
      </c>
      <c r="BH423" s="102" t="s">
        <v>189</v>
      </c>
    </row>
    <row r="424" spans="1:60" s="17" customFormat="1" ht="19.5" customHeight="1" thickBot="1" x14ac:dyDescent="0.4">
      <c r="A424" s="41">
        <f t="shared" ref="A424:B424" si="255">A423</f>
        <v>45439</v>
      </c>
      <c r="B424" s="37" t="str">
        <f t="shared" si="255"/>
        <v>Ense Biye</v>
      </c>
      <c r="C424" s="65">
        <f t="shared" ref="C424:C429" si="256">C248</f>
        <v>0</v>
      </c>
      <c r="D424" s="67">
        <f t="shared" ref="D424:D429" si="257">D423</f>
        <v>100</v>
      </c>
      <c r="E424" s="57"/>
      <c r="F424" s="52"/>
      <c r="G424" s="52"/>
      <c r="H424" s="58"/>
      <c r="I424" s="57"/>
      <c r="J424" s="52"/>
      <c r="K424" s="52"/>
      <c r="L424" s="58"/>
      <c r="M424" s="57"/>
      <c r="N424" s="52"/>
      <c r="O424" s="52"/>
      <c r="P424" s="58"/>
      <c r="Q424" s="57"/>
      <c r="R424" s="52"/>
      <c r="S424" s="52"/>
      <c r="T424" s="52"/>
      <c r="U424" s="58"/>
      <c r="V424" s="57"/>
      <c r="W424" s="52"/>
      <c r="X424" s="52"/>
      <c r="Y424" s="58"/>
      <c r="Z424" s="57"/>
      <c r="AA424" s="52"/>
      <c r="AB424" s="52"/>
      <c r="AC424" s="58"/>
      <c r="AD424" s="57"/>
      <c r="AE424" s="52"/>
      <c r="AF424" s="52"/>
      <c r="AG424" s="58"/>
      <c r="AH424" s="57"/>
      <c r="AI424" s="52"/>
      <c r="AJ424" s="52"/>
      <c r="AK424" s="58"/>
      <c r="AL424" s="57"/>
      <c r="AM424" s="52"/>
      <c r="AN424" s="52"/>
      <c r="AO424" s="58"/>
      <c r="AP424" s="57"/>
      <c r="AQ424" s="52"/>
      <c r="AR424" s="52"/>
      <c r="AS424" s="58"/>
      <c r="AT424" s="57"/>
      <c r="AU424" s="52"/>
      <c r="AV424" s="52"/>
      <c r="AW424" s="58"/>
      <c r="AX424" s="33">
        <f t="shared" ref="AX424:AX429" si="258">SUM(E424:AW424)</f>
        <v>0</v>
      </c>
      <c r="AY424" s="31">
        <f t="shared" ref="AY424:AY429" si="259">IFERROR(AVERAGEIF(E424:AW424,"&lt;&gt;0",(E424:AW424)),)</f>
        <v>0</v>
      </c>
      <c r="AZ424" s="30">
        <f t="shared" ref="AZ424:AZ429" si="260">IFERROR(AY424/D424,0)</f>
        <v>0</v>
      </c>
      <c r="BA424" s="94">
        <f>AX430+BA248</f>
        <v>410</v>
      </c>
      <c r="BB424" s="95">
        <f>(D430*8)</f>
        <v>4000</v>
      </c>
      <c r="BC424" s="96">
        <f>C357-BA424</f>
        <v>41901</v>
      </c>
      <c r="BD424" s="96">
        <f>BA415-BA424</f>
        <v>223</v>
      </c>
      <c r="BE424" s="97">
        <f>IFERROR(BC424/E430,0)</f>
        <v>0</v>
      </c>
      <c r="BF424" s="98">
        <f>IFERROR(BE424/9,0)</f>
        <v>0</v>
      </c>
      <c r="BG424" s="97">
        <f>IFERROR(BC424/AY430,0)</f>
        <v>204.39512195121952</v>
      </c>
      <c r="BH424" s="97">
        <f>IFERROR(BG424/9,0)</f>
        <v>22.710569105691057</v>
      </c>
    </row>
    <row r="425" spans="1:60" s="17" customFormat="1" ht="19.5" customHeight="1" x14ac:dyDescent="0.35">
      <c r="A425" s="41">
        <f t="shared" ref="A425:B425" si="261">A424</f>
        <v>45439</v>
      </c>
      <c r="B425" s="37" t="str">
        <f t="shared" si="261"/>
        <v>Ense Biye</v>
      </c>
      <c r="C425" s="65">
        <f t="shared" si="256"/>
        <v>0</v>
      </c>
      <c r="D425" s="67">
        <f t="shared" si="257"/>
        <v>100</v>
      </c>
      <c r="E425" s="57"/>
      <c r="F425" s="52"/>
      <c r="G425" s="52"/>
      <c r="H425" s="58"/>
      <c r="I425" s="57"/>
      <c r="J425" s="52"/>
      <c r="K425" s="52"/>
      <c r="L425" s="58"/>
      <c r="M425" s="57"/>
      <c r="N425" s="52"/>
      <c r="O425" s="52"/>
      <c r="P425" s="58"/>
      <c r="Q425" s="57"/>
      <c r="R425" s="52"/>
      <c r="S425" s="52"/>
      <c r="T425" s="52"/>
      <c r="U425" s="58"/>
      <c r="V425" s="57"/>
      <c r="W425" s="52"/>
      <c r="X425" s="52"/>
      <c r="Y425" s="58"/>
      <c r="Z425" s="57"/>
      <c r="AA425" s="52"/>
      <c r="AB425" s="52"/>
      <c r="AC425" s="58"/>
      <c r="AD425" s="57"/>
      <c r="AE425" s="52"/>
      <c r="AF425" s="52"/>
      <c r="AG425" s="58"/>
      <c r="AH425" s="57"/>
      <c r="AI425" s="52"/>
      <c r="AJ425" s="52"/>
      <c r="AK425" s="58"/>
      <c r="AL425" s="57"/>
      <c r="AM425" s="52"/>
      <c r="AN425" s="52"/>
      <c r="AO425" s="58"/>
      <c r="AP425" s="57"/>
      <c r="AQ425" s="52"/>
      <c r="AR425" s="52"/>
      <c r="AS425" s="58"/>
      <c r="AT425" s="57"/>
      <c r="AU425" s="52"/>
      <c r="AV425" s="52"/>
      <c r="AW425" s="58"/>
      <c r="AX425" s="33">
        <f t="shared" si="258"/>
        <v>0</v>
      </c>
      <c r="AY425" s="31">
        <f t="shared" si="259"/>
        <v>0</v>
      </c>
      <c r="AZ425" s="30">
        <f t="shared" si="260"/>
        <v>0</v>
      </c>
      <c r="BA425" s="34"/>
      <c r="BB425" s="34"/>
      <c r="BC425" s="34"/>
      <c r="BD425" s="76"/>
      <c r="BE425" s="34"/>
      <c r="BF425" s="34"/>
      <c r="BG425" s="34"/>
      <c r="BH425" s="34"/>
    </row>
    <row r="426" spans="1:60" s="17" customFormat="1" ht="19.5" customHeight="1" x14ac:dyDescent="0.35">
      <c r="A426" s="41">
        <f t="shared" ref="A426:B426" si="262">A425</f>
        <v>45439</v>
      </c>
      <c r="B426" s="37" t="str">
        <f t="shared" si="262"/>
        <v>Ense Biye</v>
      </c>
      <c r="C426" s="65">
        <f t="shared" si="256"/>
        <v>0</v>
      </c>
      <c r="D426" s="67">
        <f t="shared" si="257"/>
        <v>100</v>
      </c>
      <c r="E426" s="57"/>
      <c r="F426" s="52"/>
      <c r="G426" s="52"/>
      <c r="H426" s="58"/>
      <c r="I426" s="57"/>
      <c r="J426" s="52"/>
      <c r="K426" s="52"/>
      <c r="L426" s="58"/>
      <c r="M426" s="57"/>
      <c r="N426" s="52"/>
      <c r="O426" s="52"/>
      <c r="P426" s="58"/>
      <c r="Q426" s="57"/>
      <c r="R426" s="52"/>
      <c r="S426" s="52"/>
      <c r="T426" s="52"/>
      <c r="U426" s="58"/>
      <c r="V426" s="57"/>
      <c r="W426" s="52"/>
      <c r="X426" s="52"/>
      <c r="Y426" s="58"/>
      <c r="Z426" s="57"/>
      <c r="AA426" s="52"/>
      <c r="AB426" s="52"/>
      <c r="AC426" s="58"/>
      <c r="AD426" s="57"/>
      <c r="AE426" s="52"/>
      <c r="AF426" s="52"/>
      <c r="AG426" s="58"/>
      <c r="AH426" s="57"/>
      <c r="AI426" s="52"/>
      <c r="AJ426" s="52"/>
      <c r="AK426" s="58"/>
      <c r="AL426" s="57"/>
      <c r="AM426" s="52"/>
      <c r="AN426" s="52"/>
      <c r="AO426" s="58"/>
      <c r="AP426" s="57"/>
      <c r="AQ426" s="52"/>
      <c r="AR426" s="52"/>
      <c r="AS426" s="58"/>
      <c r="AT426" s="57"/>
      <c r="AU426" s="52"/>
      <c r="AV426" s="52"/>
      <c r="AW426" s="58"/>
      <c r="AX426" s="33">
        <f t="shared" si="258"/>
        <v>0</v>
      </c>
      <c r="AY426" s="31">
        <f t="shared" si="259"/>
        <v>0</v>
      </c>
      <c r="AZ426" s="30">
        <f t="shared" si="260"/>
        <v>0</v>
      </c>
      <c r="BA426" s="34"/>
      <c r="BB426" s="34"/>
      <c r="BC426" s="34"/>
      <c r="BD426" s="76"/>
      <c r="BE426" s="34"/>
      <c r="BF426" s="34"/>
      <c r="BG426" s="34"/>
      <c r="BH426" s="34"/>
    </row>
    <row r="427" spans="1:60" s="17" customFormat="1" ht="19.5" customHeight="1" x14ac:dyDescent="0.35">
      <c r="A427" s="41">
        <f>A424</f>
        <v>45439</v>
      </c>
      <c r="B427" s="37" t="str">
        <f t="shared" ref="B427" si="263">B426</f>
        <v>Ense Biye</v>
      </c>
      <c r="C427" s="65">
        <f t="shared" si="256"/>
        <v>0</v>
      </c>
      <c r="D427" s="67">
        <f t="shared" si="257"/>
        <v>100</v>
      </c>
      <c r="E427" s="57"/>
      <c r="F427" s="52"/>
      <c r="G427" s="52"/>
      <c r="H427" s="58"/>
      <c r="I427" s="57"/>
      <c r="J427" s="52"/>
      <c r="K427" s="52"/>
      <c r="L427" s="58"/>
      <c r="M427" s="57"/>
      <c r="N427" s="52"/>
      <c r="O427" s="52"/>
      <c r="P427" s="58"/>
      <c r="Q427" s="57"/>
      <c r="R427" s="52"/>
      <c r="S427" s="52"/>
      <c r="T427" s="52"/>
      <c r="U427" s="58"/>
      <c r="V427" s="57"/>
      <c r="W427" s="52"/>
      <c r="X427" s="52"/>
      <c r="Y427" s="58"/>
      <c r="Z427" s="57"/>
      <c r="AA427" s="52"/>
      <c r="AB427" s="52"/>
      <c r="AC427" s="58"/>
      <c r="AD427" s="57"/>
      <c r="AE427" s="52"/>
      <c r="AF427" s="52"/>
      <c r="AG427" s="58"/>
      <c r="AH427" s="57"/>
      <c r="AI427" s="52"/>
      <c r="AJ427" s="52"/>
      <c r="AK427" s="58"/>
      <c r="AL427" s="57"/>
      <c r="AM427" s="52"/>
      <c r="AN427" s="52"/>
      <c r="AO427" s="58"/>
      <c r="AP427" s="57"/>
      <c r="AQ427" s="52"/>
      <c r="AR427" s="52"/>
      <c r="AS427" s="58"/>
      <c r="AT427" s="57"/>
      <c r="AU427" s="52"/>
      <c r="AV427" s="52"/>
      <c r="AW427" s="58"/>
      <c r="AX427" s="33">
        <f t="shared" si="258"/>
        <v>0</v>
      </c>
      <c r="AY427" s="31">
        <f t="shared" si="259"/>
        <v>0</v>
      </c>
      <c r="AZ427" s="30">
        <f t="shared" si="260"/>
        <v>0</v>
      </c>
      <c r="BA427" s="34"/>
      <c r="BB427" s="34"/>
      <c r="BC427" s="34"/>
      <c r="BD427" s="76"/>
      <c r="BE427" s="34"/>
      <c r="BF427" s="34"/>
      <c r="BG427" s="34"/>
      <c r="BH427" s="34"/>
    </row>
    <row r="428" spans="1:60" s="17" customFormat="1" ht="19.5" customHeight="1" x14ac:dyDescent="0.35">
      <c r="A428" s="41">
        <f>A427</f>
        <v>45439</v>
      </c>
      <c r="B428" s="37" t="str">
        <f t="shared" ref="B428" si="264">B427</f>
        <v>Ense Biye</v>
      </c>
      <c r="C428" s="65">
        <f t="shared" si="256"/>
        <v>0</v>
      </c>
      <c r="D428" s="67">
        <f t="shared" si="257"/>
        <v>100</v>
      </c>
      <c r="E428" s="57"/>
      <c r="F428" s="52"/>
      <c r="G428" s="52"/>
      <c r="H428" s="58"/>
      <c r="I428" s="57"/>
      <c r="J428" s="52"/>
      <c r="K428" s="52"/>
      <c r="L428" s="58"/>
      <c r="M428" s="57"/>
      <c r="N428" s="52"/>
      <c r="O428" s="52"/>
      <c r="P428" s="58"/>
      <c r="Q428" s="57"/>
      <c r="R428" s="52"/>
      <c r="S428" s="52"/>
      <c r="T428" s="52"/>
      <c r="U428" s="58"/>
      <c r="V428" s="57"/>
      <c r="W428" s="52"/>
      <c r="X428" s="52"/>
      <c r="Y428" s="58"/>
      <c r="Z428" s="57"/>
      <c r="AA428" s="52"/>
      <c r="AB428" s="52"/>
      <c r="AC428" s="58"/>
      <c r="AD428" s="57"/>
      <c r="AE428" s="52"/>
      <c r="AF428" s="52"/>
      <c r="AG428" s="58"/>
      <c r="AH428" s="57"/>
      <c r="AI428" s="52"/>
      <c r="AJ428" s="52"/>
      <c r="AK428" s="58"/>
      <c r="AL428" s="57"/>
      <c r="AM428" s="52"/>
      <c r="AN428" s="52"/>
      <c r="AO428" s="58"/>
      <c r="AP428" s="57"/>
      <c r="AQ428" s="52"/>
      <c r="AR428" s="52"/>
      <c r="AS428" s="58"/>
      <c r="AT428" s="57"/>
      <c r="AU428" s="52"/>
      <c r="AV428" s="52"/>
      <c r="AW428" s="58"/>
      <c r="AX428" s="33">
        <f t="shared" si="258"/>
        <v>0</v>
      </c>
      <c r="AY428" s="31">
        <f t="shared" si="259"/>
        <v>0</v>
      </c>
      <c r="AZ428" s="30">
        <f t="shared" si="260"/>
        <v>0</v>
      </c>
      <c r="BA428" s="34"/>
      <c r="BB428" s="34"/>
      <c r="BC428" s="34"/>
      <c r="BD428" s="76"/>
      <c r="BE428" s="34"/>
      <c r="BF428" s="34"/>
      <c r="BG428" s="34"/>
      <c r="BH428" s="34"/>
    </row>
    <row r="429" spans="1:60" s="17" customFormat="1" ht="19.5" customHeight="1" thickBot="1" x14ac:dyDescent="0.4">
      <c r="A429" s="41">
        <f>A428</f>
        <v>45439</v>
      </c>
      <c r="B429" s="37" t="str">
        <f t="shared" ref="B429" si="265">B428</f>
        <v>Ense Biye</v>
      </c>
      <c r="C429" s="65">
        <f t="shared" si="256"/>
        <v>0</v>
      </c>
      <c r="D429" s="67">
        <f t="shared" si="257"/>
        <v>100</v>
      </c>
      <c r="E429" s="59"/>
      <c r="F429" s="60"/>
      <c r="G429" s="61"/>
      <c r="H429" s="62"/>
      <c r="I429" s="59"/>
      <c r="J429" s="60"/>
      <c r="K429" s="61"/>
      <c r="L429" s="62"/>
      <c r="M429" s="59"/>
      <c r="N429" s="60"/>
      <c r="O429" s="61"/>
      <c r="P429" s="62"/>
      <c r="Q429" s="64"/>
      <c r="R429" s="61"/>
      <c r="S429" s="61"/>
      <c r="T429" s="61"/>
      <c r="U429" s="62"/>
      <c r="V429" s="59"/>
      <c r="W429" s="60"/>
      <c r="X429" s="61"/>
      <c r="Y429" s="62"/>
      <c r="Z429" s="59"/>
      <c r="AA429" s="60"/>
      <c r="AB429" s="61"/>
      <c r="AC429" s="62"/>
      <c r="AD429" s="59"/>
      <c r="AE429" s="60"/>
      <c r="AF429" s="61"/>
      <c r="AG429" s="62"/>
      <c r="AH429" s="59"/>
      <c r="AI429" s="60"/>
      <c r="AJ429" s="61"/>
      <c r="AK429" s="62"/>
      <c r="AL429" s="59"/>
      <c r="AM429" s="60"/>
      <c r="AN429" s="61"/>
      <c r="AO429" s="62"/>
      <c r="AP429" s="59"/>
      <c r="AQ429" s="60"/>
      <c r="AR429" s="61"/>
      <c r="AS429" s="62"/>
      <c r="AT429" s="59"/>
      <c r="AU429" s="60"/>
      <c r="AV429" s="61"/>
      <c r="AW429" s="62"/>
      <c r="AX429" s="33">
        <f t="shared" si="258"/>
        <v>0</v>
      </c>
      <c r="AY429" s="31">
        <f t="shared" si="259"/>
        <v>0</v>
      </c>
      <c r="AZ429" s="30">
        <f t="shared" si="260"/>
        <v>0</v>
      </c>
      <c r="BA429" s="34"/>
      <c r="BB429" s="34"/>
      <c r="BC429" s="34"/>
      <c r="BD429" s="76"/>
      <c r="BE429" s="34"/>
      <c r="BF429" s="34"/>
      <c r="BG429" s="34"/>
      <c r="BH429" s="34"/>
    </row>
    <row r="430" spans="1:60" s="17" customFormat="1" ht="19.5" customHeight="1" thickBot="1" x14ac:dyDescent="0.45">
      <c r="A430" s="41">
        <f>A429</f>
        <v>45439</v>
      </c>
      <c r="B430" s="139" t="str">
        <f>B423</f>
        <v>Ense Biye</v>
      </c>
      <c r="C430" s="140"/>
      <c r="D430" s="40">
        <f>C358/8</f>
        <v>500</v>
      </c>
      <c r="E430" s="147">
        <f>SUM(E423:H429)</f>
        <v>0</v>
      </c>
      <c r="F430" s="148"/>
      <c r="G430" s="148"/>
      <c r="H430" s="149"/>
      <c r="I430" s="147">
        <f>SUM(I423:L429)</f>
        <v>0</v>
      </c>
      <c r="J430" s="148"/>
      <c r="K430" s="148"/>
      <c r="L430" s="149"/>
      <c r="M430" s="147">
        <f>SUM(M423:P429)</f>
        <v>0</v>
      </c>
      <c r="N430" s="148"/>
      <c r="O430" s="148"/>
      <c r="P430" s="149"/>
      <c r="Q430" s="147">
        <f>SUM(Q423:U429)</f>
        <v>0</v>
      </c>
      <c r="R430" s="148"/>
      <c r="S430" s="148"/>
      <c r="T430" s="148"/>
      <c r="U430" s="149"/>
      <c r="V430" s="147">
        <f>SUM(V423:Y429)</f>
        <v>0</v>
      </c>
      <c r="W430" s="148"/>
      <c r="X430" s="148"/>
      <c r="Y430" s="149"/>
      <c r="Z430" s="147">
        <f>SUM(Z423:AC429)</f>
        <v>0</v>
      </c>
      <c r="AA430" s="148"/>
      <c r="AB430" s="148"/>
      <c r="AC430" s="149"/>
      <c r="AD430" s="147">
        <f>SUM(AD423:AG429)</f>
        <v>0</v>
      </c>
      <c r="AE430" s="148"/>
      <c r="AF430" s="148"/>
      <c r="AG430" s="149"/>
      <c r="AH430" s="147">
        <f>SUM(AH423:AK429)</f>
        <v>165</v>
      </c>
      <c r="AI430" s="148"/>
      <c r="AJ430" s="148"/>
      <c r="AK430" s="149"/>
      <c r="AL430" s="147">
        <f>SUM(AL423:AO429)</f>
        <v>245</v>
      </c>
      <c r="AM430" s="148"/>
      <c r="AN430" s="148"/>
      <c r="AO430" s="149"/>
      <c r="AP430" s="147">
        <f>SUM(AP423:AS429)</f>
        <v>0</v>
      </c>
      <c r="AQ430" s="148"/>
      <c r="AR430" s="148"/>
      <c r="AS430" s="149"/>
      <c r="AT430" s="147">
        <f>SUM(AT423:AW429)</f>
        <v>0</v>
      </c>
      <c r="AU430" s="148"/>
      <c r="AV430" s="148"/>
      <c r="AW430" s="149"/>
      <c r="AX430" s="87">
        <f>SUM(AX423:AX429)</f>
        <v>410</v>
      </c>
      <c r="AY430" s="88">
        <f>IFERROR(AVERAGEIF(E430:AV430,"&lt;&gt;0",(E430:AV430)),)</f>
        <v>205</v>
      </c>
      <c r="AZ430" s="46">
        <f>IFERROR(AX430/BB424,0)</f>
        <v>0.10249999999999999</v>
      </c>
      <c r="BA430" s="34"/>
      <c r="BB430" s="34"/>
      <c r="BC430" s="34"/>
      <c r="BD430" s="76"/>
      <c r="BE430" s="34"/>
      <c r="BF430" s="34"/>
      <c r="BG430" s="34"/>
      <c r="BH430" s="34"/>
    </row>
    <row r="431" spans="1:60" s="17" customFormat="1" ht="19.5" customHeight="1" thickBot="1" x14ac:dyDescent="0.4">
      <c r="A431" s="42">
        <f>A421</f>
        <v>45439</v>
      </c>
      <c r="B431" s="38" t="str">
        <f>B432</f>
        <v>Yaka Basma 1 Et.(Beden)</v>
      </c>
      <c r="C431" s="39" t="s">
        <v>180</v>
      </c>
      <c r="D431" s="69" t="s">
        <v>181</v>
      </c>
      <c r="E431" s="48">
        <v>0.34375</v>
      </c>
      <c r="F431" s="49">
        <v>0.35416666666666669</v>
      </c>
      <c r="G431" s="49">
        <v>0.36458333333333331</v>
      </c>
      <c r="H431" s="50">
        <v>0.375</v>
      </c>
      <c r="I431" s="48">
        <v>0.38541666666666702</v>
      </c>
      <c r="J431" s="49">
        <v>0.39583333333333298</v>
      </c>
      <c r="K431" s="49">
        <v>0.40625</v>
      </c>
      <c r="L431" s="50">
        <v>0.41666666666666702</v>
      </c>
      <c r="M431" s="48">
        <v>0.4375</v>
      </c>
      <c r="N431" s="49">
        <v>0.44791666666666702</v>
      </c>
      <c r="O431" s="49">
        <v>0.45833333333333398</v>
      </c>
      <c r="P431" s="50">
        <v>0.46875</v>
      </c>
      <c r="Q431" s="48">
        <v>0.47916666666666702</v>
      </c>
      <c r="R431" s="49">
        <v>0.48958333333333398</v>
      </c>
      <c r="S431" s="49">
        <v>0.5</v>
      </c>
      <c r="T431" s="50">
        <v>0.51041666666666696</v>
      </c>
      <c r="U431" s="51">
        <v>0.52083333333333204</v>
      </c>
      <c r="V431" s="48">
        <v>0.5625</v>
      </c>
      <c r="W431" s="49">
        <v>0.57291666666666663</v>
      </c>
      <c r="X431" s="49">
        <v>0.58333333333333304</v>
      </c>
      <c r="Y431" s="50">
        <v>0.59375</v>
      </c>
      <c r="Z431" s="48">
        <v>0.60416666666666696</v>
      </c>
      <c r="AA431" s="49">
        <v>0.61458333333333304</v>
      </c>
      <c r="AB431" s="49">
        <v>0.625</v>
      </c>
      <c r="AC431" s="50">
        <v>0.63541666666666596</v>
      </c>
      <c r="AD431" s="48">
        <v>0.65625</v>
      </c>
      <c r="AE431" s="49">
        <v>0.66666666666666663</v>
      </c>
      <c r="AF431" s="49">
        <v>0.67708333333333304</v>
      </c>
      <c r="AG431" s="50">
        <v>0.6875</v>
      </c>
      <c r="AH431" s="48">
        <v>0.69791666666666696</v>
      </c>
      <c r="AI431" s="49">
        <v>0.70833333333333304</v>
      </c>
      <c r="AJ431" s="49">
        <v>0.71875</v>
      </c>
      <c r="AK431" s="50">
        <v>0.72916666666666696</v>
      </c>
      <c r="AL431" s="48">
        <v>0.73958333333333404</v>
      </c>
      <c r="AM431" s="49">
        <v>0.750000000000001</v>
      </c>
      <c r="AN431" s="49">
        <v>0.76041666666666796</v>
      </c>
      <c r="AO431" s="50">
        <v>0.77083333333333504</v>
      </c>
      <c r="AP431" s="48">
        <v>0.781250000000002</v>
      </c>
      <c r="AQ431" s="49">
        <v>0.79166666666666896</v>
      </c>
      <c r="AR431" s="49">
        <v>0.80208333333333603</v>
      </c>
      <c r="AS431" s="50">
        <v>0.812500000000003</v>
      </c>
      <c r="AT431" s="48">
        <v>0.82291666666666996</v>
      </c>
      <c r="AU431" s="49">
        <v>0.83333333333333703</v>
      </c>
      <c r="AV431" s="49">
        <v>0.843750000000004</v>
      </c>
      <c r="AW431" s="50">
        <v>0.85416666666666663</v>
      </c>
      <c r="AX431" s="68" t="s">
        <v>260</v>
      </c>
      <c r="AY431" s="28" t="s">
        <v>261</v>
      </c>
      <c r="AZ431" s="29" t="s">
        <v>262</v>
      </c>
      <c r="BA431" s="136" t="str">
        <f>B432</f>
        <v>Yaka Basma 1 Et.(Beden)</v>
      </c>
      <c r="BB431" s="137"/>
      <c r="BC431" s="137"/>
      <c r="BD431" s="137"/>
      <c r="BE431" s="137"/>
      <c r="BF431" s="137"/>
      <c r="BG431" s="137"/>
      <c r="BH431" s="138"/>
    </row>
    <row r="432" spans="1:60" s="17" customFormat="1" ht="19.5" customHeight="1" thickBot="1" x14ac:dyDescent="0.4">
      <c r="A432" s="41">
        <f t="shared" ref="A432" si="266">A431</f>
        <v>45439</v>
      </c>
      <c r="B432" s="37" t="str">
        <f>B256</f>
        <v>Yaka Basma 1 Et.(Beden)</v>
      </c>
      <c r="C432" s="65" t="s">
        <v>90</v>
      </c>
      <c r="D432" s="70">
        <f>D256</f>
        <v>60</v>
      </c>
      <c r="E432" s="63"/>
      <c r="F432" s="55"/>
      <c r="G432" s="55"/>
      <c r="H432" s="56"/>
      <c r="I432" s="63"/>
      <c r="J432" s="55"/>
      <c r="K432" s="55"/>
      <c r="L432" s="56"/>
      <c r="M432" s="63"/>
      <c r="N432" s="55"/>
      <c r="O432" s="55"/>
      <c r="P432" s="56"/>
      <c r="Q432" s="63"/>
      <c r="R432" s="55"/>
      <c r="S432" s="55"/>
      <c r="T432" s="55"/>
      <c r="U432" s="56"/>
      <c r="V432" s="63"/>
      <c r="W432" s="55"/>
      <c r="X432" s="55"/>
      <c r="Y432" s="56"/>
      <c r="Z432" s="63"/>
      <c r="AA432" s="55"/>
      <c r="AB432" s="55"/>
      <c r="AC432" s="56"/>
      <c r="AD432" s="63"/>
      <c r="AE432" s="55"/>
      <c r="AF432" s="55"/>
      <c r="AG432" s="56"/>
      <c r="AH432" s="63"/>
      <c r="AI432" s="55"/>
      <c r="AJ432" s="55"/>
      <c r="AK432" s="56"/>
      <c r="AL432" s="63">
        <v>55</v>
      </c>
      <c r="AM432" s="55">
        <v>65</v>
      </c>
      <c r="AN432" s="55">
        <v>40</v>
      </c>
      <c r="AO432" s="56"/>
      <c r="AP432" s="63"/>
      <c r="AQ432" s="55"/>
      <c r="AR432" s="55"/>
      <c r="AS432" s="56"/>
      <c r="AT432" s="53"/>
      <c r="AU432" s="54"/>
      <c r="AV432" s="55"/>
      <c r="AW432" s="56"/>
      <c r="AX432" s="33">
        <f>SUM(E432:AW432)</f>
        <v>160</v>
      </c>
      <c r="AY432" s="31">
        <f>IFERROR(AVERAGEIF(E432:AW432,"&lt;&gt;0",(E432:AW432)),)</f>
        <v>53.333333333333336</v>
      </c>
      <c r="AZ432" s="30">
        <f>IFERROR(AY432/D432,0)</f>
        <v>0.88888888888888895</v>
      </c>
      <c r="BA432" s="103" t="s">
        <v>182</v>
      </c>
      <c r="BB432" s="100" t="s">
        <v>183</v>
      </c>
      <c r="BC432" s="100" t="s">
        <v>184</v>
      </c>
      <c r="BD432" s="101" t="s">
        <v>185</v>
      </c>
      <c r="BE432" s="100" t="s">
        <v>186</v>
      </c>
      <c r="BF432" s="102" t="s">
        <v>187</v>
      </c>
      <c r="BG432" s="100" t="s">
        <v>188</v>
      </c>
      <c r="BH432" s="102" t="s">
        <v>189</v>
      </c>
    </row>
    <row r="433" spans="1:60" s="17" customFormat="1" ht="19.5" customHeight="1" thickBot="1" x14ac:dyDescent="0.4">
      <c r="A433" s="41">
        <f t="shared" ref="A433:B433" si="267">A432</f>
        <v>45439</v>
      </c>
      <c r="B433" s="37" t="str">
        <f t="shared" si="267"/>
        <v>Yaka Basma 1 Et.(Beden)</v>
      </c>
      <c r="C433" s="65">
        <f t="shared" ref="C433:C438" si="268">C257</f>
        <v>0</v>
      </c>
      <c r="D433" s="67">
        <f t="shared" ref="D433:D438" si="269">D432</f>
        <v>60</v>
      </c>
      <c r="E433" s="57"/>
      <c r="F433" s="52"/>
      <c r="G433" s="52"/>
      <c r="H433" s="58"/>
      <c r="I433" s="57"/>
      <c r="J433" s="52"/>
      <c r="K433" s="52"/>
      <c r="L433" s="58"/>
      <c r="M433" s="57"/>
      <c r="N433" s="52"/>
      <c r="O433" s="52"/>
      <c r="P433" s="58"/>
      <c r="Q433" s="57"/>
      <c r="R433" s="52"/>
      <c r="S433" s="52"/>
      <c r="T433" s="52"/>
      <c r="U433" s="58"/>
      <c r="V433" s="57"/>
      <c r="W433" s="52"/>
      <c r="X433" s="52"/>
      <c r="Y433" s="58"/>
      <c r="Z433" s="57"/>
      <c r="AA433" s="52"/>
      <c r="AB433" s="52"/>
      <c r="AC433" s="58"/>
      <c r="AD433" s="57"/>
      <c r="AE433" s="52"/>
      <c r="AF433" s="52"/>
      <c r="AG433" s="58"/>
      <c r="AH433" s="57"/>
      <c r="AI433" s="52"/>
      <c r="AJ433" s="52"/>
      <c r="AK433" s="58"/>
      <c r="AL433" s="57"/>
      <c r="AM433" s="52"/>
      <c r="AN433" s="52"/>
      <c r="AO433" s="58"/>
      <c r="AP433" s="57"/>
      <c r="AQ433" s="52"/>
      <c r="AR433" s="52"/>
      <c r="AS433" s="58"/>
      <c r="AT433" s="57"/>
      <c r="AU433" s="52"/>
      <c r="AV433" s="52"/>
      <c r="AW433" s="58"/>
      <c r="AX433" s="33">
        <f t="shared" ref="AX433:AX438" si="270">SUM(E433:AW433)</f>
        <v>0</v>
      </c>
      <c r="AY433" s="31">
        <f t="shared" ref="AY433:AY438" si="271">IFERROR(AVERAGEIF(E433:AW433,"&lt;&gt;0",(E433:AW433)),)</f>
        <v>0</v>
      </c>
      <c r="AZ433" s="30">
        <f t="shared" ref="AZ433:AZ438" si="272">IFERROR(AY433/D433,0)</f>
        <v>0</v>
      </c>
      <c r="BA433" s="94">
        <f>AX439+BA257</f>
        <v>160</v>
      </c>
      <c r="BB433" s="95">
        <f>(D439*8)</f>
        <v>4000</v>
      </c>
      <c r="BC433" s="96">
        <f>C357-BA433</f>
        <v>42151</v>
      </c>
      <c r="BD433" s="96">
        <f>BA424-BA433</f>
        <v>250</v>
      </c>
      <c r="BE433" s="97">
        <f>IFERROR(BC433/E439,0)</f>
        <v>0</v>
      </c>
      <c r="BF433" s="98">
        <f>IFERROR(BE433/9,0)</f>
        <v>0</v>
      </c>
      <c r="BG433" s="97">
        <f>IFERROR(BC433/AY439,0)</f>
        <v>263.44375000000002</v>
      </c>
      <c r="BH433" s="97">
        <f>IFERROR(BG433/9,0)</f>
        <v>29.271527777777781</v>
      </c>
    </row>
    <row r="434" spans="1:60" s="17" customFormat="1" ht="19.5" customHeight="1" x14ac:dyDescent="0.35">
      <c r="A434" s="41">
        <f t="shared" ref="A434:B434" si="273">A433</f>
        <v>45439</v>
      </c>
      <c r="B434" s="37" t="str">
        <f t="shared" si="273"/>
        <v>Yaka Basma 1 Et.(Beden)</v>
      </c>
      <c r="C434" s="65">
        <f t="shared" si="268"/>
        <v>0</v>
      </c>
      <c r="D434" s="67">
        <f t="shared" si="269"/>
        <v>60</v>
      </c>
      <c r="E434" s="57"/>
      <c r="F434" s="52"/>
      <c r="G434" s="52"/>
      <c r="H434" s="58"/>
      <c r="I434" s="57"/>
      <c r="J434" s="52"/>
      <c r="K434" s="52"/>
      <c r="L434" s="58"/>
      <c r="M434" s="57"/>
      <c r="N434" s="52"/>
      <c r="O434" s="52"/>
      <c r="P434" s="58"/>
      <c r="Q434" s="57"/>
      <c r="R434" s="52"/>
      <c r="S434" s="52"/>
      <c r="T434" s="52"/>
      <c r="U434" s="58"/>
      <c r="V434" s="57"/>
      <c r="W434" s="52"/>
      <c r="X434" s="52"/>
      <c r="Y434" s="58"/>
      <c r="Z434" s="57"/>
      <c r="AA434" s="52"/>
      <c r="AB434" s="52"/>
      <c r="AC434" s="58"/>
      <c r="AD434" s="57"/>
      <c r="AE434" s="52"/>
      <c r="AF434" s="52"/>
      <c r="AG434" s="58"/>
      <c r="AH434" s="57"/>
      <c r="AI434" s="52"/>
      <c r="AJ434" s="52"/>
      <c r="AK434" s="58"/>
      <c r="AL434" s="57"/>
      <c r="AM434" s="52"/>
      <c r="AN434" s="52"/>
      <c r="AO434" s="58"/>
      <c r="AP434" s="57"/>
      <c r="AQ434" s="52"/>
      <c r="AR434" s="52"/>
      <c r="AS434" s="58"/>
      <c r="AT434" s="57"/>
      <c r="AU434" s="52"/>
      <c r="AV434" s="52"/>
      <c r="AW434" s="58"/>
      <c r="AX434" s="33">
        <f t="shared" si="270"/>
        <v>0</v>
      </c>
      <c r="AY434" s="31">
        <f t="shared" si="271"/>
        <v>0</v>
      </c>
      <c r="AZ434" s="30">
        <f t="shared" si="272"/>
        <v>0</v>
      </c>
      <c r="BA434" s="34"/>
      <c r="BB434" s="34"/>
      <c r="BC434" s="34"/>
      <c r="BD434" s="76"/>
      <c r="BE434" s="34"/>
      <c r="BF434" s="34"/>
      <c r="BG434" s="34"/>
      <c r="BH434" s="34"/>
    </row>
    <row r="435" spans="1:60" s="17" customFormat="1" ht="19.5" customHeight="1" x14ac:dyDescent="0.35">
      <c r="A435" s="41">
        <f t="shared" ref="A435:B435" si="274">A434</f>
        <v>45439</v>
      </c>
      <c r="B435" s="37" t="str">
        <f t="shared" si="274"/>
        <v>Yaka Basma 1 Et.(Beden)</v>
      </c>
      <c r="C435" s="65">
        <f t="shared" si="268"/>
        <v>0</v>
      </c>
      <c r="D435" s="67">
        <f t="shared" si="269"/>
        <v>60</v>
      </c>
      <c r="E435" s="57"/>
      <c r="F435" s="52"/>
      <c r="G435" s="52"/>
      <c r="H435" s="58"/>
      <c r="I435" s="57"/>
      <c r="J435" s="52"/>
      <c r="K435" s="52"/>
      <c r="L435" s="58"/>
      <c r="M435" s="57"/>
      <c r="N435" s="52"/>
      <c r="O435" s="52"/>
      <c r="P435" s="58"/>
      <c r="Q435" s="57"/>
      <c r="R435" s="52"/>
      <c r="S435" s="52"/>
      <c r="T435" s="52"/>
      <c r="U435" s="58"/>
      <c r="V435" s="57"/>
      <c r="W435" s="52"/>
      <c r="X435" s="52"/>
      <c r="Y435" s="58"/>
      <c r="Z435" s="57"/>
      <c r="AA435" s="52"/>
      <c r="AB435" s="52"/>
      <c r="AC435" s="58"/>
      <c r="AD435" s="57"/>
      <c r="AE435" s="52"/>
      <c r="AF435" s="52"/>
      <c r="AG435" s="58"/>
      <c r="AH435" s="57"/>
      <c r="AI435" s="52"/>
      <c r="AJ435" s="52"/>
      <c r="AK435" s="58"/>
      <c r="AL435" s="57"/>
      <c r="AM435" s="52"/>
      <c r="AN435" s="52"/>
      <c r="AO435" s="58"/>
      <c r="AP435" s="57"/>
      <c r="AQ435" s="52"/>
      <c r="AR435" s="52"/>
      <c r="AS435" s="58"/>
      <c r="AT435" s="57"/>
      <c r="AU435" s="52"/>
      <c r="AV435" s="52"/>
      <c r="AW435" s="58"/>
      <c r="AX435" s="33">
        <f t="shared" si="270"/>
        <v>0</v>
      </c>
      <c r="AY435" s="31">
        <f t="shared" si="271"/>
        <v>0</v>
      </c>
      <c r="AZ435" s="30">
        <f t="shared" si="272"/>
        <v>0</v>
      </c>
      <c r="BA435" s="34"/>
      <c r="BB435" s="34"/>
      <c r="BC435" s="34"/>
      <c r="BD435" s="76"/>
      <c r="BE435" s="34"/>
      <c r="BF435" s="34"/>
      <c r="BG435" s="34"/>
      <c r="BH435" s="34"/>
    </row>
    <row r="436" spans="1:60" s="17" customFormat="1" ht="19.5" customHeight="1" x14ac:dyDescent="0.35">
      <c r="A436" s="41">
        <f>A433</f>
        <v>45439</v>
      </c>
      <c r="B436" s="37" t="str">
        <f t="shared" ref="B436" si="275">B435</f>
        <v>Yaka Basma 1 Et.(Beden)</v>
      </c>
      <c r="C436" s="65">
        <f t="shared" si="268"/>
        <v>0</v>
      </c>
      <c r="D436" s="67">
        <f t="shared" si="269"/>
        <v>60</v>
      </c>
      <c r="E436" s="57"/>
      <c r="F436" s="52"/>
      <c r="G436" s="52"/>
      <c r="H436" s="58"/>
      <c r="I436" s="57"/>
      <c r="J436" s="52"/>
      <c r="K436" s="52"/>
      <c r="L436" s="58"/>
      <c r="M436" s="57"/>
      <c r="N436" s="52"/>
      <c r="O436" s="52"/>
      <c r="P436" s="58"/>
      <c r="Q436" s="57"/>
      <c r="R436" s="52"/>
      <c r="S436" s="52"/>
      <c r="T436" s="52"/>
      <c r="U436" s="58"/>
      <c r="V436" s="57"/>
      <c r="W436" s="52"/>
      <c r="X436" s="52"/>
      <c r="Y436" s="58"/>
      <c r="Z436" s="57"/>
      <c r="AA436" s="52"/>
      <c r="AB436" s="52"/>
      <c r="AC436" s="58"/>
      <c r="AD436" s="57"/>
      <c r="AE436" s="52"/>
      <c r="AF436" s="52"/>
      <c r="AG436" s="58"/>
      <c r="AH436" s="57"/>
      <c r="AI436" s="52"/>
      <c r="AJ436" s="52"/>
      <c r="AK436" s="58"/>
      <c r="AL436" s="57"/>
      <c r="AM436" s="52"/>
      <c r="AN436" s="52"/>
      <c r="AO436" s="58"/>
      <c r="AP436" s="57"/>
      <c r="AQ436" s="52"/>
      <c r="AR436" s="52"/>
      <c r="AS436" s="58"/>
      <c r="AT436" s="57"/>
      <c r="AU436" s="52"/>
      <c r="AV436" s="52"/>
      <c r="AW436" s="58"/>
      <c r="AX436" s="33">
        <f t="shared" si="270"/>
        <v>0</v>
      </c>
      <c r="AY436" s="31">
        <f t="shared" si="271"/>
        <v>0</v>
      </c>
      <c r="AZ436" s="30">
        <f t="shared" si="272"/>
        <v>0</v>
      </c>
      <c r="BA436" s="34"/>
      <c r="BB436" s="34"/>
      <c r="BC436" s="34"/>
      <c r="BD436" s="76"/>
      <c r="BE436" s="34"/>
      <c r="BF436" s="34"/>
      <c r="BG436" s="34"/>
      <c r="BH436" s="34"/>
    </row>
    <row r="437" spans="1:60" s="17" customFormat="1" ht="19.5" customHeight="1" x14ac:dyDescent="0.35">
      <c r="A437" s="41">
        <f t="shared" ref="A437:B437" si="276">A436</f>
        <v>45439</v>
      </c>
      <c r="B437" s="37" t="str">
        <f t="shared" si="276"/>
        <v>Yaka Basma 1 Et.(Beden)</v>
      </c>
      <c r="C437" s="65">
        <f t="shared" si="268"/>
        <v>0</v>
      </c>
      <c r="D437" s="67">
        <f t="shared" si="269"/>
        <v>60</v>
      </c>
      <c r="E437" s="57"/>
      <c r="F437" s="52"/>
      <c r="G437" s="52"/>
      <c r="H437" s="58"/>
      <c r="I437" s="57"/>
      <c r="J437" s="52"/>
      <c r="K437" s="52"/>
      <c r="L437" s="58"/>
      <c r="M437" s="57"/>
      <c r="N437" s="52"/>
      <c r="O437" s="52"/>
      <c r="P437" s="58"/>
      <c r="Q437" s="57"/>
      <c r="R437" s="52"/>
      <c r="S437" s="52"/>
      <c r="T437" s="52"/>
      <c r="U437" s="58"/>
      <c r="V437" s="57"/>
      <c r="W437" s="52"/>
      <c r="X437" s="52"/>
      <c r="Y437" s="58"/>
      <c r="Z437" s="57"/>
      <c r="AA437" s="52"/>
      <c r="AB437" s="52"/>
      <c r="AC437" s="58"/>
      <c r="AD437" s="57"/>
      <c r="AE437" s="52"/>
      <c r="AF437" s="52"/>
      <c r="AG437" s="58"/>
      <c r="AH437" s="57"/>
      <c r="AI437" s="52"/>
      <c r="AJ437" s="52"/>
      <c r="AK437" s="58"/>
      <c r="AL437" s="57"/>
      <c r="AM437" s="52"/>
      <c r="AN437" s="52"/>
      <c r="AO437" s="58"/>
      <c r="AP437" s="57"/>
      <c r="AQ437" s="52"/>
      <c r="AR437" s="52"/>
      <c r="AS437" s="58"/>
      <c r="AT437" s="57"/>
      <c r="AU437" s="52"/>
      <c r="AV437" s="52"/>
      <c r="AW437" s="58"/>
      <c r="AX437" s="33">
        <f t="shared" si="270"/>
        <v>0</v>
      </c>
      <c r="AY437" s="31">
        <f t="shared" si="271"/>
        <v>0</v>
      </c>
      <c r="AZ437" s="30">
        <f t="shared" si="272"/>
        <v>0</v>
      </c>
      <c r="BA437" s="34"/>
      <c r="BB437" s="34"/>
      <c r="BC437" s="34"/>
      <c r="BD437" s="76"/>
      <c r="BE437" s="34"/>
      <c r="BF437" s="34"/>
      <c r="BG437" s="34"/>
      <c r="BH437" s="34"/>
    </row>
    <row r="438" spans="1:60" s="17" customFormat="1" ht="19.5" customHeight="1" thickBot="1" x14ac:dyDescent="0.4">
      <c r="A438" s="41">
        <f t="shared" ref="A438:B438" si="277">A437</f>
        <v>45439</v>
      </c>
      <c r="B438" s="37" t="str">
        <f t="shared" si="277"/>
        <v>Yaka Basma 1 Et.(Beden)</v>
      </c>
      <c r="C438" s="65">
        <f t="shared" si="268"/>
        <v>0</v>
      </c>
      <c r="D438" s="67">
        <f t="shared" si="269"/>
        <v>60</v>
      </c>
      <c r="E438" s="59"/>
      <c r="F438" s="60"/>
      <c r="G438" s="61"/>
      <c r="H438" s="62"/>
      <c r="I438" s="59"/>
      <c r="J438" s="60"/>
      <c r="K438" s="61"/>
      <c r="L438" s="62"/>
      <c r="M438" s="59"/>
      <c r="N438" s="60"/>
      <c r="O438" s="61"/>
      <c r="P438" s="62"/>
      <c r="Q438" s="64"/>
      <c r="R438" s="61"/>
      <c r="S438" s="61"/>
      <c r="T438" s="61"/>
      <c r="U438" s="62"/>
      <c r="V438" s="59"/>
      <c r="W438" s="60"/>
      <c r="X438" s="61"/>
      <c r="Y438" s="62"/>
      <c r="Z438" s="59"/>
      <c r="AA438" s="60"/>
      <c r="AB438" s="61"/>
      <c r="AC438" s="62"/>
      <c r="AD438" s="59"/>
      <c r="AE438" s="60"/>
      <c r="AF438" s="61"/>
      <c r="AG438" s="62"/>
      <c r="AH438" s="59"/>
      <c r="AI438" s="60"/>
      <c r="AJ438" s="61"/>
      <c r="AK438" s="62"/>
      <c r="AL438" s="59"/>
      <c r="AM438" s="60"/>
      <c r="AN438" s="61"/>
      <c r="AO438" s="62"/>
      <c r="AP438" s="59"/>
      <c r="AQ438" s="60"/>
      <c r="AR438" s="61"/>
      <c r="AS438" s="62"/>
      <c r="AT438" s="59"/>
      <c r="AU438" s="60"/>
      <c r="AV438" s="61"/>
      <c r="AW438" s="62"/>
      <c r="AX438" s="33">
        <f t="shared" si="270"/>
        <v>0</v>
      </c>
      <c r="AY438" s="31">
        <f t="shared" si="271"/>
        <v>0</v>
      </c>
      <c r="AZ438" s="30">
        <f t="shared" si="272"/>
        <v>0</v>
      </c>
      <c r="BA438" s="34"/>
      <c r="BB438" s="34"/>
      <c r="BC438" s="34"/>
      <c r="BD438" s="76"/>
      <c r="BE438" s="34"/>
      <c r="BF438" s="34"/>
      <c r="BG438" s="34"/>
      <c r="BH438" s="34"/>
    </row>
    <row r="439" spans="1:60" s="17" customFormat="1" ht="19.5" customHeight="1" thickBot="1" x14ac:dyDescent="0.45">
      <c r="A439" s="41">
        <f t="shared" ref="A439" si="278">A438</f>
        <v>45439</v>
      </c>
      <c r="B439" s="139" t="str">
        <f>B432</f>
        <v>Yaka Basma 1 Et.(Beden)</v>
      </c>
      <c r="C439" s="140"/>
      <c r="D439" s="40">
        <f>C358/8</f>
        <v>500</v>
      </c>
      <c r="E439" s="147">
        <f>SUM(E432:H438)</f>
        <v>0</v>
      </c>
      <c r="F439" s="148"/>
      <c r="G439" s="148"/>
      <c r="H439" s="149"/>
      <c r="I439" s="147">
        <f>SUM(I432:L438)</f>
        <v>0</v>
      </c>
      <c r="J439" s="148"/>
      <c r="K439" s="148"/>
      <c r="L439" s="149"/>
      <c r="M439" s="147">
        <f>SUM(M432:P438)</f>
        <v>0</v>
      </c>
      <c r="N439" s="148"/>
      <c r="O439" s="148"/>
      <c r="P439" s="149"/>
      <c r="Q439" s="147">
        <f>SUM(Q432:U438)</f>
        <v>0</v>
      </c>
      <c r="R439" s="148"/>
      <c r="S439" s="148"/>
      <c r="T439" s="148"/>
      <c r="U439" s="149"/>
      <c r="V439" s="147">
        <f>SUM(V432:Y438)</f>
        <v>0</v>
      </c>
      <c r="W439" s="148"/>
      <c r="X439" s="148"/>
      <c r="Y439" s="149"/>
      <c r="Z439" s="147">
        <f>SUM(Z432:AC438)</f>
        <v>0</v>
      </c>
      <c r="AA439" s="148"/>
      <c r="AB439" s="148"/>
      <c r="AC439" s="149"/>
      <c r="AD439" s="147">
        <f>SUM(AD432:AG438)</f>
        <v>0</v>
      </c>
      <c r="AE439" s="148"/>
      <c r="AF439" s="148"/>
      <c r="AG439" s="149"/>
      <c r="AH439" s="147">
        <f>SUM(AH432:AK438)</f>
        <v>0</v>
      </c>
      <c r="AI439" s="148"/>
      <c r="AJ439" s="148"/>
      <c r="AK439" s="149"/>
      <c r="AL439" s="147">
        <f>SUM(AL432:AO438)</f>
        <v>160</v>
      </c>
      <c r="AM439" s="148"/>
      <c r="AN439" s="148"/>
      <c r="AO439" s="149"/>
      <c r="AP439" s="147">
        <f>SUM(AP432:AS438)</f>
        <v>0</v>
      </c>
      <c r="AQ439" s="148"/>
      <c r="AR439" s="148"/>
      <c r="AS439" s="149"/>
      <c r="AT439" s="147">
        <f>SUM(AT432:AW438)</f>
        <v>0</v>
      </c>
      <c r="AU439" s="148"/>
      <c r="AV439" s="148"/>
      <c r="AW439" s="149"/>
      <c r="AX439" s="87">
        <f>SUM(AX432:AX438)</f>
        <v>160</v>
      </c>
      <c r="AY439" s="88">
        <f>IFERROR(AVERAGEIF(E439:AV439,"&lt;&gt;0",(E439:AV439)),)</f>
        <v>160</v>
      </c>
      <c r="AZ439" s="46">
        <f>IFERROR(AX439/BB433,0)</f>
        <v>0.04</v>
      </c>
      <c r="BA439" s="34"/>
      <c r="BB439" s="34"/>
      <c r="BC439" s="34"/>
      <c r="BD439" s="76"/>
      <c r="BE439" s="34"/>
      <c r="BF439" s="34"/>
      <c r="BG439" s="34"/>
      <c r="BH439" s="34"/>
    </row>
    <row r="440" spans="1:60" s="17" customFormat="1" ht="19.5" customHeight="1" thickBot="1" x14ac:dyDescent="0.4">
      <c r="A440" s="42">
        <f>A431</f>
        <v>45439</v>
      </c>
      <c r="B440" s="38" t="str">
        <f>B441</f>
        <v>Yaka Çıma</v>
      </c>
      <c r="C440" s="39" t="s">
        <v>180</v>
      </c>
      <c r="D440" s="69" t="s">
        <v>181</v>
      </c>
      <c r="E440" s="48">
        <v>0.34375</v>
      </c>
      <c r="F440" s="49">
        <v>0.35416666666666669</v>
      </c>
      <c r="G440" s="49">
        <v>0.36458333333333331</v>
      </c>
      <c r="H440" s="50">
        <v>0.375</v>
      </c>
      <c r="I440" s="48">
        <v>0.38541666666666702</v>
      </c>
      <c r="J440" s="49">
        <v>0.39583333333333298</v>
      </c>
      <c r="K440" s="49">
        <v>0.40625</v>
      </c>
      <c r="L440" s="50">
        <v>0.41666666666666702</v>
      </c>
      <c r="M440" s="48">
        <v>0.4375</v>
      </c>
      <c r="N440" s="49">
        <v>0.44791666666666702</v>
      </c>
      <c r="O440" s="49">
        <v>0.45833333333333398</v>
      </c>
      <c r="P440" s="50">
        <v>0.46875</v>
      </c>
      <c r="Q440" s="48">
        <v>0.47916666666666702</v>
      </c>
      <c r="R440" s="49">
        <v>0.48958333333333398</v>
      </c>
      <c r="S440" s="49">
        <v>0.5</v>
      </c>
      <c r="T440" s="50">
        <v>0.51041666666666696</v>
      </c>
      <c r="U440" s="51">
        <v>0.52083333333333204</v>
      </c>
      <c r="V440" s="48">
        <v>0.5625</v>
      </c>
      <c r="W440" s="49">
        <v>0.57291666666666663</v>
      </c>
      <c r="X440" s="49">
        <v>0.58333333333333304</v>
      </c>
      <c r="Y440" s="50">
        <v>0.59375</v>
      </c>
      <c r="Z440" s="48">
        <v>0.60416666666666696</v>
      </c>
      <c r="AA440" s="49">
        <v>0.61458333333333304</v>
      </c>
      <c r="AB440" s="49">
        <v>0.625</v>
      </c>
      <c r="AC440" s="50">
        <v>0.63541666666666596</v>
      </c>
      <c r="AD440" s="48">
        <v>0.65625</v>
      </c>
      <c r="AE440" s="49">
        <v>0.66666666666666663</v>
      </c>
      <c r="AF440" s="49">
        <v>0.67708333333333304</v>
      </c>
      <c r="AG440" s="50">
        <v>0.6875</v>
      </c>
      <c r="AH440" s="48">
        <v>0.69791666666666696</v>
      </c>
      <c r="AI440" s="49">
        <v>0.70833333333333304</v>
      </c>
      <c r="AJ440" s="49">
        <v>0.71875</v>
      </c>
      <c r="AK440" s="50">
        <v>0.72916666666666696</v>
      </c>
      <c r="AL440" s="48">
        <v>0.73958333333333404</v>
      </c>
      <c r="AM440" s="49">
        <v>0.750000000000001</v>
      </c>
      <c r="AN440" s="49">
        <v>0.76041666666666796</v>
      </c>
      <c r="AO440" s="50">
        <v>0.77083333333333504</v>
      </c>
      <c r="AP440" s="48">
        <v>0.781250000000002</v>
      </c>
      <c r="AQ440" s="49">
        <v>0.79166666666666896</v>
      </c>
      <c r="AR440" s="49">
        <v>0.80208333333333603</v>
      </c>
      <c r="AS440" s="50">
        <v>0.812500000000003</v>
      </c>
      <c r="AT440" s="48">
        <v>0.82291666666666996</v>
      </c>
      <c r="AU440" s="49">
        <v>0.83333333333333703</v>
      </c>
      <c r="AV440" s="49">
        <v>0.843750000000004</v>
      </c>
      <c r="AW440" s="50">
        <v>0.85416666666666663</v>
      </c>
      <c r="AX440" s="68" t="s">
        <v>260</v>
      </c>
      <c r="AY440" s="28" t="s">
        <v>261</v>
      </c>
      <c r="AZ440" s="29" t="s">
        <v>262</v>
      </c>
      <c r="BA440" s="136" t="str">
        <f>B441</f>
        <v>Yaka Çıma</v>
      </c>
      <c r="BB440" s="137"/>
      <c r="BC440" s="137"/>
      <c r="BD440" s="137"/>
      <c r="BE440" s="137"/>
      <c r="BF440" s="137"/>
      <c r="BG440" s="137"/>
      <c r="BH440" s="138"/>
    </row>
    <row r="441" spans="1:60" s="17" customFormat="1" ht="19.5" customHeight="1" thickBot="1" x14ac:dyDescent="0.4">
      <c r="A441" s="41">
        <f t="shared" ref="A441" si="279">A440</f>
        <v>45439</v>
      </c>
      <c r="B441" s="37" t="str">
        <f>B265</f>
        <v>Yaka Çıma</v>
      </c>
      <c r="C441" s="65">
        <f>C265</f>
        <v>0</v>
      </c>
      <c r="D441" s="70">
        <f>D265</f>
        <v>120</v>
      </c>
      <c r="E441" s="63"/>
      <c r="F441" s="55"/>
      <c r="G441" s="55"/>
      <c r="H441" s="56"/>
      <c r="I441" s="63"/>
      <c r="J441" s="55"/>
      <c r="K441" s="55"/>
      <c r="L441" s="56"/>
      <c r="M441" s="63"/>
      <c r="N441" s="55"/>
      <c r="O441" s="55"/>
      <c r="P441" s="56"/>
      <c r="Q441" s="63"/>
      <c r="R441" s="55"/>
      <c r="S441" s="55"/>
      <c r="T441" s="55"/>
      <c r="U441" s="56"/>
      <c r="V441" s="63"/>
      <c r="W441" s="55"/>
      <c r="X441" s="55"/>
      <c r="Y441" s="56"/>
      <c r="Z441" s="63"/>
      <c r="AA441" s="55"/>
      <c r="AB441" s="55"/>
      <c r="AC441" s="56"/>
      <c r="AD441" s="63"/>
      <c r="AE441" s="55"/>
      <c r="AF441" s="55"/>
      <c r="AG441" s="56"/>
      <c r="AH441" s="63"/>
      <c r="AI441" s="55"/>
      <c r="AJ441" s="55"/>
      <c r="AK441" s="56"/>
      <c r="AL441" s="63"/>
      <c r="AM441" s="55"/>
      <c r="AN441" s="55"/>
      <c r="AO441" s="56"/>
      <c r="AP441" s="63"/>
      <c r="AQ441" s="55"/>
      <c r="AR441" s="55"/>
      <c r="AS441" s="56"/>
      <c r="AT441" s="53"/>
      <c r="AU441" s="54"/>
      <c r="AV441" s="55"/>
      <c r="AW441" s="56"/>
      <c r="AX441" s="33">
        <f>SUM(E441:AW441)</f>
        <v>0</v>
      </c>
      <c r="AY441" s="31">
        <f>IFERROR(AVERAGEIF(E441:AW441,"&lt;&gt;0",(E441:AW441)),)</f>
        <v>0</v>
      </c>
      <c r="AZ441" s="30">
        <f>IFERROR(AY441/D441,0)</f>
        <v>0</v>
      </c>
      <c r="BA441" s="103" t="s">
        <v>182</v>
      </c>
      <c r="BB441" s="100" t="s">
        <v>183</v>
      </c>
      <c r="BC441" s="100" t="s">
        <v>184</v>
      </c>
      <c r="BD441" s="101" t="s">
        <v>185</v>
      </c>
      <c r="BE441" s="100" t="s">
        <v>186</v>
      </c>
      <c r="BF441" s="102" t="s">
        <v>187</v>
      </c>
      <c r="BG441" s="100" t="s">
        <v>188</v>
      </c>
      <c r="BH441" s="102" t="s">
        <v>189</v>
      </c>
    </row>
    <row r="442" spans="1:60" s="17" customFormat="1" ht="19.5" customHeight="1" thickBot="1" x14ac:dyDescent="0.4">
      <c r="A442" s="41">
        <f t="shared" ref="A442:B442" si="280">A441</f>
        <v>45439</v>
      </c>
      <c r="B442" s="37" t="str">
        <f t="shared" si="280"/>
        <v>Yaka Çıma</v>
      </c>
      <c r="C442" s="65">
        <f t="shared" ref="C442:C447" si="281">C266</f>
        <v>0</v>
      </c>
      <c r="D442" s="67">
        <f t="shared" ref="D442:D447" si="282">D441</f>
        <v>120</v>
      </c>
      <c r="E442" s="57"/>
      <c r="F442" s="52"/>
      <c r="G442" s="52"/>
      <c r="H442" s="58"/>
      <c r="I442" s="57"/>
      <c r="J442" s="52"/>
      <c r="K442" s="52"/>
      <c r="L442" s="58"/>
      <c r="M442" s="57"/>
      <c r="N442" s="52"/>
      <c r="O442" s="52"/>
      <c r="P442" s="58"/>
      <c r="Q442" s="57"/>
      <c r="R442" s="52"/>
      <c r="S442" s="52"/>
      <c r="T442" s="52"/>
      <c r="U442" s="58"/>
      <c r="V442" s="57"/>
      <c r="W442" s="52"/>
      <c r="X442" s="52"/>
      <c r="Y442" s="58"/>
      <c r="Z442" s="57"/>
      <c r="AA442" s="52"/>
      <c r="AB442" s="52"/>
      <c r="AC442" s="58"/>
      <c r="AD442" s="57"/>
      <c r="AE442" s="52"/>
      <c r="AF442" s="52"/>
      <c r="AG442" s="58"/>
      <c r="AH442" s="57"/>
      <c r="AI442" s="52"/>
      <c r="AJ442" s="52"/>
      <c r="AK442" s="58"/>
      <c r="AL442" s="57"/>
      <c r="AM442" s="52"/>
      <c r="AN442" s="52"/>
      <c r="AO442" s="58"/>
      <c r="AP442" s="57"/>
      <c r="AQ442" s="52"/>
      <c r="AR442" s="52"/>
      <c r="AS442" s="58"/>
      <c r="AT442" s="57"/>
      <c r="AU442" s="52"/>
      <c r="AV442" s="52"/>
      <c r="AW442" s="58"/>
      <c r="AX442" s="33">
        <f t="shared" ref="AX442:AX447" si="283">SUM(E442:AW442)</f>
        <v>0</v>
      </c>
      <c r="AY442" s="31">
        <f t="shared" ref="AY442:AY447" si="284">IFERROR(AVERAGEIF(E442:AW442,"&lt;&gt;0",(E442:AW442)),)</f>
        <v>0</v>
      </c>
      <c r="AZ442" s="30">
        <f t="shared" ref="AZ442:AZ447" si="285">IFERROR(AY442/D442,0)</f>
        <v>0</v>
      </c>
      <c r="BA442" s="94">
        <f>AX448+BA266</f>
        <v>0</v>
      </c>
      <c r="BB442" s="95">
        <f>(D448*8)</f>
        <v>4000</v>
      </c>
      <c r="BC442" s="96">
        <f>C357-BA442</f>
        <v>42311</v>
      </c>
      <c r="BD442" s="96">
        <f>BA433-BA442</f>
        <v>160</v>
      </c>
      <c r="BE442" s="97">
        <f>IFERROR(BC442/E448,0)</f>
        <v>0</v>
      </c>
      <c r="BF442" s="98">
        <f>IFERROR(BE442/9,0)</f>
        <v>0</v>
      </c>
      <c r="BG442" s="97">
        <f>IFERROR(BC442/AY448,0)</f>
        <v>0</v>
      </c>
      <c r="BH442" s="97">
        <f>IFERROR(BG442/9,0)</f>
        <v>0</v>
      </c>
    </row>
    <row r="443" spans="1:60" s="17" customFormat="1" ht="19.5" customHeight="1" x14ac:dyDescent="0.35">
      <c r="A443" s="41">
        <f t="shared" ref="A443:B443" si="286">A442</f>
        <v>45439</v>
      </c>
      <c r="B443" s="37" t="str">
        <f t="shared" si="286"/>
        <v>Yaka Çıma</v>
      </c>
      <c r="C443" s="65">
        <f t="shared" si="281"/>
        <v>0</v>
      </c>
      <c r="D443" s="67">
        <f t="shared" si="282"/>
        <v>120</v>
      </c>
      <c r="E443" s="57"/>
      <c r="F443" s="52"/>
      <c r="G443" s="52"/>
      <c r="H443" s="58"/>
      <c r="I443" s="57"/>
      <c r="J443" s="52"/>
      <c r="K443" s="52"/>
      <c r="L443" s="58"/>
      <c r="M443" s="57"/>
      <c r="N443" s="52"/>
      <c r="O443" s="52"/>
      <c r="P443" s="58"/>
      <c r="Q443" s="57"/>
      <c r="R443" s="52"/>
      <c r="S443" s="52"/>
      <c r="T443" s="52"/>
      <c r="U443" s="58"/>
      <c r="V443" s="57"/>
      <c r="W443" s="52"/>
      <c r="X443" s="52"/>
      <c r="Y443" s="58"/>
      <c r="Z443" s="57"/>
      <c r="AA443" s="52"/>
      <c r="AB443" s="52"/>
      <c r="AC443" s="58"/>
      <c r="AD443" s="57"/>
      <c r="AE443" s="52"/>
      <c r="AF443" s="52"/>
      <c r="AG443" s="58"/>
      <c r="AH443" s="57"/>
      <c r="AI443" s="52"/>
      <c r="AJ443" s="52"/>
      <c r="AK443" s="58"/>
      <c r="AL443" s="57"/>
      <c r="AM443" s="52"/>
      <c r="AN443" s="52"/>
      <c r="AO443" s="58"/>
      <c r="AP443" s="57"/>
      <c r="AQ443" s="52"/>
      <c r="AR443" s="52"/>
      <c r="AS443" s="58"/>
      <c r="AT443" s="57"/>
      <c r="AU443" s="52"/>
      <c r="AV443" s="52"/>
      <c r="AW443" s="58"/>
      <c r="AX443" s="33">
        <f t="shared" si="283"/>
        <v>0</v>
      </c>
      <c r="AY443" s="31">
        <f t="shared" si="284"/>
        <v>0</v>
      </c>
      <c r="AZ443" s="30">
        <f t="shared" si="285"/>
        <v>0</v>
      </c>
      <c r="BA443" s="34"/>
      <c r="BB443" s="34"/>
      <c r="BC443" s="34"/>
      <c r="BD443" s="76"/>
      <c r="BE443" s="34"/>
      <c r="BF443" s="34"/>
      <c r="BG443" s="34"/>
      <c r="BH443" s="34"/>
    </row>
    <row r="444" spans="1:60" s="17" customFormat="1" ht="19.5" customHeight="1" x14ac:dyDescent="0.35">
      <c r="A444" s="41">
        <f t="shared" ref="A444:B444" si="287">A443</f>
        <v>45439</v>
      </c>
      <c r="B444" s="37" t="str">
        <f t="shared" si="287"/>
        <v>Yaka Çıma</v>
      </c>
      <c r="C444" s="65">
        <f t="shared" si="281"/>
        <v>0</v>
      </c>
      <c r="D444" s="67">
        <f t="shared" si="282"/>
        <v>120</v>
      </c>
      <c r="E444" s="57"/>
      <c r="F444" s="52"/>
      <c r="G444" s="52"/>
      <c r="H444" s="58"/>
      <c r="I444" s="57"/>
      <c r="J444" s="52"/>
      <c r="K444" s="52"/>
      <c r="L444" s="58"/>
      <c r="M444" s="57"/>
      <c r="N444" s="52"/>
      <c r="O444" s="52"/>
      <c r="P444" s="58"/>
      <c r="Q444" s="57"/>
      <c r="R444" s="52"/>
      <c r="S444" s="52"/>
      <c r="T444" s="52"/>
      <c r="U444" s="58"/>
      <c r="V444" s="57"/>
      <c r="W444" s="52"/>
      <c r="X444" s="52"/>
      <c r="Y444" s="58"/>
      <c r="Z444" s="57"/>
      <c r="AA444" s="52"/>
      <c r="AB444" s="52"/>
      <c r="AC444" s="58"/>
      <c r="AD444" s="57"/>
      <c r="AE444" s="52"/>
      <c r="AF444" s="52"/>
      <c r="AG444" s="58"/>
      <c r="AH444" s="57"/>
      <c r="AI444" s="52"/>
      <c r="AJ444" s="52"/>
      <c r="AK444" s="58"/>
      <c r="AL444" s="57"/>
      <c r="AM444" s="52"/>
      <c r="AN444" s="52"/>
      <c r="AO444" s="58"/>
      <c r="AP444" s="57"/>
      <c r="AQ444" s="52"/>
      <c r="AR444" s="52"/>
      <c r="AS444" s="58"/>
      <c r="AT444" s="57"/>
      <c r="AU444" s="52"/>
      <c r="AV444" s="52"/>
      <c r="AW444" s="58"/>
      <c r="AX444" s="33">
        <f t="shared" si="283"/>
        <v>0</v>
      </c>
      <c r="AY444" s="31">
        <f t="shared" si="284"/>
        <v>0</v>
      </c>
      <c r="AZ444" s="30">
        <f t="shared" si="285"/>
        <v>0</v>
      </c>
      <c r="BA444" s="34"/>
      <c r="BB444" s="34"/>
      <c r="BC444" s="34"/>
      <c r="BD444" s="76"/>
      <c r="BE444" s="34"/>
      <c r="BF444" s="34"/>
      <c r="BG444" s="34"/>
      <c r="BH444" s="34"/>
    </row>
    <row r="445" spans="1:60" s="17" customFormat="1" ht="19.5" customHeight="1" x14ac:dyDescent="0.35">
      <c r="A445" s="41">
        <f>A442</f>
        <v>45439</v>
      </c>
      <c r="B445" s="37" t="str">
        <f t="shared" ref="B445" si="288">B444</f>
        <v>Yaka Çıma</v>
      </c>
      <c r="C445" s="65">
        <f t="shared" si="281"/>
        <v>0</v>
      </c>
      <c r="D445" s="67">
        <f t="shared" si="282"/>
        <v>120</v>
      </c>
      <c r="E445" s="57"/>
      <c r="F445" s="52"/>
      <c r="G445" s="52"/>
      <c r="H445" s="58"/>
      <c r="I445" s="57"/>
      <c r="J445" s="52"/>
      <c r="K445" s="52"/>
      <c r="L445" s="58"/>
      <c r="M445" s="57"/>
      <c r="N445" s="52"/>
      <c r="O445" s="52"/>
      <c r="P445" s="58"/>
      <c r="Q445" s="57"/>
      <c r="R445" s="52"/>
      <c r="S445" s="52"/>
      <c r="T445" s="52"/>
      <c r="U445" s="58"/>
      <c r="V445" s="57"/>
      <c r="W445" s="52"/>
      <c r="X445" s="52"/>
      <c r="Y445" s="58"/>
      <c r="Z445" s="57"/>
      <c r="AA445" s="52"/>
      <c r="AB445" s="52"/>
      <c r="AC445" s="58"/>
      <c r="AD445" s="57"/>
      <c r="AE445" s="52"/>
      <c r="AF445" s="52"/>
      <c r="AG445" s="58"/>
      <c r="AH445" s="57"/>
      <c r="AI445" s="52"/>
      <c r="AJ445" s="52"/>
      <c r="AK445" s="58"/>
      <c r="AL445" s="57"/>
      <c r="AM445" s="52"/>
      <c r="AN445" s="52"/>
      <c r="AO445" s="58"/>
      <c r="AP445" s="57"/>
      <c r="AQ445" s="52"/>
      <c r="AR445" s="52"/>
      <c r="AS445" s="58"/>
      <c r="AT445" s="57"/>
      <c r="AU445" s="52"/>
      <c r="AV445" s="52"/>
      <c r="AW445" s="58"/>
      <c r="AX445" s="33">
        <f t="shared" si="283"/>
        <v>0</v>
      </c>
      <c r="AY445" s="31">
        <f t="shared" si="284"/>
        <v>0</v>
      </c>
      <c r="AZ445" s="30">
        <f t="shared" si="285"/>
        <v>0</v>
      </c>
      <c r="BA445" s="34"/>
      <c r="BB445" s="34"/>
      <c r="BC445" s="34"/>
      <c r="BD445" s="76"/>
      <c r="BE445" s="34"/>
      <c r="BF445" s="34"/>
      <c r="BG445" s="34"/>
      <c r="BH445" s="34"/>
    </row>
    <row r="446" spans="1:60" s="17" customFormat="1" ht="19.5" customHeight="1" x14ac:dyDescent="0.35">
      <c r="A446" s="41">
        <f t="shared" ref="A446:B446" si="289">A445</f>
        <v>45439</v>
      </c>
      <c r="B446" s="37" t="str">
        <f t="shared" si="289"/>
        <v>Yaka Çıma</v>
      </c>
      <c r="C446" s="65">
        <f t="shared" si="281"/>
        <v>0</v>
      </c>
      <c r="D446" s="67">
        <f t="shared" si="282"/>
        <v>120</v>
      </c>
      <c r="E446" s="57"/>
      <c r="F446" s="52"/>
      <c r="G446" s="52"/>
      <c r="H446" s="58"/>
      <c r="I446" s="57"/>
      <c r="J446" s="52"/>
      <c r="K446" s="52"/>
      <c r="L446" s="58"/>
      <c r="M446" s="57"/>
      <c r="N446" s="52"/>
      <c r="O446" s="52"/>
      <c r="P446" s="58"/>
      <c r="Q446" s="57"/>
      <c r="R446" s="52"/>
      <c r="S446" s="52"/>
      <c r="T446" s="52"/>
      <c r="U446" s="58"/>
      <c r="V446" s="57"/>
      <c r="W446" s="52"/>
      <c r="X446" s="52"/>
      <c r="Y446" s="58"/>
      <c r="Z446" s="57"/>
      <c r="AA446" s="52"/>
      <c r="AB446" s="52"/>
      <c r="AC446" s="58"/>
      <c r="AD446" s="57"/>
      <c r="AE446" s="52"/>
      <c r="AF446" s="52"/>
      <c r="AG446" s="58"/>
      <c r="AH446" s="57"/>
      <c r="AI446" s="52"/>
      <c r="AJ446" s="52"/>
      <c r="AK446" s="58"/>
      <c r="AL446" s="57"/>
      <c r="AM446" s="52"/>
      <c r="AN446" s="52"/>
      <c r="AO446" s="58"/>
      <c r="AP446" s="57"/>
      <c r="AQ446" s="52"/>
      <c r="AR446" s="52"/>
      <c r="AS446" s="58"/>
      <c r="AT446" s="57"/>
      <c r="AU446" s="52"/>
      <c r="AV446" s="52"/>
      <c r="AW446" s="58"/>
      <c r="AX446" s="33">
        <f t="shared" si="283"/>
        <v>0</v>
      </c>
      <c r="AY446" s="31">
        <f t="shared" si="284"/>
        <v>0</v>
      </c>
      <c r="AZ446" s="30">
        <f t="shared" si="285"/>
        <v>0</v>
      </c>
      <c r="BA446" s="34"/>
      <c r="BB446" s="34"/>
      <c r="BC446" s="34"/>
      <c r="BD446" s="76"/>
      <c r="BE446" s="34"/>
      <c r="BF446" s="34"/>
      <c r="BG446" s="34"/>
      <c r="BH446" s="34"/>
    </row>
    <row r="447" spans="1:60" s="17" customFormat="1" ht="19.5" customHeight="1" thickBot="1" x14ac:dyDescent="0.4">
      <c r="A447" s="41">
        <f t="shared" ref="A447:B447" si="290">A446</f>
        <v>45439</v>
      </c>
      <c r="B447" s="37" t="str">
        <f t="shared" si="290"/>
        <v>Yaka Çıma</v>
      </c>
      <c r="C447" s="65">
        <f t="shared" si="281"/>
        <v>0</v>
      </c>
      <c r="D447" s="67">
        <f t="shared" si="282"/>
        <v>120</v>
      </c>
      <c r="E447" s="59"/>
      <c r="F447" s="60"/>
      <c r="G447" s="61"/>
      <c r="H447" s="62"/>
      <c r="I447" s="59"/>
      <c r="J447" s="60"/>
      <c r="K447" s="61"/>
      <c r="L447" s="62"/>
      <c r="M447" s="59"/>
      <c r="N447" s="60"/>
      <c r="O447" s="61"/>
      <c r="P447" s="62"/>
      <c r="Q447" s="64"/>
      <c r="R447" s="61"/>
      <c r="S447" s="61"/>
      <c r="T447" s="61"/>
      <c r="U447" s="62"/>
      <c r="V447" s="59"/>
      <c r="W447" s="60"/>
      <c r="X447" s="61"/>
      <c r="Y447" s="62"/>
      <c r="Z447" s="59"/>
      <c r="AA447" s="60"/>
      <c r="AB447" s="61"/>
      <c r="AC447" s="62"/>
      <c r="AD447" s="59"/>
      <c r="AE447" s="60"/>
      <c r="AF447" s="61"/>
      <c r="AG447" s="62"/>
      <c r="AH447" s="59"/>
      <c r="AI447" s="60"/>
      <c r="AJ447" s="61"/>
      <c r="AK447" s="62"/>
      <c r="AL447" s="59"/>
      <c r="AM447" s="60"/>
      <c r="AN447" s="61"/>
      <c r="AO447" s="62"/>
      <c r="AP447" s="59"/>
      <c r="AQ447" s="60"/>
      <c r="AR447" s="61"/>
      <c r="AS447" s="62"/>
      <c r="AT447" s="59"/>
      <c r="AU447" s="60"/>
      <c r="AV447" s="61"/>
      <c r="AW447" s="62"/>
      <c r="AX447" s="33">
        <f t="shared" si="283"/>
        <v>0</v>
      </c>
      <c r="AY447" s="31">
        <f t="shared" si="284"/>
        <v>0</v>
      </c>
      <c r="AZ447" s="30">
        <f t="shared" si="285"/>
        <v>0</v>
      </c>
      <c r="BA447" s="34"/>
      <c r="BB447" s="34"/>
      <c r="BC447" s="34"/>
      <c r="BD447" s="76"/>
      <c r="BE447" s="34"/>
      <c r="BF447" s="34"/>
      <c r="BG447" s="34"/>
      <c r="BH447" s="34"/>
    </row>
    <row r="448" spans="1:60" s="17" customFormat="1" ht="19.5" customHeight="1" thickBot="1" x14ac:dyDescent="0.45">
      <c r="A448" s="41">
        <f t="shared" ref="A448" si="291">A447</f>
        <v>45439</v>
      </c>
      <c r="B448" s="139" t="str">
        <f>B441</f>
        <v>Yaka Çıma</v>
      </c>
      <c r="C448" s="140"/>
      <c r="D448" s="40">
        <f>C358/8</f>
        <v>500</v>
      </c>
      <c r="E448" s="147">
        <f>SUM(E441:H447)</f>
        <v>0</v>
      </c>
      <c r="F448" s="148"/>
      <c r="G448" s="148"/>
      <c r="H448" s="149"/>
      <c r="I448" s="147">
        <f>SUM(I441:L447)</f>
        <v>0</v>
      </c>
      <c r="J448" s="148"/>
      <c r="K448" s="148"/>
      <c r="L448" s="149"/>
      <c r="M448" s="147">
        <f>SUM(M441:P447)</f>
        <v>0</v>
      </c>
      <c r="N448" s="148"/>
      <c r="O448" s="148"/>
      <c r="P448" s="149"/>
      <c r="Q448" s="147">
        <f>SUM(Q441:U447)</f>
        <v>0</v>
      </c>
      <c r="R448" s="148"/>
      <c r="S448" s="148"/>
      <c r="T448" s="148"/>
      <c r="U448" s="149"/>
      <c r="V448" s="147">
        <f>SUM(V441:Y447)</f>
        <v>0</v>
      </c>
      <c r="W448" s="148"/>
      <c r="X448" s="148"/>
      <c r="Y448" s="149"/>
      <c r="Z448" s="147">
        <f>SUM(Z441:AC447)</f>
        <v>0</v>
      </c>
      <c r="AA448" s="148"/>
      <c r="AB448" s="148"/>
      <c r="AC448" s="149"/>
      <c r="AD448" s="147">
        <f>SUM(AD441:AG447)</f>
        <v>0</v>
      </c>
      <c r="AE448" s="148"/>
      <c r="AF448" s="148"/>
      <c r="AG448" s="149"/>
      <c r="AH448" s="147">
        <f>SUM(AH441:AK447)</f>
        <v>0</v>
      </c>
      <c r="AI448" s="148"/>
      <c r="AJ448" s="148"/>
      <c r="AK448" s="149"/>
      <c r="AL448" s="147">
        <f>SUM(AL441:AO447)</f>
        <v>0</v>
      </c>
      <c r="AM448" s="148"/>
      <c r="AN448" s="148"/>
      <c r="AO448" s="149"/>
      <c r="AP448" s="147">
        <f>SUM(AP441:AS447)</f>
        <v>0</v>
      </c>
      <c r="AQ448" s="148"/>
      <c r="AR448" s="148"/>
      <c r="AS448" s="149"/>
      <c r="AT448" s="147">
        <f>SUM(AT441:AW447)</f>
        <v>0</v>
      </c>
      <c r="AU448" s="148"/>
      <c r="AV448" s="148"/>
      <c r="AW448" s="149"/>
      <c r="AX448" s="87">
        <f>SUM(AX441:AX447)</f>
        <v>0</v>
      </c>
      <c r="AY448" s="88">
        <f>IFERROR(AVERAGEIF(E448:AV448,"&lt;&gt;0",(E448:AV448)),)</f>
        <v>0</v>
      </c>
      <c r="AZ448" s="46">
        <f>IFERROR(AX448/BB442,0)</f>
        <v>0</v>
      </c>
      <c r="BA448" s="34"/>
      <c r="BB448" s="34"/>
      <c r="BC448" s="34"/>
      <c r="BD448" s="76"/>
      <c r="BE448" s="34"/>
      <c r="BF448" s="34"/>
      <c r="BG448" s="34"/>
      <c r="BH448" s="34"/>
    </row>
    <row r="449" spans="1:60" s="17" customFormat="1" ht="19.5" customHeight="1" thickBot="1" x14ac:dyDescent="0.4">
      <c r="A449" s="42">
        <f>A431</f>
        <v>45439</v>
      </c>
      <c r="B449" s="38" t="str">
        <f>B450</f>
        <v>Kol Takma</v>
      </c>
      <c r="C449" s="39" t="s">
        <v>180</v>
      </c>
      <c r="D449" s="69" t="s">
        <v>181</v>
      </c>
      <c r="E449" s="48">
        <v>0.34375</v>
      </c>
      <c r="F449" s="49">
        <v>0.35416666666666669</v>
      </c>
      <c r="G449" s="49">
        <v>0.36458333333333331</v>
      </c>
      <c r="H449" s="50">
        <v>0.375</v>
      </c>
      <c r="I449" s="48">
        <v>0.38541666666666702</v>
      </c>
      <c r="J449" s="49">
        <v>0.39583333333333298</v>
      </c>
      <c r="K449" s="49">
        <v>0.40625</v>
      </c>
      <c r="L449" s="50">
        <v>0.41666666666666702</v>
      </c>
      <c r="M449" s="48">
        <v>0.4375</v>
      </c>
      <c r="N449" s="49">
        <v>0.44791666666666702</v>
      </c>
      <c r="O449" s="49">
        <v>0.45833333333333398</v>
      </c>
      <c r="P449" s="50">
        <v>0.46875</v>
      </c>
      <c r="Q449" s="48">
        <v>0.47916666666666702</v>
      </c>
      <c r="R449" s="49">
        <v>0.48958333333333398</v>
      </c>
      <c r="S449" s="49">
        <v>0.5</v>
      </c>
      <c r="T449" s="50">
        <v>0.51041666666666696</v>
      </c>
      <c r="U449" s="51">
        <v>0.52083333333333204</v>
      </c>
      <c r="V449" s="48">
        <v>0.5625</v>
      </c>
      <c r="W449" s="49">
        <v>0.57291666666666663</v>
      </c>
      <c r="X449" s="49">
        <v>0.58333333333333304</v>
      </c>
      <c r="Y449" s="50">
        <v>0.59375</v>
      </c>
      <c r="Z449" s="48">
        <v>0.60416666666666696</v>
      </c>
      <c r="AA449" s="49">
        <v>0.61458333333333304</v>
      </c>
      <c r="AB449" s="49">
        <v>0.625</v>
      </c>
      <c r="AC449" s="50">
        <v>0.63541666666666596</v>
      </c>
      <c r="AD449" s="48">
        <v>0.65625</v>
      </c>
      <c r="AE449" s="49">
        <v>0.66666666666666663</v>
      </c>
      <c r="AF449" s="49">
        <v>0.67708333333333304</v>
      </c>
      <c r="AG449" s="50">
        <v>0.6875</v>
      </c>
      <c r="AH449" s="48">
        <v>0.69791666666666696</v>
      </c>
      <c r="AI449" s="49">
        <v>0.70833333333333304</v>
      </c>
      <c r="AJ449" s="49">
        <v>0.71875</v>
      </c>
      <c r="AK449" s="50">
        <v>0.72916666666666696</v>
      </c>
      <c r="AL449" s="48">
        <v>0.73958333333333404</v>
      </c>
      <c r="AM449" s="49">
        <v>0.750000000000001</v>
      </c>
      <c r="AN449" s="49">
        <v>0.76041666666666796</v>
      </c>
      <c r="AO449" s="50">
        <v>0.77083333333333504</v>
      </c>
      <c r="AP449" s="48">
        <v>0.781250000000002</v>
      </c>
      <c r="AQ449" s="49">
        <v>0.79166666666666896</v>
      </c>
      <c r="AR449" s="49">
        <v>0.80208333333333603</v>
      </c>
      <c r="AS449" s="50">
        <v>0.812500000000003</v>
      </c>
      <c r="AT449" s="48">
        <v>0.82291666666666996</v>
      </c>
      <c r="AU449" s="49">
        <v>0.83333333333333703</v>
      </c>
      <c r="AV449" s="49">
        <v>0.843750000000004</v>
      </c>
      <c r="AW449" s="50">
        <v>0.85416666666666663</v>
      </c>
      <c r="AX449" s="68" t="s">
        <v>260</v>
      </c>
      <c r="AY449" s="28" t="s">
        <v>261</v>
      </c>
      <c r="AZ449" s="29" t="s">
        <v>262</v>
      </c>
      <c r="BA449" s="136" t="str">
        <f>B450</f>
        <v>Kol Takma</v>
      </c>
      <c r="BB449" s="137"/>
      <c r="BC449" s="137"/>
      <c r="BD449" s="137"/>
      <c r="BE449" s="137"/>
      <c r="BF449" s="137"/>
      <c r="BG449" s="137"/>
      <c r="BH449" s="138"/>
    </row>
    <row r="450" spans="1:60" s="17" customFormat="1" ht="19.5" customHeight="1" thickBot="1" x14ac:dyDescent="0.4">
      <c r="A450" s="41">
        <f t="shared" ref="A450" si="292">A449</f>
        <v>45439</v>
      </c>
      <c r="B450" s="37" t="str">
        <f>B274</f>
        <v>Kol Takma</v>
      </c>
      <c r="C450" s="65">
        <f>C274</f>
        <v>0</v>
      </c>
      <c r="D450" s="70">
        <f>D274</f>
        <v>35</v>
      </c>
      <c r="E450" s="63"/>
      <c r="F450" s="55"/>
      <c r="G450" s="55"/>
      <c r="H450" s="56"/>
      <c r="I450" s="63"/>
      <c r="J450" s="55"/>
      <c r="K450" s="55"/>
      <c r="L450" s="56"/>
      <c r="M450" s="63"/>
      <c r="N450" s="55"/>
      <c r="O450" s="55"/>
      <c r="P450" s="56"/>
      <c r="Q450" s="63"/>
      <c r="R450" s="55"/>
      <c r="S450" s="55"/>
      <c r="T450" s="55"/>
      <c r="U450" s="56"/>
      <c r="V450" s="63"/>
      <c r="W450" s="55"/>
      <c r="X450" s="55"/>
      <c r="Y450" s="56"/>
      <c r="Z450" s="63"/>
      <c r="AA450" s="55"/>
      <c r="AB450" s="55"/>
      <c r="AC450" s="56"/>
      <c r="AD450" s="63"/>
      <c r="AE450" s="55"/>
      <c r="AF450" s="55"/>
      <c r="AG450" s="56"/>
      <c r="AH450" s="63"/>
      <c r="AI450" s="55"/>
      <c r="AJ450" s="55"/>
      <c r="AK450" s="56"/>
      <c r="AL450" s="63"/>
      <c r="AM450" s="55"/>
      <c r="AN450" s="55"/>
      <c r="AO450" s="56"/>
      <c r="AP450" s="63"/>
      <c r="AQ450" s="55"/>
      <c r="AR450" s="55"/>
      <c r="AS450" s="56"/>
      <c r="AT450" s="53"/>
      <c r="AU450" s="54"/>
      <c r="AV450" s="55"/>
      <c r="AW450" s="56"/>
      <c r="AX450" s="33">
        <f>SUM(E450:AW450)</f>
        <v>0</v>
      </c>
      <c r="AY450" s="31">
        <f>IFERROR(AVERAGEIF(E450:AW450,"&lt;&gt;0",(E450:AW450)),)</f>
        <v>0</v>
      </c>
      <c r="AZ450" s="30">
        <f>IFERROR(AY450/D450,0)</f>
        <v>0</v>
      </c>
      <c r="BA450" s="103" t="s">
        <v>182</v>
      </c>
      <c r="BB450" s="100" t="s">
        <v>183</v>
      </c>
      <c r="BC450" s="100" t="s">
        <v>184</v>
      </c>
      <c r="BD450" s="101" t="s">
        <v>185</v>
      </c>
      <c r="BE450" s="100" t="s">
        <v>186</v>
      </c>
      <c r="BF450" s="102" t="s">
        <v>187</v>
      </c>
      <c r="BG450" s="100" t="s">
        <v>188</v>
      </c>
      <c r="BH450" s="102" t="s">
        <v>189</v>
      </c>
    </row>
    <row r="451" spans="1:60" s="17" customFormat="1" ht="19.5" customHeight="1" thickBot="1" x14ac:dyDescent="0.4">
      <c r="A451" s="41">
        <f t="shared" ref="A451:B451" si="293">A450</f>
        <v>45439</v>
      </c>
      <c r="B451" s="37" t="str">
        <f t="shared" si="293"/>
        <v>Kol Takma</v>
      </c>
      <c r="C451" s="65">
        <f t="shared" ref="C451:C456" si="294">C275</f>
        <v>0</v>
      </c>
      <c r="D451" s="67">
        <f t="shared" ref="D451:D456" si="295">D450</f>
        <v>35</v>
      </c>
      <c r="E451" s="57"/>
      <c r="F451" s="52"/>
      <c r="G451" s="52"/>
      <c r="H451" s="58"/>
      <c r="I451" s="57"/>
      <c r="J451" s="52"/>
      <c r="K451" s="52"/>
      <c r="L451" s="58"/>
      <c r="M451" s="57"/>
      <c r="N451" s="52"/>
      <c r="O451" s="52"/>
      <c r="P451" s="58"/>
      <c r="Q451" s="57"/>
      <c r="R451" s="52"/>
      <c r="S451" s="52"/>
      <c r="T451" s="52"/>
      <c r="U451" s="58"/>
      <c r="V451" s="57"/>
      <c r="W451" s="52"/>
      <c r="X451" s="52"/>
      <c r="Y451" s="58"/>
      <c r="Z451" s="57"/>
      <c r="AA451" s="52"/>
      <c r="AB451" s="52"/>
      <c r="AC451" s="58"/>
      <c r="AD451" s="57"/>
      <c r="AE451" s="52"/>
      <c r="AF451" s="52"/>
      <c r="AG451" s="58"/>
      <c r="AH451" s="57"/>
      <c r="AI451" s="52"/>
      <c r="AJ451" s="52"/>
      <c r="AK451" s="58"/>
      <c r="AL451" s="57"/>
      <c r="AM451" s="52"/>
      <c r="AN451" s="52"/>
      <c r="AO451" s="58"/>
      <c r="AP451" s="57"/>
      <c r="AQ451" s="52"/>
      <c r="AR451" s="52"/>
      <c r="AS451" s="58"/>
      <c r="AT451" s="57"/>
      <c r="AU451" s="52"/>
      <c r="AV451" s="52"/>
      <c r="AW451" s="58"/>
      <c r="AX451" s="33">
        <f t="shared" ref="AX451:AX456" si="296">SUM(E451:AW451)</f>
        <v>0</v>
      </c>
      <c r="AY451" s="31">
        <f t="shared" ref="AY451:AY456" si="297">IFERROR(AVERAGEIF(E451:AW451,"&lt;&gt;0",(E451:AW451)),)</f>
        <v>0</v>
      </c>
      <c r="AZ451" s="30">
        <f t="shared" ref="AZ451:AZ456" si="298">IFERROR(AY451/D451,0)</f>
        <v>0</v>
      </c>
      <c r="BA451" s="94">
        <f>AX457+BA275</f>
        <v>0</v>
      </c>
      <c r="BB451" s="95">
        <f>(D457*8)</f>
        <v>4000</v>
      </c>
      <c r="BC451" s="96">
        <f>C357-BA451</f>
        <v>42311</v>
      </c>
      <c r="BD451" s="96">
        <f>BA442-BA451</f>
        <v>0</v>
      </c>
      <c r="BE451" s="97">
        <f>IFERROR(BC451/E457,0)</f>
        <v>0</v>
      </c>
      <c r="BF451" s="98">
        <f>IFERROR(BE451/9,0)</f>
        <v>0</v>
      </c>
      <c r="BG451" s="97">
        <f>IFERROR(BC451/AY457,0)</f>
        <v>0</v>
      </c>
      <c r="BH451" s="97">
        <f>IFERROR(BG451/9,0)</f>
        <v>0</v>
      </c>
    </row>
    <row r="452" spans="1:60" s="17" customFormat="1" ht="19.5" customHeight="1" x14ac:dyDescent="0.35">
      <c r="A452" s="41">
        <f t="shared" ref="A452:B452" si="299">A451</f>
        <v>45439</v>
      </c>
      <c r="B452" s="37" t="str">
        <f t="shared" si="299"/>
        <v>Kol Takma</v>
      </c>
      <c r="C452" s="65">
        <f t="shared" si="294"/>
        <v>0</v>
      </c>
      <c r="D452" s="67">
        <f t="shared" si="295"/>
        <v>35</v>
      </c>
      <c r="E452" s="57"/>
      <c r="F452" s="52"/>
      <c r="G452" s="52"/>
      <c r="H452" s="58"/>
      <c r="I452" s="57"/>
      <c r="J452" s="52"/>
      <c r="K452" s="52"/>
      <c r="L452" s="58"/>
      <c r="M452" s="57"/>
      <c r="N452" s="52"/>
      <c r="O452" s="52"/>
      <c r="P452" s="58"/>
      <c r="Q452" s="57"/>
      <c r="R452" s="52"/>
      <c r="S452" s="52"/>
      <c r="T452" s="52"/>
      <c r="U452" s="58"/>
      <c r="V452" s="57"/>
      <c r="W452" s="52"/>
      <c r="X452" s="52"/>
      <c r="Y452" s="58"/>
      <c r="Z452" s="57"/>
      <c r="AA452" s="52"/>
      <c r="AB452" s="52"/>
      <c r="AC452" s="58"/>
      <c r="AD452" s="57"/>
      <c r="AE452" s="52"/>
      <c r="AF452" s="52"/>
      <c r="AG452" s="58"/>
      <c r="AH452" s="57"/>
      <c r="AI452" s="52"/>
      <c r="AJ452" s="52"/>
      <c r="AK452" s="58"/>
      <c r="AL452" s="57"/>
      <c r="AM452" s="52"/>
      <c r="AN452" s="52"/>
      <c r="AO452" s="58"/>
      <c r="AP452" s="57"/>
      <c r="AQ452" s="52"/>
      <c r="AR452" s="52"/>
      <c r="AS452" s="58"/>
      <c r="AT452" s="57"/>
      <c r="AU452" s="52"/>
      <c r="AV452" s="52"/>
      <c r="AW452" s="58"/>
      <c r="AX452" s="33">
        <f t="shared" si="296"/>
        <v>0</v>
      </c>
      <c r="AY452" s="31">
        <f t="shared" si="297"/>
        <v>0</v>
      </c>
      <c r="AZ452" s="30">
        <f t="shared" si="298"/>
        <v>0</v>
      </c>
      <c r="BA452" s="34"/>
      <c r="BB452" s="34"/>
      <c r="BC452" s="34"/>
      <c r="BD452" s="76"/>
      <c r="BE452" s="34"/>
      <c r="BF452" s="34"/>
      <c r="BG452" s="34"/>
      <c r="BH452" s="34"/>
    </row>
    <row r="453" spans="1:60" s="17" customFormat="1" ht="19.5" customHeight="1" x14ac:dyDescent="0.35">
      <c r="A453" s="41">
        <f t="shared" ref="A453:B453" si="300">A452</f>
        <v>45439</v>
      </c>
      <c r="B453" s="37" t="str">
        <f t="shared" si="300"/>
        <v>Kol Takma</v>
      </c>
      <c r="C453" s="65">
        <f t="shared" si="294"/>
        <v>0</v>
      </c>
      <c r="D453" s="67">
        <f t="shared" si="295"/>
        <v>35</v>
      </c>
      <c r="E453" s="57"/>
      <c r="F453" s="52"/>
      <c r="G453" s="52"/>
      <c r="H453" s="58"/>
      <c r="I453" s="57"/>
      <c r="J453" s="52"/>
      <c r="K453" s="52"/>
      <c r="L453" s="58"/>
      <c r="M453" s="57"/>
      <c r="N453" s="52"/>
      <c r="O453" s="52"/>
      <c r="P453" s="58"/>
      <c r="Q453" s="57"/>
      <c r="R453" s="52"/>
      <c r="S453" s="52"/>
      <c r="T453" s="52"/>
      <c r="U453" s="58"/>
      <c r="V453" s="57"/>
      <c r="W453" s="52"/>
      <c r="X453" s="52"/>
      <c r="Y453" s="58"/>
      <c r="Z453" s="57"/>
      <c r="AA453" s="52"/>
      <c r="AB453" s="52"/>
      <c r="AC453" s="58"/>
      <c r="AD453" s="57"/>
      <c r="AE453" s="52"/>
      <c r="AF453" s="52"/>
      <c r="AG453" s="58"/>
      <c r="AH453" s="57"/>
      <c r="AI453" s="52"/>
      <c r="AJ453" s="52"/>
      <c r="AK453" s="58"/>
      <c r="AL453" s="57"/>
      <c r="AM453" s="52"/>
      <c r="AN453" s="52"/>
      <c r="AO453" s="58"/>
      <c r="AP453" s="57"/>
      <c r="AQ453" s="52"/>
      <c r="AR453" s="52"/>
      <c r="AS453" s="58"/>
      <c r="AT453" s="57"/>
      <c r="AU453" s="52"/>
      <c r="AV453" s="52"/>
      <c r="AW453" s="58"/>
      <c r="AX453" s="33">
        <f t="shared" si="296"/>
        <v>0</v>
      </c>
      <c r="AY453" s="31">
        <f t="shared" si="297"/>
        <v>0</v>
      </c>
      <c r="AZ453" s="30">
        <f t="shared" si="298"/>
        <v>0</v>
      </c>
      <c r="BA453" s="34"/>
      <c r="BB453" s="34"/>
      <c r="BC453" s="34"/>
      <c r="BD453" s="76"/>
      <c r="BE453" s="34"/>
      <c r="BF453" s="34"/>
      <c r="BG453" s="34"/>
      <c r="BH453" s="34"/>
    </row>
    <row r="454" spans="1:60" s="17" customFormat="1" ht="19.5" customHeight="1" x14ac:dyDescent="0.35">
      <c r="A454" s="41">
        <f>A451</f>
        <v>45439</v>
      </c>
      <c r="B454" s="37" t="str">
        <f t="shared" ref="B454" si="301">B453</f>
        <v>Kol Takma</v>
      </c>
      <c r="C454" s="65">
        <f t="shared" si="294"/>
        <v>0</v>
      </c>
      <c r="D454" s="67">
        <f t="shared" si="295"/>
        <v>35</v>
      </c>
      <c r="E454" s="57"/>
      <c r="F454" s="52"/>
      <c r="G454" s="52"/>
      <c r="H454" s="58"/>
      <c r="I454" s="57"/>
      <c r="J454" s="52"/>
      <c r="K454" s="52"/>
      <c r="L454" s="58"/>
      <c r="M454" s="57"/>
      <c r="N454" s="52"/>
      <c r="O454" s="52"/>
      <c r="P454" s="58"/>
      <c r="Q454" s="57"/>
      <c r="R454" s="52"/>
      <c r="S454" s="52"/>
      <c r="T454" s="52"/>
      <c r="U454" s="58"/>
      <c r="V454" s="57"/>
      <c r="W454" s="52"/>
      <c r="X454" s="52"/>
      <c r="Y454" s="58"/>
      <c r="Z454" s="57"/>
      <c r="AA454" s="52"/>
      <c r="AB454" s="52"/>
      <c r="AC454" s="58"/>
      <c r="AD454" s="57"/>
      <c r="AE454" s="52"/>
      <c r="AF454" s="52"/>
      <c r="AG454" s="58"/>
      <c r="AH454" s="57"/>
      <c r="AI454" s="52"/>
      <c r="AJ454" s="52"/>
      <c r="AK454" s="58"/>
      <c r="AL454" s="57"/>
      <c r="AM454" s="52"/>
      <c r="AN454" s="52"/>
      <c r="AO454" s="58"/>
      <c r="AP454" s="57"/>
      <c r="AQ454" s="52"/>
      <c r="AR454" s="52"/>
      <c r="AS454" s="58"/>
      <c r="AT454" s="57"/>
      <c r="AU454" s="52"/>
      <c r="AV454" s="52"/>
      <c r="AW454" s="58"/>
      <c r="AX454" s="33">
        <f t="shared" si="296"/>
        <v>0</v>
      </c>
      <c r="AY454" s="31">
        <f t="shared" si="297"/>
        <v>0</v>
      </c>
      <c r="AZ454" s="30">
        <f t="shared" si="298"/>
        <v>0</v>
      </c>
      <c r="BA454" s="34"/>
      <c r="BB454" s="34"/>
      <c r="BC454" s="34"/>
      <c r="BD454" s="76"/>
      <c r="BE454" s="34"/>
      <c r="BF454" s="34"/>
      <c r="BG454" s="34"/>
      <c r="BH454" s="34"/>
    </row>
    <row r="455" spans="1:60" s="17" customFormat="1" ht="19.5" customHeight="1" x14ac:dyDescent="0.35">
      <c r="A455" s="41">
        <f t="shared" ref="A455:B455" si="302">A454</f>
        <v>45439</v>
      </c>
      <c r="B455" s="37" t="str">
        <f t="shared" si="302"/>
        <v>Kol Takma</v>
      </c>
      <c r="C455" s="65">
        <f t="shared" si="294"/>
        <v>0</v>
      </c>
      <c r="D455" s="67">
        <f t="shared" si="295"/>
        <v>35</v>
      </c>
      <c r="E455" s="57"/>
      <c r="F455" s="52"/>
      <c r="G455" s="52"/>
      <c r="H455" s="58"/>
      <c r="I455" s="57"/>
      <c r="J455" s="52"/>
      <c r="K455" s="52"/>
      <c r="L455" s="58"/>
      <c r="M455" s="57"/>
      <c r="N455" s="52"/>
      <c r="O455" s="52"/>
      <c r="P455" s="58"/>
      <c r="Q455" s="57"/>
      <c r="R455" s="52"/>
      <c r="S455" s="52"/>
      <c r="T455" s="52"/>
      <c r="U455" s="58"/>
      <c r="V455" s="57"/>
      <c r="W455" s="52"/>
      <c r="X455" s="52"/>
      <c r="Y455" s="58"/>
      <c r="Z455" s="57"/>
      <c r="AA455" s="52"/>
      <c r="AB455" s="52"/>
      <c r="AC455" s="58"/>
      <c r="AD455" s="57"/>
      <c r="AE455" s="52"/>
      <c r="AF455" s="52"/>
      <c r="AG455" s="58"/>
      <c r="AH455" s="57"/>
      <c r="AI455" s="52"/>
      <c r="AJ455" s="52"/>
      <c r="AK455" s="58"/>
      <c r="AL455" s="57"/>
      <c r="AM455" s="52"/>
      <c r="AN455" s="52"/>
      <c r="AO455" s="58"/>
      <c r="AP455" s="57"/>
      <c r="AQ455" s="52"/>
      <c r="AR455" s="52"/>
      <c r="AS455" s="58"/>
      <c r="AT455" s="57"/>
      <c r="AU455" s="52"/>
      <c r="AV455" s="52"/>
      <c r="AW455" s="58"/>
      <c r="AX455" s="33">
        <f t="shared" si="296"/>
        <v>0</v>
      </c>
      <c r="AY455" s="31">
        <f t="shared" si="297"/>
        <v>0</v>
      </c>
      <c r="AZ455" s="30">
        <f t="shared" si="298"/>
        <v>0</v>
      </c>
      <c r="BA455" s="34"/>
      <c r="BB455" s="34"/>
      <c r="BC455" s="34"/>
      <c r="BD455" s="76"/>
      <c r="BE455" s="34"/>
      <c r="BF455" s="34"/>
      <c r="BG455" s="34"/>
      <c r="BH455" s="34"/>
    </row>
    <row r="456" spans="1:60" s="17" customFormat="1" ht="19.5" customHeight="1" thickBot="1" x14ac:dyDescent="0.4">
      <c r="A456" s="41">
        <f t="shared" ref="A456:B456" si="303">A455</f>
        <v>45439</v>
      </c>
      <c r="B456" s="37" t="str">
        <f t="shared" si="303"/>
        <v>Kol Takma</v>
      </c>
      <c r="C456" s="65">
        <f t="shared" si="294"/>
        <v>0</v>
      </c>
      <c r="D456" s="67">
        <f t="shared" si="295"/>
        <v>35</v>
      </c>
      <c r="E456" s="59"/>
      <c r="F456" s="60"/>
      <c r="G456" s="61"/>
      <c r="H456" s="62"/>
      <c r="I456" s="59"/>
      <c r="J456" s="60"/>
      <c r="K456" s="61"/>
      <c r="L456" s="62"/>
      <c r="M456" s="59"/>
      <c r="N456" s="60"/>
      <c r="O456" s="61"/>
      <c r="P456" s="62"/>
      <c r="Q456" s="64"/>
      <c r="R456" s="61"/>
      <c r="S456" s="61"/>
      <c r="T456" s="61"/>
      <c r="U456" s="62"/>
      <c r="V456" s="59"/>
      <c r="W456" s="60"/>
      <c r="X456" s="61"/>
      <c r="Y456" s="62"/>
      <c r="Z456" s="59"/>
      <c r="AA456" s="60"/>
      <c r="AB456" s="61"/>
      <c r="AC456" s="62"/>
      <c r="AD456" s="59"/>
      <c r="AE456" s="60"/>
      <c r="AF456" s="61"/>
      <c r="AG456" s="62"/>
      <c r="AH456" s="59"/>
      <c r="AI456" s="60"/>
      <c r="AJ456" s="61"/>
      <c r="AK456" s="62"/>
      <c r="AL456" s="59"/>
      <c r="AM456" s="60"/>
      <c r="AN456" s="61"/>
      <c r="AO456" s="62"/>
      <c r="AP456" s="59"/>
      <c r="AQ456" s="60"/>
      <c r="AR456" s="61"/>
      <c r="AS456" s="62"/>
      <c r="AT456" s="59"/>
      <c r="AU456" s="60"/>
      <c r="AV456" s="61"/>
      <c r="AW456" s="62"/>
      <c r="AX456" s="33">
        <f t="shared" si="296"/>
        <v>0</v>
      </c>
      <c r="AY456" s="31">
        <f t="shared" si="297"/>
        <v>0</v>
      </c>
      <c r="AZ456" s="30">
        <f t="shared" si="298"/>
        <v>0</v>
      </c>
      <c r="BA456" s="34"/>
      <c r="BB456" s="34"/>
      <c r="BC456" s="34"/>
      <c r="BD456" s="76"/>
      <c r="BE456" s="34"/>
      <c r="BF456" s="34"/>
      <c r="BG456" s="34"/>
      <c r="BH456" s="34"/>
    </row>
    <row r="457" spans="1:60" s="17" customFormat="1" ht="19.5" customHeight="1" thickBot="1" x14ac:dyDescent="0.45">
      <c r="A457" s="41">
        <f t="shared" ref="A457" si="304">A456</f>
        <v>45439</v>
      </c>
      <c r="B457" s="139" t="str">
        <f>B450</f>
        <v>Kol Takma</v>
      </c>
      <c r="C457" s="140"/>
      <c r="D457" s="40">
        <f>C358/8</f>
        <v>500</v>
      </c>
      <c r="E457" s="147">
        <f>SUM(E450:H456)</f>
        <v>0</v>
      </c>
      <c r="F457" s="148"/>
      <c r="G457" s="148"/>
      <c r="H457" s="149"/>
      <c r="I457" s="147">
        <f>SUM(I450:L456)</f>
        <v>0</v>
      </c>
      <c r="J457" s="148"/>
      <c r="K457" s="148"/>
      <c r="L457" s="149"/>
      <c r="M457" s="147">
        <f>SUM(M450:P456)</f>
        <v>0</v>
      </c>
      <c r="N457" s="148"/>
      <c r="O457" s="148"/>
      <c r="P457" s="149"/>
      <c r="Q457" s="147">
        <f>SUM(Q450:U456)</f>
        <v>0</v>
      </c>
      <c r="R457" s="148"/>
      <c r="S457" s="148"/>
      <c r="T457" s="148"/>
      <c r="U457" s="149"/>
      <c r="V457" s="147">
        <f>SUM(V450:Y456)</f>
        <v>0</v>
      </c>
      <c r="W457" s="148"/>
      <c r="X457" s="148"/>
      <c r="Y457" s="149"/>
      <c r="Z457" s="147">
        <f>SUM(Z450:AC456)</f>
        <v>0</v>
      </c>
      <c r="AA457" s="148"/>
      <c r="AB457" s="148"/>
      <c r="AC457" s="149"/>
      <c r="AD457" s="147">
        <f>SUM(AD450:AG456)</f>
        <v>0</v>
      </c>
      <c r="AE457" s="148"/>
      <c r="AF457" s="148"/>
      <c r="AG457" s="149"/>
      <c r="AH457" s="147">
        <f>SUM(AH450:AK456)</f>
        <v>0</v>
      </c>
      <c r="AI457" s="148"/>
      <c r="AJ457" s="148"/>
      <c r="AK457" s="149"/>
      <c r="AL457" s="147">
        <f>SUM(AL450:AO456)</f>
        <v>0</v>
      </c>
      <c r="AM457" s="148"/>
      <c r="AN457" s="148"/>
      <c r="AO457" s="149"/>
      <c r="AP457" s="147">
        <f>SUM(AP450:AS456)</f>
        <v>0</v>
      </c>
      <c r="AQ457" s="148"/>
      <c r="AR457" s="148"/>
      <c r="AS457" s="149"/>
      <c r="AT457" s="147">
        <f>SUM(AT450:AW456)</f>
        <v>0</v>
      </c>
      <c r="AU457" s="148"/>
      <c r="AV457" s="148"/>
      <c r="AW457" s="149"/>
      <c r="AX457" s="87">
        <f>SUM(AX450:AX456)</f>
        <v>0</v>
      </c>
      <c r="AY457" s="88">
        <f>IFERROR(AVERAGEIF(E457:AV457,"&lt;&gt;0",(E457:AV457)),)</f>
        <v>0</v>
      </c>
      <c r="AZ457" s="46">
        <f>IFERROR(AX457/BB451,0)</f>
        <v>0</v>
      </c>
      <c r="BA457" s="34"/>
      <c r="BB457" s="34"/>
      <c r="BC457" s="34"/>
      <c r="BD457" s="76"/>
      <c r="BE457" s="34"/>
      <c r="BF457" s="34"/>
      <c r="BG457" s="34"/>
      <c r="BH457" s="34"/>
    </row>
    <row r="458" spans="1:60" s="17" customFormat="1" ht="19.5" customHeight="1" thickBot="1" x14ac:dyDescent="0.4">
      <c r="A458" s="42">
        <f>A449</f>
        <v>45439</v>
      </c>
      <c r="B458" s="38" t="str">
        <f>B459</f>
        <v>Yan Kapama</v>
      </c>
      <c r="C458" s="39" t="s">
        <v>180</v>
      </c>
      <c r="D458" s="69" t="s">
        <v>181</v>
      </c>
      <c r="E458" s="48">
        <v>0.34375</v>
      </c>
      <c r="F458" s="49">
        <v>0.35416666666666669</v>
      </c>
      <c r="G458" s="49">
        <v>0.36458333333333331</v>
      </c>
      <c r="H458" s="50">
        <v>0.375</v>
      </c>
      <c r="I458" s="48">
        <v>0.38541666666666702</v>
      </c>
      <c r="J458" s="49">
        <v>0.39583333333333298</v>
      </c>
      <c r="K458" s="49">
        <v>0.40625</v>
      </c>
      <c r="L458" s="50">
        <v>0.41666666666666702</v>
      </c>
      <c r="M458" s="48">
        <v>0.4375</v>
      </c>
      <c r="N458" s="49">
        <v>0.44791666666666702</v>
      </c>
      <c r="O458" s="49">
        <v>0.45833333333333398</v>
      </c>
      <c r="P458" s="50">
        <v>0.46875</v>
      </c>
      <c r="Q458" s="82">
        <v>0.47916666666666702</v>
      </c>
      <c r="R458" s="83">
        <v>0.48958333333333398</v>
      </c>
      <c r="S458" s="83">
        <v>0.5</v>
      </c>
      <c r="T458" s="84">
        <v>0.51041666666666696</v>
      </c>
      <c r="U458" s="85">
        <v>0.52083333333333204</v>
      </c>
      <c r="V458" s="48">
        <v>0.5625</v>
      </c>
      <c r="W458" s="49">
        <v>0.57291666666666663</v>
      </c>
      <c r="X458" s="49">
        <v>0.58333333333333304</v>
      </c>
      <c r="Y458" s="50">
        <v>0.59375</v>
      </c>
      <c r="Z458" s="48">
        <v>0.60416666666666696</v>
      </c>
      <c r="AA458" s="49">
        <v>0.61458333333333304</v>
      </c>
      <c r="AB458" s="49">
        <v>0.625</v>
      </c>
      <c r="AC458" s="50">
        <v>0.63541666666666596</v>
      </c>
      <c r="AD458" s="48">
        <v>0.65625</v>
      </c>
      <c r="AE458" s="49">
        <v>0.66666666666666663</v>
      </c>
      <c r="AF458" s="49">
        <v>0.67708333333333304</v>
      </c>
      <c r="AG458" s="50">
        <v>0.6875</v>
      </c>
      <c r="AH458" s="48">
        <v>0.69791666666666696</v>
      </c>
      <c r="AI458" s="49">
        <v>0.70833333333333304</v>
      </c>
      <c r="AJ458" s="49">
        <v>0.71875</v>
      </c>
      <c r="AK458" s="50">
        <v>0.72916666666666696</v>
      </c>
      <c r="AL458" s="48">
        <v>0.73958333333333404</v>
      </c>
      <c r="AM458" s="49">
        <v>0.750000000000001</v>
      </c>
      <c r="AN458" s="49">
        <v>0.76041666666666796</v>
      </c>
      <c r="AO458" s="50">
        <v>0.77083333333333504</v>
      </c>
      <c r="AP458" s="48">
        <v>0.781250000000002</v>
      </c>
      <c r="AQ458" s="49">
        <v>0.79166666666666896</v>
      </c>
      <c r="AR458" s="49">
        <v>0.80208333333333603</v>
      </c>
      <c r="AS458" s="50">
        <v>0.812500000000003</v>
      </c>
      <c r="AT458" s="48">
        <v>0.82291666666666996</v>
      </c>
      <c r="AU458" s="49">
        <v>0.83333333333333703</v>
      </c>
      <c r="AV458" s="49">
        <v>0.843750000000004</v>
      </c>
      <c r="AW458" s="50">
        <v>0.85416666666666663</v>
      </c>
      <c r="AX458" s="68" t="s">
        <v>260</v>
      </c>
      <c r="AY458" s="28" t="s">
        <v>261</v>
      </c>
      <c r="AZ458" s="29" t="s">
        <v>262</v>
      </c>
      <c r="BA458" s="136" t="str">
        <f>B459</f>
        <v>Yan Kapama</v>
      </c>
      <c r="BB458" s="137"/>
      <c r="BC458" s="137"/>
      <c r="BD458" s="137"/>
      <c r="BE458" s="137"/>
      <c r="BF458" s="137"/>
      <c r="BG458" s="137"/>
      <c r="BH458" s="138"/>
    </row>
    <row r="459" spans="1:60" s="17" customFormat="1" ht="19.5" customHeight="1" thickBot="1" x14ac:dyDescent="0.4">
      <c r="A459" s="41">
        <f t="shared" ref="A459" si="305">A458</f>
        <v>45439</v>
      </c>
      <c r="B459" s="37" t="str">
        <f>B283</f>
        <v>Yan Kapama</v>
      </c>
      <c r="C459" s="65">
        <f>C283</f>
        <v>0</v>
      </c>
      <c r="D459" s="70">
        <f>D283</f>
        <v>40</v>
      </c>
      <c r="E459" s="63"/>
      <c r="F459" s="55"/>
      <c r="G459" s="55"/>
      <c r="H459" s="56"/>
      <c r="I459" s="63"/>
      <c r="J459" s="55"/>
      <c r="K459" s="55"/>
      <c r="L459" s="56"/>
      <c r="M459" s="63"/>
      <c r="N459" s="55"/>
      <c r="O459" s="55"/>
      <c r="P459" s="56"/>
      <c r="Q459" s="63"/>
      <c r="R459" s="55"/>
      <c r="S459" s="55"/>
      <c r="T459" s="55"/>
      <c r="U459" s="56"/>
      <c r="V459" s="63"/>
      <c r="W459" s="55"/>
      <c r="X459" s="55"/>
      <c r="Y459" s="56"/>
      <c r="Z459" s="63"/>
      <c r="AA459" s="55"/>
      <c r="AB459" s="55"/>
      <c r="AC459" s="56"/>
      <c r="AD459" s="63"/>
      <c r="AE459" s="55"/>
      <c r="AF459" s="55"/>
      <c r="AG459" s="56"/>
      <c r="AH459" s="63"/>
      <c r="AI459" s="55"/>
      <c r="AJ459" s="55"/>
      <c r="AK459" s="56"/>
      <c r="AL459" s="53"/>
      <c r="AM459" s="54"/>
      <c r="AN459" s="55"/>
      <c r="AO459" s="56"/>
      <c r="AP459" s="53"/>
      <c r="AQ459" s="54"/>
      <c r="AR459" s="55"/>
      <c r="AS459" s="56"/>
      <c r="AT459" s="53"/>
      <c r="AU459" s="54"/>
      <c r="AV459" s="55"/>
      <c r="AW459" s="56"/>
      <c r="AX459" s="33">
        <f>SUM(E459:AW459)</f>
        <v>0</v>
      </c>
      <c r="AY459" s="31">
        <f>IFERROR(AVERAGEIF(E459:AW459,"&lt;&gt;0",(E459:AW459)),)</f>
        <v>0</v>
      </c>
      <c r="AZ459" s="30">
        <f>IFERROR(AY459/D459,0)</f>
        <v>0</v>
      </c>
      <c r="BA459" s="103" t="s">
        <v>182</v>
      </c>
      <c r="BB459" s="100" t="s">
        <v>183</v>
      </c>
      <c r="BC459" s="100" t="s">
        <v>184</v>
      </c>
      <c r="BD459" s="101" t="s">
        <v>185</v>
      </c>
      <c r="BE459" s="100" t="s">
        <v>186</v>
      </c>
      <c r="BF459" s="102" t="s">
        <v>187</v>
      </c>
      <c r="BG459" s="100" t="s">
        <v>188</v>
      </c>
      <c r="BH459" s="102" t="s">
        <v>189</v>
      </c>
    </row>
    <row r="460" spans="1:60" s="17" customFormat="1" ht="19.5" customHeight="1" thickBot="1" x14ac:dyDescent="0.4">
      <c r="A460" s="41">
        <f t="shared" ref="A460:B460" si="306">A459</f>
        <v>45439</v>
      </c>
      <c r="B460" s="37" t="str">
        <f t="shared" si="306"/>
        <v>Yan Kapama</v>
      </c>
      <c r="C460" s="65">
        <f t="shared" ref="C460:C465" si="307">C284</f>
        <v>0</v>
      </c>
      <c r="D460" s="67">
        <f t="shared" ref="D460:D465" si="308">D459</f>
        <v>40</v>
      </c>
      <c r="E460" s="57"/>
      <c r="F460" s="52"/>
      <c r="G460" s="52"/>
      <c r="H460" s="58"/>
      <c r="I460" s="57"/>
      <c r="J460" s="52"/>
      <c r="K460" s="52"/>
      <c r="L460" s="58"/>
      <c r="M460" s="57"/>
      <c r="N460" s="52"/>
      <c r="O460" s="52"/>
      <c r="P460" s="58"/>
      <c r="Q460" s="57"/>
      <c r="R460" s="52"/>
      <c r="S460" s="52"/>
      <c r="T460" s="52"/>
      <c r="U460" s="58"/>
      <c r="V460" s="57"/>
      <c r="W460" s="52"/>
      <c r="X460" s="52"/>
      <c r="Y460" s="58"/>
      <c r="Z460" s="57"/>
      <c r="AA460" s="52"/>
      <c r="AB460" s="52"/>
      <c r="AC460" s="58"/>
      <c r="AD460" s="57"/>
      <c r="AE460" s="52"/>
      <c r="AF460" s="52"/>
      <c r="AG460" s="58"/>
      <c r="AH460" s="57"/>
      <c r="AI460" s="52"/>
      <c r="AJ460" s="52"/>
      <c r="AK460" s="58"/>
      <c r="AL460" s="57"/>
      <c r="AM460" s="52"/>
      <c r="AN460" s="52"/>
      <c r="AO460" s="58"/>
      <c r="AP460" s="57"/>
      <c r="AQ460" s="52"/>
      <c r="AR460" s="52"/>
      <c r="AS460" s="58"/>
      <c r="AT460" s="57"/>
      <c r="AU460" s="52"/>
      <c r="AV460" s="52"/>
      <c r="AW460" s="58"/>
      <c r="AX460" s="33">
        <f t="shared" ref="AX460:AX465" si="309">SUM(E460:AW460)</f>
        <v>0</v>
      </c>
      <c r="AY460" s="31">
        <f t="shared" ref="AY460:AY465" si="310">IFERROR(AVERAGEIF(E460:AW460,"&lt;&gt;0",(E460:AW460)),)</f>
        <v>0</v>
      </c>
      <c r="AZ460" s="30">
        <f t="shared" ref="AZ460:AZ465" si="311">IFERROR(AY460/D460,0)</f>
        <v>0</v>
      </c>
      <c r="BA460" s="94">
        <f>AX466+BA284</f>
        <v>0</v>
      </c>
      <c r="BB460" s="95">
        <f>(D466*8)</f>
        <v>4000</v>
      </c>
      <c r="BC460" s="96">
        <f>C357-BA460</f>
        <v>42311</v>
      </c>
      <c r="BD460" s="96">
        <f>BA451-BA460</f>
        <v>0</v>
      </c>
      <c r="BE460" s="97">
        <f>IFERROR(BC460/E466,0)</f>
        <v>0</v>
      </c>
      <c r="BF460" s="98">
        <f>IFERROR(BE460/9,0)</f>
        <v>0</v>
      </c>
      <c r="BG460" s="97">
        <f>IFERROR(BC460/AY466,0)</f>
        <v>0</v>
      </c>
      <c r="BH460" s="97">
        <f>IFERROR(BG460/9,0)</f>
        <v>0</v>
      </c>
    </row>
    <row r="461" spans="1:60" s="17" customFormat="1" ht="19.5" customHeight="1" x14ac:dyDescent="0.35">
      <c r="A461" s="41">
        <f t="shared" ref="A461:B461" si="312">A460</f>
        <v>45439</v>
      </c>
      <c r="B461" s="37" t="str">
        <f t="shared" si="312"/>
        <v>Yan Kapama</v>
      </c>
      <c r="C461" s="65">
        <f t="shared" si="307"/>
        <v>0</v>
      </c>
      <c r="D461" s="67">
        <f t="shared" si="308"/>
        <v>40</v>
      </c>
      <c r="E461" s="57"/>
      <c r="F461" s="52"/>
      <c r="G461" s="52"/>
      <c r="H461" s="58"/>
      <c r="I461" s="57"/>
      <c r="J461" s="52"/>
      <c r="K461" s="52"/>
      <c r="L461" s="58"/>
      <c r="M461" s="57"/>
      <c r="N461" s="52"/>
      <c r="O461" s="52"/>
      <c r="P461" s="58"/>
      <c r="Q461" s="57"/>
      <c r="R461" s="52"/>
      <c r="S461" s="52"/>
      <c r="T461" s="52"/>
      <c r="U461" s="58"/>
      <c r="V461" s="57"/>
      <c r="W461" s="52"/>
      <c r="X461" s="52"/>
      <c r="Y461" s="58"/>
      <c r="Z461" s="57"/>
      <c r="AA461" s="52"/>
      <c r="AB461" s="52"/>
      <c r="AC461" s="58"/>
      <c r="AD461" s="57"/>
      <c r="AE461" s="52"/>
      <c r="AF461" s="52"/>
      <c r="AG461" s="58"/>
      <c r="AH461" s="57"/>
      <c r="AI461" s="52"/>
      <c r="AJ461" s="52"/>
      <c r="AK461" s="58"/>
      <c r="AL461" s="57"/>
      <c r="AM461" s="52"/>
      <c r="AN461" s="52"/>
      <c r="AO461" s="58"/>
      <c r="AP461" s="57"/>
      <c r="AQ461" s="52"/>
      <c r="AR461" s="52"/>
      <c r="AS461" s="58"/>
      <c r="AT461" s="57"/>
      <c r="AU461" s="52"/>
      <c r="AV461" s="52"/>
      <c r="AW461" s="58"/>
      <c r="AX461" s="33">
        <f t="shared" si="309"/>
        <v>0</v>
      </c>
      <c r="AY461" s="31">
        <f t="shared" si="310"/>
        <v>0</v>
      </c>
      <c r="AZ461" s="30">
        <f t="shared" si="311"/>
        <v>0</v>
      </c>
      <c r="BA461" s="34"/>
      <c r="BB461" s="34"/>
      <c r="BC461" s="34"/>
      <c r="BD461" s="76"/>
      <c r="BE461" s="34"/>
      <c r="BF461" s="34"/>
      <c r="BG461" s="34"/>
      <c r="BH461" s="34"/>
    </row>
    <row r="462" spans="1:60" s="17" customFormat="1" ht="19.5" customHeight="1" x14ac:dyDescent="0.35">
      <c r="A462" s="41">
        <f t="shared" ref="A462:B462" si="313">A461</f>
        <v>45439</v>
      </c>
      <c r="B462" s="37" t="str">
        <f t="shared" si="313"/>
        <v>Yan Kapama</v>
      </c>
      <c r="C462" s="65">
        <f t="shared" si="307"/>
        <v>0</v>
      </c>
      <c r="D462" s="67">
        <f t="shared" si="308"/>
        <v>40</v>
      </c>
      <c r="E462" s="57"/>
      <c r="F462" s="52"/>
      <c r="G462" s="52"/>
      <c r="H462" s="58"/>
      <c r="I462" s="57"/>
      <c r="J462" s="52"/>
      <c r="K462" s="52"/>
      <c r="L462" s="58"/>
      <c r="M462" s="57"/>
      <c r="N462" s="52"/>
      <c r="O462" s="52"/>
      <c r="P462" s="58"/>
      <c r="Q462" s="57"/>
      <c r="R462" s="52"/>
      <c r="S462" s="52"/>
      <c r="T462" s="52"/>
      <c r="U462" s="58"/>
      <c r="V462" s="57"/>
      <c r="W462" s="52"/>
      <c r="X462" s="52"/>
      <c r="Y462" s="58"/>
      <c r="Z462" s="57"/>
      <c r="AA462" s="52"/>
      <c r="AB462" s="52"/>
      <c r="AC462" s="58"/>
      <c r="AD462" s="57"/>
      <c r="AE462" s="52"/>
      <c r="AF462" s="52"/>
      <c r="AG462" s="58"/>
      <c r="AH462" s="57"/>
      <c r="AI462" s="52"/>
      <c r="AJ462" s="52"/>
      <c r="AK462" s="58"/>
      <c r="AL462" s="57"/>
      <c r="AM462" s="52"/>
      <c r="AN462" s="52"/>
      <c r="AO462" s="58"/>
      <c r="AP462" s="57"/>
      <c r="AQ462" s="52"/>
      <c r="AR462" s="52"/>
      <c r="AS462" s="58"/>
      <c r="AT462" s="57"/>
      <c r="AU462" s="52"/>
      <c r="AV462" s="52"/>
      <c r="AW462" s="58"/>
      <c r="AX462" s="33">
        <f t="shared" si="309"/>
        <v>0</v>
      </c>
      <c r="AY462" s="31">
        <f t="shared" si="310"/>
        <v>0</v>
      </c>
      <c r="AZ462" s="30">
        <f t="shared" si="311"/>
        <v>0</v>
      </c>
      <c r="BA462" s="34"/>
      <c r="BB462" s="34"/>
      <c r="BC462" s="34"/>
      <c r="BD462" s="76"/>
      <c r="BE462" s="34"/>
      <c r="BF462" s="34"/>
      <c r="BG462" s="34"/>
      <c r="BH462" s="34"/>
    </row>
    <row r="463" spans="1:60" s="17" customFormat="1" ht="19.5" customHeight="1" x14ac:dyDescent="0.35">
      <c r="A463" s="41">
        <f>A460</f>
        <v>45439</v>
      </c>
      <c r="B463" s="37" t="str">
        <f t="shared" ref="B463" si="314">B462</f>
        <v>Yan Kapama</v>
      </c>
      <c r="C463" s="65">
        <f t="shared" si="307"/>
        <v>0</v>
      </c>
      <c r="D463" s="67">
        <f t="shared" si="308"/>
        <v>40</v>
      </c>
      <c r="E463" s="57"/>
      <c r="F463" s="52"/>
      <c r="G463" s="52"/>
      <c r="H463" s="58"/>
      <c r="I463" s="57"/>
      <c r="J463" s="52"/>
      <c r="K463" s="52"/>
      <c r="L463" s="58"/>
      <c r="M463" s="57"/>
      <c r="N463" s="52"/>
      <c r="O463" s="52"/>
      <c r="P463" s="58"/>
      <c r="Q463" s="57"/>
      <c r="R463" s="52"/>
      <c r="S463" s="52"/>
      <c r="T463" s="52"/>
      <c r="U463" s="58"/>
      <c r="V463" s="57"/>
      <c r="W463" s="52"/>
      <c r="X463" s="52"/>
      <c r="Y463" s="58"/>
      <c r="Z463" s="57"/>
      <c r="AA463" s="52"/>
      <c r="AB463" s="52"/>
      <c r="AC463" s="58"/>
      <c r="AD463" s="57"/>
      <c r="AE463" s="52"/>
      <c r="AF463" s="52"/>
      <c r="AG463" s="58"/>
      <c r="AH463" s="57"/>
      <c r="AI463" s="52"/>
      <c r="AJ463" s="52"/>
      <c r="AK463" s="58"/>
      <c r="AL463" s="57"/>
      <c r="AM463" s="52"/>
      <c r="AN463" s="52"/>
      <c r="AO463" s="58"/>
      <c r="AP463" s="57"/>
      <c r="AQ463" s="52"/>
      <c r="AR463" s="52"/>
      <c r="AS463" s="58"/>
      <c r="AT463" s="57"/>
      <c r="AU463" s="52"/>
      <c r="AV463" s="52"/>
      <c r="AW463" s="58"/>
      <c r="AX463" s="33">
        <f t="shared" si="309"/>
        <v>0</v>
      </c>
      <c r="AY463" s="31">
        <f t="shared" si="310"/>
        <v>0</v>
      </c>
      <c r="AZ463" s="30">
        <f t="shared" si="311"/>
        <v>0</v>
      </c>
      <c r="BA463" s="34"/>
      <c r="BB463" s="34"/>
      <c r="BC463" s="34"/>
      <c r="BD463" s="76"/>
      <c r="BE463" s="34"/>
      <c r="BF463" s="34"/>
      <c r="BG463" s="34"/>
      <c r="BH463" s="34"/>
    </row>
    <row r="464" spans="1:60" s="17" customFormat="1" ht="19.5" customHeight="1" x14ac:dyDescent="0.35">
      <c r="A464" s="41">
        <f>A463</f>
        <v>45439</v>
      </c>
      <c r="B464" s="37" t="str">
        <f t="shared" ref="B464" si="315">B463</f>
        <v>Yan Kapama</v>
      </c>
      <c r="C464" s="65">
        <f t="shared" si="307"/>
        <v>0</v>
      </c>
      <c r="D464" s="67">
        <f t="shared" si="308"/>
        <v>40</v>
      </c>
      <c r="E464" s="57"/>
      <c r="F464" s="52"/>
      <c r="G464" s="52"/>
      <c r="H464" s="58"/>
      <c r="I464" s="57"/>
      <c r="J464" s="52"/>
      <c r="K464" s="52"/>
      <c r="L464" s="58"/>
      <c r="M464" s="57"/>
      <c r="N464" s="52"/>
      <c r="O464" s="52"/>
      <c r="P464" s="78"/>
      <c r="Q464" s="57"/>
      <c r="R464" s="52"/>
      <c r="S464" s="52"/>
      <c r="T464" s="52"/>
      <c r="U464" s="58"/>
      <c r="V464" s="80"/>
      <c r="W464" s="52"/>
      <c r="X464" s="52"/>
      <c r="Y464" s="58"/>
      <c r="Z464" s="57"/>
      <c r="AA464" s="52"/>
      <c r="AB464" s="52"/>
      <c r="AC464" s="58"/>
      <c r="AD464" s="57"/>
      <c r="AE464" s="52"/>
      <c r="AF464" s="52"/>
      <c r="AG464" s="58"/>
      <c r="AH464" s="57"/>
      <c r="AI464" s="52"/>
      <c r="AJ464" s="52"/>
      <c r="AK464" s="58"/>
      <c r="AL464" s="57"/>
      <c r="AM464" s="52"/>
      <c r="AN464" s="52"/>
      <c r="AO464" s="58"/>
      <c r="AP464" s="57"/>
      <c r="AQ464" s="52"/>
      <c r="AR464" s="52"/>
      <c r="AS464" s="58"/>
      <c r="AT464" s="57"/>
      <c r="AU464" s="52"/>
      <c r="AV464" s="52"/>
      <c r="AW464" s="58"/>
      <c r="AX464" s="33">
        <f t="shared" si="309"/>
        <v>0</v>
      </c>
      <c r="AY464" s="31">
        <f t="shared" si="310"/>
        <v>0</v>
      </c>
      <c r="AZ464" s="30">
        <f t="shared" si="311"/>
        <v>0</v>
      </c>
      <c r="BA464" s="34"/>
      <c r="BB464" s="34"/>
      <c r="BC464" s="34"/>
      <c r="BD464" s="76"/>
      <c r="BE464" s="34"/>
      <c r="BF464" s="34"/>
      <c r="BG464" s="34"/>
      <c r="BH464" s="34"/>
    </row>
    <row r="465" spans="1:60" s="17" customFormat="1" ht="19.5" customHeight="1" thickBot="1" x14ac:dyDescent="0.4">
      <c r="A465" s="41">
        <f>A464</f>
        <v>45439</v>
      </c>
      <c r="B465" s="37" t="str">
        <f t="shared" ref="B465" si="316">B464</f>
        <v>Yan Kapama</v>
      </c>
      <c r="C465" s="65">
        <f t="shared" si="307"/>
        <v>0</v>
      </c>
      <c r="D465" s="67">
        <f t="shared" si="308"/>
        <v>40</v>
      </c>
      <c r="E465" s="59"/>
      <c r="F465" s="60"/>
      <c r="G465" s="61"/>
      <c r="H465" s="62"/>
      <c r="I465" s="59"/>
      <c r="J465" s="60"/>
      <c r="K465" s="61"/>
      <c r="L465" s="62"/>
      <c r="M465" s="59"/>
      <c r="N465" s="60"/>
      <c r="O465" s="61"/>
      <c r="P465" s="79"/>
      <c r="Q465" s="64"/>
      <c r="R465" s="61"/>
      <c r="S465" s="61"/>
      <c r="T465" s="61"/>
      <c r="U465" s="62"/>
      <c r="V465" s="81"/>
      <c r="W465" s="60"/>
      <c r="X465" s="61"/>
      <c r="Y465" s="62"/>
      <c r="Z465" s="59"/>
      <c r="AA465" s="60"/>
      <c r="AB465" s="61"/>
      <c r="AC465" s="62"/>
      <c r="AD465" s="59"/>
      <c r="AE465" s="60"/>
      <c r="AF465" s="61"/>
      <c r="AG465" s="62"/>
      <c r="AH465" s="59"/>
      <c r="AI465" s="60"/>
      <c r="AJ465" s="61"/>
      <c r="AK465" s="62"/>
      <c r="AL465" s="59"/>
      <c r="AM465" s="60"/>
      <c r="AN465" s="61"/>
      <c r="AO465" s="62"/>
      <c r="AP465" s="59"/>
      <c r="AQ465" s="60"/>
      <c r="AR465" s="61"/>
      <c r="AS465" s="62"/>
      <c r="AT465" s="59"/>
      <c r="AU465" s="60"/>
      <c r="AV465" s="61"/>
      <c r="AW465" s="62"/>
      <c r="AX465" s="33">
        <f t="shared" si="309"/>
        <v>0</v>
      </c>
      <c r="AY465" s="31">
        <f t="shared" si="310"/>
        <v>0</v>
      </c>
      <c r="AZ465" s="30">
        <f t="shared" si="311"/>
        <v>0</v>
      </c>
      <c r="BA465" s="34"/>
      <c r="BB465" s="34"/>
      <c r="BC465" s="34"/>
      <c r="BD465" s="76"/>
      <c r="BE465" s="34"/>
      <c r="BF465" s="34"/>
      <c r="BG465" s="34"/>
      <c r="BH465" s="34"/>
    </row>
    <row r="466" spans="1:60" s="17" customFormat="1" ht="19.5" customHeight="1" thickBot="1" x14ac:dyDescent="0.45">
      <c r="A466" s="41">
        <f>A465</f>
        <v>45439</v>
      </c>
      <c r="B466" s="139" t="str">
        <f>B459</f>
        <v>Yan Kapama</v>
      </c>
      <c r="C466" s="140"/>
      <c r="D466" s="40">
        <f>C358/8</f>
        <v>500</v>
      </c>
      <c r="E466" s="147">
        <f>SUM(E459:H465)</f>
        <v>0</v>
      </c>
      <c r="F466" s="148"/>
      <c r="G466" s="148"/>
      <c r="H466" s="149"/>
      <c r="I466" s="147">
        <f>SUM(I459:L465)</f>
        <v>0</v>
      </c>
      <c r="J466" s="148"/>
      <c r="K466" s="148"/>
      <c r="L466" s="149"/>
      <c r="M466" s="147">
        <f>SUM(M459:P465)</f>
        <v>0</v>
      </c>
      <c r="N466" s="148"/>
      <c r="O466" s="148"/>
      <c r="P466" s="149"/>
      <c r="Q466" s="151">
        <f>SUM(Q459:U465)</f>
        <v>0</v>
      </c>
      <c r="R466" s="152"/>
      <c r="S466" s="152"/>
      <c r="T466" s="152"/>
      <c r="U466" s="153"/>
      <c r="V466" s="147">
        <f>SUM(V459:Y465)</f>
        <v>0</v>
      </c>
      <c r="W466" s="148"/>
      <c r="X466" s="148"/>
      <c r="Y466" s="149"/>
      <c r="Z466" s="147">
        <f>SUM(Z459:AC465)</f>
        <v>0</v>
      </c>
      <c r="AA466" s="148"/>
      <c r="AB466" s="148"/>
      <c r="AC466" s="149"/>
      <c r="AD466" s="147">
        <f>SUM(AD459:AG465)</f>
        <v>0</v>
      </c>
      <c r="AE466" s="148"/>
      <c r="AF466" s="148"/>
      <c r="AG466" s="149"/>
      <c r="AH466" s="147">
        <f>SUM(AH459:AK465)</f>
        <v>0</v>
      </c>
      <c r="AI466" s="148"/>
      <c r="AJ466" s="148"/>
      <c r="AK466" s="149"/>
      <c r="AL466" s="147">
        <f>SUM(AL459:AO465)</f>
        <v>0</v>
      </c>
      <c r="AM466" s="148"/>
      <c r="AN466" s="148"/>
      <c r="AO466" s="149"/>
      <c r="AP466" s="147">
        <f>SUM(AP459:AS465)</f>
        <v>0</v>
      </c>
      <c r="AQ466" s="148"/>
      <c r="AR466" s="148"/>
      <c r="AS466" s="149"/>
      <c r="AT466" s="147">
        <f>SUM(AT459:AW465)</f>
        <v>0</v>
      </c>
      <c r="AU466" s="148"/>
      <c r="AV466" s="148"/>
      <c r="AW466" s="149"/>
      <c r="AX466" s="87">
        <f>SUM(AX459:AX465)</f>
        <v>0</v>
      </c>
      <c r="AY466" s="88">
        <f>IFERROR(AVERAGEIF(E466:AV466,"&lt;&gt;0",(E466:AV466)),)</f>
        <v>0</v>
      </c>
      <c r="AZ466" s="46">
        <f>IFERROR(AX466/BB460,0)</f>
        <v>0</v>
      </c>
      <c r="BA466" s="34"/>
      <c r="BB466" s="34"/>
      <c r="BC466" s="34"/>
      <c r="BD466" s="76"/>
      <c r="BE466" s="34"/>
      <c r="BF466" s="34"/>
      <c r="BG466" s="34"/>
      <c r="BH466" s="34"/>
    </row>
    <row r="467" spans="1:60" s="17" customFormat="1" ht="19.5" customHeight="1" thickBot="1" x14ac:dyDescent="0.4">
      <c r="A467" s="42">
        <f>A458</f>
        <v>45439</v>
      </c>
      <c r="B467" s="38" t="str">
        <f>B468</f>
        <v>Yıkama Takma</v>
      </c>
      <c r="C467" s="39" t="s">
        <v>180</v>
      </c>
      <c r="D467" s="69" t="s">
        <v>181</v>
      </c>
      <c r="E467" s="48">
        <v>0.34375</v>
      </c>
      <c r="F467" s="49">
        <v>0.35416666666666669</v>
      </c>
      <c r="G467" s="49">
        <v>0.36458333333333331</v>
      </c>
      <c r="H467" s="50">
        <v>0.375</v>
      </c>
      <c r="I467" s="48">
        <v>0.38541666666666702</v>
      </c>
      <c r="J467" s="49">
        <v>0.39583333333333298</v>
      </c>
      <c r="K467" s="49">
        <v>0.40625</v>
      </c>
      <c r="L467" s="50">
        <v>0.41666666666666702</v>
      </c>
      <c r="M467" s="48">
        <v>0.4375</v>
      </c>
      <c r="N467" s="49">
        <v>0.44791666666666702</v>
      </c>
      <c r="O467" s="49">
        <v>0.45833333333333398</v>
      </c>
      <c r="P467" s="50">
        <v>0.46875</v>
      </c>
      <c r="Q467" s="48">
        <v>0.47916666666666702</v>
      </c>
      <c r="R467" s="49">
        <v>0.48958333333333398</v>
      </c>
      <c r="S467" s="49">
        <v>0.5</v>
      </c>
      <c r="T467" s="50">
        <v>0.51041666666666696</v>
      </c>
      <c r="U467" s="51">
        <v>0.52083333333333204</v>
      </c>
      <c r="V467" s="48">
        <v>0.5625</v>
      </c>
      <c r="W467" s="49">
        <v>0.57291666666666663</v>
      </c>
      <c r="X467" s="49">
        <v>0.58333333333333304</v>
      </c>
      <c r="Y467" s="50">
        <v>0.59375</v>
      </c>
      <c r="Z467" s="48">
        <v>0.60416666666666696</v>
      </c>
      <c r="AA467" s="49">
        <v>0.61458333333333304</v>
      </c>
      <c r="AB467" s="49">
        <v>0.625</v>
      </c>
      <c r="AC467" s="50">
        <v>0.63541666666666596</v>
      </c>
      <c r="AD467" s="48">
        <v>0.65625</v>
      </c>
      <c r="AE467" s="49">
        <v>0.66666666666666663</v>
      </c>
      <c r="AF467" s="49">
        <v>0.67708333333333304</v>
      </c>
      <c r="AG467" s="50">
        <v>0.6875</v>
      </c>
      <c r="AH467" s="48">
        <v>0.69791666666666696</v>
      </c>
      <c r="AI467" s="49">
        <v>0.70833333333333304</v>
      </c>
      <c r="AJ467" s="49">
        <v>0.71875</v>
      </c>
      <c r="AK467" s="50">
        <v>0.72916666666666696</v>
      </c>
      <c r="AL467" s="48">
        <v>0.73958333333333404</v>
      </c>
      <c r="AM467" s="49">
        <v>0.750000000000001</v>
      </c>
      <c r="AN467" s="49">
        <v>0.76041666666666796</v>
      </c>
      <c r="AO467" s="50">
        <v>0.77083333333333504</v>
      </c>
      <c r="AP467" s="48">
        <v>0.781250000000002</v>
      </c>
      <c r="AQ467" s="49">
        <v>0.79166666666666896</v>
      </c>
      <c r="AR467" s="49">
        <v>0.80208333333333603</v>
      </c>
      <c r="AS467" s="50">
        <v>0.812500000000003</v>
      </c>
      <c r="AT467" s="48">
        <v>0.82291666666666996</v>
      </c>
      <c r="AU467" s="49">
        <v>0.83333333333333703</v>
      </c>
      <c r="AV467" s="49">
        <v>0.843750000000004</v>
      </c>
      <c r="AW467" s="50">
        <v>0.85416666666666663</v>
      </c>
      <c r="AX467" s="68" t="s">
        <v>260</v>
      </c>
      <c r="AY467" s="28" t="s">
        <v>261</v>
      </c>
      <c r="AZ467" s="29" t="s">
        <v>262</v>
      </c>
      <c r="BA467" s="136" t="str">
        <f>B468</f>
        <v>Yıkama Takma</v>
      </c>
      <c r="BB467" s="137"/>
      <c r="BC467" s="137"/>
      <c r="BD467" s="137"/>
      <c r="BE467" s="137"/>
      <c r="BF467" s="137"/>
      <c r="BG467" s="137"/>
      <c r="BH467" s="138"/>
    </row>
    <row r="468" spans="1:60" s="17" customFormat="1" ht="19.5" customHeight="1" thickBot="1" x14ac:dyDescent="0.4">
      <c r="A468" s="41">
        <f t="shared" ref="A468" si="317">A467</f>
        <v>45439</v>
      </c>
      <c r="B468" s="37" t="str">
        <f>B292</f>
        <v>Yıkama Takma</v>
      </c>
      <c r="C468" s="65">
        <f>C292</f>
        <v>0</v>
      </c>
      <c r="D468" s="70">
        <f>D292</f>
        <v>125</v>
      </c>
      <c r="E468" s="63"/>
      <c r="F468" s="55"/>
      <c r="G468" s="55"/>
      <c r="H468" s="56"/>
      <c r="I468" s="63"/>
      <c r="J468" s="55"/>
      <c r="K468" s="55"/>
      <c r="L468" s="56"/>
      <c r="M468" s="63"/>
      <c r="N468" s="55"/>
      <c r="O468" s="55"/>
      <c r="P468" s="56"/>
      <c r="Q468" s="63"/>
      <c r="R468" s="55"/>
      <c r="S468" s="55"/>
      <c r="T468" s="55"/>
      <c r="U468" s="56"/>
      <c r="V468" s="63"/>
      <c r="W468" s="55"/>
      <c r="X468" s="55"/>
      <c r="Y468" s="56"/>
      <c r="Z468" s="63"/>
      <c r="AA468" s="55"/>
      <c r="AB468" s="55"/>
      <c r="AC468" s="56"/>
      <c r="AD468" s="63"/>
      <c r="AE468" s="55"/>
      <c r="AF468" s="55"/>
      <c r="AG468" s="56"/>
      <c r="AH468" s="63"/>
      <c r="AI468" s="55"/>
      <c r="AJ468" s="55"/>
      <c r="AK468" s="56"/>
      <c r="AL468" s="63"/>
      <c r="AM468" s="55"/>
      <c r="AN468" s="55"/>
      <c r="AO468" s="56"/>
      <c r="AP468" s="63"/>
      <c r="AQ468" s="55"/>
      <c r="AR468" s="55"/>
      <c r="AS468" s="56"/>
      <c r="AT468" s="53"/>
      <c r="AU468" s="54"/>
      <c r="AV468" s="55"/>
      <c r="AW468" s="56"/>
      <c r="AX468" s="33">
        <f>SUM(E468:AW468)</f>
        <v>0</v>
      </c>
      <c r="AY468" s="31">
        <f>IFERROR(AVERAGEIF(E468:AW468,"&lt;&gt;0",(E468:AW468)),)</f>
        <v>0</v>
      </c>
      <c r="AZ468" s="30">
        <f>IFERROR(AY468/D468,0)</f>
        <v>0</v>
      </c>
      <c r="BA468" s="103" t="s">
        <v>182</v>
      </c>
      <c r="BB468" s="100" t="s">
        <v>183</v>
      </c>
      <c r="BC468" s="100" t="s">
        <v>184</v>
      </c>
      <c r="BD468" s="101" t="s">
        <v>185</v>
      </c>
      <c r="BE468" s="100" t="s">
        <v>186</v>
      </c>
      <c r="BF468" s="102" t="s">
        <v>187</v>
      </c>
      <c r="BG468" s="100" t="s">
        <v>188</v>
      </c>
      <c r="BH468" s="102" t="s">
        <v>189</v>
      </c>
    </row>
    <row r="469" spans="1:60" s="17" customFormat="1" ht="19.5" customHeight="1" thickBot="1" x14ac:dyDescent="0.4">
      <c r="A469" s="41">
        <f t="shared" ref="A469:B469" si="318">A468</f>
        <v>45439</v>
      </c>
      <c r="B469" s="37" t="str">
        <f t="shared" si="318"/>
        <v>Yıkama Takma</v>
      </c>
      <c r="C469" s="65">
        <f t="shared" ref="C469:C474" si="319">C293</f>
        <v>0</v>
      </c>
      <c r="D469" s="67">
        <f t="shared" ref="D469:D474" si="320">D468</f>
        <v>125</v>
      </c>
      <c r="E469" s="57"/>
      <c r="F469" s="52"/>
      <c r="G469" s="52"/>
      <c r="H469" s="58"/>
      <c r="I469" s="57"/>
      <c r="J469" s="52"/>
      <c r="K469" s="52"/>
      <c r="L469" s="58"/>
      <c r="M469" s="57"/>
      <c r="N469" s="52"/>
      <c r="O469" s="52"/>
      <c r="P469" s="58"/>
      <c r="Q469" s="57"/>
      <c r="R469" s="52"/>
      <c r="S469" s="52"/>
      <c r="T469" s="52"/>
      <c r="U469" s="58"/>
      <c r="V469" s="57"/>
      <c r="W469" s="52"/>
      <c r="X469" s="52"/>
      <c r="Y469" s="58"/>
      <c r="Z469" s="57"/>
      <c r="AA469" s="52"/>
      <c r="AB469" s="52"/>
      <c r="AC469" s="58"/>
      <c r="AD469" s="57"/>
      <c r="AE469" s="52"/>
      <c r="AF469" s="52"/>
      <c r="AG469" s="58"/>
      <c r="AH469" s="57"/>
      <c r="AI469" s="52"/>
      <c r="AJ469" s="52"/>
      <c r="AK469" s="58"/>
      <c r="AL469" s="57"/>
      <c r="AM469" s="52"/>
      <c r="AN469" s="52"/>
      <c r="AO469" s="58"/>
      <c r="AP469" s="57"/>
      <c r="AQ469" s="52"/>
      <c r="AR469" s="52"/>
      <c r="AS469" s="58"/>
      <c r="AT469" s="57"/>
      <c r="AU469" s="52"/>
      <c r="AV469" s="52"/>
      <c r="AW469" s="58"/>
      <c r="AX469" s="33">
        <f t="shared" ref="AX469:AX474" si="321">SUM(E469:AW469)</f>
        <v>0</v>
      </c>
      <c r="AY469" s="31">
        <f t="shared" ref="AY469:AY474" si="322">IFERROR(AVERAGEIF(E469:AW469,"&lt;&gt;0",(E469:AW469)),)</f>
        <v>0</v>
      </c>
      <c r="AZ469" s="30">
        <f t="shared" ref="AZ469:AZ474" si="323">IFERROR(AY469/D469,0)</f>
        <v>0</v>
      </c>
      <c r="BA469" s="94">
        <f>AX475+BA293</f>
        <v>0</v>
      </c>
      <c r="BB469" s="95">
        <f>(D475*8)</f>
        <v>4000</v>
      </c>
      <c r="BC469" s="96">
        <f>C357-BA469</f>
        <v>42311</v>
      </c>
      <c r="BD469" s="96">
        <f>BA460-BA469</f>
        <v>0</v>
      </c>
      <c r="BE469" s="97">
        <f>IFERROR(BC469/E475,0)</f>
        <v>0</v>
      </c>
      <c r="BF469" s="98">
        <f>IFERROR(BE469/9,0)</f>
        <v>0</v>
      </c>
      <c r="BG469" s="97">
        <f>IFERROR(BC469/AY475,0)</f>
        <v>0</v>
      </c>
      <c r="BH469" s="97">
        <f>IFERROR(BG469/9,0)</f>
        <v>0</v>
      </c>
    </row>
    <row r="470" spans="1:60" s="17" customFormat="1" ht="19.5" customHeight="1" x14ac:dyDescent="0.35">
      <c r="A470" s="41">
        <f t="shared" ref="A470:B470" si="324">A469</f>
        <v>45439</v>
      </c>
      <c r="B470" s="37" t="str">
        <f t="shared" si="324"/>
        <v>Yıkama Takma</v>
      </c>
      <c r="C470" s="65">
        <f t="shared" si="319"/>
        <v>0</v>
      </c>
      <c r="D470" s="67">
        <f t="shared" si="320"/>
        <v>125</v>
      </c>
      <c r="E470" s="57"/>
      <c r="F470" s="52"/>
      <c r="G470" s="52"/>
      <c r="H470" s="58"/>
      <c r="I470" s="57"/>
      <c r="J470" s="52"/>
      <c r="K470" s="52"/>
      <c r="L470" s="58"/>
      <c r="M470" s="57"/>
      <c r="N470" s="52"/>
      <c r="O470" s="52"/>
      <c r="P470" s="58"/>
      <c r="Q470" s="57"/>
      <c r="R470" s="52"/>
      <c r="S470" s="52"/>
      <c r="T470" s="52"/>
      <c r="U470" s="58"/>
      <c r="V470" s="57"/>
      <c r="W470" s="52"/>
      <c r="X470" s="52"/>
      <c r="Y470" s="58"/>
      <c r="Z470" s="57"/>
      <c r="AA470" s="52"/>
      <c r="AB470" s="52"/>
      <c r="AC470" s="58"/>
      <c r="AD470" s="57"/>
      <c r="AE470" s="52"/>
      <c r="AF470" s="52"/>
      <c r="AG470" s="58"/>
      <c r="AH470" s="57"/>
      <c r="AI470" s="52"/>
      <c r="AJ470" s="52"/>
      <c r="AK470" s="58"/>
      <c r="AL470" s="57"/>
      <c r="AM470" s="52"/>
      <c r="AN470" s="52"/>
      <c r="AO470" s="58"/>
      <c r="AP470" s="57"/>
      <c r="AQ470" s="52"/>
      <c r="AR470" s="52"/>
      <c r="AS470" s="58"/>
      <c r="AT470" s="57"/>
      <c r="AU470" s="52"/>
      <c r="AV470" s="52"/>
      <c r="AW470" s="58"/>
      <c r="AX470" s="33">
        <f t="shared" si="321"/>
        <v>0</v>
      </c>
      <c r="AY470" s="31">
        <f t="shared" si="322"/>
        <v>0</v>
      </c>
      <c r="AZ470" s="30">
        <f t="shared" si="323"/>
        <v>0</v>
      </c>
      <c r="BA470" s="34"/>
      <c r="BB470" s="34"/>
      <c r="BC470" s="34"/>
      <c r="BD470" s="76"/>
      <c r="BE470" s="34"/>
      <c r="BF470" s="34"/>
      <c r="BG470" s="34"/>
      <c r="BH470" s="34"/>
    </row>
    <row r="471" spans="1:60" s="17" customFormat="1" ht="19.5" customHeight="1" x14ac:dyDescent="0.35">
      <c r="A471" s="41">
        <f t="shared" ref="A471:B471" si="325">A470</f>
        <v>45439</v>
      </c>
      <c r="B471" s="37" t="str">
        <f t="shared" si="325"/>
        <v>Yıkama Takma</v>
      </c>
      <c r="C471" s="65">
        <f t="shared" si="319"/>
        <v>0</v>
      </c>
      <c r="D471" s="67">
        <f t="shared" si="320"/>
        <v>125</v>
      </c>
      <c r="E471" s="57"/>
      <c r="F471" s="52"/>
      <c r="G471" s="52"/>
      <c r="H471" s="58"/>
      <c r="I471" s="57"/>
      <c r="J471" s="52"/>
      <c r="K471" s="52"/>
      <c r="L471" s="58"/>
      <c r="M471" s="57"/>
      <c r="N471" s="52"/>
      <c r="O471" s="52"/>
      <c r="P471" s="58"/>
      <c r="Q471" s="57"/>
      <c r="R471" s="52"/>
      <c r="S471" s="52"/>
      <c r="T471" s="52"/>
      <c r="U471" s="58"/>
      <c r="V471" s="57"/>
      <c r="W471" s="52"/>
      <c r="X471" s="52"/>
      <c r="Y471" s="58"/>
      <c r="Z471" s="57"/>
      <c r="AA471" s="52"/>
      <c r="AB471" s="52"/>
      <c r="AC471" s="58"/>
      <c r="AD471" s="57"/>
      <c r="AE471" s="52"/>
      <c r="AF471" s="52"/>
      <c r="AG471" s="58"/>
      <c r="AH471" s="57"/>
      <c r="AI471" s="52"/>
      <c r="AJ471" s="52"/>
      <c r="AK471" s="58"/>
      <c r="AL471" s="57"/>
      <c r="AM471" s="52"/>
      <c r="AN471" s="52"/>
      <c r="AO471" s="58"/>
      <c r="AP471" s="57"/>
      <c r="AQ471" s="52"/>
      <c r="AR471" s="52"/>
      <c r="AS471" s="58"/>
      <c r="AT471" s="57"/>
      <c r="AU471" s="52"/>
      <c r="AV471" s="52"/>
      <c r="AW471" s="58"/>
      <c r="AX471" s="33">
        <f t="shared" si="321"/>
        <v>0</v>
      </c>
      <c r="AY471" s="31">
        <f t="shared" si="322"/>
        <v>0</v>
      </c>
      <c r="AZ471" s="30">
        <f t="shared" si="323"/>
        <v>0</v>
      </c>
      <c r="BA471" s="34"/>
      <c r="BB471" s="34"/>
      <c r="BC471" s="34"/>
      <c r="BD471" s="76"/>
      <c r="BE471" s="34"/>
      <c r="BF471" s="34"/>
      <c r="BG471" s="34"/>
      <c r="BH471" s="34"/>
    </row>
    <row r="472" spans="1:60" s="17" customFormat="1" ht="19.5" customHeight="1" x14ac:dyDescent="0.35">
      <c r="A472" s="41">
        <f>A469</f>
        <v>45439</v>
      </c>
      <c r="B472" s="37" t="str">
        <f t="shared" ref="B472" si="326">B471</f>
        <v>Yıkama Takma</v>
      </c>
      <c r="C472" s="65">
        <f t="shared" si="319"/>
        <v>0</v>
      </c>
      <c r="D472" s="67">
        <f t="shared" si="320"/>
        <v>125</v>
      </c>
      <c r="E472" s="57"/>
      <c r="F472" s="52"/>
      <c r="G472" s="52"/>
      <c r="H472" s="58"/>
      <c r="I472" s="57"/>
      <c r="J472" s="52"/>
      <c r="K472" s="52"/>
      <c r="L472" s="58"/>
      <c r="M472" s="57"/>
      <c r="N472" s="52"/>
      <c r="O472" s="52"/>
      <c r="P472" s="58"/>
      <c r="Q472" s="57"/>
      <c r="R472" s="52"/>
      <c r="S472" s="52"/>
      <c r="T472" s="52"/>
      <c r="U472" s="58"/>
      <c r="V472" s="57"/>
      <c r="W472" s="52"/>
      <c r="X472" s="52"/>
      <c r="Y472" s="58"/>
      <c r="Z472" s="57"/>
      <c r="AA472" s="52"/>
      <c r="AB472" s="52"/>
      <c r="AC472" s="58"/>
      <c r="AD472" s="57"/>
      <c r="AE472" s="52"/>
      <c r="AF472" s="52"/>
      <c r="AG472" s="58"/>
      <c r="AH472" s="57"/>
      <c r="AI472" s="52"/>
      <c r="AJ472" s="52"/>
      <c r="AK472" s="58"/>
      <c r="AL472" s="57"/>
      <c r="AM472" s="52"/>
      <c r="AN472" s="52"/>
      <c r="AO472" s="58"/>
      <c r="AP472" s="57"/>
      <c r="AQ472" s="52"/>
      <c r="AR472" s="52"/>
      <c r="AS472" s="58"/>
      <c r="AT472" s="57"/>
      <c r="AU472" s="52"/>
      <c r="AV472" s="52"/>
      <c r="AW472" s="58"/>
      <c r="AX472" s="33">
        <f t="shared" si="321"/>
        <v>0</v>
      </c>
      <c r="AY472" s="31">
        <f t="shared" si="322"/>
        <v>0</v>
      </c>
      <c r="AZ472" s="30">
        <f t="shared" si="323"/>
        <v>0</v>
      </c>
      <c r="BA472" s="34"/>
      <c r="BB472" s="34"/>
      <c r="BC472" s="34"/>
      <c r="BD472" s="76"/>
      <c r="BE472" s="34"/>
      <c r="BF472" s="34"/>
      <c r="BG472" s="34"/>
      <c r="BH472" s="34"/>
    </row>
    <row r="473" spans="1:60" s="17" customFormat="1" ht="19.5" customHeight="1" x14ac:dyDescent="0.35">
      <c r="A473" s="41">
        <f t="shared" ref="A473:B473" si="327">A472</f>
        <v>45439</v>
      </c>
      <c r="B473" s="37" t="str">
        <f t="shared" si="327"/>
        <v>Yıkama Takma</v>
      </c>
      <c r="C473" s="65">
        <f t="shared" si="319"/>
        <v>0</v>
      </c>
      <c r="D473" s="67">
        <f t="shared" si="320"/>
        <v>125</v>
      </c>
      <c r="E473" s="57"/>
      <c r="F473" s="52"/>
      <c r="G473" s="52"/>
      <c r="H473" s="58"/>
      <c r="I473" s="57"/>
      <c r="J473" s="52"/>
      <c r="K473" s="52"/>
      <c r="L473" s="58"/>
      <c r="M473" s="57"/>
      <c r="N473" s="52"/>
      <c r="O473" s="52"/>
      <c r="P473" s="58"/>
      <c r="Q473" s="57"/>
      <c r="R473" s="52"/>
      <c r="S473" s="52"/>
      <c r="T473" s="52"/>
      <c r="U473" s="58"/>
      <c r="V473" s="57"/>
      <c r="W473" s="52"/>
      <c r="X473" s="52"/>
      <c r="Y473" s="58"/>
      <c r="Z473" s="57"/>
      <c r="AA473" s="52"/>
      <c r="AB473" s="52"/>
      <c r="AC473" s="58"/>
      <c r="AD473" s="57"/>
      <c r="AE473" s="52"/>
      <c r="AF473" s="52"/>
      <c r="AG473" s="58"/>
      <c r="AH473" s="57"/>
      <c r="AI473" s="52"/>
      <c r="AJ473" s="52"/>
      <c r="AK473" s="58"/>
      <c r="AL473" s="57"/>
      <c r="AM473" s="52"/>
      <c r="AN473" s="52"/>
      <c r="AO473" s="58"/>
      <c r="AP473" s="57"/>
      <c r="AQ473" s="52"/>
      <c r="AR473" s="52"/>
      <c r="AS473" s="58"/>
      <c r="AT473" s="57"/>
      <c r="AU473" s="52"/>
      <c r="AV473" s="52"/>
      <c r="AW473" s="58"/>
      <c r="AX473" s="33">
        <f t="shared" si="321"/>
        <v>0</v>
      </c>
      <c r="AY473" s="31">
        <f t="shared" si="322"/>
        <v>0</v>
      </c>
      <c r="AZ473" s="30">
        <f t="shared" si="323"/>
        <v>0</v>
      </c>
      <c r="BA473" s="34"/>
      <c r="BB473" s="34"/>
      <c r="BC473" s="34"/>
      <c r="BD473" s="76"/>
      <c r="BE473" s="34"/>
      <c r="BF473" s="34"/>
      <c r="BG473" s="34"/>
      <c r="BH473" s="34"/>
    </row>
    <row r="474" spans="1:60" s="17" customFormat="1" ht="19.5" customHeight="1" thickBot="1" x14ac:dyDescent="0.4">
      <c r="A474" s="41">
        <f t="shared" ref="A474:B474" si="328">A473</f>
        <v>45439</v>
      </c>
      <c r="B474" s="37" t="str">
        <f t="shared" si="328"/>
        <v>Yıkama Takma</v>
      </c>
      <c r="C474" s="65">
        <f t="shared" si="319"/>
        <v>0</v>
      </c>
      <c r="D474" s="67">
        <f t="shared" si="320"/>
        <v>125</v>
      </c>
      <c r="E474" s="59"/>
      <c r="F474" s="60"/>
      <c r="G474" s="61"/>
      <c r="H474" s="62"/>
      <c r="I474" s="59"/>
      <c r="J474" s="60"/>
      <c r="K474" s="61"/>
      <c r="L474" s="62"/>
      <c r="M474" s="59"/>
      <c r="N474" s="60"/>
      <c r="O474" s="61"/>
      <c r="P474" s="62"/>
      <c r="Q474" s="64"/>
      <c r="R474" s="61"/>
      <c r="S474" s="61"/>
      <c r="T474" s="61"/>
      <c r="U474" s="62"/>
      <c r="V474" s="59"/>
      <c r="W474" s="60"/>
      <c r="X474" s="61"/>
      <c r="Y474" s="62"/>
      <c r="Z474" s="59"/>
      <c r="AA474" s="60"/>
      <c r="AB474" s="61"/>
      <c r="AC474" s="62"/>
      <c r="AD474" s="59"/>
      <c r="AE474" s="60"/>
      <c r="AF474" s="61"/>
      <c r="AG474" s="62"/>
      <c r="AH474" s="59"/>
      <c r="AI474" s="60"/>
      <c r="AJ474" s="61"/>
      <c r="AK474" s="62"/>
      <c r="AL474" s="59"/>
      <c r="AM474" s="60"/>
      <c r="AN474" s="61"/>
      <c r="AO474" s="62"/>
      <c r="AP474" s="59"/>
      <c r="AQ474" s="60"/>
      <c r="AR474" s="61"/>
      <c r="AS474" s="62"/>
      <c r="AT474" s="59"/>
      <c r="AU474" s="60"/>
      <c r="AV474" s="61"/>
      <c r="AW474" s="62"/>
      <c r="AX474" s="33">
        <f t="shared" si="321"/>
        <v>0</v>
      </c>
      <c r="AY474" s="31">
        <f t="shared" si="322"/>
        <v>0</v>
      </c>
      <c r="AZ474" s="30">
        <f t="shared" si="323"/>
        <v>0</v>
      </c>
      <c r="BA474" s="34"/>
      <c r="BB474" s="34"/>
      <c r="BC474" s="34"/>
      <c r="BD474" s="76"/>
      <c r="BE474" s="34"/>
      <c r="BF474" s="34"/>
      <c r="BG474" s="34"/>
      <c r="BH474" s="34"/>
    </row>
    <row r="475" spans="1:60" s="17" customFormat="1" ht="19.5" customHeight="1" thickBot="1" x14ac:dyDescent="0.45">
      <c r="A475" s="41">
        <f t="shared" ref="A475" si="329">A474</f>
        <v>45439</v>
      </c>
      <c r="B475" s="139" t="str">
        <f>B468</f>
        <v>Yıkama Takma</v>
      </c>
      <c r="C475" s="140"/>
      <c r="D475" s="40">
        <f>C358/8</f>
        <v>500</v>
      </c>
      <c r="E475" s="147">
        <f>SUM(E468:H474)</f>
        <v>0</v>
      </c>
      <c r="F475" s="148"/>
      <c r="G475" s="148"/>
      <c r="H475" s="149"/>
      <c r="I475" s="147">
        <f>SUM(I468:L474)</f>
        <v>0</v>
      </c>
      <c r="J475" s="148"/>
      <c r="K475" s="148"/>
      <c r="L475" s="149"/>
      <c r="M475" s="147">
        <f>SUM(M468:P474)</f>
        <v>0</v>
      </c>
      <c r="N475" s="148"/>
      <c r="O475" s="148"/>
      <c r="P475" s="149"/>
      <c r="Q475" s="147">
        <f>SUM(Q468:U474)</f>
        <v>0</v>
      </c>
      <c r="R475" s="148"/>
      <c r="S475" s="148"/>
      <c r="T475" s="148"/>
      <c r="U475" s="149"/>
      <c r="V475" s="147">
        <f>SUM(V468:Y474)</f>
        <v>0</v>
      </c>
      <c r="W475" s="148"/>
      <c r="X475" s="148"/>
      <c r="Y475" s="149"/>
      <c r="Z475" s="147">
        <f>SUM(Z468:AC474)</f>
        <v>0</v>
      </c>
      <c r="AA475" s="148"/>
      <c r="AB475" s="148"/>
      <c r="AC475" s="149"/>
      <c r="AD475" s="147">
        <f>SUM(AD468:AG474)</f>
        <v>0</v>
      </c>
      <c r="AE475" s="148"/>
      <c r="AF475" s="148"/>
      <c r="AG475" s="149"/>
      <c r="AH475" s="147">
        <f>SUM(AH468:AK474)</f>
        <v>0</v>
      </c>
      <c r="AI475" s="148"/>
      <c r="AJ475" s="148"/>
      <c r="AK475" s="149"/>
      <c r="AL475" s="147">
        <f>SUM(AL468:AO474)</f>
        <v>0</v>
      </c>
      <c r="AM475" s="148"/>
      <c r="AN475" s="148"/>
      <c r="AO475" s="149"/>
      <c r="AP475" s="147">
        <f>SUM(AP468:AS474)</f>
        <v>0</v>
      </c>
      <c r="AQ475" s="148"/>
      <c r="AR475" s="148"/>
      <c r="AS475" s="149"/>
      <c r="AT475" s="147">
        <f>SUM(AT468:AW474)</f>
        <v>0</v>
      </c>
      <c r="AU475" s="148"/>
      <c r="AV475" s="148"/>
      <c r="AW475" s="149"/>
      <c r="AX475" s="87">
        <f>SUM(AX468:AX474)</f>
        <v>0</v>
      </c>
      <c r="AY475" s="88">
        <f>IFERROR(AVERAGEIF(E475:AV475,"&lt;&gt;0",(E475:AV475)),)</f>
        <v>0</v>
      </c>
      <c r="AZ475" s="46">
        <f>IFERROR(AX475/BB469,0)</f>
        <v>0</v>
      </c>
      <c r="BA475" s="34"/>
      <c r="BB475" s="34"/>
      <c r="BC475" s="34"/>
      <c r="BD475" s="76"/>
      <c r="BE475" s="34"/>
      <c r="BF475" s="34"/>
      <c r="BG475" s="34"/>
      <c r="BH475" s="34"/>
    </row>
    <row r="476" spans="1:60" s="17" customFormat="1" ht="19.5" customHeight="1" thickBot="1" x14ac:dyDescent="0.4">
      <c r="A476" s="42">
        <f>A467</f>
        <v>45439</v>
      </c>
      <c r="B476" s="38" t="str">
        <f>B477</f>
        <v>Kol Reçme</v>
      </c>
      <c r="C476" s="39" t="s">
        <v>180</v>
      </c>
      <c r="D476" s="69" t="s">
        <v>181</v>
      </c>
      <c r="E476" s="48">
        <v>0.34375</v>
      </c>
      <c r="F476" s="49">
        <v>0.35416666666666669</v>
      </c>
      <c r="G476" s="49">
        <v>0.36458333333333331</v>
      </c>
      <c r="H476" s="50">
        <v>0.375</v>
      </c>
      <c r="I476" s="48">
        <v>0.38541666666666702</v>
      </c>
      <c r="J476" s="49">
        <v>0.39583333333333298</v>
      </c>
      <c r="K476" s="49">
        <v>0.40625</v>
      </c>
      <c r="L476" s="50">
        <v>0.41666666666666702</v>
      </c>
      <c r="M476" s="48">
        <v>0.4375</v>
      </c>
      <c r="N476" s="49">
        <v>0.44791666666666702</v>
      </c>
      <c r="O476" s="49">
        <v>0.45833333333333398</v>
      </c>
      <c r="P476" s="50">
        <v>0.46875</v>
      </c>
      <c r="Q476" s="82">
        <v>0.47916666666666702</v>
      </c>
      <c r="R476" s="83">
        <v>0.48958333333333398</v>
      </c>
      <c r="S476" s="83">
        <v>0.5</v>
      </c>
      <c r="T476" s="84">
        <v>0.51041666666666696</v>
      </c>
      <c r="U476" s="85">
        <v>0.52083333333333204</v>
      </c>
      <c r="V476" s="48">
        <v>0.5625</v>
      </c>
      <c r="W476" s="49">
        <v>0.57291666666666663</v>
      </c>
      <c r="X476" s="49">
        <v>0.58333333333333304</v>
      </c>
      <c r="Y476" s="50">
        <v>0.59375</v>
      </c>
      <c r="Z476" s="48">
        <v>0.60416666666666696</v>
      </c>
      <c r="AA476" s="49">
        <v>0.61458333333333304</v>
      </c>
      <c r="AB476" s="49">
        <v>0.625</v>
      </c>
      <c r="AC476" s="50">
        <v>0.63541666666666596</v>
      </c>
      <c r="AD476" s="48">
        <v>0.65625</v>
      </c>
      <c r="AE476" s="49">
        <v>0.66666666666666663</v>
      </c>
      <c r="AF476" s="49">
        <v>0.67708333333333304</v>
      </c>
      <c r="AG476" s="50">
        <v>0.6875</v>
      </c>
      <c r="AH476" s="48">
        <v>0.69791666666666696</v>
      </c>
      <c r="AI476" s="49">
        <v>0.70833333333333304</v>
      </c>
      <c r="AJ476" s="49">
        <v>0.71875</v>
      </c>
      <c r="AK476" s="50">
        <v>0.72916666666666696</v>
      </c>
      <c r="AL476" s="48">
        <v>0.73958333333333404</v>
      </c>
      <c r="AM476" s="49">
        <v>0.750000000000001</v>
      </c>
      <c r="AN476" s="49">
        <v>0.76041666666666796</v>
      </c>
      <c r="AO476" s="50">
        <v>0.77083333333333504</v>
      </c>
      <c r="AP476" s="48">
        <v>0.781250000000002</v>
      </c>
      <c r="AQ476" s="49">
        <v>0.79166666666666896</v>
      </c>
      <c r="AR476" s="49">
        <v>0.80208333333333603</v>
      </c>
      <c r="AS476" s="50">
        <v>0.812500000000003</v>
      </c>
      <c r="AT476" s="48">
        <v>0.82291666666666996</v>
      </c>
      <c r="AU476" s="49">
        <v>0.83333333333333703</v>
      </c>
      <c r="AV476" s="49">
        <v>0.843750000000004</v>
      </c>
      <c r="AW476" s="50">
        <v>0.85416666666666663</v>
      </c>
      <c r="AX476" s="68" t="s">
        <v>260</v>
      </c>
      <c r="AY476" s="28" t="s">
        <v>261</v>
      </c>
      <c r="AZ476" s="29" t="s">
        <v>262</v>
      </c>
      <c r="BA476" s="136" t="str">
        <f>B477</f>
        <v>Kol Reçme</v>
      </c>
      <c r="BB476" s="137"/>
      <c r="BC476" s="137"/>
      <c r="BD476" s="137"/>
      <c r="BE476" s="137"/>
      <c r="BF476" s="137"/>
      <c r="BG476" s="137"/>
      <c r="BH476" s="138"/>
    </row>
    <row r="477" spans="1:60" s="17" customFormat="1" ht="19.5" customHeight="1" thickBot="1" x14ac:dyDescent="0.4">
      <c r="A477" s="41">
        <f t="shared" ref="A477" si="330">A476</f>
        <v>45439</v>
      </c>
      <c r="B477" s="37" t="str">
        <f>B301</f>
        <v>Kol Reçme</v>
      </c>
      <c r="C477" s="65">
        <f>C301</f>
        <v>0</v>
      </c>
      <c r="D477" s="70">
        <f>D301</f>
        <v>60</v>
      </c>
      <c r="E477" s="63"/>
      <c r="F477" s="55"/>
      <c r="G477" s="55"/>
      <c r="H477" s="56"/>
      <c r="I477" s="63"/>
      <c r="J477" s="55"/>
      <c r="K477" s="55"/>
      <c r="L477" s="56"/>
      <c r="M477" s="63"/>
      <c r="N477" s="55"/>
      <c r="O477" s="55"/>
      <c r="P477" s="56"/>
      <c r="Q477" s="63"/>
      <c r="R477" s="55"/>
      <c r="S477" s="55"/>
      <c r="T477" s="55"/>
      <c r="U477" s="56"/>
      <c r="V477" s="63"/>
      <c r="W477" s="55"/>
      <c r="X477" s="55"/>
      <c r="Y477" s="56"/>
      <c r="Z477" s="63"/>
      <c r="AA477" s="55"/>
      <c r="AB477" s="55"/>
      <c r="AC477" s="56"/>
      <c r="AD477" s="63"/>
      <c r="AE477" s="55"/>
      <c r="AF477" s="55"/>
      <c r="AG477" s="56"/>
      <c r="AH477" s="63"/>
      <c r="AI477" s="55"/>
      <c r="AJ477" s="55"/>
      <c r="AK477" s="56"/>
      <c r="AL477" s="53"/>
      <c r="AM477" s="54"/>
      <c r="AN477" s="55"/>
      <c r="AO477" s="56"/>
      <c r="AP477" s="53"/>
      <c r="AQ477" s="54"/>
      <c r="AR477" s="55"/>
      <c r="AS477" s="56"/>
      <c r="AT477" s="53"/>
      <c r="AU477" s="54"/>
      <c r="AV477" s="55"/>
      <c r="AW477" s="56"/>
      <c r="AX477" s="33">
        <f>SUM(E477:AW477)</f>
        <v>0</v>
      </c>
      <c r="AY477" s="31">
        <f>IFERROR(AVERAGEIF(E477:AW477,"&lt;&gt;0",(E477:AW477)),)</f>
        <v>0</v>
      </c>
      <c r="AZ477" s="30">
        <f>IFERROR(AY477/D477,0)</f>
        <v>0</v>
      </c>
      <c r="BA477" s="103" t="s">
        <v>182</v>
      </c>
      <c r="BB477" s="100" t="s">
        <v>183</v>
      </c>
      <c r="BC477" s="100" t="s">
        <v>184</v>
      </c>
      <c r="BD477" s="101" t="s">
        <v>185</v>
      </c>
      <c r="BE477" s="100" t="s">
        <v>186</v>
      </c>
      <c r="BF477" s="102" t="s">
        <v>187</v>
      </c>
      <c r="BG477" s="100" t="s">
        <v>188</v>
      </c>
      <c r="BH477" s="102" t="s">
        <v>189</v>
      </c>
    </row>
    <row r="478" spans="1:60" s="17" customFormat="1" ht="19.5" customHeight="1" thickBot="1" x14ac:dyDescent="0.4">
      <c r="A478" s="41">
        <f t="shared" ref="A478:B478" si="331">A477</f>
        <v>45439</v>
      </c>
      <c r="B478" s="37" t="str">
        <f t="shared" si="331"/>
        <v>Kol Reçme</v>
      </c>
      <c r="C478" s="65">
        <f t="shared" ref="C478:C483" si="332">C302</f>
        <v>0</v>
      </c>
      <c r="D478" s="67">
        <f t="shared" ref="D478:D483" si="333">D477</f>
        <v>60</v>
      </c>
      <c r="E478" s="57"/>
      <c r="F478" s="52"/>
      <c r="G478" s="52"/>
      <c r="H478" s="58"/>
      <c r="I478" s="57"/>
      <c r="J478" s="52"/>
      <c r="K478" s="52"/>
      <c r="L478" s="58"/>
      <c r="M478" s="57"/>
      <c r="N478" s="52"/>
      <c r="O478" s="52"/>
      <c r="P478" s="58"/>
      <c r="Q478" s="57"/>
      <c r="R478" s="52"/>
      <c r="S478" s="52"/>
      <c r="T478" s="52"/>
      <c r="U478" s="58"/>
      <c r="V478" s="57"/>
      <c r="W478" s="52"/>
      <c r="X478" s="52"/>
      <c r="Y478" s="58"/>
      <c r="Z478" s="57"/>
      <c r="AA478" s="52"/>
      <c r="AB478" s="52"/>
      <c r="AC478" s="58"/>
      <c r="AD478" s="57"/>
      <c r="AE478" s="52"/>
      <c r="AF478" s="52"/>
      <c r="AG478" s="58"/>
      <c r="AH478" s="57"/>
      <c r="AI478" s="52"/>
      <c r="AJ478" s="52"/>
      <c r="AK478" s="58"/>
      <c r="AL478" s="57"/>
      <c r="AM478" s="52"/>
      <c r="AN478" s="52"/>
      <c r="AO478" s="58"/>
      <c r="AP478" s="57"/>
      <c r="AQ478" s="52"/>
      <c r="AR478" s="52"/>
      <c r="AS478" s="58"/>
      <c r="AT478" s="57"/>
      <c r="AU478" s="52"/>
      <c r="AV478" s="52"/>
      <c r="AW478" s="58"/>
      <c r="AX478" s="33">
        <f t="shared" ref="AX478:AX483" si="334">SUM(E478:AW478)</f>
        <v>0</v>
      </c>
      <c r="AY478" s="31">
        <f t="shared" ref="AY478:AY483" si="335">IFERROR(AVERAGEIF(E478:AW478,"&lt;&gt;0",(E478:AW478)),)</f>
        <v>0</v>
      </c>
      <c r="AZ478" s="30">
        <f t="shared" ref="AZ478:AZ483" si="336">IFERROR(AY478/D478,0)</f>
        <v>0</v>
      </c>
      <c r="BA478" s="94">
        <f>AX484+BA302</f>
        <v>0</v>
      </c>
      <c r="BB478" s="95">
        <f>(D484*8)</f>
        <v>4000</v>
      </c>
      <c r="BC478" s="96">
        <f>C357-BA478</f>
        <v>42311</v>
      </c>
      <c r="BD478" s="96">
        <f>BA469-BA478</f>
        <v>0</v>
      </c>
      <c r="BE478" s="97">
        <f>IFERROR(BC478/E484,0)</f>
        <v>0</v>
      </c>
      <c r="BF478" s="98">
        <f>IFERROR(BE478/9,0)</f>
        <v>0</v>
      </c>
      <c r="BG478" s="97">
        <f>IFERROR(BC478/AY484,0)</f>
        <v>0</v>
      </c>
      <c r="BH478" s="97">
        <f>IFERROR(BG478/9,0)</f>
        <v>0</v>
      </c>
    </row>
    <row r="479" spans="1:60" s="17" customFormat="1" ht="19.5" customHeight="1" x14ac:dyDescent="0.35">
      <c r="A479" s="41">
        <f t="shared" ref="A479:B479" si="337">A478</f>
        <v>45439</v>
      </c>
      <c r="B479" s="37" t="str">
        <f t="shared" si="337"/>
        <v>Kol Reçme</v>
      </c>
      <c r="C479" s="65">
        <f t="shared" si="332"/>
        <v>0</v>
      </c>
      <c r="D479" s="67">
        <f t="shared" si="333"/>
        <v>60</v>
      </c>
      <c r="E479" s="57"/>
      <c r="F479" s="52"/>
      <c r="G479" s="52"/>
      <c r="H479" s="58"/>
      <c r="I479" s="57"/>
      <c r="J479" s="52"/>
      <c r="K479" s="52"/>
      <c r="L479" s="58"/>
      <c r="M479" s="57"/>
      <c r="N479" s="52"/>
      <c r="O479" s="52"/>
      <c r="P479" s="58"/>
      <c r="Q479" s="57"/>
      <c r="R479" s="52"/>
      <c r="S479" s="52"/>
      <c r="T479" s="52"/>
      <c r="U479" s="58"/>
      <c r="V479" s="57"/>
      <c r="W479" s="52"/>
      <c r="X479" s="52"/>
      <c r="Y479" s="58"/>
      <c r="Z479" s="57"/>
      <c r="AA479" s="52"/>
      <c r="AB479" s="52"/>
      <c r="AC479" s="58"/>
      <c r="AD479" s="57"/>
      <c r="AE479" s="52"/>
      <c r="AF479" s="52"/>
      <c r="AG479" s="58"/>
      <c r="AH479" s="57"/>
      <c r="AI479" s="52"/>
      <c r="AJ479" s="52"/>
      <c r="AK479" s="58"/>
      <c r="AL479" s="57"/>
      <c r="AM479" s="52"/>
      <c r="AN479" s="52"/>
      <c r="AO479" s="58"/>
      <c r="AP479" s="57"/>
      <c r="AQ479" s="52"/>
      <c r="AR479" s="52"/>
      <c r="AS479" s="58"/>
      <c r="AT479" s="57"/>
      <c r="AU479" s="52"/>
      <c r="AV479" s="52"/>
      <c r="AW479" s="58"/>
      <c r="AX479" s="33">
        <f t="shared" si="334"/>
        <v>0</v>
      </c>
      <c r="AY479" s="31">
        <f t="shared" si="335"/>
        <v>0</v>
      </c>
      <c r="AZ479" s="30">
        <f t="shared" si="336"/>
        <v>0</v>
      </c>
      <c r="BA479" s="34"/>
      <c r="BB479" s="34"/>
      <c r="BC479" s="34"/>
      <c r="BD479" s="76"/>
      <c r="BE479" s="34"/>
      <c r="BF479" s="34"/>
      <c r="BG479" s="34"/>
      <c r="BH479" s="34"/>
    </row>
    <row r="480" spans="1:60" s="17" customFormat="1" ht="19.5" customHeight="1" x14ac:dyDescent="0.35">
      <c r="A480" s="41">
        <f t="shared" ref="A480:B480" si="338">A479</f>
        <v>45439</v>
      </c>
      <c r="B480" s="37" t="str">
        <f t="shared" si="338"/>
        <v>Kol Reçme</v>
      </c>
      <c r="C480" s="65">
        <f t="shared" si="332"/>
        <v>0</v>
      </c>
      <c r="D480" s="67">
        <f t="shared" si="333"/>
        <v>60</v>
      </c>
      <c r="E480" s="57"/>
      <c r="F480" s="52"/>
      <c r="G480" s="52"/>
      <c r="H480" s="58"/>
      <c r="I480" s="57"/>
      <c r="J480" s="52"/>
      <c r="K480" s="52"/>
      <c r="L480" s="58"/>
      <c r="M480" s="57"/>
      <c r="N480" s="52"/>
      <c r="O480" s="52"/>
      <c r="P480" s="58"/>
      <c r="Q480" s="57"/>
      <c r="R480" s="52"/>
      <c r="S480" s="52"/>
      <c r="T480" s="52"/>
      <c r="U480" s="58"/>
      <c r="V480" s="57"/>
      <c r="W480" s="52"/>
      <c r="X480" s="52"/>
      <c r="Y480" s="58"/>
      <c r="Z480" s="57"/>
      <c r="AA480" s="52"/>
      <c r="AB480" s="52"/>
      <c r="AC480" s="58"/>
      <c r="AD480" s="57"/>
      <c r="AE480" s="52"/>
      <c r="AF480" s="52"/>
      <c r="AG480" s="58"/>
      <c r="AH480" s="57"/>
      <c r="AI480" s="52"/>
      <c r="AJ480" s="52"/>
      <c r="AK480" s="58"/>
      <c r="AL480" s="57"/>
      <c r="AM480" s="52"/>
      <c r="AN480" s="52"/>
      <c r="AO480" s="58"/>
      <c r="AP480" s="57"/>
      <c r="AQ480" s="52"/>
      <c r="AR480" s="52"/>
      <c r="AS480" s="58"/>
      <c r="AT480" s="57"/>
      <c r="AU480" s="52"/>
      <c r="AV480" s="52"/>
      <c r="AW480" s="58"/>
      <c r="AX480" s="33">
        <f t="shared" si="334"/>
        <v>0</v>
      </c>
      <c r="AY480" s="31">
        <f t="shared" si="335"/>
        <v>0</v>
      </c>
      <c r="AZ480" s="30">
        <f t="shared" si="336"/>
        <v>0</v>
      </c>
      <c r="BA480" s="34"/>
      <c r="BB480" s="34"/>
      <c r="BC480" s="34"/>
      <c r="BD480" s="76"/>
      <c r="BE480" s="34"/>
      <c r="BF480" s="34"/>
      <c r="BG480" s="34"/>
      <c r="BH480" s="34"/>
    </row>
    <row r="481" spans="1:60" s="17" customFormat="1" ht="19.5" customHeight="1" x14ac:dyDescent="0.35">
      <c r="A481" s="41">
        <f>A478</f>
        <v>45439</v>
      </c>
      <c r="B481" s="37" t="str">
        <f t="shared" ref="B481" si="339">B480</f>
        <v>Kol Reçme</v>
      </c>
      <c r="C481" s="65">
        <f t="shared" si="332"/>
        <v>0</v>
      </c>
      <c r="D481" s="67">
        <f t="shared" si="333"/>
        <v>60</v>
      </c>
      <c r="E481" s="57"/>
      <c r="F481" s="52"/>
      <c r="G481" s="52"/>
      <c r="H481" s="58"/>
      <c r="I481" s="57"/>
      <c r="J481" s="52"/>
      <c r="K481" s="52"/>
      <c r="L481" s="58"/>
      <c r="M481" s="57"/>
      <c r="N481" s="52"/>
      <c r="O481" s="52"/>
      <c r="P481" s="58"/>
      <c r="Q481" s="57"/>
      <c r="R481" s="52"/>
      <c r="S481" s="52"/>
      <c r="T481" s="52"/>
      <c r="U481" s="58"/>
      <c r="V481" s="57"/>
      <c r="W481" s="52"/>
      <c r="X481" s="52"/>
      <c r="Y481" s="58"/>
      <c r="Z481" s="57"/>
      <c r="AA481" s="52"/>
      <c r="AB481" s="52"/>
      <c r="AC481" s="58"/>
      <c r="AD481" s="57"/>
      <c r="AE481" s="52"/>
      <c r="AF481" s="52"/>
      <c r="AG481" s="58"/>
      <c r="AH481" s="57"/>
      <c r="AI481" s="52"/>
      <c r="AJ481" s="52"/>
      <c r="AK481" s="58"/>
      <c r="AL481" s="57"/>
      <c r="AM481" s="52"/>
      <c r="AN481" s="52"/>
      <c r="AO481" s="58"/>
      <c r="AP481" s="57"/>
      <c r="AQ481" s="52"/>
      <c r="AR481" s="52"/>
      <c r="AS481" s="58"/>
      <c r="AT481" s="57"/>
      <c r="AU481" s="52"/>
      <c r="AV481" s="52"/>
      <c r="AW481" s="58"/>
      <c r="AX481" s="33">
        <f t="shared" si="334"/>
        <v>0</v>
      </c>
      <c r="AY481" s="31">
        <f t="shared" si="335"/>
        <v>0</v>
      </c>
      <c r="AZ481" s="30">
        <f t="shared" si="336"/>
        <v>0</v>
      </c>
      <c r="BA481" s="34"/>
      <c r="BB481" s="34"/>
      <c r="BC481" s="34"/>
      <c r="BD481" s="76"/>
      <c r="BE481" s="34"/>
      <c r="BF481" s="34"/>
      <c r="BG481" s="34"/>
      <c r="BH481" s="34"/>
    </row>
    <row r="482" spans="1:60" s="17" customFormat="1" ht="19.5" customHeight="1" x14ac:dyDescent="0.35">
      <c r="A482" s="41">
        <f t="shared" ref="A482:B482" si="340">A481</f>
        <v>45439</v>
      </c>
      <c r="B482" s="37" t="str">
        <f t="shared" si="340"/>
        <v>Kol Reçme</v>
      </c>
      <c r="C482" s="65">
        <f t="shared" si="332"/>
        <v>0</v>
      </c>
      <c r="D482" s="67">
        <f t="shared" si="333"/>
        <v>60</v>
      </c>
      <c r="E482" s="57"/>
      <c r="F482" s="52"/>
      <c r="G482" s="52"/>
      <c r="H482" s="58"/>
      <c r="I482" s="57"/>
      <c r="J482" s="52"/>
      <c r="K482" s="52"/>
      <c r="L482" s="58"/>
      <c r="M482" s="57"/>
      <c r="N482" s="52"/>
      <c r="O482" s="52"/>
      <c r="P482" s="78"/>
      <c r="Q482" s="57"/>
      <c r="R482" s="52"/>
      <c r="S482" s="52"/>
      <c r="T482" s="52"/>
      <c r="U482" s="58"/>
      <c r="V482" s="80"/>
      <c r="W482" s="52"/>
      <c r="X482" s="52"/>
      <c r="Y482" s="58"/>
      <c r="Z482" s="57"/>
      <c r="AA482" s="52"/>
      <c r="AB482" s="52"/>
      <c r="AC482" s="58"/>
      <c r="AD482" s="57"/>
      <c r="AE482" s="52"/>
      <c r="AF482" s="52"/>
      <c r="AG482" s="58"/>
      <c r="AH482" s="57"/>
      <c r="AI482" s="52"/>
      <c r="AJ482" s="52"/>
      <c r="AK482" s="58"/>
      <c r="AL482" s="57"/>
      <c r="AM482" s="52"/>
      <c r="AN482" s="52"/>
      <c r="AO482" s="58"/>
      <c r="AP482" s="57"/>
      <c r="AQ482" s="52"/>
      <c r="AR482" s="52"/>
      <c r="AS482" s="58"/>
      <c r="AT482" s="57"/>
      <c r="AU482" s="52"/>
      <c r="AV482" s="52"/>
      <c r="AW482" s="58"/>
      <c r="AX482" s="33">
        <f t="shared" si="334"/>
        <v>0</v>
      </c>
      <c r="AY482" s="31">
        <f t="shared" si="335"/>
        <v>0</v>
      </c>
      <c r="AZ482" s="30">
        <f t="shared" si="336"/>
        <v>0</v>
      </c>
      <c r="BA482" s="34"/>
      <c r="BB482" s="34"/>
      <c r="BC482" s="34"/>
      <c r="BD482" s="76"/>
      <c r="BE482" s="34"/>
      <c r="BF482" s="34"/>
      <c r="BG482" s="34"/>
      <c r="BH482" s="34"/>
    </row>
    <row r="483" spans="1:60" s="17" customFormat="1" ht="19.5" customHeight="1" thickBot="1" x14ac:dyDescent="0.4">
      <c r="A483" s="41">
        <f t="shared" ref="A483:B483" si="341">A482</f>
        <v>45439</v>
      </c>
      <c r="B483" s="37" t="str">
        <f t="shared" si="341"/>
        <v>Kol Reçme</v>
      </c>
      <c r="C483" s="65">
        <f t="shared" si="332"/>
        <v>0</v>
      </c>
      <c r="D483" s="67">
        <f t="shared" si="333"/>
        <v>60</v>
      </c>
      <c r="E483" s="59"/>
      <c r="F483" s="60"/>
      <c r="G483" s="61"/>
      <c r="H483" s="62"/>
      <c r="I483" s="59"/>
      <c r="J483" s="60"/>
      <c r="K483" s="61"/>
      <c r="L483" s="62"/>
      <c r="M483" s="59"/>
      <c r="N483" s="60"/>
      <c r="O483" s="61"/>
      <c r="P483" s="79"/>
      <c r="Q483" s="64"/>
      <c r="R483" s="61"/>
      <c r="S483" s="61"/>
      <c r="T483" s="61"/>
      <c r="U483" s="62"/>
      <c r="V483" s="81"/>
      <c r="W483" s="60"/>
      <c r="X483" s="61"/>
      <c r="Y483" s="62"/>
      <c r="Z483" s="59"/>
      <c r="AA483" s="60"/>
      <c r="AB483" s="61"/>
      <c r="AC483" s="62"/>
      <c r="AD483" s="59"/>
      <c r="AE483" s="60"/>
      <c r="AF483" s="61"/>
      <c r="AG483" s="62"/>
      <c r="AH483" s="59"/>
      <c r="AI483" s="60"/>
      <c r="AJ483" s="61"/>
      <c r="AK483" s="62"/>
      <c r="AL483" s="59"/>
      <c r="AM483" s="60"/>
      <c r="AN483" s="61"/>
      <c r="AO483" s="62"/>
      <c r="AP483" s="59"/>
      <c r="AQ483" s="60"/>
      <c r="AR483" s="61"/>
      <c r="AS483" s="62"/>
      <c r="AT483" s="59"/>
      <c r="AU483" s="60"/>
      <c r="AV483" s="61"/>
      <c r="AW483" s="62"/>
      <c r="AX483" s="33">
        <f t="shared" si="334"/>
        <v>0</v>
      </c>
      <c r="AY483" s="31">
        <f t="shared" si="335"/>
        <v>0</v>
      </c>
      <c r="AZ483" s="30">
        <f t="shared" si="336"/>
        <v>0</v>
      </c>
      <c r="BA483" s="34"/>
      <c r="BB483" s="34"/>
      <c r="BC483" s="34"/>
      <c r="BD483" s="76"/>
      <c r="BE483" s="34"/>
      <c r="BF483" s="34"/>
      <c r="BG483" s="34"/>
      <c r="BH483" s="34"/>
    </row>
    <row r="484" spans="1:60" s="17" customFormat="1" ht="19.5" customHeight="1" thickBot="1" x14ac:dyDescent="0.45">
      <c r="A484" s="41">
        <f t="shared" ref="A484" si="342">A483</f>
        <v>45439</v>
      </c>
      <c r="B484" s="139" t="str">
        <f>B477</f>
        <v>Kol Reçme</v>
      </c>
      <c r="C484" s="140"/>
      <c r="D484" s="40">
        <f>C358/8</f>
        <v>500</v>
      </c>
      <c r="E484" s="147">
        <f>SUM(E477:H483)</f>
        <v>0</v>
      </c>
      <c r="F484" s="148"/>
      <c r="G484" s="148"/>
      <c r="H484" s="149"/>
      <c r="I484" s="147">
        <f>SUM(I477:L483)</f>
        <v>0</v>
      </c>
      <c r="J484" s="148"/>
      <c r="K484" s="148"/>
      <c r="L484" s="149"/>
      <c r="M484" s="147">
        <f>SUM(M477:P483)</f>
        <v>0</v>
      </c>
      <c r="N484" s="148"/>
      <c r="O484" s="148"/>
      <c r="P484" s="149"/>
      <c r="Q484" s="151">
        <f>SUM(Q477:U483)</f>
        <v>0</v>
      </c>
      <c r="R484" s="152"/>
      <c r="S484" s="152"/>
      <c r="T484" s="152"/>
      <c r="U484" s="153"/>
      <c r="V484" s="147">
        <f>SUM(V477:Y483)</f>
        <v>0</v>
      </c>
      <c r="W484" s="148"/>
      <c r="X484" s="148"/>
      <c r="Y484" s="149"/>
      <c r="Z484" s="147">
        <f>SUM(Z477:AC483)</f>
        <v>0</v>
      </c>
      <c r="AA484" s="148"/>
      <c r="AB484" s="148"/>
      <c r="AC484" s="149"/>
      <c r="AD484" s="147">
        <f>SUM(AD477:AG483)</f>
        <v>0</v>
      </c>
      <c r="AE484" s="148"/>
      <c r="AF484" s="148"/>
      <c r="AG484" s="149"/>
      <c r="AH484" s="147">
        <f>SUM(AH477:AK483)</f>
        <v>0</v>
      </c>
      <c r="AI484" s="148"/>
      <c r="AJ484" s="148"/>
      <c r="AK484" s="149"/>
      <c r="AL484" s="147">
        <f>SUM(AL477:AO483)</f>
        <v>0</v>
      </c>
      <c r="AM484" s="148"/>
      <c r="AN484" s="148"/>
      <c r="AO484" s="149"/>
      <c r="AP484" s="147">
        <f>SUM(AP477:AS483)</f>
        <v>0</v>
      </c>
      <c r="AQ484" s="148"/>
      <c r="AR484" s="148"/>
      <c r="AS484" s="149"/>
      <c r="AT484" s="147">
        <f>SUM(AT477:AW483)</f>
        <v>0</v>
      </c>
      <c r="AU484" s="148"/>
      <c r="AV484" s="148"/>
      <c r="AW484" s="149"/>
      <c r="AX484" s="87">
        <f>SUM(AX477:AX483)</f>
        <v>0</v>
      </c>
      <c r="AY484" s="88">
        <f>IFERROR(AVERAGEIF(E484:AV484,"&lt;&gt;0",(E484:AV484)),)</f>
        <v>0</v>
      </c>
      <c r="AZ484" s="46">
        <f>IFERROR(AX484/BB478,0)</f>
        <v>0</v>
      </c>
      <c r="BA484" s="34"/>
      <c r="BB484" s="34"/>
      <c r="BC484" s="34"/>
      <c r="BD484" s="76"/>
      <c r="BE484" s="34"/>
      <c r="BF484" s="34"/>
      <c r="BG484" s="34"/>
      <c r="BH484" s="34"/>
    </row>
    <row r="485" spans="1:60" s="17" customFormat="1" ht="19.5" customHeight="1" thickBot="1" x14ac:dyDescent="0.4">
      <c r="A485" s="42">
        <f>A476</f>
        <v>45439</v>
      </c>
      <c r="B485" s="38" t="str">
        <f>B486</f>
        <v>Etek Reçme</v>
      </c>
      <c r="C485" s="39" t="s">
        <v>180</v>
      </c>
      <c r="D485" s="69" t="s">
        <v>181</v>
      </c>
      <c r="E485" s="48">
        <v>0.34375</v>
      </c>
      <c r="F485" s="49">
        <v>0.35416666666666669</v>
      </c>
      <c r="G485" s="49">
        <v>0.36458333333333331</v>
      </c>
      <c r="H485" s="50">
        <v>0.375</v>
      </c>
      <c r="I485" s="48">
        <v>0.38541666666666702</v>
      </c>
      <c r="J485" s="49">
        <v>0.39583333333333298</v>
      </c>
      <c r="K485" s="49">
        <v>0.40625</v>
      </c>
      <c r="L485" s="50">
        <v>0.41666666666666702</v>
      </c>
      <c r="M485" s="48">
        <v>0.4375</v>
      </c>
      <c r="N485" s="49">
        <v>0.44791666666666702</v>
      </c>
      <c r="O485" s="49">
        <v>0.45833333333333398</v>
      </c>
      <c r="P485" s="50">
        <v>0.46875</v>
      </c>
      <c r="Q485" s="82">
        <v>0.47916666666666702</v>
      </c>
      <c r="R485" s="83">
        <v>0.48958333333333398</v>
      </c>
      <c r="S485" s="83">
        <v>0.5</v>
      </c>
      <c r="T485" s="84">
        <v>0.51041666666666696</v>
      </c>
      <c r="U485" s="85">
        <v>0.52083333333333204</v>
      </c>
      <c r="V485" s="48">
        <v>0.5625</v>
      </c>
      <c r="W485" s="49">
        <v>0.57291666666666663</v>
      </c>
      <c r="X485" s="49">
        <v>0.58333333333333304</v>
      </c>
      <c r="Y485" s="50">
        <v>0.59375</v>
      </c>
      <c r="Z485" s="48">
        <v>0.60416666666666696</v>
      </c>
      <c r="AA485" s="49">
        <v>0.61458333333333304</v>
      </c>
      <c r="AB485" s="49">
        <v>0.625</v>
      </c>
      <c r="AC485" s="50">
        <v>0.63541666666666596</v>
      </c>
      <c r="AD485" s="48">
        <v>0.65625</v>
      </c>
      <c r="AE485" s="49">
        <v>0.66666666666666663</v>
      </c>
      <c r="AF485" s="49">
        <v>0.67708333333333304</v>
      </c>
      <c r="AG485" s="50">
        <v>0.6875</v>
      </c>
      <c r="AH485" s="48">
        <v>0.69791666666666696</v>
      </c>
      <c r="AI485" s="49">
        <v>0.70833333333333304</v>
      </c>
      <c r="AJ485" s="49">
        <v>0.71875</v>
      </c>
      <c r="AK485" s="50">
        <v>0.72916666666666696</v>
      </c>
      <c r="AL485" s="48">
        <v>0.73958333333333404</v>
      </c>
      <c r="AM485" s="49">
        <v>0.750000000000001</v>
      </c>
      <c r="AN485" s="49">
        <v>0.76041666666666796</v>
      </c>
      <c r="AO485" s="50">
        <v>0.77083333333333504</v>
      </c>
      <c r="AP485" s="48">
        <v>0.781250000000002</v>
      </c>
      <c r="AQ485" s="49">
        <v>0.79166666666666896</v>
      </c>
      <c r="AR485" s="49">
        <v>0.80208333333333603</v>
      </c>
      <c r="AS485" s="50">
        <v>0.812500000000003</v>
      </c>
      <c r="AT485" s="48">
        <v>0.82291666666666996</v>
      </c>
      <c r="AU485" s="49">
        <v>0.83333333333333703</v>
      </c>
      <c r="AV485" s="49">
        <v>0.843750000000004</v>
      </c>
      <c r="AW485" s="50">
        <v>0.85416666666666663</v>
      </c>
      <c r="AX485" s="68" t="s">
        <v>260</v>
      </c>
      <c r="AY485" s="28" t="s">
        <v>261</v>
      </c>
      <c r="AZ485" s="29" t="s">
        <v>262</v>
      </c>
      <c r="BA485" s="136" t="str">
        <f>B486</f>
        <v>Etek Reçme</v>
      </c>
      <c r="BB485" s="137"/>
      <c r="BC485" s="137"/>
      <c r="BD485" s="137"/>
      <c r="BE485" s="137"/>
      <c r="BF485" s="137"/>
      <c r="BG485" s="137"/>
      <c r="BH485" s="138"/>
    </row>
    <row r="486" spans="1:60" s="17" customFormat="1" ht="19.5" customHeight="1" thickBot="1" x14ac:dyDescent="0.4">
      <c r="A486" s="41">
        <f t="shared" ref="A486" si="343">A485</f>
        <v>45439</v>
      </c>
      <c r="B486" s="37" t="str">
        <f>B310</f>
        <v>Etek Reçme</v>
      </c>
      <c r="C486" s="65">
        <f>C310</f>
        <v>0</v>
      </c>
      <c r="D486" s="70">
        <f>D310</f>
        <v>120</v>
      </c>
      <c r="E486" s="63"/>
      <c r="F486" s="55"/>
      <c r="G486" s="55"/>
      <c r="H486" s="56"/>
      <c r="I486" s="63"/>
      <c r="J486" s="55"/>
      <c r="K486" s="55"/>
      <c r="L486" s="56"/>
      <c r="M486" s="63"/>
      <c r="N486" s="55"/>
      <c r="O486" s="55"/>
      <c r="P486" s="56"/>
      <c r="Q486" s="63"/>
      <c r="R486" s="55"/>
      <c r="S486" s="55"/>
      <c r="T486" s="55"/>
      <c r="U486" s="56"/>
      <c r="V486" s="63"/>
      <c r="W486" s="55"/>
      <c r="X486" s="55"/>
      <c r="Y486" s="56"/>
      <c r="Z486" s="63"/>
      <c r="AA486" s="55"/>
      <c r="AB486" s="55"/>
      <c r="AC486" s="56"/>
      <c r="AD486" s="63"/>
      <c r="AE486" s="55"/>
      <c r="AF486" s="55"/>
      <c r="AG486" s="56"/>
      <c r="AH486" s="63"/>
      <c r="AI486" s="55"/>
      <c r="AJ486" s="55"/>
      <c r="AK486" s="56"/>
      <c r="AL486" s="53"/>
      <c r="AM486" s="54"/>
      <c r="AN486" s="55"/>
      <c r="AO486" s="56"/>
      <c r="AP486" s="53"/>
      <c r="AQ486" s="54"/>
      <c r="AR486" s="55"/>
      <c r="AS486" s="56"/>
      <c r="AT486" s="53"/>
      <c r="AU486" s="54"/>
      <c r="AV486" s="55"/>
      <c r="AW486" s="56"/>
      <c r="AX486" s="33">
        <f>SUM(E486:AW486)</f>
        <v>0</v>
      </c>
      <c r="AY486" s="31">
        <f>IFERROR(AVERAGEIF(E486:AW486,"&lt;&gt;0",(E486:AW486)),)</f>
        <v>0</v>
      </c>
      <c r="AZ486" s="30">
        <f>IFERROR(AY486/D486,0)</f>
        <v>0</v>
      </c>
      <c r="BA486" s="103" t="s">
        <v>182</v>
      </c>
      <c r="BB486" s="100" t="s">
        <v>183</v>
      </c>
      <c r="BC486" s="100" t="s">
        <v>184</v>
      </c>
      <c r="BD486" s="101" t="s">
        <v>185</v>
      </c>
      <c r="BE486" s="100" t="s">
        <v>186</v>
      </c>
      <c r="BF486" s="102" t="s">
        <v>187</v>
      </c>
      <c r="BG486" s="100" t="s">
        <v>188</v>
      </c>
      <c r="BH486" s="102" t="s">
        <v>189</v>
      </c>
    </row>
    <row r="487" spans="1:60" s="17" customFormat="1" ht="19.5" customHeight="1" thickBot="1" x14ac:dyDescent="0.4">
      <c r="A487" s="41">
        <f t="shared" ref="A487:B487" si="344">A486</f>
        <v>45439</v>
      </c>
      <c r="B487" s="37" t="str">
        <f t="shared" si="344"/>
        <v>Etek Reçme</v>
      </c>
      <c r="C487" s="65">
        <f t="shared" ref="C487:C492" si="345">C311</f>
        <v>0</v>
      </c>
      <c r="D487" s="67">
        <f t="shared" ref="D487:D492" si="346">D486</f>
        <v>120</v>
      </c>
      <c r="E487" s="57"/>
      <c r="F487" s="52"/>
      <c r="G487" s="52"/>
      <c r="H487" s="58"/>
      <c r="I487" s="57"/>
      <c r="J487" s="52"/>
      <c r="K487" s="52"/>
      <c r="L487" s="58"/>
      <c r="M487" s="57"/>
      <c r="N487" s="52"/>
      <c r="O487" s="52"/>
      <c r="P487" s="58"/>
      <c r="Q487" s="57"/>
      <c r="R487" s="52"/>
      <c r="S487" s="52"/>
      <c r="T487" s="52"/>
      <c r="U487" s="58"/>
      <c r="V487" s="57"/>
      <c r="W487" s="52"/>
      <c r="X487" s="52"/>
      <c r="Y487" s="58"/>
      <c r="Z487" s="57"/>
      <c r="AA487" s="52"/>
      <c r="AB487" s="52"/>
      <c r="AC487" s="58"/>
      <c r="AD487" s="57"/>
      <c r="AE487" s="52"/>
      <c r="AF487" s="52"/>
      <c r="AG487" s="58"/>
      <c r="AH487" s="57"/>
      <c r="AI487" s="52"/>
      <c r="AJ487" s="52"/>
      <c r="AK487" s="58"/>
      <c r="AL487" s="57"/>
      <c r="AM487" s="52"/>
      <c r="AN487" s="52"/>
      <c r="AO487" s="58"/>
      <c r="AP487" s="57"/>
      <c r="AQ487" s="52"/>
      <c r="AR487" s="52"/>
      <c r="AS487" s="58"/>
      <c r="AT487" s="57"/>
      <c r="AU487" s="52"/>
      <c r="AV487" s="52"/>
      <c r="AW487" s="58"/>
      <c r="AX487" s="33">
        <f t="shared" ref="AX487:AX492" si="347">SUM(E487:AW487)</f>
        <v>0</v>
      </c>
      <c r="AY487" s="31">
        <f t="shared" ref="AY487:AY492" si="348">IFERROR(AVERAGEIF(E487:AW487,"&lt;&gt;0",(E487:AW487)),)</f>
        <v>0</v>
      </c>
      <c r="AZ487" s="30">
        <f t="shared" ref="AZ487:AZ492" si="349">IFERROR(AY487/D487,0)</f>
        <v>0</v>
      </c>
      <c r="BA487" s="94">
        <f>AX493+BA311</f>
        <v>0</v>
      </c>
      <c r="BB487" s="95">
        <f>(D493*8)</f>
        <v>4000</v>
      </c>
      <c r="BC487" s="96">
        <f>C357-BA487</f>
        <v>42311</v>
      </c>
      <c r="BD487" s="96">
        <f>BA478-BA487</f>
        <v>0</v>
      </c>
      <c r="BE487" s="97">
        <f>IFERROR(BC487/E493,0)</f>
        <v>0</v>
      </c>
      <c r="BF487" s="98">
        <f>IFERROR(BE487/9,0)</f>
        <v>0</v>
      </c>
      <c r="BG487" s="97">
        <f>IFERROR(BC487/AY493,0)</f>
        <v>0</v>
      </c>
      <c r="BH487" s="97">
        <f>IFERROR(BG487/9,0)</f>
        <v>0</v>
      </c>
    </row>
    <row r="488" spans="1:60" s="17" customFormat="1" ht="19.5" customHeight="1" x14ac:dyDescent="0.35">
      <c r="A488" s="41">
        <f t="shared" ref="A488:B488" si="350">A487</f>
        <v>45439</v>
      </c>
      <c r="B488" s="37" t="str">
        <f t="shared" si="350"/>
        <v>Etek Reçme</v>
      </c>
      <c r="C488" s="65">
        <f t="shared" si="345"/>
        <v>0</v>
      </c>
      <c r="D488" s="67">
        <f t="shared" si="346"/>
        <v>120</v>
      </c>
      <c r="E488" s="57"/>
      <c r="F488" s="52"/>
      <c r="G488" s="52"/>
      <c r="H488" s="58"/>
      <c r="I488" s="57"/>
      <c r="J488" s="52"/>
      <c r="K488" s="52"/>
      <c r="L488" s="58"/>
      <c r="M488" s="57"/>
      <c r="N488" s="52"/>
      <c r="O488" s="52"/>
      <c r="P488" s="58"/>
      <c r="Q488" s="57"/>
      <c r="R488" s="52"/>
      <c r="S488" s="52"/>
      <c r="T488" s="52"/>
      <c r="U488" s="58"/>
      <c r="V488" s="57"/>
      <c r="W488" s="52"/>
      <c r="X488" s="52"/>
      <c r="Y488" s="58"/>
      <c r="Z488" s="57"/>
      <c r="AA488" s="52"/>
      <c r="AB488" s="52"/>
      <c r="AC488" s="58"/>
      <c r="AD488" s="57"/>
      <c r="AE488" s="52"/>
      <c r="AF488" s="52"/>
      <c r="AG488" s="58"/>
      <c r="AH488" s="57"/>
      <c r="AI488" s="52"/>
      <c r="AJ488" s="52"/>
      <c r="AK488" s="58"/>
      <c r="AL488" s="57"/>
      <c r="AM488" s="52"/>
      <c r="AN488" s="52"/>
      <c r="AO488" s="58"/>
      <c r="AP488" s="57"/>
      <c r="AQ488" s="52"/>
      <c r="AR488" s="52"/>
      <c r="AS488" s="58"/>
      <c r="AT488" s="57"/>
      <c r="AU488" s="52"/>
      <c r="AV488" s="52"/>
      <c r="AW488" s="58"/>
      <c r="AX488" s="33">
        <f t="shared" si="347"/>
        <v>0</v>
      </c>
      <c r="AY488" s="31">
        <f t="shared" si="348"/>
        <v>0</v>
      </c>
      <c r="AZ488" s="30">
        <f t="shared" si="349"/>
        <v>0</v>
      </c>
      <c r="BA488" s="34"/>
      <c r="BB488" s="34"/>
      <c r="BC488" s="34"/>
      <c r="BD488" s="76"/>
      <c r="BE488" s="34"/>
      <c r="BF488" s="34"/>
      <c r="BG488" s="34"/>
      <c r="BH488" s="34"/>
    </row>
    <row r="489" spans="1:60" s="17" customFormat="1" ht="19.5" customHeight="1" x14ac:dyDescent="0.35">
      <c r="A489" s="41">
        <f t="shared" ref="A489:B489" si="351">A488</f>
        <v>45439</v>
      </c>
      <c r="B489" s="37" t="str">
        <f t="shared" si="351"/>
        <v>Etek Reçme</v>
      </c>
      <c r="C489" s="65">
        <f t="shared" si="345"/>
        <v>0</v>
      </c>
      <c r="D489" s="67">
        <f t="shared" si="346"/>
        <v>120</v>
      </c>
      <c r="E489" s="57"/>
      <c r="F489" s="52"/>
      <c r="G489" s="52"/>
      <c r="H489" s="58"/>
      <c r="I489" s="57"/>
      <c r="J489" s="52"/>
      <c r="K489" s="52"/>
      <c r="L489" s="58"/>
      <c r="M489" s="57"/>
      <c r="N489" s="52"/>
      <c r="O489" s="52"/>
      <c r="P489" s="58"/>
      <c r="Q489" s="57"/>
      <c r="R489" s="52"/>
      <c r="S489" s="52"/>
      <c r="T489" s="52"/>
      <c r="U489" s="58"/>
      <c r="V489" s="57"/>
      <c r="W489" s="52"/>
      <c r="X489" s="52"/>
      <c r="Y489" s="58"/>
      <c r="Z489" s="57"/>
      <c r="AA489" s="52"/>
      <c r="AB489" s="52"/>
      <c r="AC489" s="58"/>
      <c r="AD489" s="57"/>
      <c r="AE489" s="52"/>
      <c r="AF489" s="52"/>
      <c r="AG489" s="58"/>
      <c r="AH489" s="57"/>
      <c r="AI489" s="52"/>
      <c r="AJ489" s="52"/>
      <c r="AK489" s="58"/>
      <c r="AL489" s="57"/>
      <c r="AM489" s="52"/>
      <c r="AN489" s="52"/>
      <c r="AO489" s="58"/>
      <c r="AP489" s="57"/>
      <c r="AQ489" s="52"/>
      <c r="AR489" s="52"/>
      <c r="AS489" s="58"/>
      <c r="AT489" s="57"/>
      <c r="AU489" s="52"/>
      <c r="AV489" s="52"/>
      <c r="AW489" s="58"/>
      <c r="AX489" s="33">
        <f t="shared" si="347"/>
        <v>0</v>
      </c>
      <c r="AY489" s="31">
        <f t="shared" si="348"/>
        <v>0</v>
      </c>
      <c r="AZ489" s="30">
        <f t="shared" si="349"/>
        <v>0</v>
      </c>
      <c r="BA489" s="34"/>
      <c r="BB489" s="34"/>
      <c r="BC489" s="34"/>
      <c r="BD489" s="76"/>
      <c r="BE489" s="34"/>
      <c r="BF489" s="34"/>
      <c r="BG489" s="34"/>
      <c r="BH489" s="34"/>
    </row>
    <row r="490" spans="1:60" s="17" customFormat="1" ht="19.5" customHeight="1" x14ac:dyDescent="0.35">
      <c r="A490" s="41">
        <f>A487</f>
        <v>45439</v>
      </c>
      <c r="B490" s="37" t="str">
        <f t="shared" ref="B490" si="352">B489</f>
        <v>Etek Reçme</v>
      </c>
      <c r="C490" s="65">
        <f t="shared" si="345"/>
        <v>0</v>
      </c>
      <c r="D490" s="67">
        <f t="shared" si="346"/>
        <v>120</v>
      </c>
      <c r="E490" s="57"/>
      <c r="F490" s="52"/>
      <c r="G490" s="52"/>
      <c r="H490" s="58"/>
      <c r="I490" s="57"/>
      <c r="J490" s="52"/>
      <c r="K490" s="52"/>
      <c r="L490" s="58"/>
      <c r="M490" s="57"/>
      <c r="N490" s="52"/>
      <c r="O490" s="52"/>
      <c r="P490" s="58"/>
      <c r="Q490" s="57"/>
      <c r="R490" s="52"/>
      <c r="S490" s="52"/>
      <c r="T490" s="52"/>
      <c r="U490" s="58"/>
      <c r="V490" s="57"/>
      <c r="W490" s="52"/>
      <c r="X490" s="52"/>
      <c r="Y490" s="58"/>
      <c r="Z490" s="57"/>
      <c r="AA490" s="52"/>
      <c r="AB490" s="52"/>
      <c r="AC490" s="58"/>
      <c r="AD490" s="57"/>
      <c r="AE490" s="52"/>
      <c r="AF490" s="52"/>
      <c r="AG490" s="58"/>
      <c r="AH490" s="57"/>
      <c r="AI490" s="52"/>
      <c r="AJ490" s="52"/>
      <c r="AK490" s="58"/>
      <c r="AL490" s="57"/>
      <c r="AM490" s="52"/>
      <c r="AN490" s="52"/>
      <c r="AO490" s="58"/>
      <c r="AP490" s="57"/>
      <c r="AQ490" s="52"/>
      <c r="AR490" s="52"/>
      <c r="AS490" s="58"/>
      <c r="AT490" s="57"/>
      <c r="AU490" s="52"/>
      <c r="AV490" s="52"/>
      <c r="AW490" s="58"/>
      <c r="AX490" s="33">
        <f t="shared" si="347"/>
        <v>0</v>
      </c>
      <c r="AY490" s="31">
        <f t="shared" si="348"/>
        <v>0</v>
      </c>
      <c r="AZ490" s="30">
        <f t="shared" si="349"/>
        <v>0</v>
      </c>
      <c r="BA490" s="34"/>
      <c r="BB490" s="34"/>
      <c r="BC490" s="34"/>
      <c r="BD490" s="76"/>
      <c r="BE490" s="34"/>
      <c r="BF490" s="34"/>
      <c r="BG490" s="34"/>
      <c r="BH490" s="34"/>
    </row>
    <row r="491" spans="1:60" s="17" customFormat="1" ht="19.5" customHeight="1" x14ac:dyDescent="0.35">
      <c r="A491" s="41">
        <f t="shared" ref="A491:B491" si="353">A490</f>
        <v>45439</v>
      </c>
      <c r="B491" s="37" t="str">
        <f t="shared" si="353"/>
        <v>Etek Reçme</v>
      </c>
      <c r="C491" s="65">
        <f t="shared" si="345"/>
        <v>0</v>
      </c>
      <c r="D491" s="67">
        <f t="shared" si="346"/>
        <v>120</v>
      </c>
      <c r="E491" s="57"/>
      <c r="F491" s="52"/>
      <c r="G491" s="52"/>
      <c r="H491" s="58"/>
      <c r="I491" s="57"/>
      <c r="J491" s="52"/>
      <c r="K491" s="52"/>
      <c r="L491" s="58"/>
      <c r="M491" s="57"/>
      <c r="N491" s="52"/>
      <c r="O491" s="52"/>
      <c r="P491" s="78"/>
      <c r="Q491" s="57"/>
      <c r="R491" s="52"/>
      <c r="S491" s="52"/>
      <c r="T491" s="52"/>
      <c r="U491" s="58"/>
      <c r="V491" s="80"/>
      <c r="W491" s="52"/>
      <c r="X491" s="52"/>
      <c r="Y491" s="58"/>
      <c r="Z491" s="57"/>
      <c r="AA491" s="52"/>
      <c r="AB491" s="52"/>
      <c r="AC491" s="58"/>
      <c r="AD491" s="57"/>
      <c r="AE491" s="52"/>
      <c r="AF491" s="52"/>
      <c r="AG491" s="58"/>
      <c r="AH491" s="57"/>
      <c r="AI491" s="52"/>
      <c r="AJ491" s="52"/>
      <c r="AK491" s="58"/>
      <c r="AL491" s="57"/>
      <c r="AM491" s="52"/>
      <c r="AN491" s="52"/>
      <c r="AO491" s="58"/>
      <c r="AP491" s="57"/>
      <c r="AQ491" s="52"/>
      <c r="AR491" s="52"/>
      <c r="AS491" s="58"/>
      <c r="AT491" s="57"/>
      <c r="AU491" s="52"/>
      <c r="AV491" s="52"/>
      <c r="AW491" s="58"/>
      <c r="AX491" s="33">
        <f t="shared" si="347"/>
        <v>0</v>
      </c>
      <c r="AY491" s="31">
        <f t="shared" si="348"/>
        <v>0</v>
      </c>
      <c r="AZ491" s="30">
        <f t="shared" si="349"/>
        <v>0</v>
      </c>
      <c r="BA491" s="34"/>
      <c r="BB491" s="34"/>
      <c r="BC491" s="34"/>
      <c r="BD491" s="76"/>
      <c r="BE491" s="34"/>
      <c r="BF491" s="34"/>
      <c r="BG491" s="34"/>
      <c r="BH491" s="34"/>
    </row>
    <row r="492" spans="1:60" s="17" customFormat="1" ht="19.5" customHeight="1" thickBot="1" x14ac:dyDescent="0.4">
      <c r="A492" s="41">
        <f t="shared" ref="A492:B492" si="354">A491</f>
        <v>45439</v>
      </c>
      <c r="B492" s="37" t="str">
        <f t="shared" si="354"/>
        <v>Etek Reçme</v>
      </c>
      <c r="C492" s="65">
        <f t="shared" si="345"/>
        <v>0</v>
      </c>
      <c r="D492" s="67">
        <f t="shared" si="346"/>
        <v>120</v>
      </c>
      <c r="E492" s="59"/>
      <c r="F492" s="60"/>
      <c r="G492" s="61"/>
      <c r="H492" s="62"/>
      <c r="I492" s="59"/>
      <c r="J492" s="60"/>
      <c r="K492" s="61"/>
      <c r="L492" s="62"/>
      <c r="M492" s="59"/>
      <c r="N492" s="60"/>
      <c r="O492" s="61"/>
      <c r="P492" s="79"/>
      <c r="Q492" s="64"/>
      <c r="R492" s="61"/>
      <c r="S492" s="61"/>
      <c r="T492" s="61"/>
      <c r="U492" s="62"/>
      <c r="V492" s="81"/>
      <c r="W492" s="60"/>
      <c r="X492" s="61"/>
      <c r="Y492" s="62"/>
      <c r="Z492" s="59"/>
      <c r="AA492" s="60"/>
      <c r="AB492" s="61"/>
      <c r="AC492" s="62"/>
      <c r="AD492" s="59"/>
      <c r="AE492" s="60"/>
      <c r="AF492" s="61"/>
      <c r="AG492" s="62"/>
      <c r="AH492" s="59"/>
      <c r="AI492" s="60"/>
      <c r="AJ492" s="61"/>
      <c r="AK492" s="62"/>
      <c r="AL492" s="59"/>
      <c r="AM492" s="60"/>
      <c r="AN492" s="61"/>
      <c r="AO492" s="62"/>
      <c r="AP492" s="59"/>
      <c r="AQ492" s="60"/>
      <c r="AR492" s="61"/>
      <c r="AS492" s="62"/>
      <c r="AT492" s="59"/>
      <c r="AU492" s="60"/>
      <c r="AV492" s="61"/>
      <c r="AW492" s="62"/>
      <c r="AX492" s="33">
        <f t="shared" si="347"/>
        <v>0</v>
      </c>
      <c r="AY492" s="31">
        <f t="shared" si="348"/>
        <v>0</v>
      </c>
      <c r="AZ492" s="30">
        <f t="shared" si="349"/>
        <v>0</v>
      </c>
      <c r="BA492" s="34"/>
      <c r="BB492" s="34"/>
      <c r="BC492" s="34"/>
      <c r="BD492" s="76"/>
      <c r="BE492" s="34"/>
      <c r="BF492" s="34"/>
      <c r="BG492" s="34"/>
      <c r="BH492" s="34"/>
    </row>
    <row r="493" spans="1:60" s="17" customFormat="1" ht="19.5" customHeight="1" thickBot="1" x14ac:dyDescent="0.45">
      <c r="A493" s="41">
        <f t="shared" ref="A493" si="355">A492</f>
        <v>45439</v>
      </c>
      <c r="B493" s="139" t="str">
        <f>B486</f>
        <v>Etek Reçme</v>
      </c>
      <c r="C493" s="140"/>
      <c r="D493" s="40">
        <f>C358/8</f>
        <v>500</v>
      </c>
      <c r="E493" s="147">
        <f>SUM(E486:H492)</f>
        <v>0</v>
      </c>
      <c r="F493" s="148"/>
      <c r="G493" s="148"/>
      <c r="H493" s="149"/>
      <c r="I493" s="147">
        <f>SUM(I486:L492)</f>
        <v>0</v>
      </c>
      <c r="J493" s="148"/>
      <c r="K493" s="148"/>
      <c r="L493" s="149"/>
      <c r="M493" s="147">
        <f>SUM(M486:P492)</f>
        <v>0</v>
      </c>
      <c r="N493" s="148"/>
      <c r="O493" s="148"/>
      <c r="P493" s="149"/>
      <c r="Q493" s="151">
        <f>SUM(Q486:U492)</f>
        <v>0</v>
      </c>
      <c r="R493" s="152"/>
      <c r="S493" s="152"/>
      <c r="T493" s="152"/>
      <c r="U493" s="153"/>
      <c r="V493" s="147">
        <f>SUM(V486:Y492)</f>
        <v>0</v>
      </c>
      <c r="W493" s="148"/>
      <c r="X493" s="148"/>
      <c r="Y493" s="149"/>
      <c r="Z493" s="147">
        <f>SUM(Z486:AC492)</f>
        <v>0</v>
      </c>
      <c r="AA493" s="148"/>
      <c r="AB493" s="148"/>
      <c r="AC493" s="149"/>
      <c r="AD493" s="147">
        <f>SUM(AD486:AG492)</f>
        <v>0</v>
      </c>
      <c r="AE493" s="148"/>
      <c r="AF493" s="148"/>
      <c r="AG493" s="149"/>
      <c r="AH493" s="147">
        <f>SUM(AH486:AK492)</f>
        <v>0</v>
      </c>
      <c r="AI493" s="148"/>
      <c r="AJ493" s="148"/>
      <c r="AK493" s="149"/>
      <c r="AL493" s="147">
        <f>SUM(AL486:AO492)</f>
        <v>0</v>
      </c>
      <c r="AM493" s="148"/>
      <c r="AN493" s="148"/>
      <c r="AO493" s="149"/>
      <c r="AP493" s="147">
        <f>SUM(AP486:AS492)</f>
        <v>0</v>
      </c>
      <c r="AQ493" s="148"/>
      <c r="AR493" s="148"/>
      <c r="AS493" s="149"/>
      <c r="AT493" s="147">
        <f>SUM(AT486:AW492)</f>
        <v>0</v>
      </c>
      <c r="AU493" s="148"/>
      <c r="AV493" s="148"/>
      <c r="AW493" s="149"/>
      <c r="AX493" s="87">
        <f>SUM(AX486:AX492)</f>
        <v>0</v>
      </c>
      <c r="AY493" s="88">
        <f>IFERROR(AVERAGEIF(E493:AV493,"&lt;&gt;0",(E493:AV493)),)</f>
        <v>0</v>
      </c>
      <c r="AZ493" s="46">
        <f>IFERROR(AX493/BB487,0)</f>
        <v>0</v>
      </c>
      <c r="BA493" s="34"/>
      <c r="BB493" s="34"/>
      <c r="BC493" s="34"/>
      <c r="BD493" s="76"/>
      <c r="BE493" s="34"/>
      <c r="BF493" s="34"/>
      <c r="BG493" s="34"/>
      <c r="BH493" s="34"/>
    </row>
    <row r="494" spans="1:60" s="17" customFormat="1" ht="19.5" customHeight="1" thickBot="1" x14ac:dyDescent="0.4">
      <c r="A494" s="42">
        <f>A458</f>
        <v>45439</v>
      </c>
      <c r="B494" s="38" t="str">
        <f>B495</f>
        <v>Çevirme</v>
      </c>
      <c r="C494" s="39" t="s">
        <v>180</v>
      </c>
      <c r="D494" s="69" t="s">
        <v>181</v>
      </c>
      <c r="E494" s="48">
        <v>0.34375</v>
      </c>
      <c r="F494" s="49">
        <v>0.35416666666666669</v>
      </c>
      <c r="G494" s="49">
        <v>0.36458333333333331</v>
      </c>
      <c r="H494" s="50">
        <v>0.375</v>
      </c>
      <c r="I494" s="48">
        <v>0.38541666666666702</v>
      </c>
      <c r="J494" s="49">
        <v>0.39583333333333298</v>
      </c>
      <c r="K494" s="49">
        <v>0.40625</v>
      </c>
      <c r="L494" s="50">
        <v>0.41666666666666702</v>
      </c>
      <c r="M494" s="48">
        <v>0.4375</v>
      </c>
      <c r="N494" s="49">
        <v>0.44791666666666702</v>
      </c>
      <c r="O494" s="49">
        <v>0.45833333333333398</v>
      </c>
      <c r="P494" s="50">
        <v>0.46875</v>
      </c>
      <c r="Q494" s="48">
        <v>0.47916666666666702</v>
      </c>
      <c r="R494" s="49">
        <v>0.48958333333333398</v>
      </c>
      <c r="S494" s="49">
        <v>0.5</v>
      </c>
      <c r="T494" s="50">
        <v>0.51041666666666696</v>
      </c>
      <c r="U494" s="51">
        <v>0.52083333333333204</v>
      </c>
      <c r="V494" s="48">
        <v>0.5625</v>
      </c>
      <c r="W494" s="49">
        <v>0.57291666666666663</v>
      </c>
      <c r="X494" s="49">
        <v>0.58333333333333304</v>
      </c>
      <c r="Y494" s="50">
        <v>0.59375</v>
      </c>
      <c r="Z494" s="48">
        <v>0.60416666666666696</v>
      </c>
      <c r="AA494" s="49">
        <v>0.61458333333333304</v>
      </c>
      <c r="AB494" s="49">
        <v>0.625</v>
      </c>
      <c r="AC494" s="50">
        <v>0.63541666666666596</v>
      </c>
      <c r="AD494" s="48">
        <v>0.65625</v>
      </c>
      <c r="AE494" s="49">
        <v>0.66666666666666663</v>
      </c>
      <c r="AF494" s="49">
        <v>0.67708333333333304</v>
      </c>
      <c r="AG494" s="50">
        <v>0.6875</v>
      </c>
      <c r="AH494" s="48">
        <v>0.69791666666666696</v>
      </c>
      <c r="AI494" s="49">
        <v>0.70833333333333304</v>
      </c>
      <c r="AJ494" s="49">
        <v>0.71875</v>
      </c>
      <c r="AK494" s="50">
        <v>0.72916666666666696</v>
      </c>
      <c r="AL494" s="48">
        <v>0.73958333333333404</v>
      </c>
      <c r="AM494" s="49">
        <v>0.750000000000001</v>
      </c>
      <c r="AN494" s="49">
        <v>0.76041666666666796</v>
      </c>
      <c r="AO494" s="50">
        <v>0.77083333333333504</v>
      </c>
      <c r="AP494" s="48">
        <v>0.781250000000002</v>
      </c>
      <c r="AQ494" s="49">
        <v>0.79166666666666896</v>
      </c>
      <c r="AR494" s="49">
        <v>0.80208333333333603</v>
      </c>
      <c r="AS494" s="50">
        <v>0.812500000000003</v>
      </c>
      <c r="AT494" s="48">
        <v>0.82291666666666996</v>
      </c>
      <c r="AU494" s="49">
        <v>0.83333333333333703</v>
      </c>
      <c r="AV494" s="49">
        <v>0.843750000000004</v>
      </c>
      <c r="AW494" s="50">
        <v>0.85416666666666663</v>
      </c>
      <c r="AX494" s="68" t="s">
        <v>260</v>
      </c>
      <c r="AY494" s="28" t="s">
        <v>261</v>
      </c>
      <c r="AZ494" s="29" t="s">
        <v>262</v>
      </c>
      <c r="BA494" s="136" t="str">
        <f>B495</f>
        <v>Çevirme</v>
      </c>
      <c r="BB494" s="137"/>
      <c r="BC494" s="137"/>
      <c r="BD494" s="137"/>
      <c r="BE494" s="137"/>
      <c r="BF494" s="137"/>
      <c r="BG494" s="137"/>
      <c r="BH494" s="138"/>
    </row>
    <row r="495" spans="1:60" s="17" customFormat="1" ht="19.5" customHeight="1" thickBot="1" x14ac:dyDescent="0.4">
      <c r="A495" s="41">
        <f t="shared" ref="A495" si="356">A494</f>
        <v>45439</v>
      </c>
      <c r="B495" s="37" t="str">
        <f>B319</f>
        <v>Çevirme</v>
      </c>
      <c r="C495" s="65">
        <f>C319</f>
        <v>0</v>
      </c>
      <c r="D495" s="70">
        <f>D283</f>
        <v>40</v>
      </c>
      <c r="E495" s="63"/>
      <c r="F495" s="55"/>
      <c r="G495" s="55"/>
      <c r="H495" s="56"/>
      <c r="I495" s="63"/>
      <c r="J495" s="55"/>
      <c r="K495" s="55"/>
      <c r="L495" s="56"/>
      <c r="M495" s="63"/>
      <c r="N495" s="55"/>
      <c r="O495" s="55"/>
      <c r="P495" s="56"/>
      <c r="Q495" s="63"/>
      <c r="R495" s="55"/>
      <c r="S495" s="55"/>
      <c r="T495" s="55"/>
      <c r="U495" s="56"/>
      <c r="V495" s="63"/>
      <c r="W495" s="55"/>
      <c r="X495" s="55"/>
      <c r="Y495" s="56"/>
      <c r="Z495" s="63"/>
      <c r="AA495" s="55"/>
      <c r="AB495" s="55"/>
      <c r="AC495" s="56"/>
      <c r="AD495" s="63"/>
      <c r="AE495" s="55"/>
      <c r="AF495" s="55"/>
      <c r="AG495" s="56"/>
      <c r="AH495" s="63"/>
      <c r="AI495" s="55"/>
      <c r="AJ495" s="55"/>
      <c r="AK495" s="56"/>
      <c r="AL495" s="63"/>
      <c r="AM495" s="55"/>
      <c r="AN495" s="55"/>
      <c r="AO495" s="56"/>
      <c r="AP495" s="63"/>
      <c r="AQ495" s="55"/>
      <c r="AR495" s="55"/>
      <c r="AS495" s="56"/>
      <c r="AT495" s="53"/>
      <c r="AU495" s="54"/>
      <c r="AV495" s="55"/>
      <c r="AW495" s="56"/>
      <c r="AX495" s="33">
        <f>SUM(E495:AW495)</f>
        <v>0</v>
      </c>
      <c r="AY495" s="31">
        <f>IFERROR(AVERAGEIF(E495:AW495,"&lt;&gt;0",(E495:AW495)),)</f>
        <v>0</v>
      </c>
      <c r="AZ495" s="30">
        <f>IFERROR(AY495/D495,0)</f>
        <v>0</v>
      </c>
      <c r="BA495" s="103" t="s">
        <v>182</v>
      </c>
      <c r="BB495" s="100" t="s">
        <v>183</v>
      </c>
      <c r="BC495" s="100" t="s">
        <v>184</v>
      </c>
      <c r="BD495" s="101" t="s">
        <v>185</v>
      </c>
      <c r="BE495" s="100" t="s">
        <v>186</v>
      </c>
      <c r="BF495" s="102" t="s">
        <v>187</v>
      </c>
      <c r="BG495" s="100" t="s">
        <v>188</v>
      </c>
      <c r="BH495" s="102" t="s">
        <v>189</v>
      </c>
    </row>
    <row r="496" spans="1:60" s="17" customFormat="1" ht="19.5" customHeight="1" thickBot="1" x14ac:dyDescent="0.4">
      <c r="A496" s="41">
        <f t="shared" ref="A496:B496" si="357">A495</f>
        <v>45439</v>
      </c>
      <c r="B496" s="37" t="str">
        <f t="shared" si="357"/>
        <v>Çevirme</v>
      </c>
      <c r="C496" s="65">
        <f t="shared" ref="C496:C501" si="358">C320</f>
        <v>0</v>
      </c>
      <c r="D496" s="67">
        <f t="shared" ref="D496:D501" si="359">D495</f>
        <v>40</v>
      </c>
      <c r="E496" s="57"/>
      <c r="F496" s="52"/>
      <c r="G496" s="52"/>
      <c r="H496" s="58"/>
      <c r="I496" s="57"/>
      <c r="J496" s="52"/>
      <c r="K496" s="52"/>
      <c r="L496" s="58"/>
      <c r="M496" s="57"/>
      <c r="N496" s="52"/>
      <c r="O496" s="52"/>
      <c r="P496" s="58"/>
      <c r="Q496" s="57"/>
      <c r="R496" s="52"/>
      <c r="S496" s="52"/>
      <c r="T496" s="52"/>
      <c r="U496" s="58"/>
      <c r="V496" s="57"/>
      <c r="W496" s="52"/>
      <c r="X496" s="52"/>
      <c r="Y496" s="58"/>
      <c r="Z496" s="57"/>
      <c r="AA496" s="52"/>
      <c r="AB496" s="52"/>
      <c r="AC496" s="58"/>
      <c r="AD496" s="57"/>
      <c r="AE496" s="52"/>
      <c r="AF496" s="52"/>
      <c r="AG496" s="58"/>
      <c r="AH496" s="57"/>
      <c r="AI496" s="52"/>
      <c r="AJ496" s="52"/>
      <c r="AK496" s="58"/>
      <c r="AL496" s="57"/>
      <c r="AM496" s="52"/>
      <c r="AN496" s="52"/>
      <c r="AO496" s="58"/>
      <c r="AP496" s="57"/>
      <c r="AQ496" s="52"/>
      <c r="AR496" s="52"/>
      <c r="AS496" s="58"/>
      <c r="AT496" s="57"/>
      <c r="AU496" s="52"/>
      <c r="AV496" s="52"/>
      <c r="AW496" s="58"/>
      <c r="AX496" s="33">
        <f t="shared" ref="AX496:AX501" si="360">SUM(E496:AW496)</f>
        <v>0</v>
      </c>
      <c r="AY496" s="31">
        <f t="shared" ref="AY496:AY501" si="361">IFERROR(AVERAGEIF(E496:AW496,"&lt;&gt;0",(E496:AW496)),)</f>
        <v>0</v>
      </c>
      <c r="AZ496" s="30">
        <f t="shared" ref="AZ496:AZ501" si="362">IFERROR(AY496/D496,0)</f>
        <v>0</v>
      </c>
      <c r="BA496" s="94">
        <f>AX502+BA320</f>
        <v>0</v>
      </c>
      <c r="BB496" s="95">
        <f>(D502*8)</f>
        <v>4000</v>
      </c>
      <c r="BC496" s="96">
        <f>C357-BA496</f>
        <v>42311</v>
      </c>
      <c r="BD496" s="96">
        <f>BA478-BA496</f>
        <v>0</v>
      </c>
      <c r="BE496" s="97">
        <f>IFERROR(BC496/E502,0)</f>
        <v>0</v>
      </c>
      <c r="BF496" s="98">
        <f>IFERROR(BE496/9,0)</f>
        <v>0</v>
      </c>
      <c r="BG496" s="97">
        <f>IFERROR(BC496/AY502,0)</f>
        <v>0</v>
      </c>
      <c r="BH496" s="97">
        <f>IFERROR(BG496/9,0)</f>
        <v>0</v>
      </c>
    </row>
    <row r="497" spans="1:60" s="17" customFormat="1" ht="19.5" customHeight="1" x14ac:dyDescent="0.35">
      <c r="A497" s="41">
        <f t="shared" ref="A497:B497" si="363">A496</f>
        <v>45439</v>
      </c>
      <c r="B497" s="37" t="str">
        <f t="shared" si="363"/>
        <v>Çevirme</v>
      </c>
      <c r="C497" s="65">
        <f t="shared" si="358"/>
        <v>0</v>
      </c>
      <c r="D497" s="67">
        <f t="shared" si="359"/>
        <v>40</v>
      </c>
      <c r="E497" s="57"/>
      <c r="F497" s="52"/>
      <c r="G497" s="52"/>
      <c r="H497" s="58"/>
      <c r="I497" s="57"/>
      <c r="J497" s="52"/>
      <c r="K497" s="52"/>
      <c r="L497" s="58"/>
      <c r="M497" s="57"/>
      <c r="N497" s="52"/>
      <c r="O497" s="52"/>
      <c r="P497" s="58"/>
      <c r="Q497" s="57"/>
      <c r="R497" s="52"/>
      <c r="S497" s="52"/>
      <c r="T497" s="52"/>
      <c r="U497" s="58"/>
      <c r="V497" s="57"/>
      <c r="W497" s="52"/>
      <c r="X497" s="52"/>
      <c r="Y497" s="58"/>
      <c r="Z497" s="57"/>
      <c r="AA497" s="52"/>
      <c r="AB497" s="52"/>
      <c r="AC497" s="58"/>
      <c r="AD497" s="57"/>
      <c r="AE497" s="52"/>
      <c r="AF497" s="52"/>
      <c r="AG497" s="58"/>
      <c r="AH497" s="57"/>
      <c r="AI497" s="52"/>
      <c r="AJ497" s="52"/>
      <c r="AK497" s="58"/>
      <c r="AL497" s="57"/>
      <c r="AM497" s="52"/>
      <c r="AN497" s="52"/>
      <c r="AO497" s="58"/>
      <c r="AP497" s="57"/>
      <c r="AQ497" s="52"/>
      <c r="AR497" s="52"/>
      <c r="AS497" s="58"/>
      <c r="AT497" s="57"/>
      <c r="AU497" s="52"/>
      <c r="AV497" s="52"/>
      <c r="AW497" s="58"/>
      <c r="AX497" s="33">
        <f t="shared" si="360"/>
        <v>0</v>
      </c>
      <c r="AY497" s="31">
        <f t="shared" si="361"/>
        <v>0</v>
      </c>
      <c r="AZ497" s="30">
        <f t="shared" si="362"/>
        <v>0</v>
      </c>
      <c r="BA497" s="34"/>
      <c r="BB497" s="34"/>
      <c r="BC497" s="34"/>
      <c r="BD497" s="76"/>
      <c r="BE497" s="34"/>
      <c r="BF497" s="34"/>
      <c r="BG497" s="34"/>
      <c r="BH497" s="34"/>
    </row>
    <row r="498" spans="1:60" s="17" customFormat="1" ht="19.5" customHeight="1" x14ac:dyDescent="0.35">
      <c r="A498" s="41">
        <f t="shared" ref="A498:B498" si="364">A497</f>
        <v>45439</v>
      </c>
      <c r="B498" s="37" t="str">
        <f t="shared" si="364"/>
        <v>Çevirme</v>
      </c>
      <c r="C498" s="65">
        <f t="shared" si="358"/>
        <v>0</v>
      </c>
      <c r="D498" s="67">
        <f t="shared" si="359"/>
        <v>40</v>
      </c>
      <c r="E498" s="57"/>
      <c r="F498" s="52"/>
      <c r="G498" s="52"/>
      <c r="H498" s="58"/>
      <c r="I498" s="57"/>
      <c r="J498" s="52"/>
      <c r="K498" s="52"/>
      <c r="L498" s="58"/>
      <c r="M498" s="57"/>
      <c r="N498" s="52"/>
      <c r="O498" s="52"/>
      <c r="P498" s="58"/>
      <c r="Q498" s="57"/>
      <c r="R498" s="52"/>
      <c r="S498" s="52"/>
      <c r="T498" s="52"/>
      <c r="U498" s="58"/>
      <c r="V498" s="57"/>
      <c r="W498" s="52"/>
      <c r="X498" s="52"/>
      <c r="Y498" s="58"/>
      <c r="Z498" s="57"/>
      <c r="AA498" s="52"/>
      <c r="AB498" s="52"/>
      <c r="AC498" s="58"/>
      <c r="AD498" s="57"/>
      <c r="AE498" s="52"/>
      <c r="AF498" s="52"/>
      <c r="AG498" s="58"/>
      <c r="AH498" s="57"/>
      <c r="AI498" s="52"/>
      <c r="AJ498" s="52"/>
      <c r="AK498" s="58"/>
      <c r="AL498" s="57"/>
      <c r="AM498" s="52"/>
      <c r="AN498" s="52"/>
      <c r="AO498" s="58"/>
      <c r="AP498" s="57"/>
      <c r="AQ498" s="52"/>
      <c r="AR498" s="52"/>
      <c r="AS498" s="58"/>
      <c r="AT498" s="57"/>
      <c r="AU498" s="52"/>
      <c r="AV498" s="52"/>
      <c r="AW498" s="58"/>
      <c r="AX498" s="33">
        <f t="shared" si="360"/>
        <v>0</v>
      </c>
      <c r="AY498" s="31">
        <f t="shared" si="361"/>
        <v>0</v>
      </c>
      <c r="AZ498" s="30">
        <f t="shared" si="362"/>
        <v>0</v>
      </c>
      <c r="BA498" s="34"/>
      <c r="BB498" s="34"/>
      <c r="BC498" s="34"/>
      <c r="BD498" s="76"/>
      <c r="BE498" s="34"/>
      <c r="BF498" s="34"/>
      <c r="BG498" s="34"/>
      <c r="BH498" s="34"/>
    </row>
    <row r="499" spans="1:60" s="17" customFormat="1" ht="19.5" customHeight="1" x14ac:dyDescent="0.35">
      <c r="A499" s="41">
        <f>A496</f>
        <v>45439</v>
      </c>
      <c r="B499" s="37" t="str">
        <f t="shared" ref="B499" si="365">B498</f>
        <v>Çevirme</v>
      </c>
      <c r="C499" s="65">
        <f t="shared" si="358"/>
        <v>0</v>
      </c>
      <c r="D499" s="67">
        <f t="shared" si="359"/>
        <v>40</v>
      </c>
      <c r="E499" s="57"/>
      <c r="F499" s="52"/>
      <c r="G499" s="52"/>
      <c r="H499" s="58"/>
      <c r="I499" s="57"/>
      <c r="J499" s="52"/>
      <c r="K499" s="52"/>
      <c r="L499" s="58"/>
      <c r="M499" s="57"/>
      <c r="N499" s="52"/>
      <c r="O499" s="52"/>
      <c r="P499" s="58"/>
      <c r="Q499" s="57"/>
      <c r="R499" s="52"/>
      <c r="S499" s="52"/>
      <c r="T499" s="52"/>
      <c r="U499" s="58"/>
      <c r="V499" s="57"/>
      <c r="W499" s="52"/>
      <c r="X499" s="52"/>
      <c r="Y499" s="58"/>
      <c r="Z499" s="57"/>
      <c r="AA499" s="52"/>
      <c r="AB499" s="52"/>
      <c r="AC499" s="58"/>
      <c r="AD499" s="57"/>
      <c r="AE499" s="52"/>
      <c r="AF499" s="52"/>
      <c r="AG499" s="58"/>
      <c r="AH499" s="57"/>
      <c r="AI499" s="52"/>
      <c r="AJ499" s="52"/>
      <c r="AK499" s="58"/>
      <c r="AL499" s="57"/>
      <c r="AM499" s="52"/>
      <c r="AN499" s="52"/>
      <c r="AO499" s="58"/>
      <c r="AP499" s="57"/>
      <c r="AQ499" s="52"/>
      <c r="AR499" s="52"/>
      <c r="AS499" s="58"/>
      <c r="AT499" s="57"/>
      <c r="AU499" s="52"/>
      <c r="AV499" s="52"/>
      <c r="AW499" s="58"/>
      <c r="AX499" s="33">
        <f t="shared" si="360"/>
        <v>0</v>
      </c>
      <c r="AY499" s="31">
        <f t="shared" si="361"/>
        <v>0</v>
      </c>
      <c r="AZ499" s="30">
        <f t="shared" si="362"/>
        <v>0</v>
      </c>
      <c r="BA499" s="34"/>
      <c r="BB499" s="34"/>
      <c r="BC499" s="34"/>
      <c r="BD499" s="76"/>
      <c r="BE499" s="34"/>
      <c r="BF499" s="34"/>
      <c r="BG499" s="34"/>
      <c r="BH499" s="34"/>
    </row>
    <row r="500" spans="1:60" s="17" customFormat="1" ht="19.5" customHeight="1" x14ac:dyDescent="0.35">
      <c r="A500" s="41">
        <f t="shared" ref="A500:B500" si="366">A499</f>
        <v>45439</v>
      </c>
      <c r="B500" s="37" t="str">
        <f t="shared" si="366"/>
        <v>Çevirme</v>
      </c>
      <c r="C500" s="65">
        <f t="shared" si="358"/>
        <v>0</v>
      </c>
      <c r="D500" s="67">
        <f t="shared" si="359"/>
        <v>40</v>
      </c>
      <c r="E500" s="57"/>
      <c r="F500" s="52"/>
      <c r="G500" s="52"/>
      <c r="H500" s="58"/>
      <c r="I500" s="57"/>
      <c r="J500" s="52"/>
      <c r="K500" s="52"/>
      <c r="L500" s="58"/>
      <c r="M500" s="57"/>
      <c r="N500" s="52"/>
      <c r="O500" s="52"/>
      <c r="P500" s="58"/>
      <c r="Q500" s="57"/>
      <c r="R500" s="52"/>
      <c r="S500" s="52"/>
      <c r="T500" s="52"/>
      <c r="U500" s="58"/>
      <c r="V500" s="57"/>
      <c r="W500" s="52"/>
      <c r="X500" s="52"/>
      <c r="Y500" s="58"/>
      <c r="Z500" s="57"/>
      <c r="AA500" s="52"/>
      <c r="AB500" s="52"/>
      <c r="AC500" s="58"/>
      <c r="AD500" s="57"/>
      <c r="AE500" s="52"/>
      <c r="AF500" s="52"/>
      <c r="AG500" s="58"/>
      <c r="AH500" s="57"/>
      <c r="AI500" s="52"/>
      <c r="AJ500" s="52"/>
      <c r="AK500" s="58"/>
      <c r="AL500" s="57"/>
      <c r="AM500" s="52"/>
      <c r="AN500" s="52"/>
      <c r="AO500" s="58"/>
      <c r="AP500" s="57"/>
      <c r="AQ500" s="52"/>
      <c r="AR500" s="52"/>
      <c r="AS500" s="58"/>
      <c r="AT500" s="57"/>
      <c r="AU500" s="52"/>
      <c r="AV500" s="52"/>
      <c r="AW500" s="58"/>
      <c r="AX500" s="33">
        <f t="shared" si="360"/>
        <v>0</v>
      </c>
      <c r="AY500" s="31">
        <f t="shared" si="361"/>
        <v>0</v>
      </c>
      <c r="AZ500" s="30">
        <f t="shared" si="362"/>
        <v>0</v>
      </c>
      <c r="BA500" s="34"/>
      <c r="BB500" s="34"/>
      <c r="BC500" s="34"/>
      <c r="BD500" s="76"/>
      <c r="BE500" s="34"/>
      <c r="BF500" s="34"/>
      <c r="BG500" s="34"/>
      <c r="BH500" s="34"/>
    </row>
    <row r="501" spans="1:60" s="17" customFormat="1" ht="19.5" customHeight="1" thickBot="1" x14ac:dyDescent="0.4">
      <c r="A501" s="41">
        <f t="shared" ref="A501:B501" si="367">A500</f>
        <v>45439</v>
      </c>
      <c r="B501" s="37" t="str">
        <f t="shared" si="367"/>
        <v>Çevirme</v>
      </c>
      <c r="C501" s="65">
        <f t="shared" si="358"/>
        <v>0</v>
      </c>
      <c r="D501" s="67">
        <f t="shared" si="359"/>
        <v>40</v>
      </c>
      <c r="E501" s="59"/>
      <c r="F501" s="60"/>
      <c r="G501" s="61"/>
      <c r="H501" s="62"/>
      <c r="I501" s="59"/>
      <c r="J501" s="60"/>
      <c r="K501" s="61"/>
      <c r="L501" s="62"/>
      <c r="M501" s="59"/>
      <c r="N501" s="60"/>
      <c r="O501" s="61"/>
      <c r="P501" s="62"/>
      <c r="Q501" s="64"/>
      <c r="R501" s="61"/>
      <c r="S501" s="61"/>
      <c r="T501" s="61"/>
      <c r="U501" s="62"/>
      <c r="V501" s="59"/>
      <c r="W501" s="60"/>
      <c r="X501" s="61"/>
      <c r="Y501" s="62"/>
      <c r="Z501" s="59"/>
      <c r="AA501" s="60"/>
      <c r="AB501" s="61"/>
      <c r="AC501" s="62"/>
      <c r="AD501" s="59"/>
      <c r="AE501" s="60"/>
      <c r="AF501" s="61"/>
      <c r="AG501" s="62"/>
      <c r="AH501" s="59"/>
      <c r="AI501" s="60"/>
      <c r="AJ501" s="61"/>
      <c r="AK501" s="62"/>
      <c r="AL501" s="59"/>
      <c r="AM501" s="60"/>
      <c r="AN501" s="61"/>
      <c r="AO501" s="62"/>
      <c r="AP501" s="59"/>
      <c r="AQ501" s="60"/>
      <c r="AR501" s="61"/>
      <c r="AS501" s="62"/>
      <c r="AT501" s="59"/>
      <c r="AU501" s="60"/>
      <c r="AV501" s="61"/>
      <c r="AW501" s="62"/>
      <c r="AX501" s="33">
        <f t="shared" si="360"/>
        <v>0</v>
      </c>
      <c r="AY501" s="31">
        <f t="shared" si="361"/>
        <v>0</v>
      </c>
      <c r="AZ501" s="30">
        <f t="shared" si="362"/>
        <v>0</v>
      </c>
      <c r="BA501" s="34"/>
      <c r="BB501" s="34"/>
      <c r="BC501" s="34"/>
      <c r="BD501" s="76"/>
      <c r="BE501" s="34"/>
      <c r="BF501" s="34"/>
      <c r="BG501" s="34"/>
      <c r="BH501" s="34"/>
    </row>
    <row r="502" spans="1:60" s="17" customFormat="1" ht="19.5" customHeight="1" thickBot="1" x14ac:dyDescent="0.45">
      <c r="A502" s="41">
        <f t="shared" ref="A502" si="368">A501</f>
        <v>45439</v>
      </c>
      <c r="B502" s="139" t="str">
        <f>B495</f>
        <v>Çevirme</v>
      </c>
      <c r="C502" s="140"/>
      <c r="D502" s="40">
        <f>C358/8</f>
        <v>500</v>
      </c>
      <c r="E502" s="147">
        <f>SUM(E495:H501)</f>
        <v>0</v>
      </c>
      <c r="F502" s="148"/>
      <c r="G502" s="148"/>
      <c r="H502" s="149"/>
      <c r="I502" s="147">
        <f>SUM(I495:L501)</f>
        <v>0</v>
      </c>
      <c r="J502" s="148"/>
      <c r="K502" s="148"/>
      <c r="L502" s="149"/>
      <c r="M502" s="147">
        <f>SUM(M495:P501)</f>
        <v>0</v>
      </c>
      <c r="N502" s="148"/>
      <c r="O502" s="148"/>
      <c r="P502" s="149"/>
      <c r="Q502" s="147">
        <f>SUM(Q495:U501)</f>
        <v>0</v>
      </c>
      <c r="R502" s="148"/>
      <c r="S502" s="148"/>
      <c r="T502" s="148"/>
      <c r="U502" s="149"/>
      <c r="V502" s="147">
        <f>SUM(V495:Y501)</f>
        <v>0</v>
      </c>
      <c r="W502" s="148"/>
      <c r="X502" s="148"/>
      <c r="Y502" s="149"/>
      <c r="Z502" s="147">
        <f>SUM(Z495:AC501)</f>
        <v>0</v>
      </c>
      <c r="AA502" s="148"/>
      <c r="AB502" s="148"/>
      <c r="AC502" s="149"/>
      <c r="AD502" s="147">
        <f>SUM(AD495:AG501)</f>
        <v>0</v>
      </c>
      <c r="AE502" s="148"/>
      <c r="AF502" s="148"/>
      <c r="AG502" s="149"/>
      <c r="AH502" s="147">
        <f>SUM(AH495:AK501)</f>
        <v>0</v>
      </c>
      <c r="AI502" s="148"/>
      <c r="AJ502" s="148"/>
      <c r="AK502" s="149"/>
      <c r="AL502" s="147">
        <f>SUM(AL495:AO501)</f>
        <v>0</v>
      </c>
      <c r="AM502" s="148"/>
      <c r="AN502" s="148"/>
      <c r="AO502" s="149"/>
      <c r="AP502" s="147">
        <f>SUM(AP495:AS501)</f>
        <v>0</v>
      </c>
      <c r="AQ502" s="148"/>
      <c r="AR502" s="148"/>
      <c r="AS502" s="149"/>
      <c r="AT502" s="147">
        <f>SUM(AT495:AW501)</f>
        <v>0</v>
      </c>
      <c r="AU502" s="148"/>
      <c r="AV502" s="148"/>
      <c r="AW502" s="149"/>
      <c r="AX502" s="87">
        <f>SUM(AX495:AX501)</f>
        <v>0</v>
      </c>
      <c r="AY502" s="88">
        <f>IFERROR(AVERAGEIF(E502:AV502,"&lt;&gt;0",(E502:AV502)),)</f>
        <v>0</v>
      </c>
      <c r="AZ502" s="46">
        <f>IFERROR(AX502/BB496,0)</f>
        <v>0</v>
      </c>
      <c r="BA502" s="34"/>
      <c r="BB502" s="34"/>
      <c r="BC502" s="34"/>
      <c r="BD502" s="76"/>
      <c r="BE502" s="34"/>
      <c r="BF502" s="34"/>
      <c r="BG502" s="34"/>
      <c r="BH502" s="34"/>
    </row>
    <row r="503" spans="1:60" s="17" customFormat="1" ht="19.5" customHeight="1" thickBot="1" x14ac:dyDescent="0.4">
      <c r="A503" s="42">
        <f>A494</f>
        <v>45439</v>
      </c>
      <c r="B503" s="38" t="str">
        <f>B504</f>
        <v>ÇEVİRME BEDEN</v>
      </c>
      <c r="C503" s="39" t="s">
        <v>180</v>
      </c>
      <c r="D503" s="69" t="s">
        <v>181</v>
      </c>
      <c r="E503" s="48">
        <v>0.34375</v>
      </c>
      <c r="F503" s="49">
        <v>0.35416666666666669</v>
      </c>
      <c r="G503" s="49">
        <v>0.36458333333333331</v>
      </c>
      <c r="H503" s="50">
        <v>0.375</v>
      </c>
      <c r="I503" s="48">
        <v>0.38541666666666702</v>
      </c>
      <c r="J503" s="49">
        <v>0.39583333333333298</v>
      </c>
      <c r="K503" s="49">
        <v>0.40625</v>
      </c>
      <c r="L503" s="50">
        <v>0.41666666666666702</v>
      </c>
      <c r="M503" s="48">
        <v>0.4375</v>
      </c>
      <c r="N503" s="49">
        <v>0.44791666666666702</v>
      </c>
      <c r="O503" s="49">
        <v>0.45833333333333398</v>
      </c>
      <c r="P503" s="50">
        <v>0.46875</v>
      </c>
      <c r="Q503" s="48">
        <v>0.47916666666666702</v>
      </c>
      <c r="R503" s="49">
        <v>0.48958333333333398</v>
      </c>
      <c r="S503" s="49">
        <v>0.5</v>
      </c>
      <c r="T503" s="50">
        <v>0.51041666666666696</v>
      </c>
      <c r="U503" s="51">
        <v>0.52083333333333204</v>
      </c>
      <c r="V503" s="48">
        <v>0.5625</v>
      </c>
      <c r="W503" s="49">
        <v>0.57291666666666663</v>
      </c>
      <c r="X503" s="49">
        <v>0.58333333333333304</v>
      </c>
      <c r="Y503" s="50">
        <v>0.59375</v>
      </c>
      <c r="Z503" s="48">
        <v>0.60416666666666696</v>
      </c>
      <c r="AA503" s="49">
        <v>0.61458333333333304</v>
      </c>
      <c r="AB503" s="49">
        <v>0.625</v>
      </c>
      <c r="AC503" s="50">
        <v>0.63541666666666596</v>
      </c>
      <c r="AD503" s="48">
        <v>0.65625</v>
      </c>
      <c r="AE503" s="49">
        <v>0.66666666666666663</v>
      </c>
      <c r="AF503" s="49">
        <v>0.67708333333333304</v>
      </c>
      <c r="AG503" s="50">
        <v>0.6875</v>
      </c>
      <c r="AH503" s="48">
        <v>0.69791666666666696</v>
      </c>
      <c r="AI503" s="49">
        <v>0.70833333333333304</v>
      </c>
      <c r="AJ503" s="49">
        <v>0.71875</v>
      </c>
      <c r="AK503" s="50">
        <v>0.72916666666666696</v>
      </c>
      <c r="AL503" s="48">
        <v>0.73958333333333404</v>
      </c>
      <c r="AM503" s="49">
        <v>0.750000000000001</v>
      </c>
      <c r="AN503" s="49">
        <v>0.76041666666666796</v>
      </c>
      <c r="AO503" s="50">
        <v>0.77083333333333504</v>
      </c>
      <c r="AP503" s="48">
        <v>0.781250000000002</v>
      </c>
      <c r="AQ503" s="49">
        <v>0.79166666666666896</v>
      </c>
      <c r="AR503" s="49">
        <v>0.80208333333333603</v>
      </c>
      <c r="AS503" s="50">
        <v>0.812500000000003</v>
      </c>
      <c r="AT503" s="48">
        <v>0.82291666666666996</v>
      </c>
      <c r="AU503" s="49">
        <v>0.83333333333333703</v>
      </c>
      <c r="AV503" s="49">
        <v>0.843750000000004</v>
      </c>
      <c r="AW503" s="50">
        <v>0.85416666666666663</v>
      </c>
      <c r="AX503" s="68" t="s">
        <v>260</v>
      </c>
      <c r="AY503" s="28" t="s">
        <v>261</v>
      </c>
      <c r="AZ503" s="29" t="s">
        <v>262</v>
      </c>
      <c r="BA503" s="136" t="str">
        <f>B504</f>
        <v>ÇEVİRME BEDEN</v>
      </c>
      <c r="BB503" s="137"/>
      <c r="BC503" s="137"/>
      <c r="BD503" s="137"/>
      <c r="BE503" s="137"/>
      <c r="BF503" s="137"/>
      <c r="BG503" s="137"/>
      <c r="BH503" s="138"/>
    </row>
    <row r="504" spans="1:60" s="17" customFormat="1" ht="19.5" customHeight="1" thickBot="1" x14ac:dyDescent="0.4">
      <c r="A504" s="41">
        <f t="shared" ref="A504" si="369">A503</f>
        <v>45439</v>
      </c>
      <c r="B504" s="37" t="str">
        <f>B328</f>
        <v>ÇEVİRME BEDEN</v>
      </c>
      <c r="C504" s="65" t="str">
        <f>C328</f>
        <v>92 BEDEN</v>
      </c>
      <c r="D504" s="70">
        <f>D319</f>
        <v>40</v>
      </c>
      <c r="E504" s="63"/>
      <c r="F504" s="55"/>
      <c r="G504" s="55"/>
      <c r="H504" s="56"/>
      <c r="I504" s="63"/>
      <c r="J504" s="55"/>
      <c r="K504" s="55"/>
      <c r="L504" s="56"/>
      <c r="M504" s="63"/>
      <c r="N504" s="55"/>
      <c r="O504" s="55"/>
      <c r="P504" s="56"/>
      <c r="Q504" s="63"/>
      <c r="R504" s="55"/>
      <c r="S504" s="55"/>
      <c r="T504" s="55"/>
      <c r="U504" s="56"/>
      <c r="V504" s="63"/>
      <c r="W504" s="55"/>
      <c r="X504" s="55"/>
      <c r="Y504" s="56"/>
      <c r="Z504" s="63"/>
      <c r="AA504" s="55"/>
      <c r="AB504" s="55"/>
      <c r="AC504" s="56"/>
      <c r="AD504" s="63"/>
      <c r="AE504" s="55"/>
      <c r="AF504" s="55"/>
      <c r="AG504" s="56"/>
      <c r="AH504" s="63"/>
      <c r="AI504" s="55"/>
      <c r="AJ504" s="55"/>
      <c r="AK504" s="56"/>
      <c r="AL504" s="63"/>
      <c r="AM504" s="55"/>
      <c r="AN504" s="55"/>
      <c r="AO504" s="56"/>
      <c r="AP504" s="63"/>
      <c r="AQ504" s="55"/>
      <c r="AR504" s="55"/>
      <c r="AS504" s="56"/>
      <c r="AT504" s="53"/>
      <c r="AU504" s="54"/>
      <c r="AV504" s="55"/>
      <c r="AW504" s="56"/>
      <c r="AX504" s="33">
        <f>SUM(E504:AW504)</f>
        <v>0</v>
      </c>
      <c r="AY504" s="31">
        <f>IFERROR(AVERAGEIF(E504:AW504,"&lt;&gt;0",(E504:AW504)),)</f>
        <v>0</v>
      </c>
      <c r="AZ504" s="30">
        <f>IFERROR(AY504/D504,0)</f>
        <v>0</v>
      </c>
      <c r="BA504" s="93"/>
      <c r="BB504" s="93" t="str">
        <f t="shared" ref="BB504" si="370">BA358</f>
        <v>XS</v>
      </c>
      <c r="BC504" s="93" t="str">
        <f t="shared" ref="BC504" si="371">BB358</f>
        <v>S</v>
      </c>
      <c r="BD504" s="93" t="str">
        <f t="shared" ref="BD504" si="372">BC358</f>
        <v>M</v>
      </c>
      <c r="BE504" s="93" t="str">
        <f t="shared" ref="BE504" si="373">BD358</f>
        <v>L</v>
      </c>
      <c r="BF504" s="93" t="str">
        <f t="shared" ref="BF504" si="374">BE358</f>
        <v>XL</v>
      </c>
      <c r="BG504" s="93" t="str">
        <f t="shared" ref="BG504" si="375">BF358</f>
        <v>XXL</v>
      </c>
      <c r="BH504" s="93"/>
    </row>
    <row r="505" spans="1:60" s="17" customFormat="1" ht="19.5" customHeight="1" thickBot="1" x14ac:dyDescent="0.4">
      <c r="A505" s="41">
        <f t="shared" ref="A505:B505" si="376">A504</f>
        <v>45439</v>
      </c>
      <c r="B505" s="37" t="str">
        <f t="shared" si="376"/>
        <v>ÇEVİRME BEDEN</v>
      </c>
      <c r="C505" s="65" t="str">
        <f t="shared" ref="C505:C510" si="377">C329</f>
        <v>98/104 BEDEN</v>
      </c>
      <c r="D505" s="67">
        <f t="shared" ref="D505:D510" si="378">D504</f>
        <v>40</v>
      </c>
      <c r="E505" s="57"/>
      <c r="F505" s="52"/>
      <c r="G505" s="52"/>
      <c r="H505" s="58"/>
      <c r="I505" s="57"/>
      <c r="J505" s="52"/>
      <c r="K505" s="52"/>
      <c r="L505" s="58"/>
      <c r="M505" s="57"/>
      <c r="N505" s="52"/>
      <c r="O505" s="52"/>
      <c r="P505" s="58"/>
      <c r="Q505" s="57"/>
      <c r="R505" s="52"/>
      <c r="S505" s="52"/>
      <c r="T505" s="52"/>
      <c r="U505" s="58"/>
      <c r="V505" s="57"/>
      <c r="W505" s="52"/>
      <c r="X505" s="52"/>
      <c r="Y505" s="58"/>
      <c r="Z505" s="57"/>
      <c r="AA505" s="52"/>
      <c r="AB505" s="52"/>
      <c r="AC505" s="58"/>
      <c r="AD505" s="57"/>
      <c r="AE505" s="52"/>
      <c r="AF505" s="52"/>
      <c r="AG505" s="58"/>
      <c r="AH505" s="57"/>
      <c r="AI505" s="52"/>
      <c r="AJ505" s="52"/>
      <c r="AK505" s="58"/>
      <c r="AL505" s="57"/>
      <c r="AM505" s="52"/>
      <c r="AN505" s="52"/>
      <c r="AO505" s="58"/>
      <c r="AP505" s="57"/>
      <c r="AQ505" s="52"/>
      <c r="AR505" s="52"/>
      <c r="AS505" s="58"/>
      <c r="AT505" s="57"/>
      <c r="AU505" s="52"/>
      <c r="AV505" s="52"/>
      <c r="AW505" s="58"/>
      <c r="AX505" s="33">
        <f t="shared" ref="AX505:AX510" si="379">SUM(E505:AW505)</f>
        <v>0</v>
      </c>
      <c r="AY505" s="31">
        <f t="shared" ref="AY505:AY510" si="380">IFERROR(AVERAGEIF(E505:AW505,"&lt;&gt;0",(E505:AW505)),)</f>
        <v>0</v>
      </c>
      <c r="AZ505" s="30">
        <f t="shared" ref="AZ505:AZ510" si="381">IFERROR(AY505/D505,0)</f>
        <v>0</v>
      </c>
      <c r="BA505" s="94" t="s">
        <v>194</v>
      </c>
      <c r="BB505" s="96">
        <f t="shared" ref="BB505:BG505" si="382">BB397</f>
        <v>0</v>
      </c>
      <c r="BC505" s="96">
        <f t="shared" si="382"/>
        <v>0</v>
      </c>
      <c r="BD505" s="96">
        <f t="shared" si="382"/>
        <v>0</v>
      </c>
      <c r="BE505" s="96">
        <f t="shared" si="382"/>
        <v>0</v>
      </c>
      <c r="BF505" s="96">
        <f t="shared" si="382"/>
        <v>0</v>
      </c>
      <c r="BG505" s="96">
        <f t="shared" si="382"/>
        <v>0</v>
      </c>
      <c r="BH505" s="99">
        <f>SUM(BB505:BG505)</f>
        <v>0</v>
      </c>
    </row>
    <row r="506" spans="1:60" s="17" customFormat="1" ht="19.5" customHeight="1" thickBot="1" x14ac:dyDescent="0.4">
      <c r="A506" s="41">
        <f t="shared" ref="A506:B506" si="383">A505</f>
        <v>45439</v>
      </c>
      <c r="B506" s="37" t="str">
        <f t="shared" si="383"/>
        <v>ÇEVİRME BEDEN</v>
      </c>
      <c r="C506" s="65" t="str">
        <f t="shared" si="377"/>
        <v>110/116 BEDEN</v>
      </c>
      <c r="D506" s="67">
        <f t="shared" si="378"/>
        <v>40</v>
      </c>
      <c r="E506" s="57"/>
      <c r="F506" s="52"/>
      <c r="G506" s="52"/>
      <c r="H506" s="58"/>
      <c r="I506" s="57"/>
      <c r="J506" s="52"/>
      <c r="K506" s="52"/>
      <c r="L506" s="58"/>
      <c r="M506" s="57"/>
      <c r="N506" s="52"/>
      <c r="O506" s="52"/>
      <c r="P506" s="58"/>
      <c r="Q506" s="57"/>
      <c r="R506" s="52"/>
      <c r="S506" s="52"/>
      <c r="T506" s="52"/>
      <c r="U506" s="58"/>
      <c r="V506" s="57"/>
      <c r="W506" s="52"/>
      <c r="X506" s="52"/>
      <c r="Y506" s="58"/>
      <c r="Z506" s="57"/>
      <c r="AA506" s="52"/>
      <c r="AB506" s="52"/>
      <c r="AC506" s="58"/>
      <c r="AD506" s="57"/>
      <c r="AE506" s="52"/>
      <c r="AF506" s="52"/>
      <c r="AG506" s="58"/>
      <c r="AH506" s="57"/>
      <c r="AI506" s="52"/>
      <c r="AJ506" s="52"/>
      <c r="AK506" s="58"/>
      <c r="AL506" s="57"/>
      <c r="AM506" s="52"/>
      <c r="AN506" s="52"/>
      <c r="AO506" s="58"/>
      <c r="AP506" s="57"/>
      <c r="AQ506" s="52"/>
      <c r="AR506" s="52"/>
      <c r="AS506" s="58"/>
      <c r="AT506" s="57"/>
      <c r="AU506" s="52"/>
      <c r="AV506" s="52"/>
      <c r="AW506" s="58"/>
      <c r="AX506" s="33">
        <f t="shared" si="379"/>
        <v>0</v>
      </c>
      <c r="AY506" s="31">
        <f t="shared" si="380"/>
        <v>0</v>
      </c>
      <c r="AZ506" s="30">
        <f t="shared" si="381"/>
        <v>0</v>
      </c>
      <c r="BA506" s="94" t="s">
        <v>195</v>
      </c>
      <c r="BB506" s="96">
        <f>SUMIF(C504:C510,BB504,AX504:AX510)+BB330</f>
        <v>0</v>
      </c>
      <c r="BC506" s="96">
        <f>SUMIF(C504:C510,BC504,AX504:AX510)+BC330</f>
        <v>0</v>
      </c>
      <c r="BD506" s="96">
        <f>SUMIF(C504:C510,BD504,AX504:AX510)+BD330</f>
        <v>0</v>
      </c>
      <c r="BE506" s="96">
        <f>SUMIF(C504:C510,BE504,AX504:AX510)+BE330</f>
        <v>0</v>
      </c>
      <c r="BF506" s="96">
        <f>SUMIF(C504:C510,BF504,AX504:AX510)+BF330</f>
        <v>0</v>
      </c>
      <c r="BG506" s="96">
        <f>SUMIF(C504:C510,BG504,AX504:AX510)+BG330</f>
        <v>0</v>
      </c>
      <c r="BH506" s="99">
        <f>SUM(BB506:BG506)</f>
        <v>0</v>
      </c>
    </row>
    <row r="507" spans="1:60" s="17" customFormat="1" ht="19.5" customHeight="1" thickBot="1" x14ac:dyDescent="0.4">
      <c r="A507" s="41">
        <f t="shared" ref="A507:B507" si="384">A506</f>
        <v>45439</v>
      </c>
      <c r="B507" s="37" t="str">
        <f t="shared" si="384"/>
        <v>ÇEVİRME BEDEN</v>
      </c>
      <c r="C507" s="65" t="str">
        <f t="shared" si="377"/>
        <v>122/128 BEDEN</v>
      </c>
      <c r="D507" s="67">
        <f t="shared" si="378"/>
        <v>40</v>
      </c>
      <c r="E507" s="57"/>
      <c r="F507" s="52"/>
      <c r="G507" s="52"/>
      <c r="H507" s="58"/>
      <c r="I507" s="57"/>
      <c r="J507" s="52"/>
      <c r="K507" s="52"/>
      <c r="L507" s="58"/>
      <c r="M507" s="57"/>
      <c r="N507" s="52"/>
      <c r="O507" s="52"/>
      <c r="P507" s="58"/>
      <c r="Q507" s="57"/>
      <c r="R507" s="52"/>
      <c r="S507" s="52"/>
      <c r="T507" s="52"/>
      <c r="U507" s="58"/>
      <c r="V507" s="57"/>
      <c r="W507" s="52"/>
      <c r="X507" s="52"/>
      <c r="Y507" s="58"/>
      <c r="Z507" s="57"/>
      <c r="AA507" s="52"/>
      <c r="AB507" s="52"/>
      <c r="AC507" s="58"/>
      <c r="AD507" s="57"/>
      <c r="AE507" s="52"/>
      <c r="AF507" s="52"/>
      <c r="AG507" s="58"/>
      <c r="AH507" s="57"/>
      <c r="AI507" s="52"/>
      <c r="AJ507" s="52"/>
      <c r="AK507" s="58"/>
      <c r="AL507" s="57"/>
      <c r="AM507" s="52"/>
      <c r="AN507" s="52"/>
      <c r="AO507" s="58"/>
      <c r="AP507" s="57"/>
      <c r="AQ507" s="52"/>
      <c r="AR507" s="52"/>
      <c r="AS507" s="58"/>
      <c r="AT507" s="57"/>
      <c r="AU507" s="52"/>
      <c r="AV507" s="52"/>
      <c r="AW507" s="58"/>
      <c r="AX507" s="33">
        <f t="shared" si="379"/>
        <v>0</v>
      </c>
      <c r="AY507" s="31">
        <f t="shared" si="380"/>
        <v>0</v>
      </c>
      <c r="AZ507" s="30">
        <f t="shared" si="381"/>
        <v>0</v>
      </c>
      <c r="BA507" s="94" t="s">
        <v>196</v>
      </c>
      <c r="BB507" s="96">
        <f t="shared" ref="BB507:BG507" si="385">BB505-BB506</f>
        <v>0</v>
      </c>
      <c r="BC507" s="96">
        <f t="shared" si="385"/>
        <v>0</v>
      </c>
      <c r="BD507" s="96">
        <f t="shared" si="385"/>
        <v>0</v>
      </c>
      <c r="BE507" s="96">
        <f t="shared" si="385"/>
        <v>0</v>
      </c>
      <c r="BF507" s="96">
        <f t="shared" si="385"/>
        <v>0</v>
      </c>
      <c r="BG507" s="96">
        <f t="shared" si="385"/>
        <v>0</v>
      </c>
      <c r="BH507" s="99">
        <f>SUM(BB507:BG507)</f>
        <v>0</v>
      </c>
    </row>
    <row r="508" spans="1:60" s="17" customFormat="1" ht="19.5" customHeight="1" x14ac:dyDescent="0.35">
      <c r="A508" s="41">
        <f>A505</f>
        <v>45439</v>
      </c>
      <c r="B508" s="37" t="str">
        <f t="shared" ref="B508" si="386">B507</f>
        <v>ÇEVİRME BEDEN</v>
      </c>
      <c r="C508" s="65" t="str">
        <f t="shared" si="377"/>
        <v>146/152 BEDEN</v>
      </c>
      <c r="D508" s="67">
        <f t="shared" si="378"/>
        <v>40</v>
      </c>
      <c r="E508" s="57"/>
      <c r="F508" s="52"/>
      <c r="G508" s="52"/>
      <c r="H508" s="58"/>
      <c r="I508" s="57"/>
      <c r="J508" s="52"/>
      <c r="K508" s="52"/>
      <c r="L508" s="58"/>
      <c r="M508" s="57"/>
      <c r="N508" s="52"/>
      <c r="O508" s="52"/>
      <c r="P508" s="58"/>
      <c r="Q508" s="57"/>
      <c r="R508" s="52"/>
      <c r="S508" s="52"/>
      <c r="T508" s="52"/>
      <c r="U508" s="58"/>
      <c r="V508" s="57"/>
      <c r="W508" s="52"/>
      <c r="X508" s="52"/>
      <c r="Y508" s="58"/>
      <c r="Z508" s="57"/>
      <c r="AA508" s="52"/>
      <c r="AB508" s="52"/>
      <c r="AC508" s="58"/>
      <c r="AD508" s="57"/>
      <c r="AE508" s="52"/>
      <c r="AF508" s="52"/>
      <c r="AG508" s="58"/>
      <c r="AH508" s="57"/>
      <c r="AI508" s="52"/>
      <c r="AJ508" s="52"/>
      <c r="AK508" s="58"/>
      <c r="AL508" s="57"/>
      <c r="AM508" s="52"/>
      <c r="AN508" s="52"/>
      <c r="AO508" s="58"/>
      <c r="AP508" s="57"/>
      <c r="AQ508" s="52"/>
      <c r="AR508" s="52"/>
      <c r="AS508" s="58"/>
      <c r="AT508" s="57"/>
      <c r="AU508" s="52"/>
      <c r="AV508" s="52"/>
      <c r="AW508" s="58"/>
      <c r="AX508" s="33">
        <f t="shared" si="379"/>
        <v>0</v>
      </c>
      <c r="AY508" s="31">
        <f t="shared" si="380"/>
        <v>0</v>
      </c>
      <c r="AZ508" s="30">
        <f t="shared" si="381"/>
        <v>0</v>
      </c>
      <c r="BA508" s="34"/>
      <c r="BB508" s="34"/>
      <c r="BC508" s="34"/>
      <c r="BD508" s="76"/>
      <c r="BE508" s="34"/>
      <c r="BF508" s="34"/>
      <c r="BG508" s="34"/>
      <c r="BH508" s="34"/>
    </row>
    <row r="509" spans="1:60" s="17" customFormat="1" ht="19.5" customHeight="1" x14ac:dyDescent="0.35">
      <c r="A509" s="41">
        <f t="shared" ref="A509:B509" si="387">A508</f>
        <v>45439</v>
      </c>
      <c r="B509" s="37" t="str">
        <f t="shared" si="387"/>
        <v>ÇEVİRME BEDEN</v>
      </c>
      <c r="C509" s="65">
        <f t="shared" si="377"/>
        <v>0</v>
      </c>
      <c r="D509" s="67">
        <f t="shared" si="378"/>
        <v>40</v>
      </c>
      <c r="E509" s="57"/>
      <c r="F509" s="52"/>
      <c r="G509" s="52"/>
      <c r="H509" s="58"/>
      <c r="I509" s="57"/>
      <c r="J509" s="52"/>
      <c r="K509" s="52"/>
      <c r="L509" s="58"/>
      <c r="M509" s="57"/>
      <c r="N509" s="52"/>
      <c r="O509" s="52"/>
      <c r="P509" s="58"/>
      <c r="Q509" s="57"/>
      <c r="R509" s="52"/>
      <c r="S509" s="52"/>
      <c r="T509" s="52"/>
      <c r="U509" s="58"/>
      <c r="V509" s="57"/>
      <c r="W509" s="52"/>
      <c r="X509" s="52"/>
      <c r="Y509" s="58"/>
      <c r="Z509" s="57"/>
      <c r="AA509" s="52"/>
      <c r="AB509" s="52"/>
      <c r="AC509" s="58"/>
      <c r="AD509" s="57"/>
      <c r="AE509" s="52"/>
      <c r="AF509" s="52"/>
      <c r="AG509" s="58"/>
      <c r="AH509" s="57"/>
      <c r="AI509" s="52"/>
      <c r="AJ509" s="52"/>
      <c r="AK509" s="58"/>
      <c r="AL509" s="57"/>
      <c r="AM509" s="52"/>
      <c r="AN509" s="52"/>
      <c r="AO509" s="58"/>
      <c r="AP509" s="57"/>
      <c r="AQ509" s="52"/>
      <c r="AR509" s="52"/>
      <c r="AS509" s="58"/>
      <c r="AT509" s="57"/>
      <c r="AU509" s="52"/>
      <c r="AV509" s="52"/>
      <c r="AW509" s="58"/>
      <c r="AX509" s="33">
        <f t="shared" si="379"/>
        <v>0</v>
      </c>
      <c r="AY509" s="31">
        <f t="shared" si="380"/>
        <v>0</v>
      </c>
      <c r="AZ509" s="30">
        <f t="shared" si="381"/>
        <v>0</v>
      </c>
      <c r="BA509" s="34"/>
      <c r="BB509" s="34"/>
      <c r="BC509" s="34"/>
      <c r="BD509" s="76"/>
      <c r="BE509" s="34"/>
      <c r="BF509" s="34"/>
      <c r="BG509" s="34"/>
      <c r="BH509" s="34"/>
    </row>
    <row r="510" spans="1:60" s="17" customFormat="1" ht="19.5" customHeight="1" thickBot="1" x14ac:dyDescent="0.4">
      <c r="A510" s="41">
        <f t="shared" ref="A510:B510" si="388">A509</f>
        <v>45439</v>
      </c>
      <c r="B510" s="37" t="str">
        <f t="shared" si="388"/>
        <v>ÇEVİRME BEDEN</v>
      </c>
      <c r="C510" s="65">
        <f t="shared" si="377"/>
        <v>0</v>
      </c>
      <c r="D510" s="67">
        <f t="shared" si="378"/>
        <v>40</v>
      </c>
      <c r="E510" s="59"/>
      <c r="F510" s="60"/>
      <c r="G510" s="61"/>
      <c r="H510" s="62"/>
      <c r="I510" s="59"/>
      <c r="J510" s="60"/>
      <c r="K510" s="61"/>
      <c r="L510" s="62"/>
      <c r="M510" s="59"/>
      <c r="N510" s="60"/>
      <c r="O510" s="61"/>
      <c r="P510" s="62"/>
      <c r="Q510" s="64"/>
      <c r="R510" s="61"/>
      <c r="S510" s="61"/>
      <c r="T510" s="61"/>
      <c r="U510" s="62"/>
      <c r="V510" s="59"/>
      <c r="W510" s="60"/>
      <c r="X510" s="61"/>
      <c r="Y510" s="62"/>
      <c r="Z510" s="59"/>
      <c r="AA510" s="60"/>
      <c r="AB510" s="61"/>
      <c r="AC510" s="62"/>
      <c r="AD510" s="59"/>
      <c r="AE510" s="60"/>
      <c r="AF510" s="61"/>
      <c r="AG510" s="62"/>
      <c r="AH510" s="59"/>
      <c r="AI510" s="60"/>
      <c r="AJ510" s="61"/>
      <c r="AK510" s="62"/>
      <c r="AL510" s="59"/>
      <c r="AM510" s="60"/>
      <c r="AN510" s="61"/>
      <c r="AO510" s="62"/>
      <c r="AP510" s="59"/>
      <c r="AQ510" s="60"/>
      <c r="AR510" s="61"/>
      <c r="AS510" s="62"/>
      <c r="AT510" s="59"/>
      <c r="AU510" s="60"/>
      <c r="AV510" s="61"/>
      <c r="AW510" s="62"/>
      <c r="AX510" s="33">
        <f t="shared" si="379"/>
        <v>0</v>
      </c>
      <c r="AY510" s="31">
        <f t="shared" si="380"/>
        <v>0</v>
      </c>
      <c r="AZ510" s="30">
        <f t="shared" si="381"/>
        <v>0</v>
      </c>
      <c r="BA510" s="34"/>
      <c r="BB510" s="34"/>
      <c r="BC510" s="34"/>
      <c r="BD510" s="76"/>
      <c r="BE510" s="34"/>
      <c r="BF510" s="34"/>
      <c r="BG510" s="34"/>
      <c r="BH510" s="34"/>
    </row>
    <row r="511" spans="1:60" s="17" customFormat="1" ht="19.5" customHeight="1" thickBot="1" x14ac:dyDescent="0.45">
      <c r="A511" s="41">
        <f t="shared" ref="A511" si="389">A510</f>
        <v>45439</v>
      </c>
      <c r="B511" s="139" t="str">
        <f>B504</f>
        <v>ÇEVİRME BEDEN</v>
      </c>
      <c r="C511" s="140"/>
      <c r="D511" s="40">
        <f>C358/8</f>
        <v>500</v>
      </c>
      <c r="E511" s="147">
        <f>SUM(E504:H510)</f>
        <v>0</v>
      </c>
      <c r="F511" s="148"/>
      <c r="G511" s="148"/>
      <c r="H511" s="149"/>
      <c r="I511" s="147">
        <f>SUM(I504:L510)</f>
        <v>0</v>
      </c>
      <c r="J511" s="148"/>
      <c r="K511" s="148"/>
      <c r="L511" s="149"/>
      <c r="M511" s="147">
        <f>SUM(M504:P510)</f>
        <v>0</v>
      </c>
      <c r="N511" s="148"/>
      <c r="O511" s="148"/>
      <c r="P511" s="149"/>
      <c r="Q511" s="147">
        <f>SUM(Q504:U510)</f>
        <v>0</v>
      </c>
      <c r="R511" s="148"/>
      <c r="S511" s="148"/>
      <c r="T511" s="148"/>
      <c r="U511" s="149"/>
      <c r="V511" s="147">
        <f>SUM(V504:Y510)</f>
        <v>0</v>
      </c>
      <c r="W511" s="148"/>
      <c r="X511" s="148"/>
      <c r="Y511" s="149"/>
      <c r="Z511" s="147">
        <f>SUM(Z504:AC510)</f>
        <v>0</v>
      </c>
      <c r="AA511" s="148"/>
      <c r="AB511" s="148"/>
      <c r="AC511" s="149"/>
      <c r="AD511" s="147">
        <f>SUM(AD504:AG510)</f>
        <v>0</v>
      </c>
      <c r="AE511" s="148"/>
      <c r="AF511" s="148"/>
      <c r="AG511" s="149"/>
      <c r="AH511" s="147">
        <f>SUM(AH504:AK510)</f>
        <v>0</v>
      </c>
      <c r="AI511" s="148"/>
      <c r="AJ511" s="148"/>
      <c r="AK511" s="149"/>
      <c r="AL511" s="147">
        <f>SUM(AL504:AO510)</f>
        <v>0</v>
      </c>
      <c r="AM511" s="148"/>
      <c r="AN511" s="148"/>
      <c r="AO511" s="149"/>
      <c r="AP511" s="147">
        <f>SUM(AP504:AS510)</f>
        <v>0</v>
      </c>
      <c r="AQ511" s="148"/>
      <c r="AR511" s="148"/>
      <c r="AS511" s="149"/>
      <c r="AT511" s="147">
        <f>SUM(AT504:AW510)</f>
        <v>0</v>
      </c>
      <c r="AU511" s="148"/>
      <c r="AV511" s="148"/>
      <c r="AW511" s="149"/>
      <c r="AX511" s="87">
        <f>SUM(AX504:AX510)</f>
        <v>0</v>
      </c>
      <c r="AY511" s="88">
        <f>IFERROR(AVERAGEIF(E511:AV511,"&lt;&gt;0",(E511:AV511)),)</f>
        <v>0</v>
      </c>
      <c r="AZ511" s="46">
        <f>IFERROR(AX511/BB505,0)</f>
        <v>0</v>
      </c>
      <c r="BA511" s="34"/>
      <c r="BB511" s="34"/>
      <c r="BC511" s="34"/>
      <c r="BD511" s="76"/>
      <c r="BE511" s="34"/>
      <c r="BF511" s="34"/>
      <c r="BG511" s="34"/>
      <c r="BH511" s="34"/>
    </row>
    <row r="512" spans="1:60" s="17" customFormat="1" ht="19.5" customHeight="1" thickBot="1" x14ac:dyDescent="0.4">
      <c r="A512" s="42">
        <f>A503</f>
        <v>45439</v>
      </c>
      <c r="B512" s="38">
        <v>50</v>
      </c>
      <c r="C512" s="39" t="s">
        <v>180</v>
      </c>
      <c r="D512" s="69" t="s">
        <v>181</v>
      </c>
      <c r="E512" s="48">
        <v>0.34375</v>
      </c>
      <c r="F512" s="49">
        <v>0.35416666666666669</v>
      </c>
      <c r="G512" s="49">
        <v>0.36458333333333331</v>
      </c>
      <c r="H512" s="50">
        <v>0.375</v>
      </c>
      <c r="I512" s="48">
        <v>0.38541666666666702</v>
      </c>
      <c r="J512" s="49">
        <v>0.39583333333333298</v>
      </c>
      <c r="K512" s="49">
        <v>0.40625</v>
      </c>
      <c r="L512" s="50">
        <v>0.41666666666666702</v>
      </c>
      <c r="M512" s="48">
        <v>0.4375</v>
      </c>
      <c r="N512" s="49">
        <v>0.44791666666666702</v>
      </c>
      <c r="O512" s="49">
        <v>0.45833333333333398</v>
      </c>
      <c r="P512" s="50">
        <v>0.46875</v>
      </c>
      <c r="Q512" s="82">
        <v>0.47916666666666702</v>
      </c>
      <c r="R512" s="83">
        <v>0.48958333333333398</v>
      </c>
      <c r="S512" s="83">
        <v>0.5</v>
      </c>
      <c r="T512" s="84">
        <v>0.51041666666666696</v>
      </c>
      <c r="U512" s="85">
        <v>0.52083333333333204</v>
      </c>
      <c r="V512" s="48">
        <v>0.5625</v>
      </c>
      <c r="W512" s="49">
        <v>0.57291666666666663</v>
      </c>
      <c r="X512" s="49">
        <v>0.58333333333333304</v>
      </c>
      <c r="Y512" s="50">
        <v>0.59375</v>
      </c>
      <c r="Z512" s="48">
        <v>0.60416666666666696</v>
      </c>
      <c r="AA512" s="49">
        <v>0.61458333333333304</v>
      </c>
      <c r="AB512" s="49">
        <v>0.625</v>
      </c>
      <c r="AC512" s="50">
        <v>0.63541666666666596</v>
      </c>
      <c r="AD512" s="48">
        <v>0.65625</v>
      </c>
      <c r="AE512" s="49">
        <v>0.66666666666666663</v>
      </c>
      <c r="AF512" s="49">
        <v>0.67708333333333304</v>
      </c>
      <c r="AG512" s="50">
        <v>0.6875</v>
      </c>
      <c r="AH512" s="48">
        <v>0.69791666666666696</v>
      </c>
      <c r="AI512" s="49">
        <v>0.70833333333333304</v>
      </c>
      <c r="AJ512" s="49">
        <v>0.71875</v>
      </c>
      <c r="AK512" s="50">
        <v>0.72916666666666696</v>
      </c>
      <c r="AL512" s="48">
        <v>0.73958333333333404</v>
      </c>
      <c r="AM512" s="49">
        <v>0.750000000000001</v>
      </c>
      <c r="AN512" s="49">
        <v>0.76041666666666796</v>
      </c>
      <c r="AO512" s="50">
        <v>0.77083333333333504</v>
      </c>
      <c r="AP512" s="48">
        <v>0.781250000000002</v>
      </c>
      <c r="AQ512" s="49">
        <v>0.79166666666666896</v>
      </c>
      <c r="AR512" s="49">
        <v>0.80208333333333603</v>
      </c>
      <c r="AS512" s="50">
        <v>0.812500000000003</v>
      </c>
      <c r="AT512" s="48">
        <v>0.82291666666666996</v>
      </c>
      <c r="AU512" s="49">
        <v>0.83333333333333703</v>
      </c>
      <c r="AV512" s="49">
        <v>0.843750000000004</v>
      </c>
      <c r="AW512" s="50">
        <v>0.85416666666666663</v>
      </c>
      <c r="AX512" s="68" t="s">
        <v>260</v>
      </c>
      <c r="AY512" s="28" t="s">
        <v>261</v>
      </c>
      <c r="AZ512" s="29" t="s">
        <v>262</v>
      </c>
      <c r="BA512" s="136" t="str">
        <f>B513</f>
        <v>Ütü</v>
      </c>
      <c r="BB512" s="137"/>
      <c r="BC512" s="137"/>
      <c r="BD512" s="137"/>
      <c r="BE512" s="137"/>
      <c r="BF512" s="137"/>
      <c r="BG512" s="137"/>
      <c r="BH512" s="138"/>
    </row>
    <row r="513" spans="1:60" s="17" customFormat="1" ht="19.5" customHeight="1" thickBot="1" x14ac:dyDescent="0.4">
      <c r="A513" s="41">
        <f t="shared" ref="A513" si="390">A512</f>
        <v>45439</v>
      </c>
      <c r="B513" s="37" t="str">
        <f>B337</f>
        <v>Ütü</v>
      </c>
      <c r="C513" s="65">
        <f>C337</f>
        <v>0</v>
      </c>
      <c r="D513" s="70">
        <f>D337</f>
        <v>60</v>
      </c>
      <c r="E513" s="63"/>
      <c r="F513" s="55"/>
      <c r="G513" s="55"/>
      <c r="H513" s="56"/>
      <c r="I513" s="63"/>
      <c r="J513" s="55"/>
      <c r="K513" s="55"/>
      <c r="L513" s="56"/>
      <c r="M513" s="63"/>
      <c r="N513" s="55"/>
      <c r="O513" s="55"/>
      <c r="P513" s="56"/>
      <c r="Q513" s="63"/>
      <c r="R513" s="55"/>
      <c r="S513" s="55"/>
      <c r="T513" s="55"/>
      <c r="U513" s="56"/>
      <c r="V513" s="63"/>
      <c r="W513" s="55"/>
      <c r="X513" s="55"/>
      <c r="Y513" s="56"/>
      <c r="Z513" s="63"/>
      <c r="AA513" s="55"/>
      <c r="AB513" s="55"/>
      <c r="AC513" s="56"/>
      <c r="AD513" s="63"/>
      <c r="AE513" s="55"/>
      <c r="AF513" s="55"/>
      <c r="AG513" s="56"/>
      <c r="AH513" s="63"/>
      <c r="AI513" s="55"/>
      <c r="AJ513" s="55"/>
      <c r="AK513" s="56"/>
      <c r="AL513" s="53"/>
      <c r="AM513" s="54"/>
      <c r="AN513" s="55"/>
      <c r="AO513" s="56"/>
      <c r="AP513" s="53"/>
      <c r="AQ513" s="54"/>
      <c r="AR513" s="55"/>
      <c r="AS513" s="56"/>
      <c r="AT513" s="53"/>
      <c r="AU513" s="54"/>
      <c r="AV513" s="55"/>
      <c r="AW513" s="56"/>
      <c r="AX513" s="33">
        <f>SUM(E513:AW513)</f>
        <v>0</v>
      </c>
      <c r="AY513" s="31">
        <f>IFERROR(AVERAGEIF(E513:AW513,"&lt;&gt;0",(E513:AW513)),)</f>
        <v>0</v>
      </c>
      <c r="AZ513" s="30">
        <f>IFERROR(AY513/D513,0)</f>
        <v>0</v>
      </c>
      <c r="BA513" s="103" t="s">
        <v>182</v>
      </c>
      <c r="BB513" s="100" t="s">
        <v>183</v>
      </c>
      <c r="BC513" s="100" t="s">
        <v>184</v>
      </c>
      <c r="BD513" s="101" t="s">
        <v>185</v>
      </c>
      <c r="BE513" s="100" t="s">
        <v>186</v>
      </c>
      <c r="BF513" s="102" t="s">
        <v>187</v>
      </c>
      <c r="BG513" s="100" t="s">
        <v>188</v>
      </c>
      <c r="BH513" s="102" t="s">
        <v>189</v>
      </c>
    </row>
    <row r="514" spans="1:60" s="17" customFormat="1" ht="19.5" customHeight="1" thickBot="1" x14ac:dyDescent="0.4">
      <c r="A514" s="41">
        <f t="shared" ref="A514:B514" si="391">A513</f>
        <v>45439</v>
      </c>
      <c r="B514" s="37" t="str">
        <f t="shared" si="391"/>
        <v>Ütü</v>
      </c>
      <c r="C514" s="65">
        <f t="shared" ref="C514:C519" si="392">C338</f>
        <v>0</v>
      </c>
      <c r="D514" s="67">
        <f t="shared" ref="D514:D519" si="393">D513</f>
        <v>60</v>
      </c>
      <c r="E514" s="57"/>
      <c r="F514" s="52"/>
      <c r="G514" s="52"/>
      <c r="H514" s="58"/>
      <c r="I514" s="57"/>
      <c r="J514" s="52"/>
      <c r="K514" s="52"/>
      <c r="L514" s="58"/>
      <c r="M514" s="57"/>
      <c r="N514" s="52"/>
      <c r="O514" s="52"/>
      <c r="P514" s="58"/>
      <c r="Q514" s="57"/>
      <c r="R514" s="52"/>
      <c r="S514" s="52"/>
      <c r="T514" s="52"/>
      <c r="U514" s="58"/>
      <c r="V514" s="57"/>
      <c r="W514" s="52"/>
      <c r="X514" s="52"/>
      <c r="Y514" s="58"/>
      <c r="Z514" s="57"/>
      <c r="AA514" s="52"/>
      <c r="AB514" s="52"/>
      <c r="AC514" s="58"/>
      <c r="AD514" s="57"/>
      <c r="AE514" s="52"/>
      <c r="AF514" s="52"/>
      <c r="AG514" s="58"/>
      <c r="AH514" s="57"/>
      <c r="AI514" s="52"/>
      <c r="AJ514" s="52"/>
      <c r="AK514" s="58"/>
      <c r="AL514" s="57"/>
      <c r="AM514" s="52"/>
      <c r="AN514" s="52"/>
      <c r="AO514" s="58"/>
      <c r="AP514" s="57"/>
      <c r="AQ514" s="52"/>
      <c r="AR514" s="52"/>
      <c r="AS514" s="58"/>
      <c r="AT514" s="57"/>
      <c r="AU514" s="52"/>
      <c r="AV514" s="52"/>
      <c r="AW514" s="58"/>
      <c r="AX514" s="33">
        <f t="shared" ref="AX514:AX519" si="394">SUM(E514:AW514)</f>
        <v>0</v>
      </c>
      <c r="AY514" s="31">
        <f t="shared" ref="AY514:AY519" si="395">IFERROR(AVERAGEIF(E514:AW514,"&lt;&gt;0",(E514:AW514)),)</f>
        <v>0</v>
      </c>
      <c r="AZ514" s="30">
        <f t="shared" ref="AZ514:AZ519" si="396">IFERROR(AY514/D514,0)</f>
        <v>0</v>
      </c>
      <c r="BA514" s="94">
        <f>AX520+BA338</f>
        <v>0</v>
      </c>
      <c r="BB514" s="95">
        <f>(D502*8)</f>
        <v>4000</v>
      </c>
      <c r="BC514" s="96">
        <f>C357-BA514</f>
        <v>42311</v>
      </c>
      <c r="BD514" s="96">
        <f>BA487-BA514</f>
        <v>0</v>
      </c>
      <c r="BE514" s="97">
        <f>IFERROR(BC514/E520,0)</f>
        <v>0</v>
      </c>
      <c r="BF514" s="98">
        <f>IFERROR(BE514/9,0)</f>
        <v>0</v>
      </c>
      <c r="BG514" s="97">
        <f>IFERROR(BC514/AY520,0)</f>
        <v>0</v>
      </c>
      <c r="BH514" s="97">
        <f>IFERROR(BG514/9,0)</f>
        <v>0</v>
      </c>
    </row>
    <row r="515" spans="1:60" s="17" customFormat="1" ht="19.5" customHeight="1" x14ac:dyDescent="0.35">
      <c r="A515" s="41">
        <f t="shared" ref="A515:B515" si="397">A514</f>
        <v>45439</v>
      </c>
      <c r="B515" s="37" t="str">
        <f t="shared" si="397"/>
        <v>Ütü</v>
      </c>
      <c r="C515" s="65">
        <f t="shared" si="392"/>
        <v>0</v>
      </c>
      <c r="D515" s="67">
        <f t="shared" si="393"/>
        <v>60</v>
      </c>
      <c r="E515" s="57"/>
      <c r="F515" s="52"/>
      <c r="G515" s="52"/>
      <c r="H515" s="58"/>
      <c r="I515" s="57"/>
      <c r="J515" s="52"/>
      <c r="K515" s="52"/>
      <c r="L515" s="58"/>
      <c r="M515" s="57"/>
      <c r="N515" s="52"/>
      <c r="O515" s="52"/>
      <c r="P515" s="58"/>
      <c r="Q515" s="57"/>
      <c r="R515" s="52"/>
      <c r="S515" s="52"/>
      <c r="T515" s="52"/>
      <c r="U515" s="58"/>
      <c r="V515" s="57"/>
      <c r="W515" s="52"/>
      <c r="X515" s="52"/>
      <c r="Y515" s="58"/>
      <c r="Z515" s="57"/>
      <c r="AA515" s="52"/>
      <c r="AB515" s="52"/>
      <c r="AC515" s="58"/>
      <c r="AD515" s="57"/>
      <c r="AE515" s="52"/>
      <c r="AF515" s="52"/>
      <c r="AG515" s="58"/>
      <c r="AH515" s="57"/>
      <c r="AI515" s="52"/>
      <c r="AJ515" s="52"/>
      <c r="AK515" s="58"/>
      <c r="AL515" s="57"/>
      <c r="AM515" s="52"/>
      <c r="AN515" s="52"/>
      <c r="AO515" s="58"/>
      <c r="AP515" s="57"/>
      <c r="AQ515" s="52"/>
      <c r="AR515" s="52"/>
      <c r="AS515" s="58"/>
      <c r="AT515" s="57"/>
      <c r="AU515" s="52"/>
      <c r="AV515" s="52"/>
      <c r="AW515" s="58"/>
      <c r="AX515" s="33">
        <f t="shared" si="394"/>
        <v>0</v>
      </c>
      <c r="AY515" s="31">
        <f t="shared" si="395"/>
        <v>0</v>
      </c>
      <c r="AZ515" s="30">
        <f t="shared" si="396"/>
        <v>0</v>
      </c>
      <c r="BA515" s="34"/>
      <c r="BB515" s="34"/>
      <c r="BC515" s="34"/>
      <c r="BD515" s="76"/>
      <c r="BE515" s="34"/>
      <c r="BF515" s="34"/>
      <c r="BG515" s="34"/>
      <c r="BH515" s="34"/>
    </row>
    <row r="516" spans="1:60" s="17" customFormat="1" ht="19.5" customHeight="1" x14ac:dyDescent="0.35">
      <c r="A516" s="41">
        <f t="shared" ref="A516:B516" si="398">A515</f>
        <v>45439</v>
      </c>
      <c r="B516" s="37" t="str">
        <f t="shared" si="398"/>
        <v>Ütü</v>
      </c>
      <c r="C516" s="65">
        <f t="shared" si="392"/>
        <v>0</v>
      </c>
      <c r="D516" s="67">
        <f t="shared" si="393"/>
        <v>60</v>
      </c>
      <c r="E516" s="57"/>
      <c r="F516" s="52"/>
      <c r="G516" s="52"/>
      <c r="H516" s="58"/>
      <c r="I516" s="57"/>
      <c r="J516" s="52"/>
      <c r="K516" s="52"/>
      <c r="L516" s="58"/>
      <c r="M516" s="57"/>
      <c r="N516" s="52"/>
      <c r="O516" s="52"/>
      <c r="P516" s="58"/>
      <c r="Q516" s="57"/>
      <c r="R516" s="52"/>
      <c r="S516" s="52"/>
      <c r="T516" s="52"/>
      <c r="U516" s="58"/>
      <c r="V516" s="57"/>
      <c r="W516" s="52"/>
      <c r="X516" s="52"/>
      <c r="Y516" s="58"/>
      <c r="Z516" s="57"/>
      <c r="AA516" s="52"/>
      <c r="AB516" s="52"/>
      <c r="AC516" s="58"/>
      <c r="AD516" s="57"/>
      <c r="AE516" s="52"/>
      <c r="AF516" s="52"/>
      <c r="AG516" s="58"/>
      <c r="AH516" s="57"/>
      <c r="AI516" s="52"/>
      <c r="AJ516" s="52"/>
      <c r="AK516" s="58"/>
      <c r="AL516" s="57"/>
      <c r="AM516" s="52"/>
      <c r="AN516" s="52"/>
      <c r="AO516" s="58"/>
      <c r="AP516" s="57"/>
      <c r="AQ516" s="52"/>
      <c r="AR516" s="52"/>
      <c r="AS516" s="58"/>
      <c r="AT516" s="57"/>
      <c r="AU516" s="52"/>
      <c r="AV516" s="52"/>
      <c r="AW516" s="58"/>
      <c r="AX516" s="33">
        <f t="shared" si="394"/>
        <v>0</v>
      </c>
      <c r="AY516" s="31">
        <f t="shared" si="395"/>
        <v>0</v>
      </c>
      <c r="AZ516" s="30">
        <f t="shared" si="396"/>
        <v>0</v>
      </c>
      <c r="BA516" s="34"/>
      <c r="BB516" s="34"/>
      <c r="BC516" s="34"/>
      <c r="BD516" s="76"/>
      <c r="BE516" s="34"/>
      <c r="BF516" s="34"/>
      <c r="BG516" s="34"/>
      <c r="BH516" s="34"/>
    </row>
    <row r="517" spans="1:60" s="17" customFormat="1" ht="19.5" customHeight="1" x14ac:dyDescent="0.35">
      <c r="A517" s="41">
        <f>A514</f>
        <v>45439</v>
      </c>
      <c r="B517" s="37" t="str">
        <f t="shared" ref="B517" si="399">B516</f>
        <v>Ütü</v>
      </c>
      <c r="C517" s="65">
        <f t="shared" si="392"/>
        <v>0</v>
      </c>
      <c r="D517" s="67">
        <f t="shared" si="393"/>
        <v>60</v>
      </c>
      <c r="E517" s="57"/>
      <c r="F517" s="52"/>
      <c r="G517" s="52"/>
      <c r="H517" s="58"/>
      <c r="I517" s="57"/>
      <c r="J517" s="52"/>
      <c r="K517" s="52"/>
      <c r="L517" s="58"/>
      <c r="M517" s="57"/>
      <c r="N517" s="52"/>
      <c r="O517" s="52"/>
      <c r="P517" s="58"/>
      <c r="Q517" s="57"/>
      <c r="R517" s="52"/>
      <c r="S517" s="52"/>
      <c r="T517" s="52"/>
      <c r="U517" s="58"/>
      <c r="V517" s="57"/>
      <c r="W517" s="52"/>
      <c r="X517" s="52"/>
      <c r="Y517" s="58"/>
      <c r="Z517" s="57"/>
      <c r="AA517" s="52"/>
      <c r="AB517" s="52"/>
      <c r="AC517" s="58"/>
      <c r="AD517" s="57"/>
      <c r="AE517" s="52"/>
      <c r="AF517" s="52"/>
      <c r="AG517" s="58"/>
      <c r="AH517" s="57"/>
      <c r="AI517" s="52"/>
      <c r="AJ517" s="52"/>
      <c r="AK517" s="58"/>
      <c r="AL517" s="57"/>
      <c r="AM517" s="52"/>
      <c r="AN517" s="52"/>
      <c r="AO517" s="58"/>
      <c r="AP517" s="57"/>
      <c r="AQ517" s="52"/>
      <c r="AR517" s="52"/>
      <c r="AS517" s="58"/>
      <c r="AT517" s="57"/>
      <c r="AU517" s="52"/>
      <c r="AV517" s="52"/>
      <c r="AW517" s="58"/>
      <c r="AX517" s="33">
        <f t="shared" si="394"/>
        <v>0</v>
      </c>
      <c r="AY517" s="31">
        <f t="shared" si="395"/>
        <v>0</v>
      </c>
      <c r="AZ517" s="30">
        <f t="shared" si="396"/>
        <v>0</v>
      </c>
      <c r="BA517" s="34"/>
      <c r="BB517" s="34"/>
      <c r="BC517" s="34"/>
      <c r="BD517" s="76"/>
      <c r="BE517" s="34"/>
      <c r="BF517" s="34"/>
      <c r="BG517" s="34"/>
      <c r="BH517" s="34"/>
    </row>
    <row r="518" spans="1:60" s="17" customFormat="1" ht="19.5" customHeight="1" x14ac:dyDescent="0.35">
      <c r="A518" s="41">
        <f t="shared" ref="A518:B518" si="400">A517</f>
        <v>45439</v>
      </c>
      <c r="B518" s="37" t="str">
        <f t="shared" si="400"/>
        <v>Ütü</v>
      </c>
      <c r="C518" s="65">
        <f t="shared" si="392"/>
        <v>0</v>
      </c>
      <c r="D518" s="67">
        <f t="shared" si="393"/>
        <v>60</v>
      </c>
      <c r="E518" s="57"/>
      <c r="F518" s="52"/>
      <c r="G518" s="52"/>
      <c r="H518" s="58"/>
      <c r="I518" s="57"/>
      <c r="J518" s="52"/>
      <c r="K518" s="52"/>
      <c r="L518" s="58"/>
      <c r="M518" s="57"/>
      <c r="N518" s="52"/>
      <c r="O518" s="52"/>
      <c r="P518" s="78"/>
      <c r="Q518" s="57"/>
      <c r="R518" s="52"/>
      <c r="S518" s="52"/>
      <c r="T518" s="52"/>
      <c r="U518" s="58"/>
      <c r="V518" s="80"/>
      <c r="W518" s="52"/>
      <c r="X518" s="52"/>
      <c r="Y518" s="58"/>
      <c r="Z518" s="57"/>
      <c r="AA518" s="52"/>
      <c r="AB518" s="52"/>
      <c r="AC518" s="58"/>
      <c r="AD518" s="57"/>
      <c r="AE518" s="52"/>
      <c r="AF518" s="52"/>
      <c r="AG518" s="58"/>
      <c r="AH518" s="57"/>
      <c r="AI518" s="52"/>
      <c r="AJ518" s="52"/>
      <c r="AK518" s="58"/>
      <c r="AL518" s="57"/>
      <c r="AM518" s="52"/>
      <c r="AN518" s="52"/>
      <c r="AO518" s="58"/>
      <c r="AP518" s="57"/>
      <c r="AQ518" s="52"/>
      <c r="AR518" s="52"/>
      <c r="AS518" s="58"/>
      <c r="AT518" s="57"/>
      <c r="AU518" s="52"/>
      <c r="AV518" s="52"/>
      <c r="AW518" s="58"/>
      <c r="AX518" s="33">
        <f t="shared" si="394"/>
        <v>0</v>
      </c>
      <c r="AY518" s="31">
        <f t="shared" si="395"/>
        <v>0</v>
      </c>
      <c r="AZ518" s="30">
        <f t="shared" si="396"/>
        <v>0</v>
      </c>
      <c r="BA518" s="34"/>
      <c r="BB518" s="34"/>
      <c r="BC518" s="34"/>
      <c r="BD518" s="76"/>
      <c r="BE518" s="34"/>
      <c r="BF518" s="34"/>
      <c r="BG518" s="34"/>
      <c r="BH518" s="34"/>
    </row>
    <row r="519" spans="1:60" s="17" customFormat="1" ht="19.5" customHeight="1" thickBot="1" x14ac:dyDescent="0.4">
      <c r="A519" s="41">
        <f t="shared" ref="A519:B519" si="401">A518</f>
        <v>45439</v>
      </c>
      <c r="B519" s="37" t="str">
        <f t="shared" si="401"/>
        <v>Ütü</v>
      </c>
      <c r="C519" s="65">
        <f t="shared" si="392"/>
        <v>0</v>
      </c>
      <c r="D519" s="67">
        <f t="shared" si="393"/>
        <v>60</v>
      </c>
      <c r="E519" s="59"/>
      <c r="F519" s="60"/>
      <c r="G519" s="61"/>
      <c r="H519" s="62"/>
      <c r="I519" s="59"/>
      <c r="J519" s="60"/>
      <c r="K519" s="61"/>
      <c r="L519" s="62"/>
      <c r="M519" s="59"/>
      <c r="N519" s="60"/>
      <c r="O519" s="61"/>
      <c r="P519" s="79"/>
      <c r="Q519" s="64"/>
      <c r="R519" s="61"/>
      <c r="S519" s="61"/>
      <c r="T519" s="61"/>
      <c r="U519" s="62"/>
      <c r="V519" s="81"/>
      <c r="W519" s="60"/>
      <c r="X519" s="61"/>
      <c r="Y519" s="62"/>
      <c r="Z519" s="59"/>
      <c r="AA519" s="60"/>
      <c r="AB519" s="61"/>
      <c r="AC519" s="62"/>
      <c r="AD519" s="59"/>
      <c r="AE519" s="60"/>
      <c r="AF519" s="61"/>
      <c r="AG519" s="62"/>
      <c r="AH519" s="59"/>
      <c r="AI519" s="60"/>
      <c r="AJ519" s="61"/>
      <c r="AK519" s="62"/>
      <c r="AL519" s="59"/>
      <c r="AM519" s="60"/>
      <c r="AN519" s="61"/>
      <c r="AO519" s="62"/>
      <c r="AP519" s="59"/>
      <c r="AQ519" s="60"/>
      <c r="AR519" s="61"/>
      <c r="AS519" s="62"/>
      <c r="AT519" s="59"/>
      <c r="AU519" s="60"/>
      <c r="AV519" s="61"/>
      <c r="AW519" s="62"/>
      <c r="AX519" s="33">
        <f t="shared" si="394"/>
        <v>0</v>
      </c>
      <c r="AY519" s="31">
        <f t="shared" si="395"/>
        <v>0</v>
      </c>
      <c r="AZ519" s="30">
        <f t="shared" si="396"/>
        <v>0</v>
      </c>
      <c r="BA519" s="34"/>
      <c r="BB519" s="34"/>
      <c r="BC519" s="34"/>
      <c r="BD519" s="76"/>
      <c r="BE519" s="34"/>
      <c r="BF519" s="34"/>
      <c r="BG519" s="34"/>
      <c r="BH519" s="34"/>
    </row>
    <row r="520" spans="1:60" s="17" customFormat="1" ht="19.5" customHeight="1" thickBot="1" x14ac:dyDescent="0.45">
      <c r="A520" s="41">
        <f t="shared" ref="A520" si="402">A519</f>
        <v>45439</v>
      </c>
      <c r="B520" s="139" t="str">
        <f>B513</f>
        <v>Ütü</v>
      </c>
      <c r="C520" s="140"/>
      <c r="D520" s="40">
        <f>C358/8</f>
        <v>500</v>
      </c>
      <c r="E520" s="141">
        <f>SUM(E513:H519)</f>
        <v>0</v>
      </c>
      <c r="F520" s="142"/>
      <c r="G520" s="142"/>
      <c r="H520" s="143"/>
      <c r="I520" s="141">
        <f>SUM(I513:L519)</f>
        <v>0</v>
      </c>
      <c r="J520" s="142"/>
      <c r="K520" s="142"/>
      <c r="L520" s="143"/>
      <c r="M520" s="141">
        <f>SUM(M513:P519)</f>
        <v>0</v>
      </c>
      <c r="N520" s="142"/>
      <c r="O520" s="142"/>
      <c r="P520" s="143"/>
      <c r="Q520" s="144">
        <f>SUM(Q513:U519)</f>
        <v>0</v>
      </c>
      <c r="R520" s="145"/>
      <c r="S520" s="145"/>
      <c r="T520" s="145"/>
      <c r="U520" s="146"/>
      <c r="V520" s="141">
        <f>SUM(V513:Y519)</f>
        <v>0</v>
      </c>
      <c r="W520" s="142"/>
      <c r="X520" s="142"/>
      <c r="Y520" s="143"/>
      <c r="Z520" s="141">
        <f>SUM(Z513:AC519)</f>
        <v>0</v>
      </c>
      <c r="AA520" s="142"/>
      <c r="AB520" s="142"/>
      <c r="AC520" s="143"/>
      <c r="AD520" s="147">
        <f>SUM(AD513:AG519)</f>
        <v>0</v>
      </c>
      <c r="AE520" s="148"/>
      <c r="AF520" s="148"/>
      <c r="AG520" s="149"/>
      <c r="AH520" s="147">
        <f>SUM(AH513:AK519)</f>
        <v>0</v>
      </c>
      <c r="AI520" s="148"/>
      <c r="AJ520" s="148"/>
      <c r="AK520" s="149"/>
      <c r="AL520" s="147">
        <f>SUM(AL513:AO519)</f>
        <v>0</v>
      </c>
      <c r="AM520" s="148"/>
      <c r="AN520" s="148"/>
      <c r="AO520" s="149"/>
      <c r="AP520" s="147">
        <f>SUM(AP513:AS519)</f>
        <v>0</v>
      </c>
      <c r="AQ520" s="148"/>
      <c r="AR520" s="148"/>
      <c r="AS520" s="149"/>
      <c r="AT520" s="147">
        <f>SUM(AT513:AW519)</f>
        <v>0</v>
      </c>
      <c r="AU520" s="148"/>
      <c r="AV520" s="148"/>
      <c r="AW520" s="149"/>
      <c r="AX520" s="87">
        <f>SUM(AX513:AX519)</f>
        <v>0</v>
      </c>
      <c r="AY520" s="88">
        <f>IFERROR(AVERAGEIF(E520:AV520,"&lt;&gt;0",(E520:AV520)),)</f>
        <v>0</v>
      </c>
      <c r="AZ520" s="46">
        <f>IFERROR(AX520/BB514,0)</f>
        <v>0</v>
      </c>
      <c r="BA520" s="34"/>
      <c r="BB520" s="34"/>
      <c r="BC520" s="34"/>
      <c r="BD520" s="76"/>
      <c r="BE520" s="34"/>
      <c r="BF520" s="34"/>
      <c r="BG520" s="34"/>
      <c r="BH520" s="34"/>
    </row>
    <row r="521" spans="1:60" s="17" customFormat="1" ht="19.5" customHeight="1" thickBot="1" x14ac:dyDescent="0.4">
      <c r="A521" s="42">
        <f>A512</f>
        <v>45439</v>
      </c>
      <c r="B521" s="38" t="str">
        <f>B522</f>
        <v>Kalite</v>
      </c>
      <c r="C521" s="39" t="s">
        <v>180</v>
      </c>
      <c r="D521" s="69" t="s">
        <v>181</v>
      </c>
      <c r="E521" s="48">
        <v>0.34375</v>
      </c>
      <c r="F521" s="49">
        <v>0.35416666666666669</v>
      </c>
      <c r="G521" s="49">
        <v>0.36458333333333331</v>
      </c>
      <c r="H521" s="50">
        <v>0.375</v>
      </c>
      <c r="I521" s="48">
        <v>0.38541666666666702</v>
      </c>
      <c r="J521" s="49">
        <v>0.39583333333333298</v>
      </c>
      <c r="K521" s="49">
        <v>0.40625</v>
      </c>
      <c r="L521" s="50">
        <v>0.41666666666666702</v>
      </c>
      <c r="M521" s="48">
        <v>0.4375</v>
      </c>
      <c r="N521" s="49">
        <v>0.44791666666666702</v>
      </c>
      <c r="O521" s="49">
        <v>0.45833333333333398</v>
      </c>
      <c r="P521" s="50">
        <v>0.46875</v>
      </c>
      <c r="Q521" s="82">
        <v>0.47916666666666702</v>
      </c>
      <c r="R521" s="83">
        <v>0.48958333333333398</v>
      </c>
      <c r="S521" s="83">
        <v>0.5</v>
      </c>
      <c r="T521" s="84">
        <v>0.51041666666666696</v>
      </c>
      <c r="U521" s="85">
        <v>0.52083333333333204</v>
      </c>
      <c r="V521" s="48">
        <v>0.5625</v>
      </c>
      <c r="W521" s="49">
        <v>0.57291666666666663</v>
      </c>
      <c r="X521" s="49">
        <v>0.58333333333333304</v>
      </c>
      <c r="Y521" s="50">
        <v>0.59375</v>
      </c>
      <c r="Z521" s="48">
        <v>0.60416666666666696</v>
      </c>
      <c r="AA521" s="49">
        <v>0.61458333333333304</v>
      </c>
      <c r="AB521" s="49">
        <v>0.625</v>
      </c>
      <c r="AC521" s="50">
        <v>0.63541666666666596</v>
      </c>
      <c r="AD521" s="48">
        <v>0.65625</v>
      </c>
      <c r="AE521" s="49">
        <v>0.66666666666666663</v>
      </c>
      <c r="AF521" s="49">
        <v>0.67708333333333304</v>
      </c>
      <c r="AG521" s="50">
        <v>0.6875</v>
      </c>
      <c r="AH521" s="48">
        <v>0.69791666666666696</v>
      </c>
      <c r="AI521" s="49">
        <v>0.70833333333333304</v>
      </c>
      <c r="AJ521" s="49">
        <v>0.71875</v>
      </c>
      <c r="AK521" s="50">
        <v>0.72916666666666696</v>
      </c>
      <c r="AL521" s="48">
        <v>0.73958333333333404</v>
      </c>
      <c r="AM521" s="49">
        <v>0.750000000000001</v>
      </c>
      <c r="AN521" s="49">
        <v>0.76041666666666796</v>
      </c>
      <c r="AO521" s="50">
        <v>0.77083333333333504</v>
      </c>
      <c r="AP521" s="48">
        <v>0.781250000000002</v>
      </c>
      <c r="AQ521" s="49">
        <v>0.79166666666666896</v>
      </c>
      <c r="AR521" s="49">
        <v>0.80208333333333603</v>
      </c>
      <c r="AS521" s="50">
        <v>0.812500000000003</v>
      </c>
      <c r="AT521" s="48">
        <v>0.82291666666666996</v>
      </c>
      <c r="AU521" s="49">
        <v>0.83333333333333703</v>
      </c>
      <c r="AV521" s="49">
        <v>0.843750000000004</v>
      </c>
      <c r="AW521" s="50">
        <v>0.85416666666666663</v>
      </c>
      <c r="AX521" s="68" t="s">
        <v>260</v>
      </c>
      <c r="AY521" s="28" t="s">
        <v>261</v>
      </c>
      <c r="AZ521" s="29" t="s">
        <v>262</v>
      </c>
      <c r="BA521" s="136" t="str">
        <f>B522</f>
        <v>Kalite</v>
      </c>
      <c r="BB521" s="137"/>
      <c r="BC521" s="137"/>
      <c r="BD521" s="137"/>
      <c r="BE521" s="137"/>
      <c r="BF521" s="137"/>
      <c r="BG521" s="137"/>
      <c r="BH521" s="138"/>
    </row>
    <row r="522" spans="1:60" s="17" customFormat="1" ht="19.5" customHeight="1" thickBot="1" x14ac:dyDescent="0.4">
      <c r="A522" s="41">
        <f t="shared" ref="A522" si="403">A521</f>
        <v>45439</v>
      </c>
      <c r="B522" s="37" t="str">
        <f>B346</f>
        <v>Kalite</v>
      </c>
      <c r="C522" s="65">
        <f>C346</f>
        <v>0</v>
      </c>
      <c r="D522" s="70">
        <f>D346</f>
        <v>60</v>
      </c>
      <c r="E522" s="63"/>
      <c r="F522" s="55"/>
      <c r="G522" s="55"/>
      <c r="H522" s="56"/>
      <c r="I522" s="63"/>
      <c r="J522" s="55"/>
      <c r="K522" s="55"/>
      <c r="L522" s="56"/>
      <c r="M522" s="63"/>
      <c r="N522" s="55"/>
      <c r="O522" s="55"/>
      <c r="P522" s="56"/>
      <c r="Q522" s="63"/>
      <c r="R522" s="55"/>
      <c r="S522" s="55"/>
      <c r="T522" s="55"/>
      <c r="U522" s="56"/>
      <c r="V522" s="63"/>
      <c r="W522" s="55"/>
      <c r="X522" s="55"/>
      <c r="Y522" s="56"/>
      <c r="Z522" s="63"/>
      <c r="AA522" s="55"/>
      <c r="AB522" s="55"/>
      <c r="AC522" s="56"/>
      <c r="AD522" s="63"/>
      <c r="AE522" s="55"/>
      <c r="AF522" s="55"/>
      <c r="AG522" s="56"/>
      <c r="AH522" s="63"/>
      <c r="AI522" s="55"/>
      <c r="AJ522" s="55"/>
      <c r="AK522" s="56"/>
      <c r="AL522" s="53"/>
      <c r="AM522" s="54"/>
      <c r="AN522" s="55"/>
      <c r="AO522" s="56"/>
      <c r="AP522" s="53"/>
      <c r="AQ522" s="54"/>
      <c r="AR522" s="55"/>
      <c r="AS522" s="56"/>
      <c r="AT522" s="53"/>
      <c r="AU522" s="54"/>
      <c r="AV522" s="55"/>
      <c r="AW522" s="56"/>
      <c r="AX522" s="33">
        <f>SUM(E522:AW522)</f>
        <v>0</v>
      </c>
      <c r="AY522" s="31">
        <f>IFERROR(AVERAGEIF(E522:AW522,"&lt;&gt;0",(E522:AW522)),)</f>
        <v>0</v>
      </c>
      <c r="AZ522" s="30">
        <f>IFERROR(AY522/D522,0)</f>
        <v>0</v>
      </c>
      <c r="BA522" s="103" t="s">
        <v>182</v>
      </c>
      <c r="BB522" s="100" t="s">
        <v>183</v>
      </c>
      <c r="BC522" s="100" t="s">
        <v>184</v>
      </c>
      <c r="BD522" s="101" t="s">
        <v>185</v>
      </c>
      <c r="BE522" s="100" t="s">
        <v>186</v>
      </c>
      <c r="BF522" s="102" t="s">
        <v>187</v>
      </c>
      <c r="BG522" s="100" t="s">
        <v>188</v>
      </c>
      <c r="BH522" s="102" t="s">
        <v>189</v>
      </c>
    </row>
    <row r="523" spans="1:60" s="17" customFormat="1" ht="19.5" customHeight="1" thickBot="1" x14ac:dyDescent="0.4">
      <c r="A523" s="41">
        <f t="shared" ref="A523:B523" si="404">A522</f>
        <v>45439</v>
      </c>
      <c r="B523" s="37" t="str">
        <f t="shared" si="404"/>
        <v>Kalite</v>
      </c>
      <c r="C523" s="65">
        <f t="shared" ref="C523:C528" si="405">C347</f>
        <v>0</v>
      </c>
      <c r="D523" s="67">
        <f t="shared" ref="D523:D528" si="406">D522</f>
        <v>60</v>
      </c>
      <c r="E523" s="57"/>
      <c r="F523" s="52"/>
      <c r="G523" s="52"/>
      <c r="H523" s="58"/>
      <c r="I523" s="57"/>
      <c r="J523" s="52"/>
      <c r="K523" s="52"/>
      <c r="L523" s="58"/>
      <c r="M523" s="57"/>
      <c r="N523" s="52"/>
      <c r="O523" s="52"/>
      <c r="P523" s="58"/>
      <c r="Q523" s="57"/>
      <c r="R523" s="52"/>
      <c r="S523" s="52"/>
      <c r="T523" s="52"/>
      <c r="U523" s="58"/>
      <c r="V523" s="57"/>
      <c r="W523" s="52"/>
      <c r="X523" s="52"/>
      <c r="Y523" s="58"/>
      <c r="Z523" s="57"/>
      <c r="AA523" s="52"/>
      <c r="AB523" s="52"/>
      <c r="AC523" s="58"/>
      <c r="AD523" s="57"/>
      <c r="AE523" s="52"/>
      <c r="AF523" s="52"/>
      <c r="AG523" s="58"/>
      <c r="AH523" s="57"/>
      <c r="AI523" s="52"/>
      <c r="AJ523" s="52"/>
      <c r="AK523" s="58"/>
      <c r="AL523" s="57"/>
      <c r="AM523" s="52"/>
      <c r="AN523" s="52"/>
      <c r="AO523" s="58"/>
      <c r="AP523" s="57"/>
      <c r="AQ523" s="52"/>
      <c r="AR523" s="52"/>
      <c r="AS523" s="58"/>
      <c r="AT523" s="57"/>
      <c r="AU523" s="52"/>
      <c r="AV523" s="52"/>
      <c r="AW523" s="58"/>
      <c r="AX523" s="33">
        <f t="shared" ref="AX523:AX528" si="407">SUM(E523:AW523)</f>
        <v>0</v>
      </c>
      <c r="AY523" s="31">
        <f t="shared" ref="AY523:AY528" si="408">IFERROR(AVERAGEIF(E523:AW523,"&lt;&gt;0",(E523:AW523)),)</f>
        <v>0</v>
      </c>
      <c r="AZ523" s="30">
        <f t="shared" ref="AZ523:AZ528" si="409">IFERROR(AY523/D523,0)</f>
        <v>0</v>
      </c>
      <c r="BA523" s="94">
        <f>AX529+BA347</f>
        <v>0</v>
      </c>
      <c r="BB523" s="95">
        <f>(D529*8)</f>
        <v>4000</v>
      </c>
      <c r="BC523" s="96">
        <f>C357-BA523</f>
        <v>42311</v>
      </c>
      <c r="BD523" s="96">
        <f>BA514-BA523</f>
        <v>0</v>
      </c>
      <c r="BE523" s="97">
        <f>IFERROR(BC523/E529,0)</f>
        <v>0</v>
      </c>
      <c r="BF523" s="98">
        <f>IFERROR(BE523/9,0)</f>
        <v>0</v>
      </c>
      <c r="BG523" s="97">
        <f>IFERROR(BC523/AY529,0)</f>
        <v>0</v>
      </c>
      <c r="BH523" s="97">
        <f>IFERROR(BG523/9,0)</f>
        <v>0</v>
      </c>
    </row>
    <row r="524" spans="1:60" s="17" customFormat="1" ht="19.5" customHeight="1" x14ac:dyDescent="0.35">
      <c r="A524" s="41">
        <f t="shared" ref="A524:B524" si="410">A523</f>
        <v>45439</v>
      </c>
      <c r="B524" s="37" t="str">
        <f t="shared" si="410"/>
        <v>Kalite</v>
      </c>
      <c r="C524" s="65">
        <f t="shared" si="405"/>
        <v>0</v>
      </c>
      <c r="D524" s="67">
        <f t="shared" si="406"/>
        <v>60</v>
      </c>
      <c r="E524" s="57"/>
      <c r="F524" s="52"/>
      <c r="G524" s="52"/>
      <c r="H524" s="58"/>
      <c r="I524" s="57"/>
      <c r="J524" s="52"/>
      <c r="K524" s="52"/>
      <c r="L524" s="58"/>
      <c r="M524" s="57"/>
      <c r="N524" s="52"/>
      <c r="O524" s="52"/>
      <c r="P524" s="58"/>
      <c r="Q524" s="57"/>
      <c r="R524" s="52"/>
      <c r="S524" s="52"/>
      <c r="T524" s="52"/>
      <c r="U524" s="58"/>
      <c r="V524" s="57"/>
      <c r="W524" s="52"/>
      <c r="X524" s="52"/>
      <c r="Y524" s="58"/>
      <c r="Z524" s="57"/>
      <c r="AA524" s="52"/>
      <c r="AB524" s="52"/>
      <c r="AC524" s="58"/>
      <c r="AD524" s="57"/>
      <c r="AE524" s="52"/>
      <c r="AF524" s="52"/>
      <c r="AG524" s="58"/>
      <c r="AH524" s="57"/>
      <c r="AI524" s="52"/>
      <c r="AJ524" s="52"/>
      <c r="AK524" s="58"/>
      <c r="AL524" s="57"/>
      <c r="AM524" s="52"/>
      <c r="AN524" s="52"/>
      <c r="AO524" s="58"/>
      <c r="AP524" s="57"/>
      <c r="AQ524" s="52"/>
      <c r="AR524" s="52"/>
      <c r="AS524" s="58"/>
      <c r="AT524" s="57"/>
      <c r="AU524" s="52"/>
      <c r="AV524" s="52"/>
      <c r="AW524" s="58"/>
      <c r="AX524" s="33">
        <f t="shared" si="407"/>
        <v>0</v>
      </c>
      <c r="AY524" s="31">
        <f t="shared" si="408"/>
        <v>0</v>
      </c>
      <c r="AZ524" s="30">
        <f t="shared" si="409"/>
        <v>0</v>
      </c>
      <c r="BA524" s="34"/>
      <c r="BB524" s="34"/>
      <c r="BC524" s="34"/>
      <c r="BD524" s="76"/>
      <c r="BE524" s="34"/>
      <c r="BF524" s="34"/>
      <c r="BG524" s="34"/>
      <c r="BH524" s="34"/>
    </row>
    <row r="525" spans="1:60" s="17" customFormat="1" ht="19.5" customHeight="1" x14ac:dyDescent="0.35">
      <c r="A525" s="41">
        <f t="shared" ref="A525:B525" si="411">A524</f>
        <v>45439</v>
      </c>
      <c r="B525" s="37" t="str">
        <f t="shared" si="411"/>
        <v>Kalite</v>
      </c>
      <c r="C525" s="65">
        <f t="shared" si="405"/>
        <v>0</v>
      </c>
      <c r="D525" s="67">
        <f t="shared" si="406"/>
        <v>60</v>
      </c>
      <c r="E525" s="57"/>
      <c r="F525" s="52"/>
      <c r="G525" s="52"/>
      <c r="H525" s="58"/>
      <c r="I525" s="57"/>
      <c r="J525" s="52"/>
      <c r="K525" s="52"/>
      <c r="L525" s="58"/>
      <c r="M525" s="57"/>
      <c r="N525" s="52"/>
      <c r="O525" s="52"/>
      <c r="P525" s="58"/>
      <c r="Q525" s="57"/>
      <c r="R525" s="52"/>
      <c r="S525" s="52"/>
      <c r="T525" s="52"/>
      <c r="U525" s="58"/>
      <c r="V525" s="57"/>
      <c r="W525" s="52"/>
      <c r="X525" s="52"/>
      <c r="Y525" s="58"/>
      <c r="Z525" s="57"/>
      <c r="AA525" s="52"/>
      <c r="AB525" s="52"/>
      <c r="AC525" s="58"/>
      <c r="AD525" s="57"/>
      <c r="AE525" s="52"/>
      <c r="AF525" s="52"/>
      <c r="AG525" s="58"/>
      <c r="AH525" s="57"/>
      <c r="AI525" s="52"/>
      <c r="AJ525" s="52"/>
      <c r="AK525" s="58"/>
      <c r="AL525" s="57"/>
      <c r="AM525" s="52"/>
      <c r="AN525" s="52"/>
      <c r="AO525" s="58"/>
      <c r="AP525" s="57"/>
      <c r="AQ525" s="52"/>
      <c r="AR525" s="52"/>
      <c r="AS525" s="58"/>
      <c r="AT525" s="57"/>
      <c r="AU525" s="52"/>
      <c r="AV525" s="52"/>
      <c r="AW525" s="58"/>
      <c r="AX525" s="33">
        <f t="shared" si="407"/>
        <v>0</v>
      </c>
      <c r="AY525" s="31">
        <f t="shared" si="408"/>
        <v>0</v>
      </c>
      <c r="AZ525" s="30">
        <f t="shared" si="409"/>
        <v>0</v>
      </c>
      <c r="BA525" s="34"/>
      <c r="BB525" s="34"/>
      <c r="BC525" s="34"/>
      <c r="BD525" s="76"/>
      <c r="BE525" s="34"/>
      <c r="BF525" s="34"/>
      <c r="BG525" s="34"/>
      <c r="BH525" s="34"/>
    </row>
    <row r="526" spans="1:60" s="17" customFormat="1" ht="19.5" customHeight="1" x14ac:dyDescent="0.35">
      <c r="A526" s="41">
        <f>A523</f>
        <v>45439</v>
      </c>
      <c r="B526" s="37" t="str">
        <f t="shared" ref="B526" si="412">B525</f>
        <v>Kalite</v>
      </c>
      <c r="C526" s="65">
        <f t="shared" si="405"/>
        <v>0</v>
      </c>
      <c r="D526" s="67">
        <f t="shared" si="406"/>
        <v>60</v>
      </c>
      <c r="E526" s="57"/>
      <c r="F526" s="52"/>
      <c r="G526" s="52"/>
      <c r="H526" s="58"/>
      <c r="I526" s="57"/>
      <c r="J526" s="52"/>
      <c r="K526" s="52"/>
      <c r="L526" s="58"/>
      <c r="M526" s="57"/>
      <c r="N526" s="52"/>
      <c r="O526" s="52"/>
      <c r="P526" s="58"/>
      <c r="Q526" s="57"/>
      <c r="R526" s="52"/>
      <c r="S526" s="52"/>
      <c r="T526" s="52"/>
      <c r="U526" s="58"/>
      <c r="V526" s="57"/>
      <c r="W526" s="52"/>
      <c r="X526" s="52"/>
      <c r="Y526" s="58"/>
      <c r="Z526" s="57"/>
      <c r="AA526" s="52"/>
      <c r="AB526" s="52"/>
      <c r="AC526" s="58"/>
      <c r="AD526" s="57"/>
      <c r="AE526" s="52"/>
      <c r="AF526" s="52"/>
      <c r="AG526" s="58"/>
      <c r="AH526" s="57"/>
      <c r="AI526" s="52"/>
      <c r="AJ526" s="52"/>
      <c r="AK526" s="58"/>
      <c r="AL526" s="57"/>
      <c r="AM526" s="52"/>
      <c r="AN526" s="52"/>
      <c r="AO526" s="58"/>
      <c r="AP526" s="57"/>
      <c r="AQ526" s="52"/>
      <c r="AR526" s="52"/>
      <c r="AS526" s="58"/>
      <c r="AT526" s="57"/>
      <c r="AU526" s="52"/>
      <c r="AV526" s="52"/>
      <c r="AW526" s="58"/>
      <c r="AX526" s="33">
        <f t="shared" si="407"/>
        <v>0</v>
      </c>
      <c r="AY526" s="31">
        <f t="shared" si="408"/>
        <v>0</v>
      </c>
      <c r="AZ526" s="30">
        <f t="shared" si="409"/>
        <v>0</v>
      </c>
      <c r="BA526" s="34"/>
      <c r="BB526" s="34"/>
      <c r="BC526" s="34"/>
      <c r="BD526" s="76"/>
      <c r="BE526" s="34"/>
      <c r="BF526" s="34"/>
      <c r="BG526" s="34"/>
      <c r="BH526" s="34"/>
    </row>
    <row r="527" spans="1:60" s="17" customFormat="1" ht="19.5" customHeight="1" x14ac:dyDescent="0.35">
      <c r="A527" s="41">
        <f t="shared" ref="A527:B527" si="413">A526</f>
        <v>45439</v>
      </c>
      <c r="B527" s="37" t="str">
        <f t="shared" si="413"/>
        <v>Kalite</v>
      </c>
      <c r="C527" s="65">
        <f t="shared" si="405"/>
        <v>0</v>
      </c>
      <c r="D527" s="67">
        <f t="shared" si="406"/>
        <v>60</v>
      </c>
      <c r="E527" s="57"/>
      <c r="F527" s="52"/>
      <c r="G527" s="52"/>
      <c r="H527" s="58"/>
      <c r="I527" s="57"/>
      <c r="J527" s="52"/>
      <c r="K527" s="52"/>
      <c r="L527" s="58"/>
      <c r="M527" s="57"/>
      <c r="N527" s="52"/>
      <c r="O527" s="52"/>
      <c r="P527" s="78"/>
      <c r="Q527" s="57"/>
      <c r="R527" s="52"/>
      <c r="S527" s="52"/>
      <c r="T527" s="52"/>
      <c r="U527" s="58"/>
      <c r="V527" s="80"/>
      <c r="W527" s="52"/>
      <c r="X527" s="52"/>
      <c r="Y527" s="58"/>
      <c r="Z527" s="57"/>
      <c r="AA527" s="52"/>
      <c r="AB527" s="52"/>
      <c r="AC527" s="58"/>
      <c r="AD527" s="57"/>
      <c r="AE527" s="52"/>
      <c r="AF527" s="52"/>
      <c r="AG527" s="58"/>
      <c r="AH527" s="57"/>
      <c r="AI527" s="52"/>
      <c r="AJ527" s="52"/>
      <c r="AK527" s="58"/>
      <c r="AL527" s="57"/>
      <c r="AM527" s="52"/>
      <c r="AN527" s="52"/>
      <c r="AO527" s="58"/>
      <c r="AP527" s="57"/>
      <c r="AQ527" s="52"/>
      <c r="AR527" s="52"/>
      <c r="AS527" s="58"/>
      <c r="AT527" s="57"/>
      <c r="AU527" s="52"/>
      <c r="AV527" s="52"/>
      <c r="AW527" s="58"/>
      <c r="AX527" s="33">
        <f t="shared" si="407"/>
        <v>0</v>
      </c>
      <c r="AY527" s="31">
        <f t="shared" si="408"/>
        <v>0</v>
      </c>
      <c r="AZ527" s="30">
        <f t="shared" si="409"/>
        <v>0</v>
      </c>
      <c r="BA527" s="34"/>
      <c r="BB527" s="34"/>
      <c r="BC527" s="34"/>
      <c r="BD527" s="76"/>
      <c r="BE527" s="34"/>
      <c r="BF527" s="34"/>
      <c r="BG527" s="34"/>
      <c r="BH527" s="34"/>
    </row>
    <row r="528" spans="1:60" s="17" customFormat="1" ht="19.5" customHeight="1" thickBot="1" x14ac:dyDescent="0.4">
      <c r="A528" s="41">
        <f t="shared" ref="A528:B528" si="414">A527</f>
        <v>45439</v>
      </c>
      <c r="B528" s="37" t="str">
        <f t="shared" si="414"/>
        <v>Kalite</v>
      </c>
      <c r="C528" s="65">
        <f t="shared" si="405"/>
        <v>0</v>
      </c>
      <c r="D528" s="67">
        <f t="shared" si="406"/>
        <v>60</v>
      </c>
      <c r="E528" s="59"/>
      <c r="F528" s="60"/>
      <c r="G528" s="61"/>
      <c r="H528" s="62"/>
      <c r="I528" s="59"/>
      <c r="J528" s="60"/>
      <c r="K528" s="61"/>
      <c r="L528" s="62"/>
      <c r="M528" s="59"/>
      <c r="N528" s="60"/>
      <c r="O528" s="61"/>
      <c r="P528" s="79"/>
      <c r="Q528" s="64"/>
      <c r="R528" s="61"/>
      <c r="S528" s="61"/>
      <c r="T528" s="61"/>
      <c r="U528" s="62"/>
      <c r="V528" s="81"/>
      <c r="W528" s="60"/>
      <c r="X528" s="61"/>
      <c r="Y528" s="62"/>
      <c r="Z528" s="59"/>
      <c r="AA528" s="60"/>
      <c r="AB528" s="61"/>
      <c r="AC528" s="62"/>
      <c r="AD528" s="59"/>
      <c r="AE528" s="60"/>
      <c r="AF528" s="61"/>
      <c r="AG528" s="62"/>
      <c r="AH528" s="59"/>
      <c r="AI528" s="60"/>
      <c r="AJ528" s="61"/>
      <c r="AK528" s="62"/>
      <c r="AL528" s="59"/>
      <c r="AM528" s="60"/>
      <c r="AN528" s="61"/>
      <c r="AO528" s="62"/>
      <c r="AP528" s="59"/>
      <c r="AQ528" s="60"/>
      <c r="AR528" s="61"/>
      <c r="AS528" s="62"/>
      <c r="AT528" s="59"/>
      <c r="AU528" s="60"/>
      <c r="AV528" s="61"/>
      <c r="AW528" s="62"/>
      <c r="AX528" s="33">
        <f t="shared" si="407"/>
        <v>0</v>
      </c>
      <c r="AY528" s="31">
        <f t="shared" si="408"/>
        <v>0</v>
      </c>
      <c r="AZ528" s="30">
        <f t="shared" si="409"/>
        <v>0</v>
      </c>
      <c r="BA528" s="34"/>
      <c r="BB528" s="34"/>
      <c r="BC528" s="34"/>
      <c r="BD528" s="76"/>
      <c r="BE528" s="34"/>
      <c r="BF528" s="34"/>
      <c r="BG528" s="34"/>
      <c r="BH528" s="34"/>
    </row>
    <row r="529" spans="1:60" s="17" customFormat="1" ht="19.5" customHeight="1" thickBot="1" x14ac:dyDescent="0.45">
      <c r="A529" s="41">
        <f t="shared" ref="A529" si="415">A528</f>
        <v>45439</v>
      </c>
      <c r="B529" s="139" t="str">
        <f>B522</f>
        <v>Kalite</v>
      </c>
      <c r="C529" s="140"/>
      <c r="D529" s="40">
        <f>C358/8</f>
        <v>500</v>
      </c>
      <c r="E529" s="141">
        <f>SUM(E522:H528)</f>
        <v>0</v>
      </c>
      <c r="F529" s="142"/>
      <c r="G529" s="142"/>
      <c r="H529" s="143"/>
      <c r="I529" s="141">
        <f>SUM(I522:L528)</f>
        <v>0</v>
      </c>
      <c r="J529" s="142"/>
      <c r="K529" s="142"/>
      <c r="L529" s="143"/>
      <c r="M529" s="141">
        <f>SUM(M522:P528)</f>
        <v>0</v>
      </c>
      <c r="N529" s="142"/>
      <c r="O529" s="142"/>
      <c r="P529" s="143"/>
      <c r="Q529" s="144">
        <f>SUM(Q522:U528)</f>
        <v>0</v>
      </c>
      <c r="R529" s="145"/>
      <c r="S529" s="145"/>
      <c r="T529" s="145"/>
      <c r="U529" s="146"/>
      <c r="V529" s="141">
        <f>SUM(V522:Y528)</f>
        <v>0</v>
      </c>
      <c r="W529" s="142"/>
      <c r="X529" s="142"/>
      <c r="Y529" s="143"/>
      <c r="Z529" s="141">
        <f>SUM(Z522:AC528)</f>
        <v>0</v>
      </c>
      <c r="AA529" s="142"/>
      <c r="AB529" s="142"/>
      <c r="AC529" s="143"/>
      <c r="AD529" s="147">
        <f>SUM(AD522:AG528)</f>
        <v>0</v>
      </c>
      <c r="AE529" s="148"/>
      <c r="AF529" s="148"/>
      <c r="AG529" s="149"/>
      <c r="AH529" s="147">
        <f>SUM(AH522:AK528)</f>
        <v>0</v>
      </c>
      <c r="AI529" s="148"/>
      <c r="AJ529" s="148"/>
      <c r="AK529" s="149"/>
      <c r="AL529" s="147">
        <f>SUM(AL522:AO528)</f>
        <v>0</v>
      </c>
      <c r="AM529" s="148"/>
      <c r="AN529" s="148"/>
      <c r="AO529" s="149"/>
      <c r="AP529" s="147">
        <f>SUM(AP522:AS528)</f>
        <v>0</v>
      </c>
      <c r="AQ529" s="148"/>
      <c r="AR529" s="148"/>
      <c r="AS529" s="149"/>
      <c r="AT529" s="147">
        <f>SUM(AT522:AW528)</f>
        <v>0</v>
      </c>
      <c r="AU529" s="148"/>
      <c r="AV529" s="148"/>
      <c r="AW529" s="149"/>
      <c r="AX529" s="87">
        <f>SUM(AX522:AX528)</f>
        <v>0</v>
      </c>
      <c r="AY529" s="88">
        <f>IFERROR(AVERAGEIF(E529:AV529,"&lt;&gt;0",(E529:AV529)),)</f>
        <v>0</v>
      </c>
      <c r="AZ529" s="46">
        <f>IFERROR(AX529/BB523,0)</f>
        <v>0</v>
      </c>
      <c r="BA529" s="34"/>
      <c r="BB529" s="34"/>
      <c r="BC529" s="34"/>
      <c r="BD529" s="76"/>
      <c r="BE529" s="34"/>
      <c r="BF529" s="34"/>
      <c r="BG529" s="34"/>
      <c r="BH529" s="34"/>
    </row>
    <row r="530" spans="1:60" s="17" customFormat="1" ht="19.5" customHeight="1" x14ac:dyDescent="0.35">
      <c r="A530" s="109"/>
      <c r="B530" s="35" t="s">
        <v>168</v>
      </c>
      <c r="C530" s="24">
        <v>45440</v>
      </c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  <c r="AB530" s="109"/>
      <c r="AC530" s="109"/>
      <c r="AD530" s="109"/>
      <c r="AE530" s="109"/>
      <c r="AF530" s="109"/>
      <c r="AG530" s="109"/>
      <c r="AH530" s="109"/>
      <c r="AI530" s="109"/>
      <c r="AJ530" s="109"/>
      <c r="AK530" s="109"/>
      <c r="AL530" s="109"/>
      <c r="AM530" s="109"/>
      <c r="AN530" s="109"/>
      <c r="AO530" s="109"/>
      <c r="AP530" s="109"/>
      <c r="AQ530" s="109"/>
      <c r="AR530" s="109"/>
      <c r="AS530" s="109"/>
      <c r="AT530" s="109"/>
      <c r="AU530" s="109"/>
      <c r="AV530" s="109"/>
      <c r="AW530" s="109"/>
      <c r="AX530" s="109"/>
      <c r="AY530" s="109"/>
      <c r="AZ530" s="109"/>
      <c r="BA530" s="109"/>
      <c r="BB530" s="109"/>
      <c r="BC530" s="109"/>
      <c r="BD530" s="110"/>
      <c r="BE530" s="109"/>
      <c r="BF530" s="109"/>
      <c r="BG530" s="109"/>
      <c r="BH530" s="109"/>
    </row>
    <row r="531" spans="1:60" s="17" customFormat="1" ht="19.5" customHeight="1" x14ac:dyDescent="0.35">
      <c r="A531" s="109"/>
      <c r="B531" s="35" t="s">
        <v>169</v>
      </c>
      <c r="C531" s="77">
        <f>C355</f>
        <v>0</v>
      </c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  <c r="AB531" s="109"/>
      <c r="AC531" s="109"/>
      <c r="AD531" s="109"/>
      <c r="AE531" s="109"/>
      <c r="AF531" s="109"/>
      <c r="AG531" s="109"/>
      <c r="AH531" s="109"/>
      <c r="AI531" s="109"/>
      <c r="AJ531" s="109"/>
      <c r="AK531" s="109"/>
      <c r="AL531" s="109"/>
      <c r="AM531" s="109"/>
      <c r="AN531" s="109"/>
      <c r="AO531" s="109"/>
      <c r="AP531" s="109"/>
      <c r="AQ531" s="109"/>
      <c r="AR531" s="109"/>
      <c r="AS531" s="109"/>
      <c r="AT531" s="109"/>
      <c r="AU531" s="109"/>
      <c r="AV531" s="109"/>
      <c r="AW531" s="109"/>
      <c r="AX531" s="109"/>
      <c r="AY531" s="109"/>
      <c r="AZ531" s="109"/>
      <c r="BA531" s="20" t="s">
        <v>170</v>
      </c>
      <c r="BB531" s="21" t="s">
        <v>171</v>
      </c>
      <c r="BC531" s="26" t="s">
        <v>172</v>
      </c>
      <c r="BD531" s="110"/>
      <c r="BE531" s="109"/>
      <c r="BF531" s="109"/>
      <c r="BG531" s="109"/>
      <c r="BH531" s="109"/>
    </row>
    <row r="532" spans="1:60" s="17" customFormat="1" ht="19.5" customHeight="1" x14ac:dyDescent="0.35">
      <c r="A532" s="109"/>
      <c r="B532" s="35" t="s">
        <v>173</v>
      </c>
      <c r="C532" s="77" t="str">
        <f>C356</f>
        <v>H&amp;M MAN</v>
      </c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  <c r="AB532" s="109"/>
      <c r="AC532" s="109"/>
      <c r="AD532" s="109"/>
      <c r="AE532" s="109"/>
      <c r="AF532" s="109"/>
      <c r="AG532" s="109"/>
      <c r="AH532" s="109"/>
      <c r="AI532" s="109"/>
      <c r="AJ532" s="109"/>
      <c r="AK532" s="109"/>
      <c r="AL532" s="109"/>
      <c r="AM532" s="109"/>
      <c r="AN532" s="109"/>
      <c r="AO532" s="109"/>
      <c r="AP532" s="109"/>
      <c r="AQ532" s="109"/>
      <c r="AR532" s="109"/>
      <c r="AS532" s="109"/>
      <c r="AT532" s="109"/>
      <c r="AU532" s="109"/>
      <c r="AV532" s="109"/>
      <c r="AW532" s="109"/>
      <c r="AX532" s="109"/>
      <c r="AY532" s="109"/>
      <c r="AZ532" s="109"/>
      <c r="BA532" s="32" t="s">
        <v>174</v>
      </c>
      <c r="BB532" s="22" t="s">
        <v>175</v>
      </c>
      <c r="BC532" s="109"/>
      <c r="BD532" s="110"/>
      <c r="BE532" s="109"/>
      <c r="BF532" s="109"/>
      <c r="BG532" s="109"/>
      <c r="BH532" s="109"/>
    </row>
    <row r="533" spans="1:60" s="17" customFormat="1" ht="19.5" customHeight="1" thickBot="1" x14ac:dyDescent="0.4">
      <c r="A533" s="109"/>
      <c r="B533" s="35" t="s">
        <v>176</v>
      </c>
      <c r="C533" s="25">
        <f>C357</f>
        <v>42311</v>
      </c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  <c r="AB533" s="109"/>
      <c r="AC533" s="109"/>
      <c r="AD533" s="109"/>
      <c r="AE533" s="109"/>
      <c r="AF533" s="109"/>
      <c r="AG533" s="109"/>
      <c r="AH533" s="109"/>
      <c r="AI533" s="109"/>
      <c r="AJ533" s="109"/>
      <c r="AK533" s="109"/>
      <c r="AL533" s="109"/>
      <c r="AM533" s="109"/>
      <c r="AN533" s="109"/>
      <c r="AO533" s="109"/>
      <c r="AP533" s="109"/>
      <c r="AQ533" s="109"/>
      <c r="AR533" s="109"/>
      <c r="AS533" s="109"/>
      <c r="AT533" s="109"/>
      <c r="AU533" s="109"/>
      <c r="AV533" s="109"/>
      <c r="AW533" s="109"/>
      <c r="AX533" s="109"/>
      <c r="AY533" s="109"/>
      <c r="AZ533" s="109"/>
      <c r="BA533" s="27" t="s">
        <v>177</v>
      </c>
      <c r="BB533" s="23" t="s">
        <v>178</v>
      </c>
      <c r="BC533" s="109"/>
      <c r="BD533" s="110"/>
      <c r="BE533" s="109"/>
      <c r="BF533" s="109"/>
      <c r="BG533" s="109"/>
      <c r="BH533" s="109"/>
    </row>
    <row r="534" spans="1:60" s="17" customFormat="1" ht="19.5" customHeight="1" x14ac:dyDescent="0.35">
      <c r="A534" s="109"/>
      <c r="B534" s="36" t="s">
        <v>179</v>
      </c>
      <c r="C534" s="25">
        <f>C358</f>
        <v>4000</v>
      </c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  <c r="AB534" s="109"/>
      <c r="AC534" s="109"/>
      <c r="AD534" s="109"/>
      <c r="AE534" s="109"/>
      <c r="AF534" s="109"/>
      <c r="AG534" s="109"/>
      <c r="AH534" s="109"/>
      <c r="AI534" s="109"/>
      <c r="AJ534" s="109"/>
      <c r="AK534" s="109"/>
      <c r="AL534" s="109"/>
      <c r="AM534" s="109"/>
      <c r="AN534" s="109"/>
      <c r="AO534" s="109"/>
      <c r="AP534" s="109"/>
      <c r="AQ534" s="109"/>
      <c r="AR534" s="109"/>
      <c r="AS534" s="109"/>
      <c r="AT534" s="109"/>
      <c r="AU534" s="109"/>
      <c r="AV534" s="109"/>
      <c r="AW534" s="109"/>
      <c r="AX534" s="109"/>
      <c r="AY534" s="109"/>
      <c r="AZ534" s="109"/>
      <c r="BA534" s="12" t="str">
        <f t="shared" ref="BA534:BG534" si="416">BA358</f>
        <v>XS</v>
      </c>
      <c r="BB534" s="12" t="str">
        <f t="shared" si="416"/>
        <v>S</v>
      </c>
      <c r="BC534" s="12" t="str">
        <f t="shared" si="416"/>
        <v>M</v>
      </c>
      <c r="BD534" s="12" t="str">
        <f t="shared" si="416"/>
        <v>L</v>
      </c>
      <c r="BE534" s="12" t="str">
        <f t="shared" si="416"/>
        <v>XL</v>
      </c>
      <c r="BF534" s="12" t="str">
        <f t="shared" si="416"/>
        <v>XXL</v>
      </c>
      <c r="BG534" s="12">
        <f t="shared" si="416"/>
        <v>0</v>
      </c>
      <c r="BH534" s="13"/>
    </row>
    <row r="535" spans="1:60" s="17" customFormat="1" ht="19.5" customHeight="1" thickBot="1" x14ac:dyDescent="0.4">
      <c r="A535" s="109"/>
      <c r="B535" s="36" t="s">
        <v>197</v>
      </c>
      <c r="C535" s="25" t="str">
        <f>C359</f>
        <v>EKRU</v>
      </c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  <c r="AB535" s="109"/>
      <c r="AC535" s="109"/>
      <c r="AD535" s="109"/>
      <c r="AE535" s="109"/>
      <c r="AF535" s="109"/>
      <c r="AG535" s="109"/>
      <c r="AH535" s="109"/>
      <c r="AI535" s="109"/>
      <c r="AJ535" s="109"/>
      <c r="AK535" s="109"/>
      <c r="AL535" s="109"/>
      <c r="AM535" s="109"/>
      <c r="AN535" s="109"/>
      <c r="AO535" s="109"/>
      <c r="AP535" s="109"/>
      <c r="AQ535" s="109"/>
      <c r="AR535" s="109"/>
      <c r="AS535" s="109"/>
      <c r="AT535" s="109"/>
      <c r="AU535" s="109"/>
      <c r="AV535" s="109"/>
      <c r="AW535" s="109"/>
      <c r="AX535" s="109"/>
      <c r="AY535" s="109"/>
      <c r="AZ535" s="109"/>
      <c r="BA535" s="14">
        <f t="shared" ref="BA535:BG535" si="417">BA359</f>
        <v>492</v>
      </c>
      <c r="BB535" s="14">
        <f t="shared" si="417"/>
        <v>11438</v>
      </c>
      <c r="BC535" s="14">
        <f t="shared" si="417"/>
        <v>13689</v>
      </c>
      <c r="BD535" s="14">
        <f t="shared" si="417"/>
        <v>9760</v>
      </c>
      <c r="BE535" s="14">
        <f t="shared" si="417"/>
        <v>4794</v>
      </c>
      <c r="BF535" s="14">
        <f t="shared" si="417"/>
        <v>2138</v>
      </c>
      <c r="BG535" s="14">
        <f t="shared" si="417"/>
        <v>0</v>
      </c>
      <c r="BH535" s="15">
        <f>SUM(BA535:BG535)</f>
        <v>42311</v>
      </c>
    </row>
    <row r="536" spans="1:60" s="17" customFormat="1" ht="19.5" customHeight="1" thickBot="1" x14ac:dyDescent="0.4">
      <c r="A536" s="42">
        <f>C530</f>
        <v>45440</v>
      </c>
      <c r="B536" s="38" t="str">
        <f>B537</f>
        <v>Yaka İç Dikiş</v>
      </c>
      <c r="C536" s="39" t="s">
        <v>180</v>
      </c>
      <c r="D536" s="69" t="s">
        <v>181</v>
      </c>
      <c r="E536" s="48">
        <v>0.34375</v>
      </c>
      <c r="F536" s="49">
        <v>0.35416666666666669</v>
      </c>
      <c r="G536" s="49">
        <v>0.36458333333333331</v>
      </c>
      <c r="H536" s="50">
        <v>0.375</v>
      </c>
      <c r="I536" s="48">
        <v>0.38541666666666702</v>
      </c>
      <c r="J536" s="49">
        <v>0.39583333333333298</v>
      </c>
      <c r="K536" s="49">
        <v>0.40625</v>
      </c>
      <c r="L536" s="50">
        <v>0.41666666666666702</v>
      </c>
      <c r="M536" s="48">
        <v>0.4375</v>
      </c>
      <c r="N536" s="49">
        <v>0.44791666666666702</v>
      </c>
      <c r="O536" s="49">
        <v>0.45833333333333398</v>
      </c>
      <c r="P536" s="50">
        <v>0.46875</v>
      </c>
      <c r="Q536" s="48">
        <v>0.47916666666666702</v>
      </c>
      <c r="R536" s="49">
        <v>0.48958333333333398</v>
      </c>
      <c r="S536" s="49">
        <v>0.5</v>
      </c>
      <c r="T536" s="50">
        <v>0.51041666666666696</v>
      </c>
      <c r="U536" s="51">
        <v>0.52083333333333204</v>
      </c>
      <c r="V536" s="48">
        <v>0.5625</v>
      </c>
      <c r="W536" s="49">
        <v>0.57291666666666663</v>
      </c>
      <c r="X536" s="49">
        <v>0.58333333333333304</v>
      </c>
      <c r="Y536" s="50">
        <v>0.59375</v>
      </c>
      <c r="Z536" s="48">
        <v>0.60416666666666696</v>
      </c>
      <c r="AA536" s="49">
        <v>0.61458333333333304</v>
      </c>
      <c r="AB536" s="49">
        <v>0.625</v>
      </c>
      <c r="AC536" s="50">
        <v>0.63541666666666596</v>
      </c>
      <c r="AD536" s="48">
        <v>0.65625</v>
      </c>
      <c r="AE536" s="49">
        <v>0.66666666666666663</v>
      </c>
      <c r="AF536" s="49">
        <v>0.67708333333333304</v>
      </c>
      <c r="AG536" s="50">
        <v>0.6875</v>
      </c>
      <c r="AH536" s="48">
        <v>0.69791666666666696</v>
      </c>
      <c r="AI536" s="49">
        <v>0.70833333333333304</v>
      </c>
      <c r="AJ536" s="49">
        <v>0.71875</v>
      </c>
      <c r="AK536" s="50">
        <v>0.72916666666666696</v>
      </c>
      <c r="AL536" s="48">
        <v>0.73958333333333404</v>
      </c>
      <c r="AM536" s="49">
        <v>0.750000000000001</v>
      </c>
      <c r="AN536" s="49">
        <v>0.76041666666666796</v>
      </c>
      <c r="AO536" s="50">
        <v>0.77083333333333504</v>
      </c>
      <c r="AP536" s="48">
        <v>0.781250000000002</v>
      </c>
      <c r="AQ536" s="49">
        <v>0.79166666666666896</v>
      </c>
      <c r="AR536" s="49">
        <v>0.80208333333333603</v>
      </c>
      <c r="AS536" s="50">
        <v>0.812500000000003</v>
      </c>
      <c r="AT536" s="48">
        <v>0.82291666666666996</v>
      </c>
      <c r="AU536" s="49">
        <v>0.83333333333333703</v>
      </c>
      <c r="AV536" s="49">
        <v>0.843750000000004</v>
      </c>
      <c r="AW536" s="50">
        <v>0.85416666666666663</v>
      </c>
      <c r="AX536" s="68" t="s">
        <v>260</v>
      </c>
      <c r="AY536" s="28" t="s">
        <v>261</v>
      </c>
      <c r="AZ536" s="29" t="s">
        <v>262</v>
      </c>
      <c r="BA536" s="136" t="str">
        <f>B537</f>
        <v>Yaka İç Dikiş</v>
      </c>
      <c r="BB536" s="137"/>
      <c r="BC536" s="137"/>
      <c r="BD536" s="137"/>
      <c r="BE536" s="137"/>
      <c r="BF536" s="137"/>
      <c r="BG536" s="137"/>
      <c r="BH536" s="138"/>
    </row>
    <row r="537" spans="1:60" s="17" customFormat="1" ht="19.5" customHeight="1" thickBot="1" x14ac:dyDescent="0.4">
      <c r="A537" s="41">
        <f t="shared" ref="A537:A542" si="418">A536</f>
        <v>45440</v>
      </c>
      <c r="B537" s="37" t="str">
        <f>B361</f>
        <v>Yaka İç Dikiş</v>
      </c>
      <c r="C537" s="66" t="str">
        <f>C361</f>
        <v>HAZİME AVCİ</v>
      </c>
      <c r="D537" s="70">
        <f>D361</f>
        <v>200</v>
      </c>
      <c r="E537" s="63">
        <v>160</v>
      </c>
      <c r="F537" s="55">
        <v>190</v>
      </c>
      <c r="G537" s="55">
        <v>175</v>
      </c>
      <c r="H537" s="56">
        <v>190</v>
      </c>
      <c r="I537" s="63">
        <v>200</v>
      </c>
      <c r="J537" s="55">
        <v>200</v>
      </c>
      <c r="K537" s="55">
        <v>200</v>
      </c>
      <c r="L537" s="56">
        <v>200</v>
      </c>
      <c r="M537" s="63">
        <v>200</v>
      </c>
      <c r="N537" s="55">
        <v>220</v>
      </c>
      <c r="O537" s="55">
        <v>220</v>
      </c>
      <c r="P537" s="56">
        <v>160</v>
      </c>
      <c r="Q537" s="63">
        <v>220</v>
      </c>
      <c r="R537" s="55">
        <v>230</v>
      </c>
      <c r="S537" s="55">
        <v>230</v>
      </c>
      <c r="T537" s="55">
        <v>230</v>
      </c>
      <c r="U537" s="56">
        <v>220</v>
      </c>
      <c r="V537" s="63">
        <v>225</v>
      </c>
      <c r="W537" s="55">
        <v>230</v>
      </c>
      <c r="X537" s="55">
        <v>130</v>
      </c>
      <c r="Y537" s="56">
        <v>220</v>
      </c>
      <c r="Z537" s="63">
        <v>210</v>
      </c>
      <c r="AA537" s="55">
        <v>220</v>
      </c>
      <c r="AB537" s="55">
        <v>200</v>
      </c>
      <c r="AC537" s="56">
        <v>210</v>
      </c>
      <c r="AD537" s="63">
        <v>225</v>
      </c>
      <c r="AE537" s="55">
        <v>225</v>
      </c>
      <c r="AF537" s="55">
        <v>170</v>
      </c>
      <c r="AG537" s="56">
        <v>230</v>
      </c>
      <c r="AH537" s="63">
        <v>220</v>
      </c>
      <c r="AI537" s="55">
        <v>230</v>
      </c>
      <c r="AJ537" s="55">
        <v>220</v>
      </c>
      <c r="AK537" s="56">
        <v>230</v>
      </c>
      <c r="AL537" s="63">
        <v>225</v>
      </c>
      <c r="AM537" s="55">
        <v>185</v>
      </c>
      <c r="AN537" s="55">
        <v>225</v>
      </c>
      <c r="AO537" s="56"/>
      <c r="AP537" s="63"/>
      <c r="AQ537" s="54"/>
      <c r="AR537" s="55"/>
      <c r="AS537" s="56"/>
      <c r="AT537" s="53"/>
      <c r="AU537" s="54"/>
      <c r="AV537" s="55"/>
      <c r="AW537" s="56"/>
      <c r="AX537" s="33">
        <f>SUM(E537:AW537)</f>
        <v>7475</v>
      </c>
      <c r="AY537" s="31">
        <f>IFERROR(AVERAGEIF(E537:AW537,"&lt;&gt;0",(E537:AW537)),)</f>
        <v>207.63888888888889</v>
      </c>
      <c r="AZ537" s="30">
        <f>IFERROR(AY537/D537,0)</f>
        <v>1.0381944444444444</v>
      </c>
      <c r="BA537" s="103" t="s">
        <v>182</v>
      </c>
      <c r="BB537" s="100" t="s">
        <v>183</v>
      </c>
      <c r="BC537" s="100" t="s">
        <v>184</v>
      </c>
      <c r="BD537" s="101" t="s">
        <v>185</v>
      </c>
      <c r="BE537" s="100" t="s">
        <v>186</v>
      </c>
      <c r="BF537" s="102" t="s">
        <v>187</v>
      </c>
      <c r="BG537" s="100" t="s">
        <v>188</v>
      </c>
      <c r="BH537" s="102" t="s">
        <v>189</v>
      </c>
    </row>
    <row r="538" spans="1:60" s="17" customFormat="1" ht="19.5" customHeight="1" thickBot="1" x14ac:dyDescent="0.4">
      <c r="A538" s="41">
        <f t="shared" si="418"/>
        <v>45440</v>
      </c>
      <c r="B538" s="37" t="str">
        <f>B537</f>
        <v>Yaka İç Dikiş</v>
      </c>
      <c r="C538" s="66">
        <f>C362</f>
        <v>0</v>
      </c>
      <c r="D538" s="67">
        <f>D537</f>
        <v>200</v>
      </c>
      <c r="E538" s="57"/>
      <c r="F538" s="52"/>
      <c r="G538" s="52"/>
      <c r="H538" s="58"/>
      <c r="I538" s="57"/>
      <c r="J538" s="52"/>
      <c r="K538" s="52"/>
      <c r="L538" s="58"/>
      <c r="M538" s="57"/>
      <c r="N538" s="52"/>
      <c r="O538" s="52"/>
      <c r="P538" s="58"/>
      <c r="Q538" s="57"/>
      <c r="R538" s="52"/>
      <c r="S538" s="52"/>
      <c r="T538" s="52"/>
      <c r="U538" s="58"/>
      <c r="V538" s="57"/>
      <c r="W538" s="52"/>
      <c r="X538" s="52"/>
      <c r="Y538" s="58"/>
      <c r="Z538" s="57"/>
      <c r="AA538" s="52"/>
      <c r="AB538" s="52"/>
      <c r="AC538" s="58"/>
      <c r="AD538" s="57"/>
      <c r="AE538" s="52"/>
      <c r="AF538" s="52"/>
      <c r="AG538" s="58"/>
      <c r="AH538" s="57"/>
      <c r="AI538" s="52"/>
      <c r="AJ538" s="52"/>
      <c r="AK538" s="58"/>
      <c r="AL538" s="57"/>
      <c r="AM538" s="52"/>
      <c r="AN538" s="52"/>
      <c r="AO538" s="58"/>
      <c r="AP538" s="57"/>
      <c r="AQ538" s="52"/>
      <c r="AR538" s="52"/>
      <c r="AS538" s="58"/>
      <c r="AT538" s="57"/>
      <c r="AU538" s="52"/>
      <c r="AV538" s="52"/>
      <c r="AW538" s="58"/>
      <c r="AX538" s="33">
        <f>SUM(E538:AW538)</f>
        <v>0</v>
      </c>
      <c r="AY538" s="31">
        <f>IFERROR(AVERAGEIF(E538:AW538,"&lt;&gt;0",(E538:AW538)),)</f>
        <v>0</v>
      </c>
      <c r="AZ538" s="30">
        <f>IFERROR(AY538/D538,0)</f>
        <v>0</v>
      </c>
      <c r="BA538" s="94">
        <f>AX542+BA362</f>
        <v>9215</v>
      </c>
      <c r="BB538" s="95">
        <f>(D542*8)</f>
        <v>4000</v>
      </c>
      <c r="BC538" s="96">
        <f>C533-BA538</f>
        <v>33096</v>
      </c>
      <c r="BD538" s="96">
        <f>BC538</f>
        <v>33096</v>
      </c>
      <c r="BE538" s="97">
        <f>IFERROR(BC538/E542,0)</f>
        <v>46.288111888111885</v>
      </c>
      <c r="BF538" s="98">
        <f>IFERROR(BE538/9,0)</f>
        <v>5.1431235431235427</v>
      </c>
      <c r="BG538" s="97">
        <f>IFERROR(BC538/AY542,0)</f>
        <v>39.848026755852842</v>
      </c>
      <c r="BH538" s="97">
        <f>IFERROR(BG538/9,0)</f>
        <v>4.4275585284280936</v>
      </c>
    </row>
    <row r="539" spans="1:60" s="17" customFormat="1" ht="19.5" customHeight="1" x14ac:dyDescent="0.35">
      <c r="A539" s="41">
        <f t="shared" si="418"/>
        <v>45440</v>
      </c>
      <c r="B539" s="37" t="str">
        <f>B538</f>
        <v>Yaka İç Dikiş</v>
      </c>
      <c r="C539" s="66">
        <f>C363</f>
        <v>0</v>
      </c>
      <c r="D539" s="67">
        <f>D538</f>
        <v>200</v>
      </c>
      <c r="E539" s="57"/>
      <c r="F539" s="52"/>
      <c r="G539" s="52"/>
      <c r="H539" s="58"/>
      <c r="I539" s="57"/>
      <c r="J539" s="52"/>
      <c r="K539" s="52"/>
      <c r="L539" s="58"/>
      <c r="M539" s="57"/>
      <c r="N539" s="52"/>
      <c r="O539" s="52"/>
      <c r="P539" s="58"/>
      <c r="Q539" s="57"/>
      <c r="R539" s="52"/>
      <c r="S539" s="52"/>
      <c r="T539" s="52"/>
      <c r="U539" s="58"/>
      <c r="V539" s="57"/>
      <c r="W539" s="52"/>
      <c r="X539" s="52"/>
      <c r="Y539" s="58"/>
      <c r="Z539" s="57"/>
      <c r="AA539" s="52"/>
      <c r="AB539" s="52"/>
      <c r="AC539" s="58"/>
      <c r="AD539" s="57"/>
      <c r="AE539" s="52"/>
      <c r="AF539" s="52"/>
      <c r="AG539" s="58"/>
      <c r="AH539" s="57"/>
      <c r="AI539" s="52"/>
      <c r="AJ539" s="52"/>
      <c r="AK539" s="58"/>
      <c r="AL539" s="57"/>
      <c r="AM539" s="52"/>
      <c r="AN539" s="52"/>
      <c r="AO539" s="58"/>
      <c r="AP539" s="57"/>
      <c r="AQ539" s="52"/>
      <c r="AR539" s="52"/>
      <c r="AS539" s="58"/>
      <c r="AT539" s="57"/>
      <c r="AU539" s="52"/>
      <c r="AV539" s="52"/>
      <c r="AW539" s="58"/>
      <c r="AX539" s="33">
        <f>SUM(E539:AW539)</f>
        <v>0</v>
      </c>
      <c r="AY539" s="31">
        <f>IFERROR(AVERAGEIF(E539:AW539,"&lt;&gt;0",(E539:AW539)),)</f>
        <v>0</v>
      </c>
      <c r="AZ539" s="30">
        <f>IFERROR(AY539/D539,0)</f>
        <v>0</v>
      </c>
      <c r="BA539" s="34"/>
      <c r="BB539" s="34"/>
      <c r="BC539" s="34"/>
      <c r="BD539" s="76"/>
      <c r="BE539" s="34"/>
      <c r="BF539" s="34"/>
      <c r="BG539" s="34"/>
      <c r="BH539" s="34"/>
    </row>
    <row r="540" spans="1:60" s="17" customFormat="1" ht="19.5" customHeight="1" x14ac:dyDescent="0.35">
      <c r="A540" s="41">
        <f t="shared" si="418"/>
        <v>45440</v>
      </c>
      <c r="B540" s="37" t="str">
        <f>B539</f>
        <v>Yaka İç Dikiş</v>
      </c>
      <c r="C540" s="66">
        <f>C364</f>
        <v>0</v>
      </c>
      <c r="D540" s="67">
        <f>D539</f>
        <v>200</v>
      </c>
      <c r="E540" s="57"/>
      <c r="F540" s="52"/>
      <c r="G540" s="52"/>
      <c r="H540" s="58"/>
      <c r="I540" s="57"/>
      <c r="J540" s="52"/>
      <c r="K540" s="52"/>
      <c r="L540" s="58"/>
      <c r="M540" s="57"/>
      <c r="N540" s="52"/>
      <c r="O540" s="52"/>
      <c r="P540" s="58"/>
      <c r="Q540" s="57"/>
      <c r="R540" s="52"/>
      <c r="S540" s="52"/>
      <c r="T540" s="52"/>
      <c r="U540" s="58"/>
      <c r="V540" s="57"/>
      <c r="W540" s="52"/>
      <c r="X540" s="52"/>
      <c r="Y540" s="58"/>
      <c r="Z540" s="57"/>
      <c r="AA540" s="52"/>
      <c r="AB540" s="52"/>
      <c r="AC540" s="58"/>
      <c r="AD540" s="57"/>
      <c r="AE540" s="52"/>
      <c r="AF540" s="52"/>
      <c r="AG540" s="58"/>
      <c r="AH540" s="57"/>
      <c r="AI540" s="52"/>
      <c r="AJ540" s="52"/>
      <c r="AK540" s="58"/>
      <c r="AL540" s="57"/>
      <c r="AM540" s="52"/>
      <c r="AN540" s="52"/>
      <c r="AO540" s="58"/>
      <c r="AP540" s="57"/>
      <c r="AQ540" s="52"/>
      <c r="AR540" s="52"/>
      <c r="AS540" s="58"/>
      <c r="AT540" s="57"/>
      <c r="AU540" s="52"/>
      <c r="AV540" s="52"/>
      <c r="AW540" s="58"/>
      <c r="AX540" s="33">
        <f>SUM(E540:AW540)</f>
        <v>0</v>
      </c>
      <c r="AY540" s="31">
        <f>IFERROR(AVERAGEIF(E540:AW540,"&lt;&gt;0",(E540:AW540)),)</f>
        <v>0</v>
      </c>
      <c r="AZ540" s="30">
        <f>IFERROR(AY540/D540,0)</f>
        <v>0</v>
      </c>
      <c r="BA540" s="34"/>
      <c r="BB540" s="34"/>
      <c r="BC540" s="34"/>
      <c r="BD540" s="76"/>
      <c r="BE540" s="34"/>
      <c r="BF540" s="34"/>
      <c r="BG540" s="34"/>
      <c r="BH540" s="34"/>
    </row>
    <row r="541" spans="1:60" s="17" customFormat="1" ht="19.5" customHeight="1" thickBot="1" x14ac:dyDescent="0.4">
      <c r="A541" s="41">
        <f t="shared" si="418"/>
        <v>45440</v>
      </c>
      <c r="B541" s="37" t="str">
        <f>B540</f>
        <v>Yaka İç Dikiş</v>
      </c>
      <c r="C541" s="66">
        <f>C365</f>
        <v>0</v>
      </c>
      <c r="D541" s="67">
        <f>D540</f>
        <v>200</v>
      </c>
      <c r="E541" s="64"/>
      <c r="F541" s="61"/>
      <c r="G541" s="61"/>
      <c r="H541" s="62"/>
      <c r="I541" s="64"/>
      <c r="J541" s="61"/>
      <c r="K541" s="61"/>
      <c r="L541" s="62"/>
      <c r="M541" s="64"/>
      <c r="N541" s="61"/>
      <c r="O541" s="61"/>
      <c r="P541" s="62"/>
      <c r="Q541" s="64"/>
      <c r="R541" s="61"/>
      <c r="S541" s="61"/>
      <c r="T541" s="61"/>
      <c r="U541" s="62"/>
      <c r="V541" s="64"/>
      <c r="W541" s="61"/>
      <c r="X541" s="61"/>
      <c r="Y541" s="62"/>
      <c r="Z541" s="59"/>
      <c r="AA541" s="60"/>
      <c r="AB541" s="61"/>
      <c r="AC541" s="62"/>
      <c r="AD541" s="59"/>
      <c r="AE541" s="60"/>
      <c r="AF541" s="61"/>
      <c r="AG541" s="62"/>
      <c r="AH541" s="59"/>
      <c r="AI541" s="60"/>
      <c r="AJ541" s="61"/>
      <c r="AK541" s="62"/>
      <c r="AL541" s="59"/>
      <c r="AM541" s="60"/>
      <c r="AN541" s="61"/>
      <c r="AO541" s="62"/>
      <c r="AP541" s="59"/>
      <c r="AQ541" s="60"/>
      <c r="AR541" s="61"/>
      <c r="AS541" s="62"/>
      <c r="AT541" s="59"/>
      <c r="AU541" s="60"/>
      <c r="AV541" s="61"/>
      <c r="AW541" s="62"/>
      <c r="AX541" s="43">
        <f>SUM(E541:AW541)</f>
        <v>0</v>
      </c>
      <c r="AY541" s="44">
        <f>IFERROR(AVERAGEIF(E541:AW541,"&lt;&gt;0",(E541:AW541)),)</f>
        <v>0</v>
      </c>
      <c r="AZ541" s="45">
        <f>IFERROR(AY541/D541,0)</f>
        <v>0</v>
      </c>
      <c r="BA541" s="34"/>
      <c r="BB541" s="34"/>
      <c r="BC541" s="34"/>
      <c r="BD541" s="76"/>
      <c r="BE541" s="34"/>
      <c r="BF541" s="34"/>
      <c r="BG541" s="34"/>
      <c r="BH541" s="34"/>
    </row>
    <row r="542" spans="1:60" s="17" customFormat="1" ht="19.5" customHeight="1" thickBot="1" x14ac:dyDescent="0.45">
      <c r="A542" s="41">
        <f t="shared" si="418"/>
        <v>45440</v>
      </c>
      <c r="B542" s="139" t="str">
        <f>B537</f>
        <v>Yaka İç Dikiş</v>
      </c>
      <c r="C542" s="140"/>
      <c r="D542" s="40">
        <f>C534/8</f>
        <v>500</v>
      </c>
      <c r="E542" s="151">
        <f>SUM(E537:H541)</f>
        <v>715</v>
      </c>
      <c r="F542" s="152"/>
      <c r="G542" s="152"/>
      <c r="H542" s="153"/>
      <c r="I542" s="151">
        <f>SUM(I537:L541)</f>
        <v>800</v>
      </c>
      <c r="J542" s="152"/>
      <c r="K542" s="152"/>
      <c r="L542" s="153"/>
      <c r="M542" s="151">
        <f>SUM(M537:P541)</f>
        <v>800</v>
      </c>
      <c r="N542" s="152"/>
      <c r="O542" s="152"/>
      <c r="P542" s="153"/>
      <c r="Q542" s="151">
        <f>SUM(Q537:U541)</f>
        <v>1130</v>
      </c>
      <c r="R542" s="152"/>
      <c r="S542" s="152"/>
      <c r="T542" s="152"/>
      <c r="U542" s="153"/>
      <c r="V542" s="151">
        <f>SUM(V537:Y541)</f>
        <v>805</v>
      </c>
      <c r="W542" s="152"/>
      <c r="X542" s="152"/>
      <c r="Y542" s="153"/>
      <c r="Z542" s="151">
        <f>SUM(Z537:AC541)</f>
        <v>840</v>
      </c>
      <c r="AA542" s="152"/>
      <c r="AB542" s="152"/>
      <c r="AC542" s="153"/>
      <c r="AD542" s="151">
        <f>SUM(AD537:AG541)</f>
        <v>850</v>
      </c>
      <c r="AE542" s="152"/>
      <c r="AF542" s="152"/>
      <c r="AG542" s="153"/>
      <c r="AH542" s="151">
        <f>SUM(AH537:AK541)</f>
        <v>900</v>
      </c>
      <c r="AI542" s="152"/>
      <c r="AJ542" s="152"/>
      <c r="AK542" s="153"/>
      <c r="AL542" s="151">
        <f>SUM(AL537:AO541)</f>
        <v>635</v>
      </c>
      <c r="AM542" s="152"/>
      <c r="AN542" s="152"/>
      <c r="AO542" s="153"/>
      <c r="AP542" s="151">
        <f>SUM(AP537:AS541)</f>
        <v>0</v>
      </c>
      <c r="AQ542" s="152"/>
      <c r="AR542" s="152"/>
      <c r="AS542" s="153"/>
      <c r="AT542" s="151">
        <f>SUM(AT537:AW541)</f>
        <v>0</v>
      </c>
      <c r="AU542" s="152"/>
      <c r="AV542" s="152"/>
      <c r="AW542" s="153"/>
      <c r="AX542" s="87">
        <f>SUM(AX537:AX541)</f>
        <v>7475</v>
      </c>
      <c r="AY542" s="88">
        <f>IFERROR(AVERAGEIF(E542:AV542,"&lt;&gt;0",(E542:AV542)),)</f>
        <v>830.55555555555554</v>
      </c>
      <c r="AZ542" s="46">
        <f>IFERROR(AX542/BB538,0)</f>
        <v>1.8687499999999999</v>
      </c>
      <c r="BA542" s="34"/>
      <c r="BB542" s="34"/>
      <c r="BC542" s="34"/>
      <c r="BD542" s="76"/>
      <c r="BE542" s="34"/>
      <c r="BF542" s="34"/>
      <c r="BG542" s="34"/>
      <c r="BH542" s="34"/>
    </row>
    <row r="543" spans="1:60" s="17" customFormat="1" ht="19.5" customHeight="1" thickBot="1" x14ac:dyDescent="0.4">
      <c r="A543" s="42">
        <f>A536</f>
        <v>45440</v>
      </c>
      <c r="B543" s="38" t="str">
        <f>B544</f>
        <v>Yaka Tıktık</v>
      </c>
      <c r="C543" s="39" t="s">
        <v>180</v>
      </c>
      <c r="D543" s="69" t="s">
        <v>181</v>
      </c>
      <c r="E543" s="48">
        <v>0.34375</v>
      </c>
      <c r="F543" s="49">
        <v>0.35416666666666669</v>
      </c>
      <c r="G543" s="49">
        <v>0.36458333333333331</v>
      </c>
      <c r="H543" s="50">
        <v>0.375</v>
      </c>
      <c r="I543" s="48">
        <v>0.38541666666666702</v>
      </c>
      <c r="J543" s="49">
        <v>0.39583333333333298</v>
      </c>
      <c r="K543" s="49">
        <v>0.40625</v>
      </c>
      <c r="L543" s="50">
        <v>0.41666666666666702</v>
      </c>
      <c r="M543" s="48">
        <v>0.4375</v>
      </c>
      <c r="N543" s="49">
        <v>0.44791666666666702</v>
      </c>
      <c r="O543" s="49">
        <v>0.45833333333333398</v>
      </c>
      <c r="P543" s="50">
        <v>0.46875</v>
      </c>
      <c r="Q543" s="48">
        <v>0.47916666666666702</v>
      </c>
      <c r="R543" s="49">
        <v>0.48958333333333398</v>
      </c>
      <c r="S543" s="49">
        <v>0.5</v>
      </c>
      <c r="T543" s="50">
        <v>0.51041666666666696</v>
      </c>
      <c r="U543" s="51">
        <v>0.52083333333333204</v>
      </c>
      <c r="V543" s="48">
        <v>0.5625</v>
      </c>
      <c r="W543" s="49">
        <v>0.57291666666666663</v>
      </c>
      <c r="X543" s="49">
        <v>0.58333333333333304</v>
      </c>
      <c r="Y543" s="50">
        <v>0.59375</v>
      </c>
      <c r="Z543" s="48">
        <v>0.60416666666666696</v>
      </c>
      <c r="AA543" s="49">
        <v>0.61458333333333304</v>
      </c>
      <c r="AB543" s="49">
        <v>0.625</v>
      </c>
      <c r="AC543" s="50">
        <v>0.63541666666666596</v>
      </c>
      <c r="AD543" s="48">
        <v>0.65625</v>
      </c>
      <c r="AE543" s="49">
        <v>0.66666666666666663</v>
      </c>
      <c r="AF543" s="49">
        <v>0.67708333333333304</v>
      </c>
      <c r="AG543" s="50">
        <v>0.6875</v>
      </c>
      <c r="AH543" s="48">
        <v>0.69791666666666696</v>
      </c>
      <c r="AI543" s="49">
        <v>0.70833333333333304</v>
      </c>
      <c r="AJ543" s="49">
        <v>0.71875</v>
      </c>
      <c r="AK543" s="50">
        <v>0.72916666666666696</v>
      </c>
      <c r="AL543" s="48">
        <v>0.73958333333333404</v>
      </c>
      <c r="AM543" s="49">
        <v>0.750000000000001</v>
      </c>
      <c r="AN543" s="49">
        <v>0.76041666666666796</v>
      </c>
      <c r="AO543" s="50">
        <v>0.77083333333333504</v>
      </c>
      <c r="AP543" s="48">
        <v>0.781250000000002</v>
      </c>
      <c r="AQ543" s="49">
        <v>0.79166666666666896</v>
      </c>
      <c r="AR543" s="49">
        <v>0.80208333333333603</v>
      </c>
      <c r="AS543" s="50">
        <v>0.812500000000003</v>
      </c>
      <c r="AT543" s="48">
        <v>0.82291666666666996</v>
      </c>
      <c r="AU543" s="49">
        <v>0.83333333333333703</v>
      </c>
      <c r="AV543" s="49">
        <v>0.843750000000004</v>
      </c>
      <c r="AW543" s="50">
        <v>0.85416666666666663</v>
      </c>
      <c r="AX543" s="68" t="s">
        <v>260</v>
      </c>
      <c r="AY543" s="28" t="s">
        <v>261</v>
      </c>
      <c r="AZ543" s="29" t="s">
        <v>262</v>
      </c>
      <c r="BA543" s="136" t="str">
        <f>B544</f>
        <v>Yaka Tıktık</v>
      </c>
      <c r="BB543" s="137"/>
      <c r="BC543" s="137"/>
      <c r="BD543" s="137"/>
      <c r="BE543" s="137"/>
      <c r="BF543" s="137"/>
      <c r="BG543" s="137"/>
      <c r="BH543" s="138"/>
    </row>
    <row r="544" spans="1:60" s="17" customFormat="1" ht="19.5" customHeight="1" thickBot="1" x14ac:dyDescent="0.4">
      <c r="A544" s="41">
        <f>A536</f>
        <v>45440</v>
      </c>
      <c r="B544" s="37" t="str">
        <f>B368</f>
        <v>Yaka Tıktık</v>
      </c>
      <c r="C544" s="66" t="str">
        <f>C368</f>
        <v>HAYAL ŞENER</v>
      </c>
      <c r="D544" s="70">
        <f>D368</f>
        <v>150</v>
      </c>
      <c r="E544" s="63">
        <v>100</v>
      </c>
      <c r="F544" s="55">
        <v>125</v>
      </c>
      <c r="G544" s="55">
        <v>110</v>
      </c>
      <c r="H544" s="56">
        <v>105</v>
      </c>
      <c r="I544" s="63">
        <v>90</v>
      </c>
      <c r="J544" s="55">
        <v>80</v>
      </c>
      <c r="K544" s="55">
        <v>120</v>
      </c>
      <c r="L544" s="56">
        <v>100</v>
      </c>
      <c r="M544" s="63">
        <v>130</v>
      </c>
      <c r="N544" s="55">
        <v>140</v>
      </c>
      <c r="O544" s="55">
        <v>125</v>
      </c>
      <c r="P544" s="56">
        <v>120</v>
      </c>
      <c r="Q544" s="63">
        <v>85</v>
      </c>
      <c r="R544" s="55">
        <v>125</v>
      </c>
      <c r="S544" s="55">
        <v>120</v>
      </c>
      <c r="T544" s="55">
        <v>105</v>
      </c>
      <c r="U544" s="56">
        <v>105</v>
      </c>
      <c r="V544" s="63">
        <v>120</v>
      </c>
      <c r="W544" s="55">
        <v>135</v>
      </c>
      <c r="X544" s="55">
        <v>110</v>
      </c>
      <c r="Y544" s="56">
        <v>125</v>
      </c>
      <c r="Z544" s="63">
        <v>110</v>
      </c>
      <c r="AA544" s="55">
        <v>120</v>
      </c>
      <c r="AB544" s="55">
        <v>60</v>
      </c>
      <c r="AC544" s="56">
        <v>115</v>
      </c>
      <c r="AD544" s="63">
        <v>125</v>
      </c>
      <c r="AE544" s="55">
        <v>90</v>
      </c>
      <c r="AF544" s="55">
        <v>0</v>
      </c>
      <c r="AG544" s="56">
        <v>60</v>
      </c>
      <c r="AH544" s="63">
        <v>110</v>
      </c>
      <c r="AI544" s="55">
        <v>105</v>
      </c>
      <c r="AJ544" s="55">
        <v>75</v>
      </c>
      <c r="AK544" s="56">
        <v>125</v>
      </c>
      <c r="AL544" s="63">
        <v>110</v>
      </c>
      <c r="AM544" s="55">
        <v>90</v>
      </c>
      <c r="AN544" s="55">
        <v>50</v>
      </c>
      <c r="AO544" s="56"/>
      <c r="AP544" s="63"/>
      <c r="AQ544" s="54"/>
      <c r="AR544" s="55"/>
      <c r="AS544" s="56"/>
      <c r="AT544" s="53"/>
      <c r="AU544" s="54"/>
      <c r="AV544" s="55"/>
      <c r="AW544" s="56"/>
      <c r="AX544" s="33">
        <f>SUM(E544:AW544)</f>
        <v>3720</v>
      </c>
      <c r="AY544" s="31">
        <f>IFERROR(AVERAGEIF(E544:AW544,"&lt;&gt;0",(E544:AW544)),)</f>
        <v>106.28571428571429</v>
      </c>
      <c r="AZ544" s="30">
        <f>IFERROR(AY544/D544,0)</f>
        <v>0.70857142857142863</v>
      </c>
      <c r="BA544" s="103" t="s">
        <v>182</v>
      </c>
      <c r="BB544" s="100" t="s">
        <v>183</v>
      </c>
      <c r="BC544" s="100" t="s">
        <v>184</v>
      </c>
      <c r="BD544" s="101" t="s">
        <v>185</v>
      </c>
      <c r="BE544" s="100" t="s">
        <v>186</v>
      </c>
      <c r="BF544" s="102" t="s">
        <v>187</v>
      </c>
      <c r="BG544" s="100" t="s">
        <v>188</v>
      </c>
      <c r="BH544" s="102" t="s">
        <v>189</v>
      </c>
    </row>
    <row r="545" spans="1:60" s="17" customFormat="1" ht="19.5" customHeight="1" thickBot="1" x14ac:dyDescent="0.4">
      <c r="A545" s="41">
        <f t="shared" ref="A545:B545" si="419">A544</f>
        <v>45440</v>
      </c>
      <c r="B545" s="37" t="str">
        <f t="shared" si="419"/>
        <v>Yaka Tıktık</v>
      </c>
      <c r="C545" s="66">
        <f>C369</f>
        <v>0</v>
      </c>
      <c r="D545" s="67">
        <f>D544</f>
        <v>150</v>
      </c>
      <c r="E545" s="57"/>
      <c r="F545" s="52"/>
      <c r="G545" s="52"/>
      <c r="H545" s="58"/>
      <c r="I545" s="57"/>
      <c r="J545" s="52"/>
      <c r="K545" s="52"/>
      <c r="L545" s="58"/>
      <c r="M545" s="57"/>
      <c r="N545" s="52"/>
      <c r="O545" s="52"/>
      <c r="P545" s="58"/>
      <c r="Q545" s="57"/>
      <c r="R545" s="52"/>
      <c r="S545" s="52"/>
      <c r="T545" s="52"/>
      <c r="U545" s="58"/>
      <c r="V545" s="57"/>
      <c r="W545" s="52"/>
      <c r="X545" s="52"/>
      <c r="Y545" s="58"/>
      <c r="Z545" s="57"/>
      <c r="AA545" s="52"/>
      <c r="AB545" s="52"/>
      <c r="AC545" s="58"/>
      <c r="AD545" s="57"/>
      <c r="AE545" s="52"/>
      <c r="AF545" s="52"/>
      <c r="AG545" s="58"/>
      <c r="AH545" s="57"/>
      <c r="AI545" s="52"/>
      <c r="AJ545" s="52"/>
      <c r="AK545" s="58"/>
      <c r="AL545" s="57"/>
      <c r="AM545" s="52"/>
      <c r="AN545" s="52"/>
      <c r="AO545" s="58"/>
      <c r="AP545" s="57"/>
      <c r="AQ545" s="52"/>
      <c r="AR545" s="52"/>
      <c r="AS545" s="58"/>
      <c r="AT545" s="57"/>
      <c r="AU545" s="52"/>
      <c r="AV545" s="52"/>
      <c r="AW545" s="58"/>
      <c r="AX545" s="33">
        <f>SUM(E545:AW545)</f>
        <v>0</v>
      </c>
      <c r="AY545" s="31">
        <f>IFERROR(AVERAGEIF(E545:AW545,"&lt;&gt;0",(E545:AW545)),)</f>
        <v>0</v>
      </c>
      <c r="AZ545" s="30">
        <f>IFERROR(AY545/D545,0)</f>
        <v>0</v>
      </c>
      <c r="BA545" s="94">
        <f>AX549+BA369</f>
        <v>4010</v>
      </c>
      <c r="BB545" s="95">
        <f>(D549*8)</f>
        <v>4000</v>
      </c>
      <c r="BC545" s="96">
        <f>C533-BA545</f>
        <v>38301</v>
      </c>
      <c r="BD545" s="96">
        <f>BA538-BA545</f>
        <v>5205</v>
      </c>
      <c r="BE545" s="97">
        <f>IFERROR(BC545/E549,0)</f>
        <v>87.047727272727272</v>
      </c>
      <c r="BF545" s="98">
        <f>IFERROR(BE545/9,0)</f>
        <v>9.6719696969696969</v>
      </c>
      <c r="BG545" s="97">
        <f>IFERROR(BC545/AY549,0)</f>
        <v>92.663709677419362</v>
      </c>
      <c r="BH545" s="97">
        <f>IFERROR(BG545/9,0)</f>
        <v>10.295967741935485</v>
      </c>
    </row>
    <row r="546" spans="1:60" s="17" customFormat="1" ht="19.5" customHeight="1" x14ac:dyDescent="0.35">
      <c r="A546" s="41">
        <f t="shared" ref="A546:B546" si="420">A545</f>
        <v>45440</v>
      </c>
      <c r="B546" s="37" t="str">
        <f t="shared" si="420"/>
        <v>Yaka Tıktık</v>
      </c>
      <c r="C546" s="66">
        <f>C370</f>
        <v>0</v>
      </c>
      <c r="D546" s="67">
        <f>D545</f>
        <v>150</v>
      </c>
      <c r="E546" s="57"/>
      <c r="F546" s="52"/>
      <c r="G546" s="52"/>
      <c r="H546" s="58"/>
      <c r="I546" s="57"/>
      <c r="J546" s="52"/>
      <c r="K546" s="52"/>
      <c r="L546" s="58"/>
      <c r="M546" s="57"/>
      <c r="N546" s="52"/>
      <c r="O546" s="52"/>
      <c r="P546" s="58"/>
      <c r="Q546" s="57"/>
      <c r="R546" s="52"/>
      <c r="S546" s="52"/>
      <c r="T546" s="52"/>
      <c r="U546" s="58"/>
      <c r="V546" s="57"/>
      <c r="W546" s="52"/>
      <c r="X546" s="52"/>
      <c r="Y546" s="58"/>
      <c r="Z546" s="57"/>
      <c r="AA546" s="52"/>
      <c r="AB546" s="52"/>
      <c r="AC546" s="58"/>
      <c r="AD546" s="57"/>
      <c r="AE546" s="52"/>
      <c r="AF546" s="52"/>
      <c r="AG546" s="58"/>
      <c r="AH546" s="57"/>
      <c r="AI546" s="52"/>
      <c r="AJ546" s="52"/>
      <c r="AK546" s="58"/>
      <c r="AL546" s="57"/>
      <c r="AM546" s="52"/>
      <c r="AN546" s="52"/>
      <c r="AO546" s="58"/>
      <c r="AP546" s="57"/>
      <c r="AQ546" s="52"/>
      <c r="AR546" s="52"/>
      <c r="AS546" s="58"/>
      <c r="AT546" s="57"/>
      <c r="AU546" s="52"/>
      <c r="AV546" s="52"/>
      <c r="AW546" s="58"/>
      <c r="AX546" s="33">
        <f>SUM(E546:AW546)</f>
        <v>0</v>
      </c>
      <c r="AY546" s="31">
        <f>IFERROR(AVERAGEIF(E546:AW546,"&lt;&gt;0",(E546:AW546)),)</f>
        <v>0</v>
      </c>
      <c r="AZ546" s="30">
        <f>IFERROR(AY546/D546,0)</f>
        <v>0</v>
      </c>
      <c r="BA546" s="34"/>
      <c r="BB546" s="34"/>
      <c r="BC546" s="34"/>
      <c r="BD546" s="76"/>
      <c r="BE546" s="34"/>
      <c r="BF546" s="34"/>
      <c r="BG546" s="34"/>
      <c r="BH546" s="34"/>
    </row>
    <row r="547" spans="1:60" s="17" customFormat="1" ht="19.5" customHeight="1" x14ac:dyDescent="0.35">
      <c r="A547" s="41">
        <f t="shared" ref="A547:B547" si="421">A546</f>
        <v>45440</v>
      </c>
      <c r="B547" s="37" t="str">
        <f t="shared" si="421"/>
        <v>Yaka Tıktık</v>
      </c>
      <c r="C547" s="66">
        <f>C371</f>
        <v>0</v>
      </c>
      <c r="D547" s="67">
        <f>D546</f>
        <v>150</v>
      </c>
      <c r="E547" s="57"/>
      <c r="F547" s="52"/>
      <c r="G547" s="52"/>
      <c r="H547" s="58"/>
      <c r="I547" s="57"/>
      <c r="J547" s="52"/>
      <c r="K547" s="52"/>
      <c r="L547" s="58"/>
      <c r="M547" s="57"/>
      <c r="N547" s="52"/>
      <c r="O547" s="52"/>
      <c r="P547" s="58"/>
      <c r="Q547" s="57"/>
      <c r="R547" s="52"/>
      <c r="S547" s="52"/>
      <c r="T547" s="52"/>
      <c r="U547" s="58"/>
      <c r="V547" s="57"/>
      <c r="W547" s="52"/>
      <c r="X547" s="52"/>
      <c r="Y547" s="58"/>
      <c r="Z547" s="57"/>
      <c r="AA547" s="52"/>
      <c r="AB547" s="52"/>
      <c r="AC547" s="58"/>
      <c r="AD547" s="57"/>
      <c r="AE547" s="52"/>
      <c r="AF547" s="52"/>
      <c r="AG547" s="58"/>
      <c r="AH547" s="57"/>
      <c r="AI547" s="52"/>
      <c r="AJ547" s="52"/>
      <c r="AK547" s="58"/>
      <c r="AL547" s="57"/>
      <c r="AM547" s="52"/>
      <c r="AN547" s="52"/>
      <c r="AO547" s="58"/>
      <c r="AP547" s="57"/>
      <c r="AQ547" s="52"/>
      <c r="AR547" s="52"/>
      <c r="AS547" s="58"/>
      <c r="AT547" s="57"/>
      <c r="AU547" s="52"/>
      <c r="AV547" s="52"/>
      <c r="AW547" s="58"/>
      <c r="AX547" s="33">
        <f>SUM(E547:AW547)</f>
        <v>0</v>
      </c>
      <c r="AY547" s="31">
        <f>IFERROR(AVERAGEIF(E547:AW547,"&lt;&gt;0",(E547:AW547)),)</f>
        <v>0</v>
      </c>
      <c r="AZ547" s="30">
        <f>IFERROR(AY547/D547,0)</f>
        <v>0</v>
      </c>
      <c r="BA547" s="34"/>
      <c r="BB547" s="34"/>
      <c r="BC547" s="34"/>
      <c r="BD547" s="76"/>
      <c r="BE547" s="34"/>
      <c r="BF547" s="34"/>
      <c r="BG547" s="34"/>
      <c r="BH547" s="34"/>
    </row>
    <row r="548" spans="1:60" s="17" customFormat="1" ht="19.5" customHeight="1" thickBot="1" x14ac:dyDescent="0.4">
      <c r="A548" s="41">
        <f t="shared" ref="A548:B548" si="422">A547</f>
        <v>45440</v>
      </c>
      <c r="B548" s="37" t="str">
        <f t="shared" si="422"/>
        <v>Yaka Tıktık</v>
      </c>
      <c r="C548" s="66">
        <f>C372</f>
        <v>0</v>
      </c>
      <c r="D548" s="67">
        <f>D547</f>
        <v>150</v>
      </c>
      <c r="E548" s="64"/>
      <c r="F548" s="61"/>
      <c r="G548" s="61"/>
      <c r="H548" s="62"/>
      <c r="I548" s="64"/>
      <c r="J548" s="61"/>
      <c r="K548" s="61"/>
      <c r="L548" s="62"/>
      <c r="M548" s="64"/>
      <c r="N548" s="61"/>
      <c r="O548" s="61"/>
      <c r="P548" s="62"/>
      <c r="Q548" s="64"/>
      <c r="R548" s="61"/>
      <c r="S548" s="61"/>
      <c r="T548" s="61"/>
      <c r="U548" s="62"/>
      <c r="V548" s="64"/>
      <c r="W548" s="61"/>
      <c r="X548" s="61"/>
      <c r="Y548" s="62"/>
      <c r="Z548" s="59"/>
      <c r="AA548" s="60"/>
      <c r="AB548" s="61"/>
      <c r="AC548" s="62"/>
      <c r="AD548" s="59"/>
      <c r="AE548" s="60"/>
      <c r="AF548" s="61"/>
      <c r="AG548" s="62"/>
      <c r="AH548" s="59"/>
      <c r="AI548" s="60"/>
      <c r="AJ548" s="61"/>
      <c r="AK548" s="62"/>
      <c r="AL548" s="59"/>
      <c r="AM548" s="60"/>
      <c r="AN548" s="61"/>
      <c r="AO548" s="62"/>
      <c r="AP548" s="59"/>
      <c r="AQ548" s="60"/>
      <c r="AR548" s="61"/>
      <c r="AS548" s="62"/>
      <c r="AT548" s="59"/>
      <c r="AU548" s="60"/>
      <c r="AV548" s="61"/>
      <c r="AW548" s="62"/>
      <c r="AX548" s="43">
        <f>SUM(E548:AW548)</f>
        <v>0</v>
      </c>
      <c r="AY548" s="44">
        <f>IFERROR(AVERAGEIF(E548:AW548,"&lt;&gt;0",(E548:AW548)),)</f>
        <v>0</v>
      </c>
      <c r="AZ548" s="45">
        <f>IFERROR(AY548/D548,0)</f>
        <v>0</v>
      </c>
      <c r="BA548" s="34"/>
      <c r="BB548" s="34"/>
      <c r="BC548" s="34"/>
      <c r="BD548" s="76"/>
      <c r="BE548" s="34"/>
      <c r="BF548" s="34"/>
      <c r="BG548" s="34"/>
      <c r="BH548" s="34"/>
    </row>
    <row r="549" spans="1:60" s="17" customFormat="1" ht="19.5" customHeight="1" thickBot="1" x14ac:dyDescent="0.45">
      <c r="A549" s="41">
        <f>A548</f>
        <v>45440</v>
      </c>
      <c r="B549" s="139" t="str">
        <f>B544</f>
        <v>Yaka Tıktık</v>
      </c>
      <c r="C549" s="140"/>
      <c r="D549" s="40">
        <f>C534/8</f>
        <v>500</v>
      </c>
      <c r="E549" s="151">
        <f>SUM(E544:H548)</f>
        <v>440</v>
      </c>
      <c r="F549" s="152"/>
      <c r="G549" s="152"/>
      <c r="H549" s="153"/>
      <c r="I549" s="151">
        <f>SUM(I544:L548)</f>
        <v>390</v>
      </c>
      <c r="J549" s="152"/>
      <c r="K549" s="152"/>
      <c r="L549" s="153"/>
      <c r="M549" s="151">
        <f>SUM(M544:P548)</f>
        <v>515</v>
      </c>
      <c r="N549" s="152"/>
      <c r="O549" s="152"/>
      <c r="P549" s="153"/>
      <c r="Q549" s="151">
        <f>SUM(Q544:U548)</f>
        <v>540</v>
      </c>
      <c r="R549" s="152"/>
      <c r="S549" s="152"/>
      <c r="T549" s="152"/>
      <c r="U549" s="153"/>
      <c r="V549" s="151">
        <f>SUM(V544:Y548)</f>
        <v>490</v>
      </c>
      <c r="W549" s="152"/>
      <c r="X549" s="152"/>
      <c r="Y549" s="153"/>
      <c r="Z549" s="151">
        <f>SUM(Z544:AC548)</f>
        <v>405</v>
      </c>
      <c r="AA549" s="152"/>
      <c r="AB549" s="152"/>
      <c r="AC549" s="153"/>
      <c r="AD549" s="151">
        <f>SUM(AD544:AG548)</f>
        <v>275</v>
      </c>
      <c r="AE549" s="152"/>
      <c r="AF549" s="152"/>
      <c r="AG549" s="153"/>
      <c r="AH549" s="151">
        <f>SUM(AH544:AK548)</f>
        <v>415</v>
      </c>
      <c r="AI549" s="152"/>
      <c r="AJ549" s="152"/>
      <c r="AK549" s="153"/>
      <c r="AL549" s="151">
        <f>SUM(AL544:AO548)</f>
        <v>250</v>
      </c>
      <c r="AM549" s="152"/>
      <c r="AN549" s="152"/>
      <c r="AO549" s="153"/>
      <c r="AP549" s="151">
        <f>SUM(AP544:AS548)</f>
        <v>0</v>
      </c>
      <c r="AQ549" s="152"/>
      <c r="AR549" s="152"/>
      <c r="AS549" s="153"/>
      <c r="AT549" s="151">
        <f>SUM(AT544:AW548)</f>
        <v>0</v>
      </c>
      <c r="AU549" s="152"/>
      <c r="AV549" s="152"/>
      <c r="AW549" s="153"/>
      <c r="AX549" s="87">
        <f>SUM(AX544:AX548)</f>
        <v>3720</v>
      </c>
      <c r="AY549" s="88">
        <f>IFERROR(AVERAGEIF(E549:AV549,"&lt;&gt;0",(E549:AV549)),)</f>
        <v>413.33333333333331</v>
      </c>
      <c r="AZ549" s="46">
        <f>IFERROR(AX549/BB545,0)</f>
        <v>0.93</v>
      </c>
      <c r="BA549" s="34"/>
      <c r="BB549" s="34"/>
      <c r="BC549" s="34"/>
      <c r="BD549" s="76"/>
      <c r="BE549" s="34"/>
      <c r="BF549" s="34"/>
      <c r="BG549" s="34"/>
      <c r="BH549" s="34"/>
    </row>
    <row r="550" spans="1:60" s="17" customFormat="1" ht="19.5" customHeight="1" thickBot="1" x14ac:dyDescent="0.4">
      <c r="A550" s="42">
        <f>A536</f>
        <v>45440</v>
      </c>
      <c r="B550" s="38" t="str">
        <f>B551</f>
        <v>Etiket Hazırlama</v>
      </c>
      <c r="C550" s="39" t="s">
        <v>180</v>
      </c>
      <c r="D550" s="69" t="s">
        <v>181</v>
      </c>
      <c r="E550" s="48">
        <v>0.34375</v>
      </c>
      <c r="F550" s="49">
        <v>0.35416666666666669</v>
      </c>
      <c r="G550" s="49">
        <v>0.36458333333333331</v>
      </c>
      <c r="H550" s="50">
        <v>0.375</v>
      </c>
      <c r="I550" s="48">
        <v>0.38541666666666702</v>
      </c>
      <c r="J550" s="49">
        <v>0.39583333333333298</v>
      </c>
      <c r="K550" s="49">
        <v>0.40625</v>
      </c>
      <c r="L550" s="50">
        <v>0.41666666666666702</v>
      </c>
      <c r="M550" s="48">
        <v>0.4375</v>
      </c>
      <c r="N550" s="49">
        <v>0.44791666666666702</v>
      </c>
      <c r="O550" s="49">
        <v>0.45833333333333398</v>
      </c>
      <c r="P550" s="50">
        <v>0.46875</v>
      </c>
      <c r="Q550" s="48">
        <v>0.47916666666666702</v>
      </c>
      <c r="R550" s="49">
        <v>0.48958333333333398</v>
      </c>
      <c r="S550" s="49">
        <v>0.5</v>
      </c>
      <c r="T550" s="50">
        <v>0.51041666666666696</v>
      </c>
      <c r="U550" s="51">
        <v>0.52083333333333204</v>
      </c>
      <c r="V550" s="48">
        <v>0.5625</v>
      </c>
      <c r="W550" s="49">
        <v>0.57291666666666663</v>
      </c>
      <c r="X550" s="49">
        <v>0.58333333333333304</v>
      </c>
      <c r="Y550" s="50">
        <v>0.59375</v>
      </c>
      <c r="Z550" s="48">
        <v>0.60416666666666696</v>
      </c>
      <c r="AA550" s="49">
        <v>0.61458333333333304</v>
      </c>
      <c r="AB550" s="49">
        <v>0.625</v>
      </c>
      <c r="AC550" s="50">
        <v>0.63541666666666596</v>
      </c>
      <c r="AD550" s="48">
        <v>0.65625</v>
      </c>
      <c r="AE550" s="49">
        <v>0.66666666666666663</v>
      </c>
      <c r="AF550" s="49">
        <v>0.67708333333333304</v>
      </c>
      <c r="AG550" s="50">
        <v>0.6875</v>
      </c>
      <c r="AH550" s="48">
        <v>0.69791666666666696</v>
      </c>
      <c r="AI550" s="49">
        <v>0.70833333333333304</v>
      </c>
      <c r="AJ550" s="49">
        <v>0.71875</v>
      </c>
      <c r="AK550" s="50">
        <v>0.72916666666666696</v>
      </c>
      <c r="AL550" s="48">
        <v>0.73958333333333404</v>
      </c>
      <c r="AM550" s="49">
        <v>0.750000000000001</v>
      </c>
      <c r="AN550" s="49">
        <v>0.76041666666666796</v>
      </c>
      <c r="AO550" s="50">
        <v>0.77083333333333504</v>
      </c>
      <c r="AP550" s="48">
        <v>0.781250000000002</v>
      </c>
      <c r="AQ550" s="49">
        <v>0.79166666666666896</v>
      </c>
      <c r="AR550" s="49">
        <v>0.80208333333333603</v>
      </c>
      <c r="AS550" s="50">
        <v>0.812500000000003</v>
      </c>
      <c r="AT550" s="48">
        <v>0.82291666666666996</v>
      </c>
      <c r="AU550" s="49">
        <v>0.83333333333333703</v>
      </c>
      <c r="AV550" s="49">
        <v>0.843750000000004</v>
      </c>
      <c r="AW550" s="50">
        <v>0.85416666666666663</v>
      </c>
      <c r="AX550" s="68" t="s">
        <v>260</v>
      </c>
      <c r="AY550" s="28" t="s">
        <v>261</v>
      </c>
      <c r="AZ550" s="29" t="s">
        <v>262</v>
      </c>
      <c r="BA550" s="136" t="str">
        <f>B551</f>
        <v>Etiket Hazırlama</v>
      </c>
      <c r="BB550" s="137"/>
      <c r="BC550" s="137"/>
      <c r="BD550" s="137"/>
      <c r="BE550" s="137"/>
      <c r="BF550" s="137"/>
      <c r="BG550" s="137"/>
      <c r="BH550" s="138"/>
    </row>
    <row r="551" spans="1:60" s="17" customFormat="1" ht="19.5" customHeight="1" thickBot="1" x14ac:dyDescent="0.4">
      <c r="A551" s="41">
        <f t="shared" ref="A551:A556" si="423">A550</f>
        <v>45440</v>
      </c>
      <c r="B551" s="37" t="str">
        <f>B375</f>
        <v>Etiket Hazırlama</v>
      </c>
      <c r="C551" s="66" t="str">
        <f>C375</f>
        <v>EMİNE PİŞKİN</v>
      </c>
      <c r="D551" s="70">
        <f>D375</f>
        <v>120</v>
      </c>
      <c r="E551" s="63">
        <v>90</v>
      </c>
      <c r="F551" s="55">
        <v>95</v>
      </c>
      <c r="G551" s="55">
        <v>95</v>
      </c>
      <c r="H551" s="56">
        <v>95</v>
      </c>
      <c r="I551" s="63">
        <v>85</v>
      </c>
      <c r="J551" s="55">
        <v>95</v>
      </c>
      <c r="K551" s="55">
        <v>95</v>
      </c>
      <c r="L551" s="56">
        <v>80</v>
      </c>
      <c r="M551" s="63">
        <v>115</v>
      </c>
      <c r="N551" s="55">
        <v>90</v>
      </c>
      <c r="O551" s="55">
        <v>85</v>
      </c>
      <c r="P551" s="56">
        <v>50</v>
      </c>
      <c r="Q551" s="63">
        <v>90</v>
      </c>
      <c r="R551" s="55">
        <v>100</v>
      </c>
      <c r="S551" s="55">
        <v>90</v>
      </c>
      <c r="T551" s="55">
        <v>95</v>
      </c>
      <c r="U551" s="56">
        <v>80</v>
      </c>
      <c r="V551" s="63">
        <v>135</v>
      </c>
      <c r="W551" s="55">
        <v>110</v>
      </c>
      <c r="X551" s="55">
        <v>110</v>
      </c>
      <c r="Y551" s="56">
        <v>130</v>
      </c>
      <c r="Z551" s="63">
        <v>100</v>
      </c>
      <c r="AA551" s="55">
        <v>105</v>
      </c>
      <c r="AB551" s="55">
        <v>100</v>
      </c>
      <c r="AC551" s="56">
        <v>105</v>
      </c>
      <c r="AD551" s="63">
        <v>100</v>
      </c>
      <c r="AE551" s="55">
        <v>90</v>
      </c>
      <c r="AF551" s="55">
        <v>80</v>
      </c>
      <c r="AG551" s="56">
        <v>105</v>
      </c>
      <c r="AH551" s="63">
        <v>95</v>
      </c>
      <c r="AI551" s="55">
        <v>100</v>
      </c>
      <c r="AJ551" s="55">
        <v>100</v>
      </c>
      <c r="AK551" s="56">
        <v>100</v>
      </c>
      <c r="AL551" s="63">
        <v>100</v>
      </c>
      <c r="AM551" s="55">
        <v>90</v>
      </c>
      <c r="AN551" s="55">
        <v>100</v>
      </c>
      <c r="AO551" s="56"/>
      <c r="AP551" s="63"/>
      <c r="AQ551" s="54"/>
      <c r="AR551" s="55"/>
      <c r="AS551" s="56"/>
      <c r="AT551" s="53"/>
      <c r="AU551" s="54"/>
      <c r="AV551" s="55"/>
      <c r="AW551" s="56"/>
      <c r="AX551" s="33">
        <f>SUM(E551:AW551)</f>
        <v>3480</v>
      </c>
      <c r="AY551" s="31">
        <f>IFERROR(AVERAGEIF(E551:AW551,"&lt;&gt;0",(E551:AW551)),)</f>
        <v>96.666666666666671</v>
      </c>
      <c r="AZ551" s="30">
        <f>IFERROR(AY551/D551,0)</f>
        <v>0.80555555555555558</v>
      </c>
      <c r="BA551" s="103" t="s">
        <v>182</v>
      </c>
      <c r="BB551" s="100" t="s">
        <v>183</v>
      </c>
      <c r="BC551" s="100" t="s">
        <v>184</v>
      </c>
      <c r="BD551" s="101" t="s">
        <v>185</v>
      </c>
      <c r="BE551" s="100" t="s">
        <v>186</v>
      </c>
      <c r="BF551" s="102" t="s">
        <v>187</v>
      </c>
      <c r="BG551" s="100" t="s">
        <v>188</v>
      </c>
      <c r="BH551" s="102" t="s">
        <v>189</v>
      </c>
    </row>
    <row r="552" spans="1:60" s="17" customFormat="1" ht="19.5" customHeight="1" thickBot="1" x14ac:dyDescent="0.4">
      <c r="A552" s="41">
        <f t="shared" si="423"/>
        <v>45440</v>
      </c>
      <c r="B552" s="37" t="str">
        <f>B551</f>
        <v>Etiket Hazırlama</v>
      </c>
      <c r="C552" s="66">
        <f>C376</f>
        <v>0</v>
      </c>
      <c r="D552" s="67">
        <f>D551</f>
        <v>120</v>
      </c>
      <c r="E552" s="57"/>
      <c r="F552" s="52"/>
      <c r="G552" s="52"/>
      <c r="H552" s="58"/>
      <c r="I552" s="57"/>
      <c r="J552" s="52"/>
      <c r="K552" s="52"/>
      <c r="L552" s="58"/>
      <c r="M552" s="57"/>
      <c r="N552" s="52"/>
      <c r="O552" s="52"/>
      <c r="P552" s="58"/>
      <c r="Q552" s="57"/>
      <c r="R552" s="52"/>
      <c r="S552" s="52"/>
      <c r="T552" s="52"/>
      <c r="U552" s="58"/>
      <c r="V552" s="57"/>
      <c r="W552" s="52"/>
      <c r="X552" s="52"/>
      <c r="Y552" s="58"/>
      <c r="Z552" s="57"/>
      <c r="AA552" s="52"/>
      <c r="AB552" s="52"/>
      <c r="AC552" s="58"/>
      <c r="AD552" s="57"/>
      <c r="AE552" s="52"/>
      <c r="AF552" s="52"/>
      <c r="AG552" s="58"/>
      <c r="AH552" s="57"/>
      <c r="AI552" s="52"/>
      <c r="AJ552" s="52"/>
      <c r="AK552" s="58"/>
      <c r="AL552" s="57"/>
      <c r="AM552" s="52"/>
      <c r="AN552" s="52"/>
      <c r="AO552" s="58"/>
      <c r="AP552" s="57"/>
      <c r="AQ552" s="52"/>
      <c r="AR552" s="52"/>
      <c r="AS552" s="58"/>
      <c r="AT552" s="57"/>
      <c r="AU552" s="52"/>
      <c r="AV552" s="52"/>
      <c r="AW552" s="58"/>
      <c r="AX552" s="33">
        <f>SUM(E552:AW552)</f>
        <v>0</v>
      </c>
      <c r="AY552" s="31">
        <f>IFERROR(AVERAGEIF(E552:AW552,"&lt;&gt;0",(E552:AW552)),)</f>
        <v>0</v>
      </c>
      <c r="AZ552" s="30">
        <f>IFERROR(AY552/D552,0)</f>
        <v>0</v>
      </c>
      <c r="BA552" s="94">
        <f>AX556+BA376</f>
        <v>5114</v>
      </c>
      <c r="BB552" s="95">
        <f>(D556*8)</f>
        <v>4000</v>
      </c>
      <c r="BC552" s="96">
        <f>C533-BA552</f>
        <v>37197</v>
      </c>
      <c r="BD552" s="96">
        <f>BC552</f>
        <v>37197</v>
      </c>
      <c r="BE552" s="97">
        <f>IFERROR(BC552/E556,0)</f>
        <v>99.191999999999993</v>
      </c>
      <c r="BF552" s="98">
        <f>IFERROR(BE552/9,0)</f>
        <v>11.021333333333333</v>
      </c>
      <c r="BG552" s="97">
        <f>IFERROR(BC552/AY556,0)</f>
        <v>96.199137931034471</v>
      </c>
      <c r="BH552" s="97">
        <f>IFERROR(BG552/9,0)</f>
        <v>10.688793103448274</v>
      </c>
    </row>
    <row r="553" spans="1:60" s="17" customFormat="1" ht="19.5" customHeight="1" x14ac:dyDescent="0.35">
      <c r="A553" s="41">
        <f t="shared" si="423"/>
        <v>45440</v>
      </c>
      <c r="B553" s="37" t="str">
        <f>B552</f>
        <v>Etiket Hazırlama</v>
      </c>
      <c r="C553" s="66">
        <f>C377</f>
        <v>0</v>
      </c>
      <c r="D553" s="67">
        <f>D552</f>
        <v>120</v>
      </c>
      <c r="E553" s="57"/>
      <c r="F553" s="52"/>
      <c r="G553" s="52"/>
      <c r="H553" s="58"/>
      <c r="I553" s="57"/>
      <c r="J553" s="52"/>
      <c r="K553" s="52"/>
      <c r="L553" s="58"/>
      <c r="M553" s="57"/>
      <c r="N553" s="52"/>
      <c r="O553" s="52"/>
      <c r="P553" s="58"/>
      <c r="Q553" s="57"/>
      <c r="R553" s="52"/>
      <c r="S553" s="52"/>
      <c r="T553" s="52"/>
      <c r="U553" s="58"/>
      <c r="V553" s="57"/>
      <c r="W553" s="52"/>
      <c r="X553" s="52"/>
      <c r="Y553" s="58"/>
      <c r="Z553" s="57"/>
      <c r="AA553" s="52"/>
      <c r="AB553" s="52"/>
      <c r="AC553" s="58"/>
      <c r="AD553" s="57"/>
      <c r="AE553" s="52"/>
      <c r="AF553" s="52"/>
      <c r="AG553" s="58"/>
      <c r="AH553" s="57"/>
      <c r="AI553" s="52"/>
      <c r="AJ553" s="52"/>
      <c r="AK553" s="58"/>
      <c r="AL553" s="57"/>
      <c r="AM553" s="52"/>
      <c r="AN553" s="52"/>
      <c r="AO553" s="58"/>
      <c r="AP553" s="57"/>
      <c r="AQ553" s="52"/>
      <c r="AR553" s="52"/>
      <c r="AS553" s="58"/>
      <c r="AT553" s="57"/>
      <c r="AU553" s="52"/>
      <c r="AV553" s="52"/>
      <c r="AW553" s="58"/>
      <c r="AX553" s="33">
        <f>SUM(E553:AW553)</f>
        <v>0</v>
      </c>
      <c r="AY553" s="31">
        <f>IFERROR(AVERAGEIF(E553:AW553,"&lt;&gt;0",(E553:AW553)),)</f>
        <v>0</v>
      </c>
      <c r="AZ553" s="30">
        <f>IFERROR(AY553/D553,0)</f>
        <v>0</v>
      </c>
      <c r="BA553" s="34"/>
      <c r="BB553" s="34"/>
      <c r="BC553" s="34"/>
      <c r="BD553" s="76"/>
      <c r="BE553" s="34"/>
      <c r="BF553" s="34"/>
      <c r="BG553" s="34"/>
      <c r="BH553" s="34"/>
    </row>
    <row r="554" spans="1:60" s="17" customFormat="1" ht="19.5" customHeight="1" x14ac:dyDescent="0.35">
      <c r="A554" s="41">
        <f t="shared" si="423"/>
        <v>45440</v>
      </c>
      <c r="B554" s="37" t="str">
        <f>B553</f>
        <v>Etiket Hazırlama</v>
      </c>
      <c r="C554" s="66">
        <f>C378</f>
        <v>0</v>
      </c>
      <c r="D554" s="67">
        <f>D553</f>
        <v>120</v>
      </c>
      <c r="E554" s="57"/>
      <c r="F554" s="52"/>
      <c r="G554" s="52"/>
      <c r="H554" s="58"/>
      <c r="I554" s="57"/>
      <c r="J554" s="52"/>
      <c r="K554" s="52"/>
      <c r="L554" s="58"/>
      <c r="M554" s="57"/>
      <c r="N554" s="52"/>
      <c r="O554" s="52"/>
      <c r="P554" s="58"/>
      <c r="Q554" s="57"/>
      <c r="R554" s="52"/>
      <c r="S554" s="52"/>
      <c r="T554" s="52"/>
      <c r="U554" s="58"/>
      <c r="V554" s="57"/>
      <c r="W554" s="52"/>
      <c r="X554" s="52"/>
      <c r="Y554" s="58"/>
      <c r="Z554" s="57"/>
      <c r="AA554" s="52"/>
      <c r="AB554" s="52"/>
      <c r="AC554" s="58"/>
      <c r="AD554" s="57"/>
      <c r="AE554" s="52"/>
      <c r="AF554" s="52"/>
      <c r="AG554" s="58"/>
      <c r="AH554" s="57"/>
      <c r="AI554" s="52"/>
      <c r="AJ554" s="52"/>
      <c r="AK554" s="58"/>
      <c r="AL554" s="57"/>
      <c r="AM554" s="52"/>
      <c r="AN554" s="52"/>
      <c r="AO554" s="58"/>
      <c r="AP554" s="57"/>
      <c r="AQ554" s="52"/>
      <c r="AR554" s="52"/>
      <c r="AS554" s="58"/>
      <c r="AT554" s="57"/>
      <c r="AU554" s="52"/>
      <c r="AV554" s="52"/>
      <c r="AW554" s="58"/>
      <c r="AX554" s="33">
        <f>SUM(E554:AW554)</f>
        <v>0</v>
      </c>
      <c r="AY554" s="31">
        <f>IFERROR(AVERAGEIF(E554:AW554,"&lt;&gt;0",(E554:AW554)),)</f>
        <v>0</v>
      </c>
      <c r="AZ554" s="30">
        <f>IFERROR(AY554/D554,0)</f>
        <v>0</v>
      </c>
      <c r="BA554" s="34"/>
      <c r="BB554" s="34"/>
      <c r="BC554" s="34"/>
      <c r="BD554" s="76"/>
      <c r="BE554" s="34"/>
      <c r="BF554" s="34"/>
      <c r="BG554" s="34"/>
      <c r="BH554" s="34"/>
    </row>
    <row r="555" spans="1:60" s="17" customFormat="1" ht="19.5" customHeight="1" thickBot="1" x14ac:dyDescent="0.4">
      <c r="A555" s="41">
        <f t="shared" si="423"/>
        <v>45440</v>
      </c>
      <c r="B555" s="37" t="str">
        <f>B554</f>
        <v>Etiket Hazırlama</v>
      </c>
      <c r="C555" s="66">
        <f>C379</f>
        <v>0</v>
      </c>
      <c r="D555" s="67">
        <f>D554</f>
        <v>120</v>
      </c>
      <c r="E555" s="64"/>
      <c r="F555" s="61"/>
      <c r="G555" s="61"/>
      <c r="H555" s="62"/>
      <c r="I555" s="64"/>
      <c r="J555" s="61"/>
      <c r="K555" s="61"/>
      <c r="L555" s="62"/>
      <c r="M555" s="64"/>
      <c r="N555" s="61"/>
      <c r="O555" s="61"/>
      <c r="P555" s="62"/>
      <c r="Q555" s="64"/>
      <c r="R555" s="61"/>
      <c r="S555" s="61"/>
      <c r="T555" s="61"/>
      <c r="U555" s="62"/>
      <c r="V555" s="64"/>
      <c r="W555" s="61"/>
      <c r="X555" s="61"/>
      <c r="Y555" s="62"/>
      <c r="Z555" s="59"/>
      <c r="AA555" s="60"/>
      <c r="AB555" s="61"/>
      <c r="AC555" s="62"/>
      <c r="AD555" s="59"/>
      <c r="AE555" s="60"/>
      <c r="AF555" s="61"/>
      <c r="AG555" s="62"/>
      <c r="AH555" s="59"/>
      <c r="AI555" s="60"/>
      <c r="AJ555" s="61"/>
      <c r="AK555" s="62"/>
      <c r="AL555" s="59"/>
      <c r="AM555" s="60"/>
      <c r="AN555" s="61"/>
      <c r="AO555" s="62"/>
      <c r="AP555" s="59"/>
      <c r="AQ555" s="60"/>
      <c r="AR555" s="61"/>
      <c r="AS555" s="62"/>
      <c r="AT555" s="59"/>
      <c r="AU555" s="60"/>
      <c r="AV555" s="61"/>
      <c r="AW555" s="62"/>
      <c r="AX555" s="43">
        <f>SUM(E555:AW555)</f>
        <v>0</v>
      </c>
      <c r="AY555" s="44">
        <f>IFERROR(AVERAGEIF(E555:AW555,"&lt;&gt;0",(E555:AW555)),)</f>
        <v>0</v>
      </c>
      <c r="AZ555" s="45">
        <f>IFERROR(AY555/D555,0)</f>
        <v>0</v>
      </c>
      <c r="BA555" s="34"/>
      <c r="BB555" s="34"/>
      <c r="BC555" s="34"/>
      <c r="BD555" s="76"/>
      <c r="BE555" s="34"/>
      <c r="BF555" s="34"/>
      <c r="BG555" s="34"/>
      <c r="BH555" s="34"/>
    </row>
    <row r="556" spans="1:60" s="17" customFormat="1" ht="19.5" customHeight="1" thickBot="1" x14ac:dyDescent="0.45">
      <c r="A556" s="41">
        <f t="shared" si="423"/>
        <v>45440</v>
      </c>
      <c r="B556" s="139" t="str">
        <f>B551</f>
        <v>Etiket Hazırlama</v>
      </c>
      <c r="C556" s="140"/>
      <c r="D556" s="40">
        <f>C534/8</f>
        <v>500</v>
      </c>
      <c r="E556" s="151">
        <f>SUM(E551:H555)</f>
        <v>375</v>
      </c>
      <c r="F556" s="152"/>
      <c r="G556" s="152"/>
      <c r="H556" s="153"/>
      <c r="I556" s="151">
        <f>SUM(I551:L555)</f>
        <v>355</v>
      </c>
      <c r="J556" s="152"/>
      <c r="K556" s="152"/>
      <c r="L556" s="153"/>
      <c r="M556" s="151">
        <f>SUM(M551:P555)</f>
        <v>340</v>
      </c>
      <c r="N556" s="152"/>
      <c r="O556" s="152"/>
      <c r="P556" s="153"/>
      <c r="Q556" s="151">
        <f>SUM(Q551:U555)</f>
        <v>455</v>
      </c>
      <c r="R556" s="152"/>
      <c r="S556" s="152"/>
      <c r="T556" s="152"/>
      <c r="U556" s="153"/>
      <c r="V556" s="151">
        <f>SUM(V551:Y555)</f>
        <v>485</v>
      </c>
      <c r="W556" s="152"/>
      <c r="X556" s="152"/>
      <c r="Y556" s="153"/>
      <c r="Z556" s="151">
        <f>SUM(Z551:AC555)</f>
        <v>410</v>
      </c>
      <c r="AA556" s="152"/>
      <c r="AB556" s="152"/>
      <c r="AC556" s="153"/>
      <c r="AD556" s="151">
        <f>SUM(AD551:AG555)</f>
        <v>375</v>
      </c>
      <c r="AE556" s="152"/>
      <c r="AF556" s="152"/>
      <c r="AG556" s="153"/>
      <c r="AH556" s="151">
        <f>SUM(AH551:AK555)</f>
        <v>395</v>
      </c>
      <c r="AI556" s="152"/>
      <c r="AJ556" s="152"/>
      <c r="AK556" s="153"/>
      <c r="AL556" s="151">
        <f>SUM(AL551:AO555)</f>
        <v>290</v>
      </c>
      <c r="AM556" s="152"/>
      <c r="AN556" s="152"/>
      <c r="AO556" s="153"/>
      <c r="AP556" s="151">
        <f>SUM(AP551:AS555)</f>
        <v>0</v>
      </c>
      <c r="AQ556" s="152"/>
      <c r="AR556" s="152"/>
      <c r="AS556" s="153"/>
      <c r="AT556" s="151">
        <f>SUM(AT551:AW555)</f>
        <v>0</v>
      </c>
      <c r="AU556" s="152"/>
      <c r="AV556" s="152"/>
      <c r="AW556" s="153"/>
      <c r="AX556" s="87">
        <f>SUM(AX551:AX555)</f>
        <v>3480</v>
      </c>
      <c r="AY556" s="88">
        <f>IFERROR(AVERAGEIF(E556:AV556,"&lt;&gt;0",(E556:AV556)),)</f>
        <v>386.66666666666669</v>
      </c>
      <c r="AZ556" s="46">
        <f>IFERROR(AX556/BB552,0)</f>
        <v>0.87</v>
      </c>
      <c r="BA556" s="34"/>
      <c r="BB556" s="34"/>
      <c r="BC556" s="34"/>
      <c r="BD556" s="76"/>
      <c r="BE556" s="34"/>
      <c r="BF556" s="34"/>
      <c r="BG556" s="34"/>
      <c r="BH556" s="34"/>
    </row>
    <row r="557" spans="1:60" s="17" customFormat="1" ht="19.5" customHeight="1" thickBot="1" x14ac:dyDescent="0.4">
      <c r="A557" s="42">
        <f>A536</f>
        <v>45440</v>
      </c>
      <c r="B557" s="38" t="str">
        <f>B558</f>
        <v>Tela Yapıştırma</v>
      </c>
      <c r="C557" s="39" t="s">
        <v>180</v>
      </c>
      <c r="D557" s="69" t="s">
        <v>181</v>
      </c>
      <c r="E557" s="48">
        <v>0.34375</v>
      </c>
      <c r="F557" s="49">
        <v>0.35416666666666669</v>
      </c>
      <c r="G557" s="49">
        <v>0.36458333333333331</v>
      </c>
      <c r="H557" s="50">
        <v>0.375</v>
      </c>
      <c r="I557" s="48">
        <v>0.38541666666666702</v>
      </c>
      <c r="J557" s="49">
        <v>0.39583333333333298</v>
      </c>
      <c r="K557" s="49">
        <v>0.40625</v>
      </c>
      <c r="L557" s="50">
        <v>0.41666666666666702</v>
      </c>
      <c r="M557" s="48">
        <v>0.4375</v>
      </c>
      <c r="N557" s="49">
        <v>0.44791666666666702</v>
      </c>
      <c r="O557" s="49">
        <v>0.45833333333333398</v>
      </c>
      <c r="P557" s="50">
        <v>0.46875</v>
      </c>
      <c r="Q557" s="48">
        <v>0.47916666666666702</v>
      </c>
      <c r="R557" s="49">
        <v>0.48958333333333398</v>
      </c>
      <c r="S557" s="49">
        <v>0.5</v>
      </c>
      <c r="T557" s="50">
        <v>0.51041666666666696</v>
      </c>
      <c r="U557" s="51">
        <v>0.52083333333333204</v>
      </c>
      <c r="V557" s="48">
        <v>0.5625</v>
      </c>
      <c r="W557" s="49">
        <v>0.57291666666666663</v>
      </c>
      <c r="X557" s="49">
        <v>0.58333333333333304</v>
      </c>
      <c r="Y557" s="50">
        <v>0.59375</v>
      </c>
      <c r="Z557" s="48">
        <v>0.60416666666666696</v>
      </c>
      <c r="AA557" s="49">
        <v>0.61458333333333304</v>
      </c>
      <c r="AB557" s="49">
        <v>0.625</v>
      </c>
      <c r="AC557" s="50">
        <v>0.63541666666666596</v>
      </c>
      <c r="AD557" s="48">
        <v>0.65625</v>
      </c>
      <c r="AE557" s="49">
        <v>0.66666666666666663</v>
      </c>
      <c r="AF557" s="49">
        <v>0.67708333333333304</v>
      </c>
      <c r="AG557" s="50">
        <v>0.6875</v>
      </c>
      <c r="AH557" s="48">
        <v>0.69791666666666696</v>
      </c>
      <c r="AI557" s="49">
        <v>0.70833333333333304</v>
      </c>
      <c r="AJ557" s="49">
        <v>0.71875</v>
      </c>
      <c r="AK557" s="50">
        <v>0.72916666666666696</v>
      </c>
      <c r="AL557" s="48">
        <v>0.73958333333333404</v>
      </c>
      <c r="AM557" s="49">
        <v>0.750000000000001</v>
      </c>
      <c r="AN557" s="49">
        <v>0.76041666666666796</v>
      </c>
      <c r="AO557" s="50">
        <v>0.77083333333333504</v>
      </c>
      <c r="AP557" s="48">
        <v>0.781250000000002</v>
      </c>
      <c r="AQ557" s="49">
        <v>0.79166666666666896</v>
      </c>
      <c r="AR557" s="49">
        <v>0.80208333333333603</v>
      </c>
      <c r="AS557" s="50">
        <v>0.812500000000003</v>
      </c>
      <c r="AT557" s="48">
        <v>0.82291666666666996</v>
      </c>
      <c r="AU557" s="49">
        <v>0.83333333333333703</v>
      </c>
      <c r="AV557" s="49">
        <v>0.843750000000004</v>
      </c>
      <c r="AW557" s="50">
        <v>0.85416666666666663</v>
      </c>
      <c r="AX557" s="68" t="s">
        <v>260</v>
      </c>
      <c r="AY557" s="28" t="s">
        <v>261</v>
      </c>
      <c r="AZ557" s="29" t="s">
        <v>262</v>
      </c>
      <c r="BA557" s="136" t="str">
        <f>B558</f>
        <v>Tela Yapıştırma</v>
      </c>
      <c r="BB557" s="137"/>
      <c r="BC557" s="137"/>
      <c r="BD557" s="137"/>
      <c r="BE557" s="137"/>
      <c r="BF557" s="137"/>
      <c r="BG557" s="137"/>
      <c r="BH557" s="138"/>
    </row>
    <row r="558" spans="1:60" s="17" customFormat="1" ht="19.5" customHeight="1" thickBot="1" x14ac:dyDescent="0.4">
      <c r="A558" s="41">
        <f>A550</f>
        <v>45440</v>
      </c>
      <c r="B558" s="37" t="str">
        <f>B382</f>
        <v>Tela Yapıştırma</v>
      </c>
      <c r="C558" s="66" t="str">
        <f>C382</f>
        <v>AYŞE ADADA</v>
      </c>
      <c r="D558" s="70">
        <f>D382</f>
        <v>200</v>
      </c>
      <c r="E558" s="63"/>
      <c r="F558" s="55"/>
      <c r="G558" s="55"/>
      <c r="H558" s="56"/>
      <c r="I558" s="63"/>
      <c r="J558" s="55"/>
      <c r="K558" s="55"/>
      <c r="L558" s="56"/>
      <c r="M558" s="63"/>
      <c r="N558" s="55"/>
      <c r="O558" s="55"/>
      <c r="P558" s="56"/>
      <c r="Q558" s="63"/>
      <c r="R558" s="55"/>
      <c r="S558" s="55"/>
      <c r="T558" s="55"/>
      <c r="U558" s="56"/>
      <c r="V558" s="63"/>
      <c r="W558" s="55"/>
      <c r="X558" s="55"/>
      <c r="Y558" s="56"/>
      <c r="Z558" s="63"/>
      <c r="AA558" s="55"/>
      <c r="AB558" s="55"/>
      <c r="AC558" s="56"/>
      <c r="AD558" s="63"/>
      <c r="AE558" s="55"/>
      <c r="AF558" s="55"/>
      <c r="AG558" s="56"/>
      <c r="AH558" s="63"/>
      <c r="AI558" s="55"/>
      <c r="AJ558" s="55"/>
      <c r="AK558" s="56"/>
      <c r="AL558" s="63"/>
      <c r="AM558" s="55"/>
      <c r="AN558" s="55"/>
      <c r="AO558" s="56"/>
      <c r="AP558" s="63"/>
      <c r="AQ558" s="54"/>
      <c r="AR558" s="55"/>
      <c r="AS558" s="56"/>
      <c r="AT558" s="53"/>
      <c r="AU558" s="54"/>
      <c r="AV558" s="55"/>
      <c r="AW558" s="56"/>
      <c r="AX558" s="33">
        <f>SUM(E558:AW558)</f>
        <v>0</v>
      </c>
      <c r="AY558" s="31">
        <f>IFERROR(AVERAGEIF(E558:AW558,"&lt;&gt;0",(E558:AW558)),)</f>
        <v>0</v>
      </c>
      <c r="AZ558" s="30">
        <f>IFERROR(AY558/D558,0)</f>
        <v>0</v>
      </c>
      <c r="BA558" s="103" t="s">
        <v>182</v>
      </c>
      <c r="BB558" s="100" t="s">
        <v>183</v>
      </c>
      <c r="BC558" s="100" t="s">
        <v>184</v>
      </c>
      <c r="BD558" s="101" t="s">
        <v>185</v>
      </c>
      <c r="BE558" s="100" t="s">
        <v>186</v>
      </c>
      <c r="BF558" s="102" t="s">
        <v>187</v>
      </c>
      <c r="BG558" s="100" t="s">
        <v>188</v>
      </c>
      <c r="BH558" s="102" t="s">
        <v>189</v>
      </c>
    </row>
    <row r="559" spans="1:60" s="17" customFormat="1" ht="19.5" customHeight="1" thickBot="1" x14ac:dyDescent="0.4">
      <c r="A559" s="41">
        <f t="shared" ref="A559:B559" si="424">A558</f>
        <v>45440</v>
      </c>
      <c r="B559" s="37" t="str">
        <f t="shared" si="424"/>
        <v>Tela Yapıştırma</v>
      </c>
      <c r="C559" s="66">
        <f>C383</f>
        <v>0</v>
      </c>
      <c r="D559" s="67">
        <f>D558</f>
        <v>200</v>
      </c>
      <c r="E559" s="57"/>
      <c r="F559" s="52"/>
      <c r="G559" s="52"/>
      <c r="H559" s="58"/>
      <c r="I559" s="57"/>
      <c r="J559" s="52"/>
      <c r="K559" s="52"/>
      <c r="L559" s="58"/>
      <c r="M559" s="57"/>
      <c r="N559" s="52"/>
      <c r="O559" s="52"/>
      <c r="P559" s="58"/>
      <c r="Q559" s="57"/>
      <c r="R559" s="52"/>
      <c r="S559" s="52"/>
      <c r="T559" s="52"/>
      <c r="U559" s="58"/>
      <c r="V559" s="57"/>
      <c r="W559" s="52"/>
      <c r="X559" s="52"/>
      <c r="Y559" s="58"/>
      <c r="Z559" s="57"/>
      <c r="AA559" s="52"/>
      <c r="AB559" s="52"/>
      <c r="AC559" s="58"/>
      <c r="AD559" s="57"/>
      <c r="AE559" s="52"/>
      <c r="AF559" s="52"/>
      <c r="AG559" s="58"/>
      <c r="AH559" s="57"/>
      <c r="AI559" s="52"/>
      <c r="AJ559" s="52"/>
      <c r="AK559" s="58"/>
      <c r="AL559" s="57"/>
      <c r="AM559" s="52"/>
      <c r="AN559" s="52"/>
      <c r="AO559" s="58"/>
      <c r="AP559" s="57"/>
      <c r="AQ559" s="52"/>
      <c r="AR559" s="52"/>
      <c r="AS559" s="58"/>
      <c r="AT559" s="57"/>
      <c r="AU559" s="52"/>
      <c r="AV559" s="52"/>
      <c r="AW559" s="58"/>
      <c r="AX559" s="33">
        <f>SUM(E559:AW559)</f>
        <v>0</v>
      </c>
      <c r="AY559" s="31">
        <f>IFERROR(AVERAGEIF(E559:AW559,"&lt;&gt;0",(E559:AW559)),)</f>
        <v>0</v>
      </c>
      <c r="AZ559" s="30">
        <f>IFERROR(AY559/D559,0)</f>
        <v>0</v>
      </c>
      <c r="BA559" s="94">
        <f>AX563+BA383</f>
        <v>0</v>
      </c>
      <c r="BB559" s="95">
        <f>(D563*8)</f>
        <v>4000</v>
      </c>
      <c r="BC559" s="96">
        <f>C533-BA559</f>
        <v>42311</v>
      </c>
      <c r="BD559" s="96">
        <f>BC559</f>
        <v>42311</v>
      </c>
      <c r="BE559" s="97">
        <f>IFERROR(BC559/E563,0)</f>
        <v>0</v>
      </c>
      <c r="BF559" s="98">
        <f>IFERROR(BE559/9,0)</f>
        <v>0</v>
      </c>
      <c r="BG559" s="97">
        <f>IFERROR(BC559/AY563,0)</f>
        <v>0</v>
      </c>
      <c r="BH559" s="97">
        <f>IFERROR(BG559/9,0)</f>
        <v>0</v>
      </c>
    </row>
    <row r="560" spans="1:60" s="17" customFormat="1" ht="19.5" customHeight="1" x14ac:dyDescent="0.35">
      <c r="A560" s="41">
        <f t="shared" ref="A560:B560" si="425">A559</f>
        <v>45440</v>
      </c>
      <c r="B560" s="37" t="str">
        <f t="shared" si="425"/>
        <v>Tela Yapıştırma</v>
      </c>
      <c r="C560" s="66">
        <f>C384</f>
        <v>0</v>
      </c>
      <c r="D560" s="67">
        <f>D559</f>
        <v>200</v>
      </c>
      <c r="E560" s="57"/>
      <c r="F560" s="52"/>
      <c r="G560" s="52"/>
      <c r="H560" s="58"/>
      <c r="I560" s="57"/>
      <c r="J560" s="52"/>
      <c r="K560" s="52"/>
      <c r="L560" s="58"/>
      <c r="M560" s="57"/>
      <c r="N560" s="52"/>
      <c r="O560" s="52"/>
      <c r="P560" s="58"/>
      <c r="Q560" s="57"/>
      <c r="R560" s="52"/>
      <c r="S560" s="52"/>
      <c r="T560" s="52"/>
      <c r="U560" s="58"/>
      <c r="V560" s="57"/>
      <c r="W560" s="52"/>
      <c r="X560" s="52"/>
      <c r="Y560" s="58"/>
      <c r="Z560" s="57"/>
      <c r="AA560" s="52"/>
      <c r="AB560" s="52"/>
      <c r="AC560" s="58"/>
      <c r="AD560" s="57"/>
      <c r="AE560" s="52"/>
      <c r="AF560" s="52"/>
      <c r="AG560" s="58"/>
      <c r="AH560" s="57"/>
      <c r="AI560" s="52"/>
      <c r="AJ560" s="52"/>
      <c r="AK560" s="58"/>
      <c r="AL560" s="57"/>
      <c r="AM560" s="52"/>
      <c r="AN560" s="52"/>
      <c r="AO560" s="58"/>
      <c r="AP560" s="57"/>
      <c r="AQ560" s="52"/>
      <c r="AR560" s="52"/>
      <c r="AS560" s="58"/>
      <c r="AT560" s="57"/>
      <c r="AU560" s="52"/>
      <c r="AV560" s="52"/>
      <c r="AW560" s="58"/>
      <c r="AX560" s="33">
        <f>SUM(E560:AW560)</f>
        <v>0</v>
      </c>
      <c r="AY560" s="31">
        <f>IFERROR(AVERAGEIF(E560:AW560,"&lt;&gt;0",(E560:AW560)),)</f>
        <v>0</v>
      </c>
      <c r="AZ560" s="30">
        <f>IFERROR(AY560/D560,0)</f>
        <v>0</v>
      </c>
      <c r="BA560" s="34"/>
      <c r="BB560" s="34"/>
      <c r="BC560" s="34"/>
      <c r="BD560" s="76"/>
      <c r="BE560" s="34"/>
      <c r="BF560" s="34"/>
      <c r="BG560" s="34"/>
      <c r="BH560" s="34"/>
    </row>
    <row r="561" spans="1:60" s="17" customFormat="1" ht="19.5" customHeight="1" x14ac:dyDescent="0.35">
      <c r="A561" s="41">
        <f t="shared" ref="A561:B561" si="426">A560</f>
        <v>45440</v>
      </c>
      <c r="B561" s="37" t="str">
        <f t="shared" si="426"/>
        <v>Tela Yapıştırma</v>
      </c>
      <c r="C561" s="66">
        <f>C385</f>
        <v>0</v>
      </c>
      <c r="D561" s="67">
        <f>D560</f>
        <v>200</v>
      </c>
      <c r="E561" s="57"/>
      <c r="F561" s="52"/>
      <c r="G561" s="52"/>
      <c r="H561" s="58"/>
      <c r="I561" s="57"/>
      <c r="J561" s="52"/>
      <c r="K561" s="52"/>
      <c r="L561" s="58"/>
      <c r="M561" s="57"/>
      <c r="N561" s="52"/>
      <c r="O561" s="52"/>
      <c r="P561" s="58"/>
      <c r="Q561" s="57"/>
      <c r="R561" s="52"/>
      <c r="S561" s="52"/>
      <c r="T561" s="52"/>
      <c r="U561" s="58"/>
      <c r="V561" s="57"/>
      <c r="W561" s="52"/>
      <c r="X561" s="52"/>
      <c r="Y561" s="58"/>
      <c r="Z561" s="57"/>
      <c r="AA561" s="52"/>
      <c r="AB561" s="52"/>
      <c r="AC561" s="58"/>
      <c r="AD561" s="57"/>
      <c r="AE561" s="52"/>
      <c r="AF561" s="52"/>
      <c r="AG561" s="58"/>
      <c r="AH561" s="57"/>
      <c r="AI561" s="52"/>
      <c r="AJ561" s="52"/>
      <c r="AK561" s="58"/>
      <c r="AL561" s="57"/>
      <c r="AM561" s="52"/>
      <c r="AN561" s="52"/>
      <c r="AO561" s="58"/>
      <c r="AP561" s="57"/>
      <c r="AQ561" s="52"/>
      <c r="AR561" s="52"/>
      <c r="AS561" s="58"/>
      <c r="AT561" s="57"/>
      <c r="AU561" s="52"/>
      <c r="AV561" s="52"/>
      <c r="AW561" s="58"/>
      <c r="AX561" s="33">
        <f>SUM(E561:AW561)</f>
        <v>0</v>
      </c>
      <c r="AY561" s="31">
        <f>IFERROR(AVERAGEIF(E561:AW561,"&lt;&gt;0",(E561:AW561)),)</f>
        <v>0</v>
      </c>
      <c r="AZ561" s="30">
        <f>IFERROR(AY561/D561,0)</f>
        <v>0</v>
      </c>
      <c r="BA561" s="34"/>
      <c r="BB561" s="34"/>
      <c r="BC561" s="34"/>
      <c r="BD561" s="76"/>
      <c r="BE561" s="34"/>
      <c r="BF561" s="34"/>
      <c r="BG561" s="34"/>
      <c r="BH561" s="34"/>
    </row>
    <row r="562" spans="1:60" s="17" customFormat="1" ht="19.5" customHeight="1" thickBot="1" x14ac:dyDescent="0.4">
      <c r="A562" s="41">
        <f t="shared" ref="A562:B562" si="427">A561</f>
        <v>45440</v>
      </c>
      <c r="B562" s="37" t="str">
        <f t="shared" si="427"/>
        <v>Tela Yapıştırma</v>
      </c>
      <c r="C562" s="66">
        <f>C386</f>
        <v>0</v>
      </c>
      <c r="D562" s="67">
        <f>D561</f>
        <v>200</v>
      </c>
      <c r="E562" s="64"/>
      <c r="F562" s="61"/>
      <c r="G562" s="61"/>
      <c r="H562" s="62"/>
      <c r="I562" s="64"/>
      <c r="J562" s="61"/>
      <c r="K562" s="61"/>
      <c r="L562" s="62"/>
      <c r="M562" s="64"/>
      <c r="N562" s="61"/>
      <c r="O562" s="61"/>
      <c r="P562" s="62"/>
      <c r="Q562" s="64"/>
      <c r="R562" s="61"/>
      <c r="S562" s="61"/>
      <c r="T562" s="61"/>
      <c r="U562" s="62"/>
      <c r="V562" s="64"/>
      <c r="W562" s="61"/>
      <c r="X562" s="61"/>
      <c r="Y562" s="62"/>
      <c r="Z562" s="59"/>
      <c r="AA562" s="60"/>
      <c r="AB562" s="61"/>
      <c r="AC562" s="62"/>
      <c r="AD562" s="59"/>
      <c r="AE562" s="60"/>
      <c r="AF562" s="61"/>
      <c r="AG562" s="62"/>
      <c r="AH562" s="59"/>
      <c r="AI562" s="60"/>
      <c r="AJ562" s="61"/>
      <c r="AK562" s="62"/>
      <c r="AL562" s="59"/>
      <c r="AM562" s="60"/>
      <c r="AN562" s="61"/>
      <c r="AO562" s="62"/>
      <c r="AP562" s="59"/>
      <c r="AQ562" s="60"/>
      <c r="AR562" s="61"/>
      <c r="AS562" s="62"/>
      <c r="AT562" s="59"/>
      <c r="AU562" s="60"/>
      <c r="AV562" s="61"/>
      <c r="AW562" s="62"/>
      <c r="AX562" s="43">
        <f>SUM(E562:AW562)</f>
        <v>0</v>
      </c>
      <c r="AY562" s="44">
        <f>IFERROR(AVERAGEIF(E562:AW562,"&lt;&gt;0",(E562:AW562)),)</f>
        <v>0</v>
      </c>
      <c r="AZ562" s="45">
        <f>IFERROR(AY562/D562,0)</f>
        <v>0</v>
      </c>
      <c r="BA562" s="34"/>
      <c r="BB562" s="34"/>
      <c r="BC562" s="34"/>
      <c r="BD562" s="76"/>
      <c r="BE562" s="34"/>
      <c r="BF562" s="34"/>
      <c r="BG562" s="34"/>
      <c r="BH562" s="34"/>
    </row>
    <row r="563" spans="1:60" s="17" customFormat="1" ht="19.5" customHeight="1" thickBot="1" x14ac:dyDescent="0.45">
      <c r="A563" s="41">
        <f>A562</f>
        <v>45440</v>
      </c>
      <c r="B563" s="139" t="str">
        <f>B558</f>
        <v>Tela Yapıştırma</v>
      </c>
      <c r="C563" s="140"/>
      <c r="D563" s="40">
        <f>C534/8</f>
        <v>500</v>
      </c>
      <c r="E563" s="151">
        <f>SUM(E558:H562)</f>
        <v>0</v>
      </c>
      <c r="F563" s="152"/>
      <c r="G563" s="152"/>
      <c r="H563" s="153"/>
      <c r="I563" s="151">
        <f>SUM(I558:L562)</f>
        <v>0</v>
      </c>
      <c r="J563" s="152"/>
      <c r="K563" s="152"/>
      <c r="L563" s="153"/>
      <c r="M563" s="151">
        <f>SUM(M558:P562)</f>
        <v>0</v>
      </c>
      <c r="N563" s="152"/>
      <c r="O563" s="152"/>
      <c r="P563" s="153"/>
      <c r="Q563" s="151">
        <f>SUM(Q558:U562)</f>
        <v>0</v>
      </c>
      <c r="R563" s="152"/>
      <c r="S563" s="152"/>
      <c r="T563" s="152"/>
      <c r="U563" s="153"/>
      <c r="V563" s="151">
        <f>SUM(V558:Y562)</f>
        <v>0</v>
      </c>
      <c r="W563" s="152"/>
      <c r="X563" s="152"/>
      <c r="Y563" s="153"/>
      <c r="Z563" s="151">
        <f>SUM(Z558:AC562)</f>
        <v>0</v>
      </c>
      <c r="AA563" s="152"/>
      <c r="AB563" s="152"/>
      <c r="AC563" s="153"/>
      <c r="AD563" s="151">
        <f>SUM(AD558:AG562)</f>
        <v>0</v>
      </c>
      <c r="AE563" s="152"/>
      <c r="AF563" s="152"/>
      <c r="AG563" s="153"/>
      <c r="AH563" s="151">
        <f>SUM(AH558:AK562)</f>
        <v>0</v>
      </c>
      <c r="AI563" s="152"/>
      <c r="AJ563" s="152"/>
      <c r="AK563" s="153"/>
      <c r="AL563" s="151">
        <f>SUM(AL558:AO562)</f>
        <v>0</v>
      </c>
      <c r="AM563" s="152"/>
      <c r="AN563" s="152"/>
      <c r="AO563" s="153"/>
      <c r="AP563" s="151">
        <f>SUM(AP558:AS562)</f>
        <v>0</v>
      </c>
      <c r="AQ563" s="152"/>
      <c r="AR563" s="152"/>
      <c r="AS563" s="153"/>
      <c r="AT563" s="151">
        <f>SUM(AT558:AW562)</f>
        <v>0</v>
      </c>
      <c r="AU563" s="152"/>
      <c r="AV563" s="152"/>
      <c r="AW563" s="153"/>
      <c r="AX563" s="87">
        <f>SUM(AX558:AX562)</f>
        <v>0</v>
      </c>
      <c r="AY563" s="88">
        <f>IFERROR(AVERAGEIF(E563:AV563,"&lt;&gt;0",(E563:AV563)),)</f>
        <v>0</v>
      </c>
      <c r="AZ563" s="46">
        <f>IFERROR(AX563/BB559,0)</f>
        <v>0</v>
      </c>
      <c r="BA563" s="34"/>
      <c r="BB563" s="34"/>
      <c r="BC563" s="34"/>
      <c r="BD563" s="76"/>
      <c r="BE563" s="34"/>
      <c r="BF563" s="34"/>
      <c r="BG563" s="34"/>
      <c r="BH563" s="34"/>
    </row>
    <row r="564" spans="1:60" s="17" customFormat="1" ht="19.5" customHeight="1" thickBot="1" x14ac:dyDescent="0.4">
      <c r="A564" s="42">
        <f>A550</f>
        <v>45440</v>
      </c>
      <c r="B564" s="38">
        <f>B565</f>
        <v>0</v>
      </c>
      <c r="C564" s="39" t="s">
        <v>180</v>
      </c>
      <c r="D564" s="69" t="s">
        <v>181</v>
      </c>
      <c r="E564" s="48">
        <v>0.34375</v>
      </c>
      <c r="F564" s="49">
        <v>0.35416666666666669</v>
      </c>
      <c r="G564" s="49">
        <v>0.36458333333333331</v>
      </c>
      <c r="H564" s="50">
        <v>0.375</v>
      </c>
      <c r="I564" s="48">
        <v>0.38541666666666702</v>
      </c>
      <c r="J564" s="49">
        <v>0.39583333333333298</v>
      </c>
      <c r="K564" s="49">
        <v>0.40625</v>
      </c>
      <c r="L564" s="50">
        <v>0.41666666666666702</v>
      </c>
      <c r="M564" s="48">
        <v>0.4375</v>
      </c>
      <c r="N564" s="49">
        <v>0.44791666666666702</v>
      </c>
      <c r="O564" s="49">
        <v>0.45833333333333398</v>
      </c>
      <c r="P564" s="50">
        <v>0.46875</v>
      </c>
      <c r="Q564" s="48">
        <v>0.47916666666666702</v>
      </c>
      <c r="R564" s="49">
        <v>0.48958333333333398</v>
      </c>
      <c r="S564" s="49">
        <v>0.5</v>
      </c>
      <c r="T564" s="50">
        <v>0.51041666666666696</v>
      </c>
      <c r="U564" s="51">
        <v>0.52083333333333204</v>
      </c>
      <c r="V564" s="48">
        <v>0.5625</v>
      </c>
      <c r="W564" s="49">
        <v>0.57291666666666663</v>
      </c>
      <c r="X564" s="49">
        <v>0.58333333333333304</v>
      </c>
      <c r="Y564" s="50">
        <v>0.59375</v>
      </c>
      <c r="Z564" s="48">
        <v>0.60416666666666696</v>
      </c>
      <c r="AA564" s="49">
        <v>0.61458333333333304</v>
      </c>
      <c r="AB564" s="49">
        <v>0.625</v>
      </c>
      <c r="AC564" s="50">
        <v>0.63541666666666596</v>
      </c>
      <c r="AD564" s="48">
        <v>0.65625</v>
      </c>
      <c r="AE564" s="49">
        <v>0.66666666666666663</v>
      </c>
      <c r="AF564" s="49">
        <v>0.67708333333333304</v>
      </c>
      <c r="AG564" s="50">
        <v>0.6875</v>
      </c>
      <c r="AH564" s="48">
        <v>0.69791666666666696</v>
      </c>
      <c r="AI564" s="49">
        <v>0.70833333333333304</v>
      </c>
      <c r="AJ564" s="49">
        <v>0.71875</v>
      </c>
      <c r="AK564" s="50">
        <v>0.72916666666666696</v>
      </c>
      <c r="AL564" s="48">
        <v>0.73958333333333404</v>
      </c>
      <c r="AM564" s="49">
        <v>0.750000000000001</v>
      </c>
      <c r="AN564" s="49">
        <v>0.76041666666666796</v>
      </c>
      <c r="AO564" s="50">
        <v>0.77083333333333504</v>
      </c>
      <c r="AP564" s="48">
        <v>0.781250000000002</v>
      </c>
      <c r="AQ564" s="49">
        <v>0.79166666666666896</v>
      </c>
      <c r="AR564" s="49">
        <v>0.80208333333333603</v>
      </c>
      <c r="AS564" s="50">
        <v>0.812500000000003</v>
      </c>
      <c r="AT564" s="48">
        <v>0.82291666666666996</v>
      </c>
      <c r="AU564" s="49">
        <v>0.83333333333333703</v>
      </c>
      <c r="AV564" s="49">
        <v>0.843750000000004</v>
      </c>
      <c r="AW564" s="50">
        <v>0.85416666666666663</v>
      </c>
      <c r="AX564" s="68" t="s">
        <v>260</v>
      </c>
      <c r="AY564" s="28" t="s">
        <v>261</v>
      </c>
      <c r="AZ564" s="29" t="s">
        <v>262</v>
      </c>
      <c r="BA564" s="136">
        <f>B565</f>
        <v>0</v>
      </c>
      <c r="BB564" s="137"/>
      <c r="BC564" s="137"/>
      <c r="BD564" s="137"/>
      <c r="BE564" s="137"/>
      <c r="BF564" s="137"/>
      <c r="BG564" s="137"/>
      <c r="BH564" s="138"/>
    </row>
    <row r="565" spans="1:60" s="17" customFormat="1" ht="19.5" customHeight="1" thickBot="1" x14ac:dyDescent="0.4">
      <c r="A565" s="41">
        <f>A557</f>
        <v>45440</v>
      </c>
      <c r="B565" s="37">
        <f>B389</f>
        <v>0</v>
      </c>
      <c r="C565" s="66">
        <f>C389</f>
        <v>0</v>
      </c>
      <c r="D565" s="70">
        <f>D389</f>
        <v>200</v>
      </c>
      <c r="E565" s="63"/>
      <c r="F565" s="55"/>
      <c r="G565" s="55"/>
      <c r="H565" s="56"/>
      <c r="I565" s="63"/>
      <c r="J565" s="55"/>
      <c r="K565" s="55"/>
      <c r="L565" s="56"/>
      <c r="M565" s="63"/>
      <c r="N565" s="55"/>
      <c r="O565" s="55"/>
      <c r="P565" s="56"/>
      <c r="Q565" s="63"/>
      <c r="R565" s="55"/>
      <c r="S565" s="55"/>
      <c r="T565" s="55"/>
      <c r="U565" s="56"/>
      <c r="V565" s="63"/>
      <c r="W565" s="55"/>
      <c r="X565" s="55"/>
      <c r="Y565" s="56"/>
      <c r="Z565" s="63"/>
      <c r="AA565" s="55"/>
      <c r="AB565" s="55"/>
      <c r="AC565" s="56"/>
      <c r="AD565" s="63"/>
      <c r="AE565" s="55"/>
      <c r="AF565" s="55"/>
      <c r="AG565" s="56"/>
      <c r="AH565" s="63"/>
      <c r="AI565" s="55"/>
      <c r="AJ565" s="55"/>
      <c r="AK565" s="56"/>
      <c r="AL565" s="63"/>
      <c r="AM565" s="55"/>
      <c r="AN565" s="55"/>
      <c r="AO565" s="56"/>
      <c r="AP565" s="63"/>
      <c r="AQ565" s="54"/>
      <c r="AR565" s="55"/>
      <c r="AS565" s="56"/>
      <c r="AT565" s="53"/>
      <c r="AU565" s="54"/>
      <c r="AV565" s="55"/>
      <c r="AW565" s="56"/>
      <c r="AX565" s="33">
        <f>SUM(E565:AW565)</f>
        <v>0</v>
      </c>
      <c r="AY565" s="31">
        <f>IFERROR(AVERAGEIF(E565:AW565,"&lt;&gt;0",(E565:AW565)),)</f>
        <v>0</v>
      </c>
      <c r="AZ565" s="30">
        <f>IFERROR(AY565/D565,0)</f>
        <v>0</v>
      </c>
      <c r="BA565" s="103" t="s">
        <v>182</v>
      </c>
      <c r="BB565" s="100" t="s">
        <v>183</v>
      </c>
      <c r="BC565" s="100" t="s">
        <v>184</v>
      </c>
      <c r="BD565" s="101" t="s">
        <v>185</v>
      </c>
      <c r="BE565" s="100" t="s">
        <v>186</v>
      </c>
      <c r="BF565" s="102" t="s">
        <v>187</v>
      </c>
      <c r="BG565" s="100" t="s">
        <v>188</v>
      </c>
      <c r="BH565" s="102" t="s">
        <v>189</v>
      </c>
    </row>
    <row r="566" spans="1:60" s="17" customFormat="1" ht="19.5" customHeight="1" thickBot="1" x14ac:dyDescent="0.4">
      <c r="A566" s="41">
        <f t="shared" ref="A566:B566" si="428">A565</f>
        <v>45440</v>
      </c>
      <c r="B566" s="37">
        <f t="shared" si="428"/>
        <v>0</v>
      </c>
      <c r="C566" s="66">
        <f>C390</f>
        <v>0</v>
      </c>
      <c r="D566" s="67">
        <f>D565</f>
        <v>200</v>
      </c>
      <c r="E566" s="57"/>
      <c r="F566" s="52"/>
      <c r="G566" s="52"/>
      <c r="H566" s="58"/>
      <c r="I566" s="57"/>
      <c r="J566" s="52"/>
      <c r="K566" s="52"/>
      <c r="L566" s="58"/>
      <c r="M566" s="57"/>
      <c r="N566" s="52"/>
      <c r="O566" s="52"/>
      <c r="P566" s="58"/>
      <c r="Q566" s="57"/>
      <c r="R566" s="52"/>
      <c r="S566" s="52"/>
      <c r="T566" s="52"/>
      <c r="U566" s="58"/>
      <c r="V566" s="57"/>
      <c r="W566" s="52"/>
      <c r="X566" s="52"/>
      <c r="Y566" s="58"/>
      <c r="Z566" s="57"/>
      <c r="AA566" s="52"/>
      <c r="AB566" s="52"/>
      <c r="AC566" s="58"/>
      <c r="AD566" s="57"/>
      <c r="AE566" s="52"/>
      <c r="AF566" s="52"/>
      <c r="AG566" s="58"/>
      <c r="AH566" s="57"/>
      <c r="AI566" s="52"/>
      <c r="AJ566" s="52"/>
      <c r="AK566" s="58"/>
      <c r="AL566" s="57"/>
      <c r="AM566" s="52"/>
      <c r="AN566" s="52"/>
      <c r="AO566" s="58"/>
      <c r="AP566" s="57"/>
      <c r="AQ566" s="52"/>
      <c r="AR566" s="52"/>
      <c r="AS566" s="58"/>
      <c r="AT566" s="57"/>
      <c r="AU566" s="52"/>
      <c r="AV566" s="52"/>
      <c r="AW566" s="58"/>
      <c r="AX566" s="33">
        <f>SUM(E566:AW566)</f>
        <v>0</v>
      </c>
      <c r="AY566" s="31">
        <f>IFERROR(AVERAGEIF(E566:AW566,"&lt;&gt;0",(E566:AW566)),)</f>
        <v>0</v>
      </c>
      <c r="AZ566" s="30">
        <f>IFERROR(AY566/D566,0)</f>
        <v>0</v>
      </c>
      <c r="BA566" s="94">
        <f>AX570+BA390</f>
        <v>0</v>
      </c>
      <c r="BB566" s="95">
        <f>(D570*8)</f>
        <v>4000</v>
      </c>
      <c r="BC566" s="96">
        <f>C533-BA566</f>
        <v>42311</v>
      </c>
      <c r="BD566" s="96">
        <f>BA559-BA566</f>
        <v>0</v>
      </c>
      <c r="BE566" s="97">
        <f>IFERROR(BC566/E570,0)</f>
        <v>0</v>
      </c>
      <c r="BF566" s="98">
        <f>IFERROR(BE566/9,0)</f>
        <v>0</v>
      </c>
      <c r="BG566" s="97">
        <f>IFERROR(BC566/AY570,0)</f>
        <v>0</v>
      </c>
      <c r="BH566" s="97">
        <f>IFERROR(BG566/9,0)</f>
        <v>0</v>
      </c>
    </row>
    <row r="567" spans="1:60" s="17" customFormat="1" ht="19.5" customHeight="1" x14ac:dyDescent="0.35">
      <c r="A567" s="41">
        <f t="shared" ref="A567:B567" si="429">A566</f>
        <v>45440</v>
      </c>
      <c r="B567" s="37">
        <f t="shared" si="429"/>
        <v>0</v>
      </c>
      <c r="C567" s="66">
        <f>C391</f>
        <v>0</v>
      </c>
      <c r="D567" s="67">
        <f>D566</f>
        <v>200</v>
      </c>
      <c r="E567" s="57"/>
      <c r="F567" s="52"/>
      <c r="G567" s="52"/>
      <c r="H567" s="58"/>
      <c r="I567" s="57"/>
      <c r="J567" s="52"/>
      <c r="K567" s="52"/>
      <c r="L567" s="58"/>
      <c r="M567" s="57"/>
      <c r="N567" s="52"/>
      <c r="O567" s="52"/>
      <c r="P567" s="58"/>
      <c r="Q567" s="57"/>
      <c r="R567" s="52"/>
      <c r="S567" s="52"/>
      <c r="T567" s="52"/>
      <c r="U567" s="58"/>
      <c r="V567" s="57"/>
      <c r="W567" s="52"/>
      <c r="X567" s="52"/>
      <c r="Y567" s="58"/>
      <c r="Z567" s="57"/>
      <c r="AA567" s="52"/>
      <c r="AB567" s="52"/>
      <c r="AC567" s="58"/>
      <c r="AD567" s="57"/>
      <c r="AE567" s="52"/>
      <c r="AF567" s="52"/>
      <c r="AG567" s="58"/>
      <c r="AH567" s="57"/>
      <c r="AI567" s="52"/>
      <c r="AJ567" s="52"/>
      <c r="AK567" s="58"/>
      <c r="AL567" s="57"/>
      <c r="AM567" s="52"/>
      <c r="AN567" s="52"/>
      <c r="AO567" s="58"/>
      <c r="AP567" s="57"/>
      <c r="AQ567" s="52"/>
      <c r="AR567" s="52"/>
      <c r="AS567" s="58"/>
      <c r="AT567" s="57"/>
      <c r="AU567" s="52"/>
      <c r="AV567" s="52"/>
      <c r="AW567" s="58"/>
      <c r="AX567" s="33">
        <f>SUM(E567:AW567)</f>
        <v>0</v>
      </c>
      <c r="AY567" s="31">
        <f>IFERROR(AVERAGEIF(E567:AW567,"&lt;&gt;0",(E567:AW567)),)</f>
        <v>0</v>
      </c>
      <c r="AZ567" s="30">
        <f>IFERROR(AY567/D567,0)</f>
        <v>0</v>
      </c>
      <c r="BA567" s="34"/>
      <c r="BB567" s="34"/>
      <c r="BC567" s="34"/>
      <c r="BD567" s="76"/>
      <c r="BE567" s="34"/>
      <c r="BF567" s="34"/>
      <c r="BG567" s="34"/>
      <c r="BH567" s="34"/>
    </row>
    <row r="568" spans="1:60" s="17" customFormat="1" ht="19.5" customHeight="1" x14ac:dyDescent="0.35">
      <c r="A568" s="41">
        <f t="shared" ref="A568:B568" si="430">A567</f>
        <v>45440</v>
      </c>
      <c r="B568" s="37">
        <f t="shared" si="430"/>
        <v>0</v>
      </c>
      <c r="C568" s="66">
        <f>C392</f>
        <v>0</v>
      </c>
      <c r="D568" s="67">
        <f>D567</f>
        <v>200</v>
      </c>
      <c r="E568" s="57"/>
      <c r="F568" s="52"/>
      <c r="G568" s="52"/>
      <c r="H568" s="58"/>
      <c r="I568" s="57"/>
      <c r="J568" s="52"/>
      <c r="K568" s="52"/>
      <c r="L568" s="58"/>
      <c r="M568" s="57"/>
      <c r="N568" s="52"/>
      <c r="O568" s="52"/>
      <c r="P568" s="58"/>
      <c r="Q568" s="57"/>
      <c r="R568" s="52"/>
      <c r="S568" s="52"/>
      <c r="T568" s="52"/>
      <c r="U568" s="58"/>
      <c r="V568" s="57"/>
      <c r="W568" s="52"/>
      <c r="X568" s="52"/>
      <c r="Y568" s="58"/>
      <c r="Z568" s="57"/>
      <c r="AA568" s="52"/>
      <c r="AB568" s="52"/>
      <c r="AC568" s="58"/>
      <c r="AD568" s="57"/>
      <c r="AE568" s="52"/>
      <c r="AF568" s="52"/>
      <c r="AG568" s="58"/>
      <c r="AH568" s="57"/>
      <c r="AI568" s="52"/>
      <c r="AJ568" s="52"/>
      <c r="AK568" s="58"/>
      <c r="AL568" s="57"/>
      <c r="AM568" s="52"/>
      <c r="AN568" s="52"/>
      <c r="AO568" s="58"/>
      <c r="AP568" s="57"/>
      <c r="AQ568" s="52"/>
      <c r="AR568" s="52"/>
      <c r="AS568" s="58"/>
      <c r="AT568" s="57"/>
      <c r="AU568" s="52"/>
      <c r="AV568" s="52"/>
      <c r="AW568" s="58"/>
      <c r="AX568" s="33">
        <f>SUM(E568:AW568)</f>
        <v>0</v>
      </c>
      <c r="AY568" s="31">
        <f>IFERROR(AVERAGEIF(E568:AW568,"&lt;&gt;0",(E568:AW568)),)</f>
        <v>0</v>
      </c>
      <c r="AZ568" s="30">
        <f>IFERROR(AY568/D568,0)</f>
        <v>0</v>
      </c>
      <c r="BA568" s="34"/>
      <c r="BB568" s="34"/>
      <c r="BC568" s="34"/>
      <c r="BD568" s="76"/>
      <c r="BE568" s="34"/>
      <c r="BF568" s="34"/>
      <c r="BG568" s="34"/>
      <c r="BH568" s="34"/>
    </row>
    <row r="569" spans="1:60" s="17" customFormat="1" ht="19.5" customHeight="1" thickBot="1" x14ac:dyDescent="0.4">
      <c r="A569" s="41">
        <f t="shared" ref="A569:B569" si="431">A568</f>
        <v>45440</v>
      </c>
      <c r="B569" s="37">
        <f t="shared" si="431"/>
        <v>0</v>
      </c>
      <c r="C569" s="66">
        <f>C393</f>
        <v>0</v>
      </c>
      <c r="D569" s="67">
        <f>D568</f>
        <v>200</v>
      </c>
      <c r="E569" s="64"/>
      <c r="F569" s="61"/>
      <c r="G569" s="61"/>
      <c r="H569" s="62"/>
      <c r="I569" s="64"/>
      <c r="J569" s="61"/>
      <c r="K569" s="61"/>
      <c r="L569" s="62"/>
      <c r="M569" s="64"/>
      <c r="N569" s="61"/>
      <c r="O569" s="61"/>
      <c r="P569" s="62"/>
      <c r="Q569" s="64"/>
      <c r="R569" s="61"/>
      <c r="S569" s="61"/>
      <c r="T569" s="61"/>
      <c r="U569" s="62"/>
      <c r="V569" s="64"/>
      <c r="W569" s="61"/>
      <c r="X569" s="61"/>
      <c r="Y569" s="62"/>
      <c r="Z569" s="59"/>
      <c r="AA569" s="60"/>
      <c r="AB569" s="61"/>
      <c r="AC569" s="62"/>
      <c r="AD569" s="59"/>
      <c r="AE569" s="60"/>
      <c r="AF569" s="61"/>
      <c r="AG569" s="62"/>
      <c r="AH569" s="59"/>
      <c r="AI569" s="60"/>
      <c r="AJ569" s="61"/>
      <c r="AK569" s="62"/>
      <c r="AL569" s="59"/>
      <c r="AM569" s="60"/>
      <c r="AN569" s="61"/>
      <c r="AO569" s="62"/>
      <c r="AP569" s="59"/>
      <c r="AQ569" s="60"/>
      <c r="AR569" s="61"/>
      <c r="AS569" s="62"/>
      <c r="AT569" s="59"/>
      <c r="AU569" s="60"/>
      <c r="AV569" s="61"/>
      <c r="AW569" s="62"/>
      <c r="AX569" s="43">
        <f>SUM(E569:AW569)</f>
        <v>0</v>
      </c>
      <c r="AY569" s="44">
        <f>IFERROR(AVERAGEIF(E569:AW569,"&lt;&gt;0",(E569:AW569)),)</f>
        <v>0</v>
      </c>
      <c r="AZ569" s="45">
        <f>IFERROR(AY569/D569,0)</f>
        <v>0</v>
      </c>
      <c r="BA569" s="34"/>
      <c r="BB569" s="34"/>
      <c r="BC569" s="34"/>
      <c r="BD569" s="76"/>
      <c r="BE569" s="34"/>
      <c r="BF569" s="34"/>
      <c r="BG569" s="34"/>
      <c r="BH569" s="34"/>
    </row>
    <row r="570" spans="1:60" s="17" customFormat="1" ht="19.5" customHeight="1" thickBot="1" x14ac:dyDescent="0.45">
      <c r="A570" s="41">
        <f>A569</f>
        <v>45440</v>
      </c>
      <c r="B570" s="139">
        <f>B565</f>
        <v>0</v>
      </c>
      <c r="C570" s="140"/>
      <c r="D570" s="40">
        <f>C534/8</f>
        <v>500</v>
      </c>
      <c r="E570" s="151">
        <f>SUM(E565:H569)</f>
        <v>0</v>
      </c>
      <c r="F570" s="152"/>
      <c r="G570" s="152"/>
      <c r="H570" s="153"/>
      <c r="I570" s="151">
        <f>SUM(I565:L569)</f>
        <v>0</v>
      </c>
      <c r="J570" s="152"/>
      <c r="K570" s="152"/>
      <c r="L570" s="153"/>
      <c r="M570" s="151">
        <f>SUM(M565:P569)</f>
        <v>0</v>
      </c>
      <c r="N570" s="152"/>
      <c r="O570" s="152"/>
      <c r="P570" s="153"/>
      <c r="Q570" s="151">
        <f>SUM(Q565:U569)</f>
        <v>0</v>
      </c>
      <c r="R570" s="152"/>
      <c r="S570" s="152"/>
      <c r="T570" s="152"/>
      <c r="U570" s="153"/>
      <c r="V570" s="151">
        <f>SUM(V565:Y569)</f>
        <v>0</v>
      </c>
      <c r="W570" s="152"/>
      <c r="X570" s="152"/>
      <c r="Y570" s="153"/>
      <c r="Z570" s="151">
        <f>SUM(Z565:AC569)</f>
        <v>0</v>
      </c>
      <c r="AA570" s="152"/>
      <c r="AB570" s="152"/>
      <c r="AC570" s="153"/>
      <c r="AD570" s="151">
        <f>SUM(AD565:AG569)</f>
        <v>0</v>
      </c>
      <c r="AE570" s="152"/>
      <c r="AF570" s="152"/>
      <c r="AG570" s="153"/>
      <c r="AH570" s="151">
        <f>SUM(AH565:AK569)</f>
        <v>0</v>
      </c>
      <c r="AI570" s="152"/>
      <c r="AJ570" s="152"/>
      <c r="AK570" s="153"/>
      <c r="AL570" s="151">
        <f>SUM(AL565:AO569)</f>
        <v>0</v>
      </c>
      <c r="AM570" s="152"/>
      <c r="AN570" s="152"/>
      <c r="AO570" s="153"/>
      <c r="AP570" s="151">
        <f>SUM(AP565:AS569)</f>
        <v>0</v>
      </c>
      <c r="AQ570" s="152"/>
      <c r="AR570" s="152"/>
      <c r="AS570" s="153"/>
      <c r="AT570" s="151">
        <f>SUM(AT565:AW569)</f>
        <v>0</v>
      </c>
      <c r="AU570" s="152"/>
      <c r="AV570" s="152"/>
      <c r="AW570" s="153"/>
      <c r="AX570" s="87">
        <f>SUM(AX565:AX569)</f>
        <v>0</v>
      </c>
      <c r="AY570" s="88">
        <f>IFERROR(AVERAGEIF(E570:AV570,"&lt;&gt;0",(E570:AV570)),)</f>
        <v>0</v>
      </c>
      <c r="AZ570" s="46">
        <f>IFERROR(AX570/BB566,0)</f>
        <v>0</v>
      </c>
      <c r="BA570" s="34"/>
      <c r="BB570" s="34"/>
      <c r="BC570" s="34"/>
      <c r="BD570" s="76"/>
      <c r="BE570" s="34"/>
      <c r="BF570" s="34"/>
      <c r="BG570" s="34"/>
      <c r="BH570" s="34"/>
    </row>
    <row r="571" spans="1:60" s="17" customFormat="1" ht="19.5" customHeight="1" thickBot="1" x14ac:dyDescent="0.4">
      <c r="A571" s="42">
        <f>A564</f>
        <v>45440</v>
      </c>
      <c r="B571" s="38" t="str">
        <f>B572</f>
        <v>BANT GİRİŞ</v>
      </c>
      <c r="C571" s="39" t="s">
        <v>180</v>
      </c>
      <c r="D571" s="69" t="s">
        <v>181</v>
      </c>
      <c r="E571" s="48">
        <v>0.34375</v>
      </c>
      <c r="F571" s="49">
        <v>0.35416666666666669</v>
      </c>
      <c r="G571" s="49">
        <v>0.36458333333333331</v>
      </c>
      <c r="H571" s="50">
        <v>0.375</v>
      </c>
      <c r="I571" s="48">
        <v>0.38541666666666702</v>
      </c>
      <c r="J571" s="49">
        <v>0.39583333333333298</v>
      </c>
      <c r="K571" s="49">
        <v>0.40625</v>
      </c>
      <c r="L571" s="50">
        <v>0.41666666666666702</v>
      </c>
      <c r="M571" s="48">
        <v>0.4375</v>
      </c>
      <c r="N571" s="49">
        <v>0.44791666666666702</v>
      </c>
      <c r="O571" s="49">
        <v>0.45833333333333398</v>
      </c>
      <c r="P571" s="50">
        <v>0.46875</v>
      </c>
      <c r="Q571" s="48">
        <v>0.47916666666666702</v>
      </c>
      <c r="R571" s="49">
        <v>0.48958333333333398</v>
      </c>
      <c r="S571" s="49">
        <v>0.5</v>
      </c>
      <c r="T571" s="50">
        <v>0.51041666666666696</v>
      </c>
      <c r="U571" s="51">
        <v>0.52083333333333204</v>
      </c>
      <c r="V571" s="48">
        <v>0.5625</v>
      </c>
      <c r="W571" s="49">
        <v>0.57291666666666663</v>
      </c>
      <c r="X571" s="49">
        <v>0.58333333333333304</v>
      </c>
      <c r="Y571" s="50">
        <v>0.59375</v>
      </c>
      <c r="Z571" s="48">
        <v>0.60416666666666696</v>
      </c>
      <c r="AA571" s="49">
        <v>0.61458333333333304</v>
      </c>
      <c r="AB571" s="49">
        <v>0.625</v>
      </c>
      <c r="AC571" s="50">
        <v>0.63541666666666596</v>
      </c>
      <c r="AD571" s="48">
        <v>0.65625</v>
      </c>
      <c r="AE571" s="49">
        <v>0.66666666666666663</v>
      </c>
      <c r="AF571" s="49">
        <v>0.67708333333333304</v>
      </c>
      <c r="AG571" s="50">
        <v>0.6875</v>
      </c>
      <c r="AH571" s="48">
        <v>0.69791666666666696</v>
      </c>
      <c r="AI571" s="49">
        <v>0.70833333333333304</v>
      </c>
      <c r="AJ571" s="49">
        <v>0.71875</v>
      </c>
      <c r="AK571" s="50">
        <v>0.72916666666666696</v>
      </c>
      <c r="AL571" s="48">
        <v>0.73958333333333404</v>
      </c>
      <c r="AM571" s="49">
        <v>0.750000000000001</v>
      </c>
      <c r="AN571" s="49">
        <v>0.76041666666666796</v>
      </c>
      <c r="AO571" s="50">
        <v>0.77083333333333504</v>
      </c>
      <c r="AP571" s="48">
        <v>0.781250000000002</v>
      </c>
      <c r="AQ571" s="49">
        <v>0.79166666666666896</v>
      </c>
      <c r="AR571" s="49">
        <v>0.80208333333333603</v>
      </c>
      <c r="AS571" s="50">
        <v>0.812500000000003</v>
      </c>
      <c r="AT571" s="48">
        <v>0.82291666666666996</v>
      </c>
      <c r="AU571" s="49">
        <v>0.83333333333333703</v>
      </c>
      <c r="AV571" s="49">
        <v>0.843750000000004</v>
      </c>
      <c r="AW571" s="50">
        <v>0.85416666666666663</v>
      </c>
      <c r="AX571" s="68" t="s">
        <v>260</v>
      </c>
      <c r="AY571" s="28" t="s">
        <v>261</v>
      </c>
      <c r="AZ571" s="29" t="s">
        <v>262</v>
      </c>
      <c r="BA571" s="136" t="str">
        <f>B572</f>
        <v>BANT GİRİŞ</v>
      </c>
      <c r="BB571" s="137"/>
      <c r="BC571" s="137"/>
      <c r="BD571" s="137"/>
      <c r="BE571" s="137"/>
      <c r="BF571" s="137"/>
      <c r="BG571" s="137"/>
      <c r="BH571" s="138"/>
    </row>
    <row r="572" spans="1:60" s="17" customFormat="1" ht="19.5" customHeight="1" thickBot="1" x14ac:dyDescent="0.4">
      <c r="A572" s="41">
        <f t="shared" ref="A572" si="432">A571</f>
        <v>45440</v>
      </c>
      <c r="B572" s="37" t="str">
        <f>B396</f>
        <v>BANT GİRİŞ</v>
      </c>
      <c r="C572" s="65" t="str">
        <f>C396</f>
        <v>XS</v>
      </c>
      <c r="D572" s="70">
        <f>D396</f>
        <v>120</v>
      </c>
      <c r="E572" s="63"/>
      <c r="F572" s="55"/>
      <c r="G572" s="55"/>
      <c r="H572" s="56"/>
      <c r="I572" s="63"/>
      <c r="J572" s="55"/>
      <c r="K572" s="55"/>
      <c r="L572" s="56"/>
      <c r="M572" s="63"/>
      <c r="N572" s="55"/>
      <c r="O572" s="55"/>
      <c r="P572" s="56"/>
      <c r="Q572" s="63"/>
      <c r="R572" s="55"/>
      <c r="S572" s="55"/>
      <c r="T572" s="55"/>
      <c r="U572" s="56"/>
      <c r="V572" s="63"/>
      <c r="W572" s="55"/>
      <c r="X572" s="55"/>
      <c r="Y572" s="56"/>
      <c r="Z572" s="63"/>
      <c r="AA572" s="55"/>
      <c r="AB572" s="55"/>
      <c r="AC572" s="56"/>
      <c r="AD572" s="63"/>
      <c r="AE572" s="55"/>
      <c r="AF572" s="55"/>
      <c r="AG572" s="56"/>
      <c r="AH572" s="63"/>
      <c r="AI572" s="55"/>
      <c r="AJ572" s="55"/>
      <c r="AK572" s="56"/>
      <c r="AL572" s="63"/>
      <c r="AM572" s="55"/>
      <c r="AN572" s="55"/>
      <c r="AO572" s="56"/>
      <c r="AP572" s="63"/>
      <c r="AQ572" s="54"/>
      <c r="AR572" s="55"/>
      <c r="AS572" s="56"/>
      <c r="AT572" s="53"/>
      <c r="AU572" s="54"/>
      <c r="AV572" s="55"/>
      <c r="AW572" s="56"/>
      <c r="AX572" s="33">
        <f>SUM(E572:AW572)</f>
        <v>0</v>
      </c>
      <c r="AY572" s="31">
        <f>IFERROR(AVERAGEIF(E572:AW572,"&lt;&gt;0",(E572:AW572)),)</f>
        <v>0</v>
      </c>
      <c r="AZ572" s="30">
        <f>IFERROR(AY572/D572,0)</f>
        <v>0</v>
      </c>
      <c r="BA572" s="19"/>
      <c r="BB572" s="19" t="str">
        <f t="shared" ref="BB572" si="433">BA534</f>
        <v>XS</v>
      </c>
      <c r="BC572" s="19" t="str">
        <f t="shared" ref="BC572" si="434">BB534</f>
        <v>S</v>
      </c>
      <c r="BD572" s="19" t="str">
        <f t="shared" ref="BD572" si="435">BC534</f>
        <v>M</v>
      </c>
      <c r="BE572" s="19" t="str">
        <f t="shared" ref="BE572" si="436">BD534</f>
        <v>L</v>
      </c>
      <c r="BF572" s="19" t="str">
        <f t="shared" ref="BF572" si="437">BE534</f>
        <v>XL</v>
      </c>
      <c r="BG572" s="19" t="str">
        <f t="shared" ref="BG572" si="438">BF534</f>
        <v>XXL</v>
      </c>
      <c r="BH572" s="19" t="s">
        <v>190</v>
      </c>
    </row>
    <row r="573" spans="1:60" s="17" customFormat="1" ht="19.5" customHeight="1" thickBot="1" x14ac:dyDescent="0.4">
      <c r="A573" s="41">
        <f t="shared" ref="A573:B573" si="439">A572</f>
        <v>45440</v>
      </c>
      <c r="B573" s="37" t="str">
        <f t="shared" si="439"/>
        <v>BANT GİRİŞ</v>
      </c>
      <c r="C573" s="65" t="str">
        <f t="shared" ref="C573:C578" si="440">C397</f>
        <v>S</v>
      </c>
      <c r="D573" s="67">
        <f t="shared" ref="D573:D578" si="441">D572</f>
        <v>120</v>
      </c>
      <c r="E573" s="57"/>
      <c r="F573" s="52"/>
      <c r="G573" s="52"/>
      <c r="H573" s="58"/>
      <c r="I573" s="57"/>
      <c r="J573" s="52"/>
      <c r="K573" s="52"/>
      <c r="L573" s="58"/>
      <c r="M573" s="57"/>
      <c r="N573" s="52"/>
      <c r="O573" s="52"/>
      <c r="P573" s="58"/>
      <c r="Q573" s="57"/>
      <c r="R573" s="52"/>
      <c r="S573" s="52"/>
      <c r="T573" s="52"/>
      <c r="U573" s="58"/>
      <c r="V573" s="57"/>
      <c r="W573" s="52"/>
      <c r="X573" s="52"/>
      <c r="Y573" s="58"/>
      <c r="Z573" s="57"/>
      <c r="AA573" s="52"/>
      <c r="AB573" s="52"/>
      <c r="AC573" s="58"/>
      <c r="AD573" s="57"/>
      <c r="AE573" s="52"/>
      <c r="AF573" s="52"/>
      <c r="AG573" s="58"/>
      <c r="AH573" s="57"/>
      <c r="AI573" s="52"/>
      <c r="AJ573" s="52"/>
      <c r="AK573" s="58"/>
      <c r="AL573" s="57"/>
      <c r="AM573" s="52"/>
      <c r="AN573" s="52"/>
      <c r="AO573" s="58"/>
      <c r="AP573" s="57"/>
      <c r="AQ573" s="52"/>
      <c r="AR573" s="52"/>
      <c r="AS573" s="58"/>
      <c r="AT573" s="57"/>
      <c r="AU573" s="52"/>
      <c r="AV573" s="52"/>
      <c r="AW573" s="58"/>
      <c r="AX573" s="33">
        <f t="shared" ref="AX573:AX578" si="442">SUM(E573:AW573)</f>
        <v>0</v>
      </c>
      <c r="AY573" s="31">
        <f t="shared" ref="AY573:AY578" si="443">IFERROR(AVERAGEIF(E573:AW573,"&lt;&gt;0",(E573:AW573)),)</f>
        <v>0</v>
      </c>
      <c r="AZ573" s="30">
        <f t="shared" ref="AZ573:AZ578" si="444">IFERROR(AY573/D573,0)</f>
        <v>0</v>
      </c>
      <c r="BA573" s="94" t="s">
        <v>192</v>
      </c>
      <c r="BB573" s="96">
        <f>SUMIF(C572:C578,BB572,AX572:AX578)+BB397</f>
        <v>0</v>
      </c>
      <c r="BC573" s="96">
        <f>SUMIF(C572:C578,BC572,AX572:AX578)+BC397</f>
        <v>0</v>
      </c>
      <c r="BD573" s="96">
        <f>SUMIF(C572:C578,BD572,AX572:AX578)+BD397</f>
        <v>0</v>
      </c>
      <c r="BE573" s="96">
        <f>SUMIF(C572:C578,BE572,AX572:AX578)+BE397</f>
        <v>0</v>
      </c>
      <c r="BF573" s="96">
        <f>SUMIF(C572:C578,BF572,AX572:AX578)+BF397</f>
        <v>0</v>
      </c>
      <c r="BG573" s="96"/>
      <c r="BH573" s="99">
        <f>SUM(BB573:BG573)</f>
        <v>0</v>
      </c>
    </row>
    <row r="574" spans="1:60" s="17" customFormat="1" ht="19.5" customHeight="1" thickBot="1" x14ac:dyDescent="0.4">
      <c r="A574" s="41">
        <f t="shared" ref="A574:B574" si="445">A573</f>
        <v>45440</v>
      </c>
      <c r="B574" s="37" t="str">
        <f t="shared" si="445"/>
        <v>BANT GİRİŞ</v>
      </c>
      <c r="C574" s="65" t="str">
        <f t="shared" si="440"/>
        <v>M</v>
      </c>
      <c r="D574" s="67">
        <f t="shared" si="441"/>
        <v>120</v>
      </c>
      <c r="E574" s="57"/>
      <c r="F574" s="52"/>
      <c r="G574" s="52"/>
      <c r="H574" s="58"/>
      <c r="I574" s="57"/>
      <c r="J574" s="52"/>
      <c r="K574" s="52"/>
      <c r="L574" s="58"/>
      <c r="M574" s="57"/>
      <c r="N574" s="52"/>
      <c r="O574" s="52"/>
      <c r="P574" s="58"/>
      <c r="Q574" s="57"/>
      <c r="R574" s="52"/>
      <c r="S574" s="52"/>
      <c r="T574" s="52"/>
      <c r="U574" s="58"/>
      <c r="V574" s="57"/>
      <c r="W574" s="52"/>
      <c r="X574" s="52"/>
      <c r="Y574" s="58"/>
      <c r="Z574" s="57"/>
      <c r="AA574" s="52"/>
      <c r="AB574" s="52"/>
      <c r="AC574" s="58"/>
      <c r="AD574" s="57"/>
      <c r="AE574" s="52"/>
      <c r="AF574" s="52"/>
      <c r="AG574" s="58"/>
      <c r="AH574" s="57"/>
      <c r="AI574" s="52"/>
      <c r="AJ574" s="52"/>
      <c r="AK574" s="58"/>
      <c r="AL574" s="57"/>
      <c r="AM574" s="52"/>
      <c r="AN574" s="52"/>
      <c r="AO574" s="58"/>
      <c r="AP574" s="57"/>
      <c r="AQ574" s="52"/>
      <c r="AR574" s="52"/>
      <c r="AS574" s="58"/>
      <c r="AT574" s="57"/>
      <c r="AU574" s="52"/>
      <c r="AV574" s="52"/>
      <c r="AW574" s="58"/>
      <c r="AX574" s="33">
        <f t="shared" si="442"/>
        <v>0</v>
      </c>
      <c r="AY574" s="31">
        <f t="shared" si="443"/>
        <v>0</v>
      </c>
      <c r="AZ574" s="30">
        <f t="shared" si="444"/>
        <v>0</v>
      </c>
      <c r="BA574" s="94" t="s">
        <v>193</v>
      </c>
      <c r="BB574" s="96">
        <f>BA535-BB573</f>
        <v>492</v>
      </c>
      <c r="BC574" s="96">
        <f>BB535-BC573</f>
        <v>11438</v>
      </c>
      <c r="BD574" s="96">
        <f>BC535-BD573</f>
        <v>13689</v>
      </c>
      <c r="BE574" s="96">
        <f>BD535-BE573</f>
        <v>9760</v>
      </c>
      <c r="BF574" s="96">
        <f>BE535-BF573</f>
        <v>4794</v>
      </c>
      <c r="BG574" s="96"/>
      <c r="BH574" s="96">
        <f>SUM(BB574:BG574)</f>
        <v>40173</v>
      </c>
    </row>
    <row r="575" spans="1:60" s="17" customFormat="1" ht="19.5" customHeight="1" x14ac:dyDescent="0.35">
      <c r="A575" s="41">
        <f t="shared" ref="A575:B575" si="446">A574</f>
        <v>45440</v>
      </c>
      <c r="B575" s="37" t="str">
        <f t="shared" si="446"/>
        <v>BANT GİRİŞ</v>
      </c>
      <c r="C575" s="65" t="str">
        <f t="shared" si="440"/>
        <v>L</v>
      </c>
      <c r="D575" s="67">
        <f t="shared" si="441"/>
        <v>120</v>
      </c>
      <c r="E575" s="57"/>
      <c r="F575" s="52"/>
      <c r="G575" s="52"/>
      <c r="H575" s="58"/>
      <c r="I575" s="57"/>
      <c r="J575" s="52"/>
      <c r="K575" s="52"/>
      <c r="L575" s="58"/>
      <c r="M575" s="57"/>
      <c r="N575" s="52"/>
      <c r="O575" s="52"/>
      <c r="P575" s="58"/>
      <c r="Q575" s="57"/>
      <c r="R575" s="52"/>
      <c r="S575" s="52"/>
      <c r="T575" s="52"/>
      <c r="U575" s="58"/>
      <c r="V575" s="57"/>
      <c r="W575" s="52"/>
      <c r="X575" s="52"/>
      <c r="Y575" s="58"/>
      <c r="Z575" s="57"/>
      <c r="AA575" s="52"/>
      <c r="AB575" s="52"/>
      <c r="AC575" s="58"/>
      <c r="AD575" s="57"/>
      <c r="AE575" s="52"/>
      <c r="AF575" s="52"/>
      <c r="AG575" s="58"/>
      <c r="AH575" s="57"/>
      <c r="AI575" s="52"/>
      <c r="AJ575" s="52"/>
      <c r="AK575" s="58"/>
      <c r="AL575" s="57"/>
      <c r="AM575" s="52"/>
      <c r="AN575" s="52"/>
      <c r="AO575" s="58"/>
      <c r="AP575" s="57"/>
      <c r="AQ575" s="52"/>
      <c r="AR575" s="52"/>
      <c r="AS575" s="58"/>
      <c r="AT575" s="57"/>
      <c r="AU575" s="52"/>
      <c r="AV575" s="52"/>
      <c r="AW575" s="58"/>
      <c r="AX575" s="33">
        <f t="shared" si="442"/>
        <v>0</v>
      </c>
      <c r="AY575" s="31">
        <f t="shared" si="443"/>
        <v>0</v>
      </c>
      <c r="AZ575" s="30">
        <f t="shared" si="444"/>
        <v>0</v>
      </c>
      <c r="BA575" s="34"/>
      <c r="BB575" s="34"/>
      <c r="BC575" s="34"/>
      <c r="BD575" s="76"/>
      <c r="BE575" s="34"/>
      <c r="BF575" s="34"/>
      <c r="BG575" s="34"/>
      <c r="BH575" s="34"/>
    </row>
    <row r="576" spans="1:60" s="17" customFormat="1" ht="19.5" customHeight="1" x14ac:dyDescent="0.35">
      <c r="A576" s="41">
        <f>A573</f>
        <v>45440</v>
      </c>
      <c r="B576" s="37" t="str">
        <f t="shared" ref="B576" si="447">B575</f>
        <v>BANT GİRİŞ</v>
      </c>
      <c r="C576" s="65" t="str">
        <f t="shared" si="440"/>
        <v>XXL</v>
      </c>
      <c r="D576" s="67">
        <f t="shared" si="441"/>
        <v>120</v>
      </c>
      <c r="E576" s="57"/>
      <c r="F576" s="52"/>
      <c r="G576" s="52"/>
      <c r="H576" s="58"/>
      <c r="I576" s="57"/>
      <c r="J576" s="52"/>
      <c r="K576" s="52"/>
      <c r="L576" s="58"/>
      <c r="M576" s="57"/>
      <c r="N576" s="52"/>
      <c r="O576" s="52"/>
      <c r="P576" s="58"/>
      <c r="Q576" s="57"/>
      <c r="R576" s="52"/>
      <c r="S576" s="52"/>
      <c r="T576" s="52"/>
      <c r="U576" s="58"/>
      <c r="V576" s="57"/>
      <c r="W576" s="52"/>
      <c r="X576" s="52"/>
      <c r="Y576" s="58"/>
      <c r="Z576" s="57"/>
      <c r="AA576" s="52"/>
      <c r="AB576" s="52"/>
      <c r="AC576" s="58"/>
      <c r="AD576" s="57"/>
      <c r="AE576" s="52"/>
      <c r="AF576" s="52"/>
      <c r="AG576" s="58"/>
      <c r="AH576" s="57"/>
      <c r="AI576" s="52"/>
      <c r="AJ576" s="52"/>
      <c r="AK576" s="58"/>
      <c r="AL576" s="57"/>
      <c r="AM576" s="52"/>
      <c r="AN576" s="52"/>
      <c r="AO576" s="58"/>
      <c r="AP576" s="57"/>
      <c r="AQ576" s="52"/>
      <c r="AR576" s="52"/>
      <c r="AS576" s="58"/>
      <c r="AT576" s="57"/>
      <c r="AU576" s="52"/>
      <c r="AV576" s="52"/>
      <c r="AW576" s="58"/>
      <c r="AX576" s="33">
        <f t="shared" si="442"/>
        <v>0</v>
      </c>
      <c r="AY576" s="31">
        <f t="shared" si="443"/>
        <v>0</v>
      </c>
      <c r="AZ576" s="30">
        <f t="shared" si="444"/>
        <v>0</v>
      </c>
      <c r="BA576" s="34"/>
      <c r="BB576" s="34"/>
      <c r="BC576" s="34"/>
      <c r="BD576" s="76"/>
      <c r="BE576" s="34"/>
      <c r="BF576" s="34"/>
      <c r="BG576" s="34"/>
      <c r="BH576" s="34"/>
    </row>
    <row r="577" spans="1:60" s="17" customFormat="1" ht="19.5" customHeight="1" x14ac:dyDescent="0.35">
      <c r="A577" s="41">
        <f t="shared" ref="A577:B577" si="448">A576</f>
        <v>45440</v>
      </c>
      <c r="B577" s="37" t="str">
        <f t="shared" si="448"/>
        <v>BANT GİRİŞ</v>
      </c>
      <c r="C577" s="65">
        <f t="shared" si="440"/>
        <v>0</v>
      </c>
      <c r="D577" s="67">
        <f t="shared" si="441"/>
        <v>120</v>
      </c>
      <c r="E577" s="57"/>
      <c r="F577" s="52"/>
      <c r="G577" s="52"/>
      <c r="H577" s="58"/>
      <c r="I577" s="57"/>
      <c r="J577" s="52"/>
      <c r="K577" s="52"/>
      <c r="L577" s="58"/>
      <c r="M577" s="57"/>
      <c r="N577" s="52"/>
      <c r="O577" s="52"/>
      <c r="P577" s="58"/>
      <c r="Q577" s="57"/>
      <c r="R577" s="52"/>
      <c r="S577" s="52"/>
      <c r="T577" s="52"/>
      <c r="U577" s="58"/>
      <c r="V577" s="57"/>
      <c r="W577" s="52"/>
      <c r="X577" s="52"/>
      <c r="Y577" s="58"/>
      <c r="Z577" s="57"/>
      <c r="AA577" s="52"/>
      <c r="AB577" s="52"/>
      <c r="AC577" s="58"/>
      <c r="AD577" s="57"/>
      <c r="AE577" s="52"/>
      <c r="AF577" s="52"/>
      <c r="AG577" s="58"/>
      <c r="AH577" s="57"/>
      <c r="AI577" s="52"/>
      <c r="AJ577" s="52"/>
      <c r="AK577" s="58"/>
      <c r="AL577" s="57"/>
      <c r="AM577" s="52"/>
      <c r="AN577" s="52"/>
      <c r="AO577" s="58"/>
      <c r="AP577" s="57"/>
      <c r="AQ577" s="52"/>
      <c r="AR577" s="52"/>
      <c r="AS577" s="58"/>
      <c r="AT577" s="57"/>
      <c r="AU577" s="52"/>
      <c r="AV577" s="52"/>
      <c r="AW577" s="58"/>
      <c r="AX577" s="33">
        <f t="shared" si="442"/>
        <v>0</v>
      </c>
      <c r="AY577" s="31">
        <f t="shared" si="443"/>
        <v>0</v>
      </c>
      <c r="AZ577" s="30">
        <f t="shared" si="444"/>
        <v>0</v>
      </c>
      <c r="BA577" s="34"/>
      <c r="BB577" s="34"/>
      <c r="BC577" s="34"/>
      <c r="BD577" s="76"/>
      <c r="BE577" s="34"/>
      <c r="BF577" s="34"/>
      <c r="BG577" s="34"/>
      <c r="BH577" s="34"/>
    </row>
    <row r="578" spans="1:60" s="17" customFormat="1" ht="19.5" customHeight="1" thickBot="1" x14ac:dyDescent="0.4">
      <c r="A578" s="41">
        <f t="shared" ref="A578:B578" si="449">A577</f>
        <v>45440</v>
      </c>
      <c r="B578" s="37" t="str">
        <f t="shared" si="449"/>
        <v>BANT GİRİŞ</v>
      </c>
      <c r="C578" s="65">
        <f t="shared" si="440"/>
        <v>0</v>
      </c>
      <c r="D578" s="67">
        <f t="shared" si="441"/>
        <v>120</v>
      </c>
      <c r="E578" s="59"/>
      <c r="F578" s="60"/>
      <c r="G578" s="61"/>
      <c r="H578" s="62"/>
      <c r="I578" s="59"/>
      <c r="J578" s="60"/>
      <c r="K578" s="61"/>
      <c r="L578" s="62"/>
      <c r="M578" s="59"/>
      <c r="N578" s="60"/>
      <c r="O578" s="61"/>
      <c r="P578" s="62"/>
      <c r="Q578" s="64"/>
      <c r="R578" s="61"/>
      <c r="S578" s="61"/>
      <c r="T578" s="61"/>
      <c r="U578" s="62"/>
      <c r="V578" s="59"/>
      <c r="W578" s="60"/>
      <c r="X578" s="61"/>
      <c r="Y578" s="62"/>
      <c r="Z578" s="59"/>
      <c r="AA578" s="60"/>
      <c r="AB578" s="61"/>
      <c r="AC578" s="62"/>
      <c r="AD578" s="59"/>
      <c r="AE578" s="60"/>
      <c r="AF578" s="61"/>
      <c r="AG578" s="62"/>
      <c r="AH578" s="59"/>
      <c r="AI578" s="60"/>
      <c r="AJ578" s="61"/>
      <c r="AK578" s="62"/>
      <c r="AL578" s="59"/>
      <c r="AM578" s="60"/>
      <c r="AN578" s="61"/>
      <c r="AO578" s="62"/>
      <c r="AP578" s="59"/>
      <c r="AQ578" s="60"/>
      <c r="AR578" s="61"/>
      <c r="AS578" s="62"/>
      <c r="AT578" s="59"/>
      <c r="AU578" s="60"/>
      <c r="AV578" s="61"/>
      <c r="AW578" s="62"/>
      <c r="AX578" s="33">
        <f t="shared" si="442"/>
        <v>0</v>
      </c>
      <c r="AY578" s="31">
        <f t="shared" si="443"/>
        <v>0</v>
      </c>
      <c r="AZ578" s="30">
        <f t="shared" si="444"/>
        <v>0</v>
      </c>
      <c r="BA578" s="34"/>
      <c r="BB578" s="34"/>
      <c r="BC578" s="34"/>
      <c r="BD578" s="76"/>
      <c r="BE578" s="34"/>
      <c r="BF578" s="34"/>
      <c r="BG578" s="34"/>
      <c r="BH578" s="34"/>
    </row>
    <row r="579" spans="1:60" s="17" customFormat="1" ht="19.5" customHeight="1" thickBot="1" x14ac:dyDescent="0.45">
      <c r="A579" s="41">
        <f t="shared" ref="A579" si="450">A578</f>
        <v>45440</v>
      </c>
      <c r="B579" s="139" t="str">
        <f>B572</f>
        <v>BANT GİRİŞ</v>
      </c>
      <c r="C579" s="140"/>
      <c r="D579" s="40">
        <f>C534/8</f>
        <v>500</v>
      </c>
      <c r="E579" s="147">
        <f>SUM(E572:H578)</f>
        <v>0</v>
      </c>
      <c r="F579" s="148"/>
      <c r="G579" s="148"/>
      <c r="H579" s="149"/>
      <c r="I579" s="147">
        <f>SUM(I572:L578)</f>
        <v>0</v>
      </c>
      <c r="J579" s="148"/>
      <c r="K579" s="148"/>
      <c r="L579" s="149"/>
      <c r="M579" s="147">
        <f>SUM(M572:P578)</f>
        <v>0</v>
      </c>
      <c r="N579" s="148"/>
      <c r="O579" s="148"/>
      <c r="P579" s="149"/>
      <c r="Q579" s="147">
        <f>SUM(Q572:U578)</f>
        <v>0</v>
      </c>
      <c r="R579" s="148"/>
      <c r="S579" s="148"/>
      <c r="T579" s="148"/>
      <c r="U579" s="149"/>
      <c r="V579" s="147">
        <f>SUM(V572:Y578)</f>
        <v>0</v>
      </c>
      <c r="W579" s="148"/>
      <c r="X579" s="148"/>
      <c r="Y579" s="149"/>
      <c r="Z579" s="147">
        <f>SUM(Z572:AC578)</f>
        <v>0</v>
      </c>
      <c r="AA579" s="148"/>
      <c r="AB579" s="148"/>
      <c r="AC579" s="149"/>
      <c r="AD579" s="147">
        <f>SUM(AD572:AG578)</f>
        <v>0</v>
      </c>
      <c r="AE579" s="148"/>
      <c r="AF579" s="148"/>
      <c r="AG579" s="149"/>
      <c r="AH579" s="147">
        <f>SUM(AH572:AK578)</f>
        <v>0</v>
      </c>
      <c r="AI579" s="148"/>
      <c r="AJ579" s="148"/>
      <c r="AK579" s="149"/>
      <c r="AL579" s="147">
        <f>SUM(AL572:AO578)</f>
        <v>0</v>
      </c>
      <c r="AM579" s="148"/>
      <c r="AN579" s="148"/>
      <c r="AO579" s="149"/>
      <c r="AP579" s="147">
        <f>SUM(AP572:AS578)</f>
        <v>0</v>
      </c>
      <c r="AQ579" s="148"/>
      <c r="AR579" s="148"/>
      <c r="AS579" s="149"/>
      <c r="AT579" s="147">
        <f>SUM(AT572:AW578)</f>
        <v>0</v>
      </c>
      <c r="AU579" s="148"/>
      <c r="AV579" s="148"/>
      <c r="AW579" s="149"/>
      <c r="AX579" s="87">
        <f>SUM(AX572:AX578)</f>
        <v>0</v>
      </c>
      <c r="AY579" s="88">
        <f>IFERROR(AVERAGEIF(E579:AV579,"&lt;&gt;0",(E579:AV579)),)</f>
        <v>0</v>
      </c>
      <c r="AZ579" s="46">
        <f>IFERROR(AX579/BB573,0)</f>
        <v>0</v>
      </c>
      <c r="BA579" s="34"/>
      <c r="BB579" s="34"/>
      <c r="BC579" s="34"/>
      <c r="BD579" s="76"/>
      <c r="BE579" s="34"/>
      <c r="BF579" s="34"/>
      <c r="BG579" s="34"/>
      <c r="BH579" s="34"/>
    </row>
    <row r="580" spans="1:60" s="17" customFormat="1" ht="19.5" customHeight="1" thickBot="1" x14ac:dyDescent="0.4">
      <c r="A580" s="42">
        <f>A571</f>
        <v>45440</v>
      </c>
      <c r="B580" s="38" t="str">
        <f>B581</f>
        <v>Omuz Çatma</v>
      </c>
      <c r="C580" s="39" t="s">
        <v>180</v>
      </c>
      <c r="D580" s="69" t="s">
        <v>181</v>
      </c>
      <c r="E580" s="48">
        <v>0.34375</v>
      </c>
      <c r="F580" s="49">
        <v>0.35416666666666669</v>
      </c>
      <c r="G580" s="49">
        <v>0.36458333333333331</v>
      </c>
      <c r="H580" s="50">
        <v>0.375</v>
      </c>
      <c r="I580" s="48">
        <v>0.38541666666666702</v>
      </c>
      <c r="J580" s="49">
        <v>0.39583333333333298</v>
      </c>
      <c r="K580" s="49">
        <v>0.40625</v>
      </c>
      <c r="L580" s="50">
        <v>0.41666666666666702</v>
      </c>
      <c r="M580" s="48">
        <v>0.4375</v>
      </c>
      <c r="N580" s="49">
        <v>0.44791666666666702</v>
      </c>
      <c r="O580" s="49">
        <v>0.45833333333333398</v>
      </c>
      <c r="P580" s="50">
        <v>0.46875</v>
      </c>
      <c r="Q580" s="48">
        <v>0.47916666666666702</v>
      </c>
      <c r="R580" s="49">
        <v>0.48958333333333398</v>
      </c>
      <c r="S580" s="49">
        <v>0.5</v>
      </c>
      <c r="T580" s="50">
        <v>0.51041666666666696</v>
      </c>
      <c r="U580" s="51">
        <v>0.52083333333333204</v>
      </c>
      <c r="V580" s="48">
        <v>0.5625</v>
      </c>
      <c r="W580" s="49">
        <v>0.57291666666666663</v>
      </c>
      <c r="X580" s="49">
        <v>0.58333333333333304</v>
      </c>
      <c r="Y580" s="50">
        <v>0.59375</v>
      </c>
      <c r="Z580" s="48">
        <v>0.60416666666666696</v>
      </c>
      <c r="AA580" s="49">
        <v>0.61458333333333304</v>
      </c>
      <c r="AB580" s="49">
        <v>0.625</v>
      </c>
      <c r="AC580" s="50">
        <v>0.63541666666666596</v>
      </c>
      <c r="AD580" s="48">
        <v>0.65625</v>
      </c>
      <c r="AE580" s="49">
        <v>0.66666666666666663</v>
      </c>
      <c r="AF580" s="49">
        <v>0.67708333333333304</v>
      </c>
      <c r="AG580" s="50">
        <v>0.6875</v>
      </c>
      <c r="AH580" s="48">
        <v>0.69791666666666696</v>
      </c>
      <c r="AI580" s="49">
        <v>0.70833333333333304</v>
      </c>
      <c r="AJ580" s="49">
        <v>0.71875</v>
      </c>
      <c r="AK580" s="50">
        <v>0.72916666666666696</v>
      </c>
      <c r="AL580" s="48">
        <v>0.73958333333333404</v>
      </c>
      <c r="AM580" s="49">
        <v>0.750000000000001</v>
      </c>
      <c r="AN580" s="49">
        <v>0.76041666666666796</v>
      </c>
      <c r="AO580" s="50">
        <v>0.77083333333333504</v>
      </c>
      <c r="AP580" s="48">
        <v>0.781250000000002</v>
      </c>
      <c r="AQ580" s="49">
        <v>0.79166666666666896</v>
      </c>
      <c r="AR580" s="49">
        <v>0.80208333333333603</v>
      </c>
      <c r="AS580" s="50">
        <v>0.812500000000003</v>
      </c>
      <c r="AT580" s="48">
        <v>0.82291666666666996</v>
      </c>
      <c r="AU580" s="49">
        <v>0.83333333333333703</v>
      </c>
      <c r="AV580" s="49">
        <v>0.843750000000004</v>
      </c>
      <c r="AW580" s="50">
        <v>0.85416666666666663</v>
      </c>
      <c r="AX580" s="68" t="s">
        <v>260</v>
      </c>
      <c r="AY580" s="28" t="s">
        <v>261</v>
      </c>
      <c r="AZ580" s="29" t="s">
        <v>262</v>
      </c>
      <c r="BA580" s="136" t="str">
        <f>B581</f>
        <v>Omuz Çatma</v>
      </c>
      <c r="BB580" s="137"/>
      <c r="BC580" s="137"/>
      <c r="BD580" s="137"/>
      <c r="BE580" s="137"/>
      <c r="BF580" s="137"/>
      <c r="BG580" s="137"/>
      <c r="BH580" s="138"/>
    </row>
    <row r="581" spans="1:60" s="17" customFormat="1" ht="19.5" customHeight="1" thickBot="1" x14ac:dyDescent="0.4">
      <c r="A581" s="41">
        <f t="shared" ref="A581" si="451">A580</f>
        <v>45440</v>
      </c>
      <c r="B581" s="37" t="str">
        <f>B405</f>
        <v>Omuz Çatma</v>
      </c>
      <c r="C581" s="65" t="s">
        <v>85</v>
      </c>
      <c r="D581" s="70">
        <f>D405</f>
        <v>60</v>
      </c>
      <c r="E581" s="63">
        <v>40</v>
      </c>
      <c r="F581" s="55">
        <v>50</v>
      </c>
      <c r="G581" s="55">
        <v>50</v>
      </c>
      <c r="H581" s="56">
        <v>50</v>
      </c>
      <c r="I581" s="63">
        <v>60</v>
      </c>
      <c r="J581" s="55">
        <v>40</v>
      </c>
      <c r="K581" s="55">
        <v>55</v>
      </c>
      <c r="L581" s="56">
        <v>60</v>
      </c>
      <c r="M581" s="63">
        <v>45</v>
      </c>
      <c r="N581" s="55">
        <v>55</v>
      </c>
      <c r="O581" s="55">
        <v>40</v>
      </c>
      <c r="P581" s="56">
        <v>50</v>
      </c>
      <c r="Q581" s="63">
        <v>40</v>
      </c>
      <c r="R581" s="55">
        <v>50</v>
      </c>
      <c r="S581" s="55">
        <v>50</v>
      </c>
      <c r="T581" s="55">
        <v>60</v>
      </c>
      <c r="U581" s="56">
        <v>50</v>
      </c>
      <c r="V581" s="63">
        <v>40</v>
      </c>
      <c r="W581" s="55">
        <v>60</v>
      </c>
      <c r="X581" s="55">
        <v>55</v>
      </c>
      <c r="Y581" s="56">
        <v>55</v>
      </c>
      <c r="Z581" s="63">
        <v>30</v>
      </c>
      <c r="AA581" s="55">
        <v>55</v>
      </c>
      <c r="AB581" s="55">
        <v>55</v>
      </c>
      <c r="AC581" s="56">
        <v>60</v>
      </c>
      <c r="AD581" s="63">
        <v>55</v>
      </c>
      <c r="AE581" s="55">
        <v>45</v>
      </c>
      <c r="AF581" s="55">
        <v>35</v>
      </c>
      <c r="AG581" s="56">
        <v>40</v>
      </c>
      <c r="AH581" s="63">
        <v>50</v>
      </c>
      <c r="AI581" s="55">
        <v>45</v>
      </c>
      <c r="AJ581" s="55">
        <v>55</v>
      </c>
      <c r="AK581" s="56">
        <v>60</v>
      </c>
      <c r="AL581" s="63">
        <v>40</v>
      </c>
      <c r="AM581" s="55">
        <v>55</v>
      </c>
      <c r="AN581" s="55">
        <v>50</v>
      </c>
      <c r="AO581" s="56"/>
      <c r="AP581" s="63"/>
      <c r="AQ581" s="54"/>
      <c r="AR581" s="55"/>
      <c r="AS581" s="56"/>
      <c r="AT581" s="53"/>
      <c r="AU581" s="54"/>
      <c r="AV581" s="55"/>
      <c r="AW581" s="56"/>
      <c r="AX581" s="33">
        <f>SUM(E581:AW581)</f>
        <v>1785</v>
      </c>
      <c r="AY581" s="31">
        <f>IFERROR(AVERAGEIF(E581:AW581,"&lt;&gt;0",(E581:AW581)),)</f>
        <v>49.583333333333336</v>
      </c>
      <c r="AZ581" s="30">
        <f>IFERROR(AY581/D581,0)</f>
        <v>0.82638888888888895</v>
      </c>
      <c r="BA581" s="103" t="s">
        <v>182</v>
      </c>
      <c r="BB581" s="100" t="s">
        <v>183</v>
      </c>
      <c r="BC581" s="100" t="s">
        <v>184</v>
      </c>
      <c r="BD581" s="101" t="s">
        <v>185</v>
      </c>
      <c r="BE581" s="100" t="s">
        <v>186</v>
      </c>
      <c r="BF581" s="102" t="s">
        <v>187</v>
      </c>
      <c r="BG581" s="100" t="s">
        <v>188</v>
      </c>
      <c r="BH581" s="102" t="s">
        <v>189</v>
      </c>
    </row>
    <row r="582" spans="1:60" s="17" customFormat="1" ht="19.5" customHeight="1" thickBot="1" x14ac:dyDescent="0.4">
      <c r="A582" s="41">
        <f t="shared" ref="A582:B582" si="452">A581</f>
        <v>45440</v>
      </c>
      <c r="B582" s="37" t="str">
        <f t="shared" si="452"/>
        <v>Omuz Çatma</v>
      </c>
      <c r="C582" s="65" t="s">
        <v>38</v>
      </c>
      <c r="D582" s="67">
        <f t="shared" ref="D582:D587" si="453">D581</f>
        <v>60</v>
      </c>
      <c r="E582" s="57">
        <v>35</v>
      </c>
      <c r="F582" s="52">
        <v>45</v>
      </c>
      <c r="G582" s="52">
        <v>45</v>
      </c>
      <c r="H582" s="58">
        <v>45</v>
      </c>
      <c r="I582" s="57">
        <v>23</v>
      </c>
      <c r="J582" s="52">
        <v>40</v>
      </c>
      <c r="K582" s="52">
        <v>45</v>
      </c>
      <c r="L582" s="58">
        <v>40</v>
      </c>
      <c r="M582" s="57">
        <v>40</v>
      </c>
      <c r="N582" s="52">
        <v>40</v>
      </c>
      <c r="O582" s="52">
        <v>36</v>
      </c>
      <c r="P582" s="58">
        <v>10</v>
      </c>
      <c r="Q582" s="57">
        <v>30</v>
      </c>
      <c r="R582" s="52">
        <v>45</v>
      </c>
      <c r="S582" s="52">
        <v>30</v>
      </c>
      <c r="T582" s="52">
        <v>47</v>
      </c>
      <c r="U582" s="58">
        <v>45</v>
      </c>
      <c r="V582" s="57">
        <v>45</v>
      </c>
      <c r="W582" s="52">
        <v>40</v>
      </c>
      <c r="X582" s="52">
        <v>40</v>
      </c>
      <c r="Y582" s="58">
        <v>40</v>
      </c>
      <c r="Z582" s="57">
        <v>21</v>
      </c>
      <c r="AA582" s="52">
        <v>30</v>
      </c>
      <c r="AB582" s="52">
        <v>32</v>
      </c>
      <c r="AC582" s="58">
        <v>43</v>
      </c>
      <c r="AD582" s="57">
        <v>47</v>
      </c>
      <c r="AE582" s="52">
        <v>40</v>
      </c>
      <c r="AF582" s="52">
        <v>35</v>
      </c>
      <c r="AG582" s="58">
        <v>40</v>
      </c>
      <c r="AH582" s="57">
        <v>35</v>
      </c>
      <c r="AI582" s="52">
        <v>20</v>
      </c>
      <c r="AJ582" s="52">
        <v>40</v>
      </c>
      <c r="AK582" s="58">
        <v>45</v>
      </c>
      <c r="AL582" s="57">
        <v>45</v>
      </c>
      <c r="AM582" s="52">
        <v>40</v>
      </c>
      <c r="AN582" s="52">
        <v>35</v>
      </c>
      <c r="AO582" s="58"/>
      <c r="AP582" s="57"/>
      <c r="AQ582" s="52"/>
      <c r="AR582" s="52"/>
      <c r="AS582" s="58"/>
      <c r="AT582" s="57"/>
      <c r="AU582" s="52"/>
      <c r="AV582" s="52"/>
      <c r="AW582" s="58"/>
      <c r="AX582" s="33">
        <f t="shared" ref="AX582:AX587" si="454">SUM(E582:AW582)</f>
        <v>1354</v>
      </c>
      <c r="AY582" s="31">
        <f t="shared" ref="AY582:AY587" si="455">IFERROR(AVERAGEIF(E582:AW582,"&lt;&gt;0",(E582:AW582)),)</f>
        <v>37.611111111111114</v>
      </c>
      <c r="AZ582" s="30">
        <f t="shared" ref="AZ582:AZ587" si="456">IFERROR(AY582/D582,0)</f>
        <v>0.62685185185185188</v>
      </c>
      <c r="BA582" s="94">
        <f>AX588+BA406</f>
        <v>5390</v>
      </c>
      <c r="BB582" s="95">
        <f>(D588*8)</f>
        <v>4000</v>
      </c>
      <c r="BC582" s="96">
        <f>C533-BA582</f>
        <v>36921</v>
      </c>
      <c r="BD582" s="96">
        <f>BH573-BA582</f>
        <v>-5390</v>
      </c>
      <c r="BE582" s="97">
        <f>IFERROR(BC582/E588,0)</f>
        <v>78.222457627118644</v>
      </c>
      <c r="BF582" s="98">
        <f>IFERROR(BE582/9,0)</f>
        <v>8.6913841807909602</v>
      </c>
      <c r="BG582" s="97">
        <f>IFERROR(BC582/AY588,0)</f>
        <v>85.027891504605932</v>
      </c>
      <c r="BH582" s="97">
        <f>IFERROR(BG582/9,0)</f>
        <v>9.4475435005117703</v>
      </c>
    </row>
    <row r="583" spans="1:60" s="17" customFormat="1" ht="19.5" customHeight="1" x14ac:dyDescent="0.35">
      <c r="A583" s="41">
        <f t="shared" ref="A583:B583" si="457">A582</f>
        <v>45440</v>
      </c>
      <c r="B583" s="37" t="str">
        <f t="shared" si="457"/>
        <v>Omuz Çatma</v>
      </c>
      <c r="C583" s="65" t="s">
        <v>272</v>
      </c>
      <c r="D583" s="67">
        <f t="shared" si="453"/>
        <v>60</v>
      </c>
      <c r="E583" s="57">
        <v>27</v>
      </c>
      <c r="F583" s="52">
        <v>25</v>
      </c>
      <c r="G583" s="52">
        <v>30</v>
      </c>
      <c r="H583" s="58">
        <v>30</v>
      </c>
      <c r="I583" s="57">
        <v>30</v>
      </c>
      <c r="J583" s="52">
        <v>29</v>
      </c>
      <c r="K583" s="52">
        <v>30</v>
      </c>
      <c r="L583" s="58">
        <v>30</v>
      </c>
      <c r="M583" s="57">
        <v>30</v>
      </c>
      <c r="N583" s="52">
        <v>28</v>
      </c>
      <c r="O583" s="52">
        <v>22</v>
      </c>
      <c r="P583" s="58">
        <v>16</v>
      </c>
      <c r="Q583" s="57">
        <v>30</v>
      </c>
      <c r="R583" s="52">
        <v>20</v>
      </c>
      <c r="S583" s="52">
        <v>20</v>
      </c>
      <c r="T583" s="52">
        <v>20</v>
      </c>
      <c r="U583" s="58">
        <v>20</v>
      </c>
      <c r="V583" s="57">
        <v>22</v>
      </c>
      <c r="W583" s="52">
        <v>20</v>
      </c>
      <c r="X583" s="52">
        <v>20</v>
      </c>
      <c r="Y583" s="58">
        <v>20</v>
      </c>
      <c r="Z583" s="57">
        <v>20</v>
      </c>
      <c r="AA583" s="52">
        <v>5</v>
      </c>
      <c r="AB583" s="52">
        <v>0</v>
      </c>
      <c r="AC583" s="58">
        <v>0</v>
      </c>
      <c r="AD583" s="57">
        <v>23</v>
      </c>
      <c r="AE583" s="52">
        <v>20</v>
      </c>
      <c r="AF583" s="52">
        <v>20</v>
      </c>
      <c r="AG583" s="58">
        <v>22</v>
      </c>
      <c r="AH583" s="57">
        <v>20</v>
      </c>
      <c r="AI583" s="52">
        <v>20</v>
      </c>
      <c r="AJ583" s="52">
        <v>20</v>
      </c>
      <c r="AK583" s="58">
        <v>20</v>
      </c>
      <c r="AL583" s="57">
        <v>20</v>
      </c>
      <c r="AM583" s="52">
        <v>20</v>
      </c>
      <c r="AN583" s="52">
        <v>20</v>
      </c>
      <c r="AO583" s="58"/>
      <c r="AP583" s="57"/>
      <c r="AQ583" s="52"/>
      <c r="AR583" s="52"/>
      <c r="AS583" s="58"/>
      <c r="AT583" s="57"/>
      <c r="AU583" s="52"/>
      <c r="AV583" s="52"/>
      <c r="AW583" s="58"/>
      <c r="AX583" s="33">
        <f t="shared" si="454"/>
        <v>769</v>
      </c>
      <c r="AY583" s="31">
        <f t="shared" si="455"/>
        <v>22.617647058823529</v>
      </c>
      <c r="AZ583" s="30">
        <f t="shared" si="456"/>
        <v>0.37696078431372548</v>
      </c>
      <c r="BA583" s="34"/>
      <c r="BB583" s="34"/>
      <c r="BC583" s="34"/>
      <c r="BD583" s="76"/>
      <c r="BE583" s="34"/>
      <c r="BF583" s="34"/>
      <c r="BG583" s="34"/>
      <c r="BH583" s="34"/>
    </row>
    <row r="584" spans="1:60" s="17" customFormat="1" ht="19.5" customHeight="1" x14ac:dyDescent="0.35">
      <c r="A584" s="41">
        <f t="shared" ref="A584:B584" si="458">A583</f>
        <v>45440</v>
      </c>
      <c r="B584" s="37" t="str">
        <f t="shared" si="458"/>
        <v>Omuz Çatma</v>
      </c>
      <c r="C584" s="65"/>
      <c r="D584" s="67">
        <f t="shared" si="453"/>
        <v>60</v>
      </c>
      <c r="E584" s="57"/>
      <c r="F584" s="52"/>
      <c r="G584" s="52"/>
      <c r="H584" s="58"/>
      <c r="I584" s="57"/>
      <c r="J584" s="52"/>
      <c r="K584" s="52"/>
      <c r="L584" s="58"/>
      <c r="M584" s="57"/>
      <c r="N584" s="52"/>
      <c r="O584" s="52"/>
      <c r="P584" s="58"/>
      <c r="Q584" s="57"/>
      <c r="R584" s="52"/>
      <c r="S584" s="52"/>
      <c r="T584" s="52"/>
      <c r="U584" s="58"/>
      <c r="V584" s="57"/>
      <c r="W584" s="52"/>
      <c r="X584" s="52"/>
      <c r="Y584" s="58"/>
      <c r="Z584" s="57"/>
      <c r="AA584" s="52"/>
      <c r="AB584" s="52"/>
      <c r="AC584" s="58"/>
      <c r="AD584" s="57"/>
      <c r="AE584" s="52"/>
      <c r="AF584" s="52"/>
      <c r="AG584" s="58"/>
      <c r="AH584" s="57"/>
      <c r="AI584" s="52"/>
      <c r="AJ584" s="52"/>
      <c r="AK584" s="58"/>
      <c r="AL584" s="57"/>
      <c r="AM584" s="52"/>
      <c r="AN584" s="52"/>
      <c r="AO584" s="58"/>
      <c r="AP584" s="57"/>
      <c r="AQ584" s="52"/>
      <c r="AR584" s="52"/>
      <c r="AS584" s="58"/>
      <c r="AT584" s="57"/>
      <c r="AU584" s="52"/>
      <c r="AV584" s="52"/>
      <c r="AW584" s="58"/>
      <c r="AX584" s="33">
        <f t="shared" si="454"/>
        <v>0</v>
      </c>
      <c r="AY584" s="31">
        <f t="shared" si="455"/>
        <v>0</v>
      </c>
      <c r="AZ584" s="30">
        <f t="shared" si="456"/>
        <v>0</v>
      </c>
      <c r="BA584" s="34"/>
      <c r="BB584" s="34"/>
      <c r="BC584" s="34"/>
      <c r="BD584" s="76"/>
      <c r="BE584" s="34"/>
      <c r="BF584" s="34"/>
      <c r="BG584" s="34"/>
      <c r="BH584" s="34"/>
    </row>
    <row r="585" spans="1:60" s="17" customFormat="1" ht="19.5" customHeight="1" x14ac:dyDescent="0.35">
      <c r="A585" s="41">
        <f>A582</f>
        <v>45440</v>
      </c>
      <c r="B585" s="37" t="str">
        <f t="shared" ref="B585" si="459">B584</f>
        <v>Omuz Çatma</v>
      </c>
      <c r="C585" s="65">
        <f t="shared" ref="C585:C587" si="460">C409</f>
        <v>0</v>
      </c>
      <c r="D585" s="67">
        <f t="shared" si="453"/>
        <v>60</v>
      </c>
      <c r="E585" s="57"/>
      <c r="F585" s="52"/>
      <c r="G585" s="52"/>
      <c r="H585" s="58"/>
      <c r="I585" s="57"/>
      <c r="J585" s="52"/>
      <c r="K585" s="52"/>
      <c r="L585" s="58"/>
      <c r="M585" s="57"/>
      <c r="N585" s="52"/>
      <c r="O585" s="52"/>
      <c r="P585" s="58"/>
      <c r="Q585" s="57"/>
      <c r="R585" s="52"/>
      <c r="S585" s="52"/>
      <c r="T585" s="52"/>
      <c r="U585" s="58"/>
      <c r="V585" s="57"/>
      <c r="W585" s="52"/>
      <c r="X585" s="52"/>
      <c r="Y585" s="58"/>
      <c r="Z585" s="57"/>
      <c r="AA585" s="52"/>
      <c r="AB585" s="52"/>
      <c r="AC585" s="58"/>
      <c r="AD585" s="57"/>
      <c r="AE585" s="52"/>
      <c r="AF585" s="52"/>
      <c r="AG585" s="58"/>
      <c r="AH585" s="57"/>
      <c r="AI585" s="52"/>
      <c r="AJ585" s="52"/>
      <c r="AK585" s="58"/>
      <c r="AL585" s="57"/>
      <c r="AM585" s="52"/>
      <c r="AN585" s="52"/>
      <c r="AO585" s="58"/>
      <c r="AP585" s="57"/>
      <c r="AQ585" s="52"/>
      <c r="AR585" s="52"/>
      <c r="AS585" s="58"/>
      <c r="AT585" s="57"/>
      <c r="AU585" s="52"/>
      <c r="AV585" s="52"/>
      <c r="AW585" s="58"/>
      <c r="AX585" s="33">
        <f t="shared" si="454"/>
        <v>0</v>
      </c>
      <c r="AY585" s="31">
        <f t="shared" si="455"/>
        <v>0</v>
      </c>
      <c r="AZ585" s="30">
        <f t="shared" si="456"/>
        <v>0</v>
      </c>
      <c r="BA585" s="34"/>
      <c r="BB585" s="34"/>
      <c r="BC585" s="34"/>
      <c r="BD585" s="76"/>
      <c r="BE585" s="34"/>
      <c r="BF585" s="34"/>
      <c r="BG585" s="34"/>
      <c r="BH585" s="34"/>
    </row>
    <row r="586" spans="1:60" s="17" customFormat="1" ht="19.5" customHeight="1" x14ac:dyDescent="0.35">
      <c r="A586" s="41">
        <f>A585</f>
        <v>45440</v>
      </c>
      <c r="B586" s="37" t="str">
        <f t="shared" ref="B586" si="461">B585</f>
        <v>Omuz Çatma</v>
      </c>
      <c r="C586" s="65">
        <f t="shared" si="460"/>
        <v>0</v>
      </c>
      <c r="D586" s="67">
        <f t="shared" si="453"/>
        <v>60</v>
      </c>
      <c r="E586" s="57"/>
      <c r="F586" s="52"/>
      <c r="G586" s="52"/>
      <c r="H586" s="58"/>
      <c r="I586" s="57"/>
      <c r="J586" s="52"/>
      <c r="K586" s="52"/>
      <c r="L586" s="58"/>
      <c r="M586" s="57"/>
      <c r="N586" s="52"/>
      <c r="O586" s="52"/>
      <c r="P586" s="58"/>
      <c r="Q586" s="57"/>
      <c r="R586" s="52"/>
      <c r="S586" s="52"/>
      <c r="T586" s="52"/>
      <c r="U586" s="58"/>
      <c r="V586" s="57"/>
      <c r="W586" s="52"/>
      <c r="X586" s="52"/>
      <c r="Y586" s="58"/>
      <c r="Z586" s="57"/>
      <c r="AA586" s="52"/>
      <c r="AB586" s="52"/>
      <c r="AC586" s="58"/>
      <c r="AD586" s="57"/>
      <c r="AE586" s="52"/>
      <c r="AF586" s="52"/>
      <c r="AG586" s="58"/>
      <c r="AH586" s="57"/>
      <c r="AI586" s="52"/>
      <c r="AJ586" s="52"/>
      <c r="AK586" s="58"/>
      <c r="AL586" s="57"/>
      <c r="AM586" s="52"/>
      <c r="AN586" s="52"/>
      <c r="AO586" s="58"/>
      <c r="AP586" s="57"/>
      <c r="AQ586" s="52"/>
      <c r="AR586" s="52"/>
      <c r="AS586" s="58"/>
      <c r="AT586" s="57"/>
      <c r="AU586" s="52"/>
      <c r="AV586" s="52"/>
      <c r="AW586" s="58"/>
      <c r="AX586" s="33">
        <f t="shared" si="454"/>
        <v>0</v>
      </c>
      <c r="AY586" s="31">
        <f t="shared" si="455"/>
        <v>0</v>
      </c>
      <c r="AZ586" s="30">
        <f t="shared" si="456"/>
        <v>0</v>
      </c>
      <c r="BA586" s="34"/>
      <c r="BB586" s="34"/>
      <c r="BC586" s="34"/>
      <c r="BD586" s="76"/>
      <c r="BE586" s="34"/>
      <c r="BF586" s="34"/>
      <c r="BG586" s="34"/>
      <c r="BH586" s="34"/>
    </row>
    <row r="587" spans="1:60" s="17" customFormat="1" ht="19.5" customHeight="1" thickBot="1" x14ac:dyDescent="0.4">
      <c r="A587" s="41">
        <f>A586</f>
        <v>45440</v>
      </c>
      <c r="B587" s="37" t="str">
        <f t="shared" ref="B587" si="462">B586</f>
        <v>Omuz Çatma</v>
      </c>
      <c r="C587" s="65">
        <f t="shared" si="460"/>
        <v>0</v>
      </c>
      <c r="D587" s="67">
        <f t="shared" si="453"/>
        <v>60</v>
      </c>
      <c r="E587" s="59"/>
      <c r="F587" s="60"/>
      <c r="G587" s="61"/>
      <c r="H587" s="62"/>
      <c r="I587" s="59"/>
      <c r="J587" s="60"/>
      <c r="K587" s="61"/>
      <c r="L587" s="62"/>
      <c r="M587" s="59"/>
      <c r="N587" s="60"/>
      <c r="O587" s="61"/>
      <c r="P587" s="62"/>
      <c r="Q587" s="64"/>
      <c r="R587" s="61"/>
      <c r="S587" s="61"/>
      <c r="T587" s="61"/>
      <c r="U587" s="62"/>
      <c r="V587" s="59"/>
      <c r="W587" s="60"/>
      <c r="X587" s="61"/>
      <c r="Y587" s="62"/>
      <c r="Z587" s="59"/>
      <c r="AA587" s="60"/>
      <c r="AB587" s="61"/>
      <c r="AC587" s="62"/>
      <c r="AD587" s="59"/>
      <c r="AE587" s="60"/>
      <c r="AF587" s="61"/>
      <c r="AG587" s="62"/>
      <c r="AH587" s="59"/>
      <c r="AI587" s="60"/>
      <c r="AJ587" s="61"/>
      <c r="AK587" s="62"/>
      <c r="AL587" s="59"/>
      <c r="AM587" s="60"/>
      <c r="AN587" s="61"/>
      <c r="AO587" s="62"/>
      <c r="AP587" s="59"/>
      <c r="AQ587" s="60"/>
      <c r="AR587" s="61"/>
      <c r="AS587" s="62"/>
      <c r="AT587" s="59"/>
      <c r="AU587" s="60"/>
      <c r="AV587" s="61"/>
      <c r="AW587" s="62"/>
      <c r="AX587" s="33">
        <f t="shared" si="454"/>
        <v>0</v>
      </c>
      <c r="AY587" s="31">
        <f t="shared" si="455"/>
        <v>0</v>
      </c>
      <c r="AZ587" s="30">
        <f t="shared" si="456"/>
        <v>0</v>
      </c>
      <c r="BA587" s="34"/>
      <c r="BB587" s="34"/>
      <c r="BC587" s="34"/>
      <c r="BD587" s="76"/>
      <c r="BE587" s="34"/>
      <c r="BF587" s="34"/>
      <c r="BG587" s="34"/>
      <c r="BH587" s="34"/>
    </row>
    <row r="588" spans="1:60" s="17" customFormat="1" ht="19.5" customHeight="1" thickBot="1" x14ac:dyDescent="0.45">
      <c r="A588" s="41">
        <f>A587</f>
        <v>45440</v>
      </c>
      <c r="B588" s="139" t="str">
        <f>B581</f>
        <v>Omuz Çatma</v>
      </c>
      <c r="C588" s="140"/>
      <c r="D588" s="40">
        <f>C534/8</f>
        <v>500</v>
      </c>
      <c r="E588" s="147">
        <f>SUM(E581:H587)</f>
        <v>472</v>
      </c>
      <c r="F588" s="148"/>
      <c r="G588" s="148"/>
      <c r="H588" s="149"/>
      <c r="I588" s="147">
        <f>SUM(I581:L587)</f>
        <v>482</v>
      </c>
      <c r="J588" s="148"/>
      <c r="K588" s="148"/>
      <c r="L588" s="149"/>
      <c r="M588" s="147">
        <f>SUM(M581:P587)</f>
        <v>412</v>
      </c>
      <c r="N588" s="148"/>
      <c r="O588" s="148"/>
      <c r="P588" s="149"/>
      <c r="Q588" s="147">
        <f>SUM(Q581:U587)</f>
        <v>557</v>
      </c>
      <c r="R588" s="148"/>
      <c r="S588" s="148"/>
      <c r="T588" s="148"/>
      <c r="U588" s="149"/>
      <c r="V588" s="147">
        <f>SUM(V581:Y587)</f>
        <v>457</v>
      </c>
      <c r="W588" s="148"/>
      <c r="X588" s="148"/>
      <c r="Y588" s="149"/>
      <c r="Z588" s="147">
        <f>SUM(Z581:AC587)</f>
        <v>351</v>
      </c>
      <c r="AA588" s="148"/>
      <c r="AB588" s="148"/>
      <c r="AC588" s="149"/>
      <c r="AD588" s="147">
        <f>SUM(AD581:AG587)</f>
        <v>422</v>
      </c>
      <c r="AE588" s="148"/>
      <c r="AF588" s="148"/>
      <c r="AG588" s="149"/>
      <c r="AH588" s="147">
        <f>SUM(AH581:AK587)</f>
        <v>430</v>
      </c>
      <c r="AI588" s="148"/>
      <c r="AJ588" s="148"/>
      <c r="AK588" s="149"/>
      <c r="AL588" s="147">
        <f>SUM(AL581:AO587)</f>
        <v>325</v>
      </c>
      <c r="AM588" s="148"/>
      <c r="AN588" s="148"/>
      <c r="AO588" s="149"/>
      <c r="AP588" s="147">
        <f>SUM(AP581:AS587)</f>
        <v>0</v>
      </c>
      <c r="AQ588" s="148"/>
      <c r="AR588" s="148"/>
      <c r="AS588" s="149"/>
      <c r="AT588" s="147">
        <f>SUM(AT581:AW587)</f>
        <v>0</v>
      </c>
      <c r="AU588" s="148"/>
      <c r="AV588" s="148"/>
      <c r="AW588" s="149"/>
      <c r="AX588" s="87">
        <f>SUM(AX581:AX587)</f>
        <v>3908</v>
      </c>
      <c r="AY588" s="88">
        <f>IFERROR(AVERAGEIF(E588:AV588,"&lt;&gt;0",(E588:AV588)),)</f>
        <v>434.22222222222223</v>
      </c>
      <c r="AZ588" s="46">
        <f>IFERROR(AX588/BB582,0)</f>
        <v>0.97699999999999998</v>
      </c>
      <c r="BA588" s="34"/>
      <c r="BB588" s="34"/>
      <c r="BC588" s="34"/>
      <c r="BD588" s="76"/>
      <c r="BE588" s="34"/>
      <c r="BF588" s="34"/>
      <c r="BG588" s="34"/>
      <c r="BH588" s="34"/>
    </row>
    <row r="589" spans="1:60" s="17" customFormat="1" ht="19.5" customHeight="1" thickBot="1" x14ac:dyDescent="0.4">
      <c r="A589" s="42">
        <f>A580</f>
        <v>45440</v>
      </c>
      <c r="B589" s="38" t="str">
        <f>B590</f>
        <v>Yaka Takma</v>
      </c>
      <c r="C589" s="39" t="s">
        <v>180</v>
      </c>
      <c r="D589" s="69" t="s">
        <v>181</v>
      </c>
      <c r="E589" s="48">
        <v>0.34375</v>
      </c>
      <c r="F589" s="49">
        <v>0.35416666666666669</v>
      </c>
      <c r="G589" s="49">
        <v>0.36458333333333331</v>
      </c>
      <c r="H589" s="50">
        <v>0.375</v>
      </c>
      <c r="I589" s="48">
        <v>0.38541666666666702</v>
      </c>
      <c r="J589" s="49">
        <v>0.39583333333333298</v>
      </c>
      <c r="K589" s="49">
        <v>0.40625</v>
      </c>
      <c r="L589" s="50">
        <v>0.41666666666666702</v>
      </c>
      <c r="M589" s="48">
        <v>0.4375</v>
      </c>
      <c r="N589" s="49">
        <v>0.44791666666666702</v>
      </c>
      <c r="O589" s="49">
        <v>0.45833333333333398</v>
      </c>
      <c r="P589" s="50">
        <v>0.46875</v>
      </c>
      <c r="Q589" s="48">
        <v>0.47916666666666702</v>
      </c>
      <c r="R589" s="49">
        <v>0.48958333333333398</v>
      </c>
      <c r="S589" s="49">
        <v>0.5</v>
      </c>
      <c r="T589" s="50">
        <v>0.51041666666666696</v>
      </c>
      <c r="U589" s="51">
        <v>0.52083333333333204</v>
      </c>
      <c r="V589" s="48">
        <v>0.5625</v>
      </c>
      <c r="W589" s="49">
        <v>0.57291666666666663</v>
      </c>
      <c r="X589" s="49">
        <v>0.58333333333333304</v>
      </c>
      <c r="Y589" s="50">
        <v>0.59375</v>
      </c>
      <c r="Z589" s="48">
        <v>0.60416666666666696</v>
      </c>
      <c r="AA589" s="49">
        <v>0.61458333333333304</v>
      </c>
      <c r="AB589" s="49">
        <v>0.625</v>
      </c>
      <c r="AC589" s="50">
        <v>0.63541666666666596</v>
      </c>
      <c r="AD589" s="48">
        <v>0.65625</v>
      </c>
      <c r="AE589" s="49">
        <v>0.66666666666666663</v>
      </c>
      <c r="AF589" s="49">
        <v>0.67708333333333304</v>
      </c>
      <c r="AG589" s="50">
        <v>0.6875</v>
      </c>
      <c r="AH589" s="48">
        <v>0.69791666666666696</v>
      </c>
      <c r="AI589" s="49">
        <v>0.70833333333333304</v>
      </c>
      <c r="AJ589" s="49">
        <v>0.71875</v>
      </c>
      <c r="AK589" s="50">
        <v>0.72916666666666696</v>
      </c>
      <c r="AL589" s="48">
        <v>0.73958333333333404</v>
      </c>
      <c r="AM589" s="49">
        <v>0.750000000000001</v>
      </c>
      <c r="AN589" s="49">
        <v>0.76041666666666796</v>
      </c>
      <c r="AO589" s="50">
        <v>0.77083333333333504</v>
      </c>
      <c r="AP589" s="48">
        <v>0.781250000000002</v>
      </c>
      <c r="AQ589" s="49">
        <v>0.79166666666666896</v>
      </c>
      <c r="AR589" s="49">
        <v>0.80208333333333603</v>
      </c>
      <c r="AS589" s="50">
        <v>0.812500000000003</v>
      </c>
      <c r="AT589" s="48">
        <v>0.82291666666666996</v>
      </c>
      <c r="AU589" s="49">
        <v>0.83333333333333703</v>
      </c>
      <c r="AV589" s="49">
        <v>0.843750000000004</v>
      </c>
      <c r="AW589" s="50">
        <v>0.85416666666666663</v>
      </c>
      <c r="AX589" s="68" t="s">
        <v>260</v>
      </c>
      <c r="AY589" s="28" t="s">
        <v>261</v>
      </c>
      <c r="AZ589" s="29" t="s">
        <v>262</v>
      </c>
      <c r="BA589" s="136" t="str">
        <f>B590</f>
        <v>Yaka Takma</v>
      </c>
      <c r="BB589" s="137"/>
      <c r="BC589" s="137"/>
      <c r="BD589" s="137"/>
      <c r="BE589" s="137"/>
      <c r="BF589" s="137"/>
      <c r="BG589" s="137"/>
      <c r="BH589" s="138"/>
    </row>
    <row r="590" spans="1:60" s="17" customFormat="1" ht="19.5" customHeight="1" thickBot="1" x14ac:dyDescent="0.4">
      <c r="A590" s="41">
        <f>A589</f>
        <v>45440</v>
      </c>
      <c r="B590" s="37" t="str">
        <f>B414</f>
        <v>Yaka Takma</v>
      </c>
      <c r="C590" s="65" t="str">
        <f>C414</f>
        <v>FATMA KIZILTAN</v>
      </c>
      <c r="D590" s="70">
        <f>D414</f>
        <v>70</v>
      </c>
      <c r="E590" s="53">
        <v>50</v>
      </c>
      <c r="F590" s="54">
        <v>50</v>
      </c>
      <c r="G590" s="55">
        <v>60</v>
      </c>
      <c r="H590" s="56">
        <v>55</v>
      </c>
      <c r="I590" s="53">
        <v>60</v>
      </c>
      <c r="J590" s="54">
        <v>60</v>
      </c>
      <c r="K590" s="55">
        <v>50</v>
      </c>
      <c r="L590" s="56">
        <v>50</v>
      </c>
      <c r="M590" s="53">
        <v>70</v>
      </c>
      <c r="N590" s="54">
        <v>60</v>
      </c>
      <c r="O590" s="55">
        <v>65</v>
      </c>
      <c r="P590" s="56">
        <v>60</v>
      </c>
      <c r="Q590" s="63">
        <v>60</v>
      </c>
      <c r="R590" s="55">
        <v>60</v>
      </c>
      <c r="S590" s="55">
        <v>60</v>
      </c>
      <c r="T590" s="55">
        <v>60</v>
      </c>
      <c r="U590" s="56">
        <v>60</v>
      </c>
      <c r="V590" s="53">
        <v>60</v>
      </c>
      <c r="W590" s="54">
        <v>60</v>
      </c>
      <c r="X590" s="3">
        <v>0</v>
      </c>
      <c r="Y590" s="4">
        <v>0</v>
      </c>
      <c r="Z590" s="2">
        <v>0</v>
      </c>
      <c r="AA590" s="54">
        <v>40</v>
      </c>
      <c r="AB590" s="55">
        <v>50</v>
      </c>
      <c r="AC590" s="56">
        <v>60</v>
      </c>
      <c r="AD590" s="53">
        <v>60</v>
      </c>
      <c r="AE590" s="54">
        <v>60</v>
      </c>
      <c r="AF590" s="55">
        <v>55</v>
      </c>
      <c r="AG590" s="56">
        <v>60</v>
      </c>
      <c r="AH590" s="53">
        <v>60</v>
      </c>
      <c r="AI590" s="54">
        <v>65</v>
      </c>
      <c r="AJ590" s="55">
        <v>60</v>
      </c>
      <c r="AK590" s="56">
        <v>60</v>
      </c>
      <c r="AL590" s="53">
        <v>19</v>
      </c>
      <c r="AM590" s="54">
        <v>40</v>
      </c>
      <c r="AN590" s="55">
        <v>50</v>
      </c>
      <c r="AO590" s="56"/>
      <c r="AP590" s="53"/>
      <c r="AQ590" s="54"/>
      <c r="AR590" s="55"/>
      <c r="AS590" s="56"/>
      <c r="AT590" s="53"/>
      <c r="AU590" s="54"/>
      <c r="AV590" s="55"/>
      <c r="AW590" s="56"/>
      <c r="AX590" s="33">
        <f>SUM(E590:AW590)</f>
        <v>1849</v>
      </c>
      <c r="AY590" s="31">
        <f>IFERROR(AVERAGEIF(E590:AW590,"&lt;&gt;0",(E590:AW590)),)</f>
        <v>56.030303030303031</v>
      </c>
      <c r="AZ590" s="30">
        <f>IFERROR(AY590/D590,0)</f>
        <v>0.8004329004329005</v>
      </c>
      <c r="BA590" s="103" t="s">
        <v>182</v>
      </c>
      <c r="BB590" s="100" t="s">
        <v>183</v>
      </c>
      <c r="BC590" s="100" t="s">
        <v>184</v>
      </c>
      <c r="BD590" s="101" t="s">
        <v>185</v>
      </c>
      <c r="BE590" s="100" t="s">
        <v>186</v>
      </c>
      <c r="BF590" s="102" t="s">
        <v>187</v>
      </c>
      <c r="BG590" s="100" t="s">
        <v>188</v>
      </c>
      <c r="BH590" s="102" t="s">
        <v>189</v>
      </c>
    </row>
    <row r="591" spans="1:60" s="17" customFormat="1" ht="19.5" customHeight="1" thickBot="1" x14ac:dyDescent="0.4">
      <c r="A591" s="41">
        <f>A590</f>
        <v>45440</v>
      </c>
      <c r="B591" s="37" t="str">
        <f t="shared" ref="B591:B596" si="463">B590</f>
        <v>Yaka Takma</v>
      </c>
      <c r="C591" s="65" t="str">
        <f t="shared" ref="C591:C596" si="464">C415</f>
        <v>AYŞENUR YETER</v>
      </c>
      <c r="D591" s="67">
        <f t="shared" ref="D591:D596" si="465">D590</f>
        <v>70</v>
      </c>
      <c r="E591" s="57">
        <v>50</v>
      </c>
      <c r="F591" s="52">
        <v>60</v>
      </c>
      <c r="G591" s="52">
        <v>65</v>
      </c>
      <c r="H591" s="58">
        <v>60</v>
      </c>
      <c r="I591" s="57">
        <v>65</v>
      </c>
      <c r="J591" s="52">
        <v>60</v>
      </c>
      <c r="K591" s="52">
        <v>60</v>
      </c>
      <c r="L591" s="58">
        <v>30</v>
      </c>
      <c r="M591" s="57">
        <v>70</v>
      </c>
      <c r="N591" s="52">
        <v>70</v>
      </c>
      <c r="O591" s="52">
        <v>60</v>
      </c>
      <c r="P591" s="58">
        <v>60</v>
      </c>
      <c r="Q591" s="57">
        <v>65</v>
      </c>
      <c r="R591" s="52">
        <v>45</v>
      </c>
      <c r="S591" s="52">
        <v>60</v>
      </c>
      <c r="T591" s="52">
        <v>60</v>
      </c>
      <c r="U591" s="58">
        <v>60</v>
      </c>
      <c r="V591" s="57">
        <v>70</v>
      </c>
      <c r="W591" s="52">
        <v>70</v>
      </c>
      <c r="X591" s="52">
        <v>60</v>
      </c>
      <c r="Y591" s="58">
        <v>60</v>
      </c>
      <c r="Z591" s="57">
        <v>50</v>
      </c>
      <c r="AA591" s="52">
        <v>60</v>
      </c>
      <c r="AB591" s="52">
        <v>60</v>
      </c>
      <c r="AC591" s="58">
        <v>20</v>
      </c>
      <c r="AD591" s="57">
        <v>60</v>
      </c>
      <c r="AE591" s="52">
        <v>60</v>
      </c>
      <c r="AF591" s="52">
        <v>30</v>
      </c>
      <c r="AG591" s="58">
        <v>70</v>
      </c>
      <c r="AH591" s="57">
        <v>70</v>
      </c>
      <c r="AI591" s="52">
        <v>60</v>
      </c>
      <c r="AJ591" s="52">
        <v>60</v>
      </c>
      <c r="AK591" s="58">
        <v>60</v>
      </c>
      <c r="AL591" s="57">
        <v>60</v>
      </c>
      <c r="AM591" s="52">
        <v>60</v>
      </c>
      <c r="AN591" s="52">
        <v>60</v>
      </c>
      <c r="AO591" s="58"/>
      <c r="AP591" s="57"/>
      <c r="AQ591" s="52"/>
      <c r="AR591" s="52"/>
      <c r="AS591" s="58"/>
      <c r="AT591" s="57"/>
      <c r="AU591" s="52"/>
      <c r="AV591" s="52"/>
      <c r="AW591" s="58"/>
      <c r="AX591" s="33">
        <f t="shared" ref="AX591:AX596" si="466">SUM(E591:AW591)</f>
        <v>2100</v>
      </c>
      <c r="AY591" s="31">
        <f t="shared" ref="AY591:AY596" si="467">IFERROR(AVERAGEIF(E591:AW591,"&lt;&gt;0",(E591:AW591)),)</f>
        <v>58.333333333333336</v>
      </c>
      <c r="AZ591" s="30">
        <f t="shared" ref="AZ591:AZ596" si="468">IFERROR(AY591/D591,0)</f>
        <v>0.83333333333333337</v>
      </c>
      <c r="BA591" s="94">
        <f>AX597+BA415</f>
        <v>4582</v>
      </c>
      <c r="BB591" s="95">
        <f>(D597*8)</f>
        <v>4000</v>
      </c>
      <c r="BC591" s="96">
        <f>C533-BA591</f>
        <v>37729</v>
      </c>
      <c r="BD591" s="96">
        <f>BA582-BA591</f>
        <v>808</v>
      </c>
      <c r="BE591" s="97">
        <f>IFERROR(BC591/E597,0)</f>
        <v>83.842222222222219</v>
      </c>
      <c r="BF591" s="98">
        <f>IFERROR(BE591/9,0)</f>
        <v>9.3158024691358019</v>
      </c>
      <c r="BG591" s="97">
        <f>IFERROR(BC591/AY597,0)</f>
        <v>85.986578880729297</v>
      </c>
      <c r="BH591" s="97">
        <f>IFERROR(BG591/9,0)</f>
        <v>9.5540643200810322</v>
      </c>
    </row>
    <row r="592" spans="1:60" s="17" customFormat="1" ht="19.5" customHeight="1" x14ac:dyDescent="0.35">
      <c r="A592" s="41">
        <f>A591</f>
        <v>45440</v>
      </c>
      <c r="B592" s="37" t="str">
        <f t="shared" si="463"/>
        <v>Yaka Takma</v>
      </c>
      <c r="C592" s="65">
        <f t="shared" si="464"/>
        <v>0</v>
      </c>
      <c r="D592" s="67">
        <f t="shared" si="465"/>
        <v>70</v>
      </c>
      <c r="E592" s="57"/>
      <c r="F592" s="52"/>
      <c r="G592" s="52"/>
      <c r="H592" s="58"/>
      <c r="I592" s="57"/>
      <c r="J592" s="52"/>
      <c r="K592" s="52"/>
      <c r="L592" s="58"/>
      <c r="M592" s="57"/>
      <c r="N592" s="52"/>
      <c r="O592" s="52"/>
      <c r="P592" s="58"/>
      <c r="Q592" s="57"/>
      <c r="R592" s="52"/>
      <c r="S592" s="52"/>
      <c r="T592" s="52"/>
      <c r="U592" s="58"/>
      <c r="V592" s="57"/>
      <c r="W592" s="52"/>
      <c r="X592" s="52"/>
      <c r="Y592" s="58"/>
      <c r="Z592" s="57"/>
      <c r="AA592" s="52"/>
      <c r="AB592" s="52"/>
      <c r="AC592" s="58"/>
      <c r="AD592" s="57"/>
      <c r="AE592" s="52"/>
      <c r="AF592" s="52"/>
      <c r="AG592" s="58"/>
      <c r="AH592" s="57"/>
      <c r="AI592" s="52"/>
      <c r="AJ592" s="52"/>
      <c r="AK592" s="58"/>
      <c r="AL592" s="57"/>
      <c r="AM592" s="52"/>
      <c r="AN592" s="52"/>
      <c r="AO592" s="58"/>
      <c r="AP592" s="57"/>
      <c r="AQ592" s="52"/>
      <c r="AR592" s="52"/>
      <c r="AS592" s="58"/>
      <c r="AT592" s="57"/>
      <c r="AU592" s="52"/>
      <c r="AV592" s="52"/>
      <c r="AW592" s="58"/>
      <c r="AX592" s="33">
        <f t="shared" si="466"/>
        <v>0</v>
      </c>
      <c r="AY592" s="31">
        <f t="shared" si="467"/>
        <v>0</v>
      </c>
      <c r="AZ592" s="30">
        <f t="shared" si="468"/>
        <v>0</v>
      </c>
      <c r="BA592" s="34"/>
      <c r="BB592" s="34"/>
      <c r="BC592" s="34"/>
      <c r="BD592" s="76"/>
      <c r="BE592" s="34"/>
      <c r="BF592" s="34"/>
      <c r="BG592" s="34"/>
      <c r="BH592" s="34"/>
    </row>
    <row r="593" spans="1:60" s="17" customFormat="1" ht="19.5" customHeight="1" x14ac:dyDescent="0.35">
      <c r="A593" s="41">
        <f>A592</f>
        <v>45440</v>
      </c>
      <c r="B593" s="37" t="str">
        <f t="shared" si="463"/>
        <v>Yaka Takma</v>
      </c>
      <c r="C593" s="65">
        <f t="shared" si="464"/>
        <v>0</v>
      </c>
      <c r="D593" s="67">
        <f t="shared" si="465"/>
        <v>70</v>
      </c>
      <c r="E593" s="57"/>
      <c r="F593" s="52"/>
      <c r="G593" s="52"/>
      <c r="H593" s="58"/>
      <c r="I593" s="57"/>
      <c r="J593" s="52"/>
      <c r="K593" s="52"/>
      <c r="L593" s="58"/>
      <c r="M593" s="57"/>
      <c r="N593" s="52"/>
      <c r="O593" s="52"/>
      <c r="P593" s="58"/>
      <c r="Q593" s="57"/>
      <c r="R593" s="52"/>
      <c r="S593" s="52"/>
      <c r="T593" s="52"/>
      <c r="U593" s="58"/>
      <c r="V593" s="57"/>
      <c r="W593" s="52"/>
      <c r="X593" s="52"/>
      <c r="Y593" s="58"/>
      <c r="Z593" s="57"/>
      <c r="AA593" s="52"/>
      <c r="AB593" s="52"/>
      <c r="AC593" s="58"/>
      <c r="AD593" s="57"/>
      <c r="AE593" s="52"/>
      <c r="AF593" s="52"/>
      <c r="AG593" s="58"/>
      <c r="AH593" s="57"/>
      <c r="AI593" s="52"/>
      <c r="AJ593" s="52"/>
      <c r="AK593" s="58"/>
      <c r="AL593" s="57"/>
      <c r="AM593" s="52"/>
      <c r="AN593" s="52"/>
      <c r="AO593" s="58"/>
      <c r="AP593" s="57"/>
      <c r="AQ593" s="52"/>
      <c r="AR593" s="52"/>
      <c r="AS593" s="58"/>
      <c r="AT593" s="57"/>
      <c r="AU593" s="52"/>
      <c r="AV593" s="52"/>
      <c r="AW593" s="58"/>
      <c r="AX593" s="33">
        <f t="shared" si="466"/>
        <v>0</v>
      </c>
      <c r="AY593" s="31">
        <f t="shared" si="467"/>
        <v>0</v>
      </c>
      <c r="AZ593" s="30">
        <f t="shared" si="468"/>
        <v>0</v>
      </c>
      <c r="BA593" s="34"/>
      <c r="BB593" s="34"/>
      <c r="BC593" s="34"/>
      <c r="BD593" s="76"/>
      <c r="BE593" s="34"/>
      <c r="BF593" s="34"/>
      <c r="BG593" s="34"/>
      <c r="BH593" s="34"/>
    </row>
    <row r="594" spans="1:60" s="17" customFormat="1" ht="19.5" customHeight="1" x14ac:dyDescent="0.35">
      <c r="A594" s="41">
        <f>A591</f>
        <v>45440</v>
      </c>
      <c r="B594" s="37" t="str">
        <f t="shared" si="463"/>
        <v>Yaka Takma</v>
      </c>
      <c r="C594" s="65">
        <f t="shared" si="464"/>
        <v>0</v>
      </c>
      <c r="D594" s="67">
        <f t="shared" si="465"/>
        <v>70</v>
      </c>
      <c r="E594" s="57"/>
      <c r="F594" s="52"/>
      <c r="G594" s="52"/>
      <c r="H594" s="58"/>
      <c r="I594" s="57"/>
      <c r="J594" s="52"/>
      <c r="K594" s="52"/>
      <c r="L594" s="58"/>
      <c r="M594" s="57"/>
      <c r="N594" s="52"/>
      <c r="O594" s="52"/>
      <c r="P594" s="58"/>
      <c r="Q594" s="57"/>
      <c r="R594" s="52"/>
      <c r="S594" s="52"/>
      <c r="T594" s="52"/>
      <c r="U594" s="58"/>
      <c r="V594" s="57"/>
      <c r="W594" s="52"/>
      <c r="X594" s="52"/>
      <c r="Y594" s="58"/>
      <c r="Z594" s="57"/>
      <c r="AA594" s="52"/>
      <c r="AB594" s="52"/>
      <c r="AC594" s="58"/>
      <c r="AD594" s="57"/>
      <c r="AE594" s="52"/>
      <c r="AF594" s="52"/>
      <c r="AG594" s="58"/>
      <c r="AH594" s="57"/>
      <c r="AI594" s="52"/>
      <c r="AJ594" s="52"/>
      <c r="AK594" s="58"/>
      <c r="AL594" s="57"/>
      <c r="AM594" s="52"/>
      <c r="AN594" s="52"/>
      <c r="AO594" s="58"/>
      <c r="AP594" s="57"/>
      <c r="AQ594" s="52"/>
      <c r="AR594" s="52"/>
      <c r="AS594" s="58"/>
      <c r="AT594" s="57"/>
      <c r="AU594" s="52"/>
      <c r="AV594" s="52"/>
      <c r="AW594" s="58"/>
      <c r="AX594" s="33">
        <f t="shared" si="466"/>
        <v>0</v>
      </c>
      <c r="AY594" s="31">
        <f t="shared" si="467"/>
        <v>0</v>
      </c>
      <c r="AZ594" s="30">
        <f t="shared" si="468"/>
        <v>0</v>
      </c>
      <c r="BA594" s="34"/>
      <c r="BB594" s="34"/>
      <c r="BC594" s="34"/>
      <c r="BD594" s="76"/>
      <c r="BE594" s="34"/>
      <c r="BF594" s="34"/>
      <c r="BG594" s="34"/>
      <c r="BH594" s="34"/>
    </row>
    <row r="595" spans="1:60" s="17" customFormat="1" ht="19.5" customHeight="1" x14ac:dyDescent="0.35">
      <c r="A595" s="41">
        <f t="shared" ref="A595" si="469">A594</f>
        <v>45440</v>
      </c>
      <c r="B595" s="37" t="str">
        <f t="shared" si="463"/>
        <v>Yaka Takma</v>
      </c>
      <c r="C595" s="65">
        <f t="shared" si="464"/>
        <v>0</v>
      </c>
      <c r="D595" s="67">
        <f t="shared" si="465"/>
        <v>70</v>
      </c>
      <c r="E595" s="57"/>
      <c r="F595" s="52"/>
      <c r="G595" s="52"/>
      <c r="H595" s="58"/>
      <c r="I595" s="57"/>
      <c r="J595" s="52"/>
      <c r="K595" s="52"/>
      <c r="L595" s="58"/>
      <c r="M595" s="57"/>
      <c r="N595" s="52"/>
      <c r="O595" s="52"/>
      <c r="P595" s="58"/>
      <c r="Q595" s="57"/>
      <c r="R595" s="52"/>
      <c r="S595" s="52"/>
      <c r="T595" s="52"/>
      <c r="U595" s="58"/>
      <c r="V595" s="57"/>
      <c r="W595" s="52"/>
      <c r="X595" s="52"/>
      <c r="Y595" s="58"/>
      <c r="Z595" s="57"/>
      <c r="AA595" s="52"/>
      <c r="AB595" s="52"/>
      <c r="AC595" s="58"/>
      <c r="AD595" s="57"/>
      <c r="AE595" s="52"/>
      <c r="AF595" s="52"/>
      <c r="AG595" s="58"/>
      <c r="AH595" s="57"/>
      <c r="AI595" s="52"/>
      <c r="AJ595" s="52"/>
      <c r="AK595" s="58"/>
      <c r="AL595" s="57"/>
      <c r="AM595" s="52"/>
      <c r="AN595" s="52"/>
      <c r="AO595" s="58"/>
      <c r="AP595" s="57"/>
      <c r="AQ595" s="52"/>
      <c r="AR595" s="52"/>
      <c r="AS595" s="58"/>
      <c r="AT595" s="57"/>
      <c r="AU595" s="52"/>
      <c r="AV595" s="52"/>
      <c r="AW595" s="58"/>
      <c r="AX595" s="33">
        <f t="shared" si="466"/>
        <v>0</v>
      </c>
      <c r="AY595" s="31">
        <f t="shared" si="467"/>
        <v>0</v>
      </c>
      <c r="AZ595" s="30">
        <f t="shared" si="468"/>
        <v>0</v>
      </c>
      <c r="BA595" s="34"/>
      <c r="BB595" s="34"/>
      <c r="BC595" s="34"/>
      <c r="BD595" s="76"/>
      <c r="BE595" s="34"/>
      <c r="BF595" s="34"/>
      <c r="BG595" s="34"/>
      <c r="BH595" s="34"/>
    </row>
    <row r="596" spans="1:60" s="17" customFormat="1" ht="19.5" customHeight="1" thickBot="1" x14ac:dyDescent="0.4">
      <c r="A596" s="41">
        <f t="shared" ref="A596" si="470">A595</f>
        <v>45440</v>
      </c>
      <c r="B596" s="37" t="str">
        <f t="shared" si="463"/>
        <v>Yaka Takma</v>
      </c>
      <c r="C596" s="65">
        <f t="shared" si="464"/>
        <v>0</v>
      </c>
      <c r="D596" s="67">
        <f t="shared" si="465"/>
        <v>70</v>
      </c>
      <c r="E596" s="59"/>
      <c r="F596" s="60"/>
      <c r="G596" s="61"/>
      <c r="H596" s="62"/>
      <c r="I596" s="59"/>
      <c r="J596" s="60"/>
      <c r="K596" s="61"/>
      <c r="L596" s="62"/>
      <c r="M596" s="59"/>
      <c r="N596" s="60"/>
      <c r="O596" s="61"/>
      <c r="P596" s="62"/>
      <c r="Q596" s="64"/>
      <c r="R596" s="61"/>
      <c r="S596" s="61"/>
      <c r="T596" s="61"/>
      <c r="U596" s="62"/>
      <c r="V596" s="59"/>
      <c r="W596" s="60"/>
      <c r="X596" s="61"/>
      <c r="Y596" s="62"/>
      <c r="Z596" s="59"/>
      <c r="AA596" s="60"/>
      <c r="AB596" s="61"/>
      <c r="AC596" s="62"/>
      <c r="AD596" s="59"/>
      <c r="AE596" s="60"/>
      <c r="AF596" s="61"/>
      <c r="AG596" s="62"/>
      <c r="AH596" s="59"/>
      <c r="AI596" s="60"/>
      <c r="AJ596" s="61"/>
      <c r="AK596" s="62"/>
      <c r="AL596" s="59"/>
      <c r="AM596" s="60"/>
      <c r="AN596" s="61"/>
      <c r="AO596" s="62"/>
      <c r="AP596" s="59"/>
      <c r="AQ596" s="60"/>
      <c r="AR596" s="61"/>
      <c r="AS596" s="62"/>
      <c r="AT596" s="59"/>
      <c r="AU596" s="60"/>
      <c r="AV596" s="61"/>
      <c r="AW596" s="62"/>
      <c r="AX596" s="33">
        <f t="shared" si="466"/>
        <v>0</v>
      </c>
      <c r="AY596" s="31">
        <f t="shared" si="467"/>
        <v>0</v>
      </c>
      <c r="AZ596" s="30">
        <f t="shared" si="468"/>
        <v>0</v>
      </c>
      <c r="BA596" s="34"/>
      <c r="BB596" s="34"/>
      <c r="BC596" s="34"/>
      <c r="BD596" s="76"/>
      <c r="BE596" s="34"/>
      <c r="BF596" s="34"/>
      <c r="BG596" s="34"/>
      <c r="BH596" s="34"/>
    </row>
    <row r="597" spans="1:60" s="17" customFormat="1" ht="19.5" customHeight="1" thickBot="1" x14ac:dyDescent="0.45">
      <c r="A597" s="41">
        <f t="shared" ref="A597" si="471">A596</f>
        <v>45440</v>
      </c>
      <c r="B597" s="139" t="str">
        <f>B590</f>
        <v>Yaka Takma</v>
      </c>
      <c r="C597" s="140"/>
      <c r="D597" s="40">
        <f>C534/8</f>
        <v>500</v>
      </c>
      <c r="E597" s="147">
        <f>SUM(E590:H596)</f>
        <v>450</v>
      </c>
      <c r="F597" s="148"/>
      <c r="G597" s="148"/>
      <c r="H597" s="149"/>
      <c r="I597" s="147">
        <f>SUM(I590:L596)</f>
        <v>435</v>
      </c>
      <c r="J597" s="148"/>
      <c r="K597" s="148"/>
      <c r="L597" s="149"/>
      <c r="M597" s="147">
        <f>SUM(M590:P596)</f>
        <v>515</v>
      </c>
      <c r="N597" s="148"/>
      <c r="O597" s="148"/>
      <c r="P597" s="149"/>
      <c r="Q597" s="147">
        <f>SUM(Q590:U596)</f>
        <v>590</v>
      </c>
      <c r="R597" s="148"/>
      <c r="S597" s="148"/>
      <c r="T597" s="148"/>
      <c r="U597" s="149"/>
      <c r="V597" s="147">
        <f>SUM(V590:Y596)</f>
        <v>380</v>
      </c>
      <c r="W597" s="148"/>
      <c r="X597" s="148"/>
      <c r="Y597" s="149"/>
      <c r="Z597" s="147">
        <f>SUM(Z590:AC596)</f>
        <v>340</v>
      </c>
      <c r="AA597" s="148"/>
      <c r="AB597" s="148"/>
      <c r="AC597" s="149"/>
      <c r="AD597" s="147">
        <f>SUM(AD590:AG596)</f>
        <v>455</v>
      </c>
      <c r="AE597" s="148"/>
      <c r="AF597" s="148"/>
      <c r="AG597" s="149"/>
      <c r="AH597" s="147">
        <f>SUM(AH590:AK596)</f>
        <v>495</v>
      </c>
      <c r="AI597" s="148"/>
      <c r="AJ597" s="148"/>
      <c r="AK597" s="149"/>
      <c r="AL597" s="147">
        <f>SUM(AL590:AO596)</f>
        <v>289</v>
      </c>
      <c r="AM597" s="148"/>
      <c r="AN597" s="148"/>
      <c r="AO597" s="149"/>
      <c r="AP597" s="147">
        <f>SUM(AP590:AS596)</f>
        <v>0</v>
      </c>
      <c r="AQ597" s="148"/>
      <c r="AR597" s="148"/>
      <c r="AS597" s="149"/>
      <c r="AT597" s="147">
        <f>SUM(AT590:AW596)</f>
        <v>0</v>
      </c>
      <c r="AU597" s="148"/>
      <c r="AV597" s="148"/>
      <c r="AW597" s="149"/>
      <c r="AX597" s="87">
        <f>SUM(AX590:AX596)</f>
        <v>3949</v>
      </c>
      <c r="AY597" s="88">
        <f>IFERROR(AVERAGEIF(E597:AV597,"&lt;&gt;0",(E597:AV597)),)</f>
        <v>438.77777777777777</v>
      </c>
      <c r="AZ597" s="46">
        <f>IFERROR(AX597/BB591,0)</f>
        <v>0.98724999999999996</v>
      </c>
      <c r="BA597" s="34"/>
      <c r="BB597" s="34"/>
      <c r="BC597" s="34"/>
      <c r="BD597" s="76"/>
      <c r="BE597" s="34"/>
      <c r="BF597" s="34"/>
      <c r="BG597" s="34"/>
      <c r="BH597" s="34"/>
    </row>
    <row r="598" spans="1:60" s="17" customFormat="1" ht="19.5" customHeight="1" thickBot="1" x14ac:dyDescent="0.4">
      <c r="A598" s="42">
        <f t="shared" ref="A598" si="472">A597</f>
        <v>45440</v>
      </c>
      <c r="B598" s="38" t="str">
        <f>B599</f>
        <v>Ense Biye</v>
      </c>
      <c r="C598" s="39" t="s">
        <v>180</v>
      </c>
      <c r="D598" s="69" t="s">
        <v>181</v>
      </c>
      <c r="E598" s="48">
        <v>0.34375</v>
      </c>
      <c r="F598" s="49">
        <v>0.35416666666666669</v>
      </c>
      <c r="G598" s="49">
        <v>0.36458333333333331</v>
      </c>
      <c r="H598" s="50">
        <v>0.375</v>
      </c>
      <c r="I598" s="48">
        <v>0.38541666666666702</v>
      </c>
      <c r="J598" s="49">
        <v>0.39583333333333298</v>
      </c>
      <c r="K598" s="49">
        <v>0.40625</v>
      </c>
      <c r="L598" s="50">
        <v>0.41666666666666702</v>
      </c>
      <c r="M598" s="48">
        <v>0.4375</v>
      </c>
      <c r="N598" s="49">
        <v>0.44791666666666702</v>
      </c>
      <c r="O598" s="49">
        <v>0.45833333333333398</v>
      </c>
      <c r="P598" s="50">
        <v>0.46875</v>
      </c>
      <c r="Q598" s="48">
        <v>0.47916666666666702</v>
      </c>
      <c r="R598" s="49">
        <v>0.48958333333333398</v>
      </c>
      <c r="S598" s="49">
        <v>0.5</v>
      </c>
      <c r="T598" s="50">
        <v>0.51041666666666696</v>
      </c>
      <c r="U598" s="51">
        <v>0.52083333333333204</v>
      </c>
      <c r="V598" s="48">
        <v>0.5625</v>
      </c>
      <c r="W598" s="49">
        <v>0.57291666666666663</v>
      </c>
      <c r="X598" s="49">
        <v>0.58333333333333304</v>
      </c>
      <c r="Y598" s="50">
        <v>0.59375</v>
      </c>
      <c r="Z598" s="48">
        <v>0.60416666666666696</v>
      </c>
      <c r="AA598" s="49">
        <v>0.61458333333333304</v>
      </c>
      <c r="AB598" s="49">
        <v>0.625</v>
      </c>
      <c r="AC598" s="50">
        <v>0.63541666666666596</v>
      </c>
      <c r="AD598" s="48">
        <v>0.65625</v>
      </c>
      <c r="AE598" s="49">
        <v>0.66666666666666663</v>
      </c>
      <c r="AF598" s="49">
        <v>0.67708333333333304</v>
      </c>
      <c r="AG598" s="50">
        <v>0.6875</v>
      </c>
      <c r="AH598" s="48">
        <v>0.69791666666666696</v>
      </c>
      <c r="AI598" s="49">
        <v>0.70833333333333304</v>
      </c>
      <c r="AJ598" s="49">
        <v>0.71875</v>
      </c>
      <c r="AK598" s="50">
        <v>0.72916666666666696</v>
      </c>
      <c r="AL598" s="48">
        <v>0.73958333333333404</v>
      </c>
      <c r="AM598" s="49">
        <v>0.750000000000001</v>
      </c>
      <c r="AN598" s="49">
        <v>0.76041666666666796</v>
      </c>
      <c r="AO598" s="50">
        <v>0.77083333333333504</v>
      </c>
      <c r="AP598" s="48">
        <v>0.781250000000002</v>
      </c>
      <c r="AQ598" s="49">
        <v>0.79166666666666896</v>
      </c>
      <c r="AR598" s="49">
        <v>0.80208333333333603</v>
      </c>
      <c r="AS598" s="50">
        <v>0.812500000000003</v>
      </c>
      <c r="AT598" s="48">
        <v>0.82291666666666996</v>
      </c>
      <c r="AU598" s="49">
        <v>0.83333333333333703</v>
      </c>
      <c r="AV598" s="49">
        <v>0.843750000000004</v>
      </c>
      <c r="AW598" s="50">
        <v>0.85416666666666663</v>
      </c>
      <c r="AX598" s="68" t="s">
        <v>260</v>
      </c>
      <c r="AY598" s="28" t="s">
        <v>261</v>
      </c>
      <c r="AZ598" s="29" t="s">
        <v>262</v>
      </c>
      <c r="BA598" s="136" t="str">
        <f>B599</f>
        <v>Ense Biye</v>
      </c>
      <c r="BB598" s="137"/>
      <c r="BC598" s="137"/>
      <c r="BD598" s="137"/>
      <c r="BE598" s="137"/>
      <c r="BF598" s="137"/>
      <c r="BG598" s="137"/>
      <c r="BH598" s="138"/>
    </row>
    <row r="599" spans="1:60" s="17" customFormat="1" ht="19.5" customHeight="1" thickBot="1" x14ac:dyDescent="0.4">
      <c r="A599" s="41">
        <f t="shared" ref="A599" si="473">A598</f>
        <v>45440</v>
      </c>
      <c r="B599" s="37" t="str">
        <f>B423</f>
        <v>Ense Biye</v>
      </c>
      <c r="C599" s="65" t="str">
        <f>C423</f>
        <v>FADİME SAATÇİ</v>
      </c>
      <c r="D599" s="70">
        <f>D423</f>
        <v>100</v>
      </c>
      <c r="E599" s="63">
        <v>85</v>
      </c>
      <c r="F599" s="55">
        <v>100</v>
      </c>
      <c r="G599" s="55">
        <v>110</v>
      </c>
      <c r="H599" s="56">
        <v>100</v>
      </c>
      <c r="I599" s="63">
        <v>100</v>
      </c>
      <c r="J599" s="55">
        <v>100</v>
      </c>
      <c r="K599" s="55">
        <v>90</v>
      </c>
      <c r="L599" s="56">
        <v>100</v>
      </c>
      <c r="M599" s="63">
        <v>110</v>
      </c>
      <c r="N599" s="55">
        <v>105</v>
      </c>
      <c r="O599" s="55">
        <v>110</v>
      </c>
      <c r="P599" s="56">
        <v>100</v>
      </c>
      <c r="Q599" s="63">
        <v>100</v>
      </c>
      <c r="R599" s="55">
        <v>90</v>
      </c>
      <c r="S599" s="55">
        <v>90</v>
      </c>
      <c r="T599" s="55">
        <v>100</v>
      </c>
      <c r="U599" s="56">
        <v>105</v>
      </c>
      <c r="V599" s="63">
        <v>100</v>
      </c>
      <c r="W599" s="55">
        <v>70</v>
      </c>
      <c r="X599" s="55">
        <v>100</v>
      </c>
      <c r="Y599" s="56">
        <v>100</v>
      </c>
      <c r="Z599" s="63">
        <v>95</v>
      </c>
      <c r="AA599" s="55">
        <v>90</v>
      </c>
      <c r="AB599" s="55">
        <v>90</v>
      </c>
      <c r="AC599" s="56">
        <v>100</v>
      </c>
      <c r="AD599" s="63">
        <v>95</v>
      </c>
      <c r="AE599" s="55">
        <v>90</v>
      </c>
      <c r="AF599" s="55">
        <v>70</v>
      </c>
      <c r="AG599" s="56">
        <v>100</v>
      </c>
      <c r="AH599" s="63">
        <v>90</v>
      </c>
      <c r="AI599" s="55">
        <v>90</v>
      </c>
      <c r="AJ599" s="55">
        <v>90</v>
      </c>
      <c r="AK599" s="56">
        <v>100</v>
      </c>
      <c r="AL599" s="63">
        <v>100</v>
      </c>
      <c r="AM599" s="55">
        <v>80</v>
      </c>
      <c r="AN599" s="55">
        <v>90</v>
      </c>
      <c r="AO599" s="56"/>
      <c r="AP599" s="53"/>
      <c r="AQ599" s="54"/>
      <c r="AR599" s="55"/>
      <c r="AS599" s="56"/>
      <c r="AT599" s="53"/>
      <c r="AU599" s="54"/>
      <c r="AV599" s="55"/>
      <c r="AW599" s="56"/>
      <c r="AX599" s="33">
        <f>SUM(E599:AW599)</f>
        <v>3435</v>
      </c>
      <c r="AY599" s="31">
        <f>IFERROR(AVERAGEIF(E599:AW599,"&lt;&gt;0",(E599:AW599)),)</f>
        <v>95.416666666666671</v>
      </c>
      <c r="AZ599" s="30">
        <f>IFERROR(AY599/D599,0)</f>
        <v>0.95416666666666672</v>
      </c>
      <c r="BA599" s="103" t="s">
        <v>182</v>
      </c>
      <c r="BB599" s="100" t="s">
        <v>183</v>
      </c>
      <c r="BC599" s="100" t="s">
        <v>184</v>
      </c>
      <c r="BD599" s="101" t="s">
        <v>185</v>
      </c>
      <c r="BE599" s="100" t="s">
        <v>186</v>
      </c>
      <c r="BF599" s="102" t="s">
        <v>187</v>
      </c>
      <c r="BG599" s="100" t="s">
        <v>188</v>
      </c>
      <c r="BH599" s="102" t="s">
        <v>189</v>
      </c>
    </row>
    <row r="600" spans="1:60" s="17" customFormat="1" ht="19.5" customHeight="1" thickBot="1" x14ac:dyDescent="0.4">
      <c r="A600" s="41">
        <f t="shared" ref="A600:B600" si="474">A599</f>
        <v>45440</v>
      </c>
      <c r="B600" s="37" t="str">
        <f t="shared" si="474"/>
        <v>Ense Biye</v>
      </c>
      <c r="C600" s="65" t="s">
        <v>102</v>
      </c>
      <c r="D600" s="67">
        <f t="shared" ref="D600:D605" si="475">D599</f>
        <v>100</v>
      </c>
      <c r="E600" s="57"/>
      <c r="F600" s="52"/>
      <c r="G600" s="52"/>
      <c r="H600" s="58"/>
      <c r="I600" s="57"/>
      <c r="J600" s="52"/>
      <c r="K600" s="52"/>
      <c r="L600" s="58">
        <v>30</v>
      </c>
      <c r="M600" s="57">
        <v>95</v>
      </c>
      <c r="N600" s="52">
        <v>100</v>
      </c>
      <c r="O600" s="52">
        <v>67</v>
      </c>
      <c r="P600" s="58"/>
      <c r="Q600" s="57"/>
      <c r="R600" s="52"/>
      <c r="S600" s="52"/>
      <c r="T600" s="52"/>
      <c r="U600" s="58">
        <v>0</v>
      </c>
      <c r="V600" s="57"/>
      <c r="W600" s="52"/>
      <c r="X600" s="52"/>
      <c r="Y600" s="58"/>
      <c r="Z600" s="57"/>
      <c r="AA600" s="52"/>
      <c r="AB600" s="52"/>
      <c r="AC600" s="58">
        <v>0</v>
      </c>
      <c r="AD600" s="57"/>
      <c r="AE600" s="52"/>
      <c r="AF600" s="52"/>
      <c r="AG600" s="58"/>
      <c r="AH600" s="57"/>
      <c r="AI600" s="52"/>
      <c r="AJ600" s="52"/>
      <c r="AK600" s="58"/>
      <c r="AL600" s="57"/>
      <c r="AM600" s="52"/>
      <c r="AN600" s="52"/>
      <c r="AO600" s="58"/>
      <c r="AP600" s="57"/>
      <c r="AQ600" s="52"/>
      <c r="AR600" s="52"/>
      <c r="AS600" s="58"/>
      <c r="AT600" s="57"/>
      <c r="AU600" s="52"/>
      <c r="AV600" s="52"/>
      <c r="AW600" s="58"/>
      <c r="AX600" s="33">
        <f t="shared" ref="AX600:AX605" si="476">SUM(E600:AW600)</f>
        <v>292</v>
      </c>
      <c r="AY600" s="31">
        <f t="shared" ref="AY600:AY605" si="477">IFERROR(AVERAGEIF(E600:AW600,"&lt;&gt;0",(E600:AW600)),)</f>
        <v>73</v>
      </c>
      <c r="AZ600" s="30">
        <f t="shared" ref="AZ600:AZ605" si="478">IFERROR(AY600/D600,0)</f>
        <v>0.73</v>
      </c>
      <c r="BA600" s="94">
        <f>AX606+BA424</f>
        <v>4137</v>
      </c>
      <c r="BB600" s="95">
        <f>(D606*8)</f>
        <v>4000</v>
      </c>
      <c r="BC600" s="96">
        <f>C533-BA600</f>
        <v>38174</v>
      </c>
      <c r="BD600" s="96">
        <f>BA591-BA600</f>
        <v>445</v>
      </c>
      <c r="BE600" s="97">
        <f>IFERROR(BC600/E606,0)</f>
        <v>96.643037974683551</v>
      </c>
      <c r="BF600" s="98">
        <f>IFERROR(BE600/9,0)</f>
        <v>10.738115330520394</v>
      </c>
      <c r="BG600" s="97">
        <f>IFERROR(BC600/AY606,0)</f>
        <v>92.182988999195075</v>
      </c>
      <c r="BH600" s="97">
        <f>IFERROR(BG600/9,0)</f>
        <v>10.242554333243897</v>
      </c>
    </row>
    <row r="601" spans="1:60" s="17" customFormat="1" ht="19.5" customHeight="1" x14ac:dyDescent="0.35">
      <c r="A601" s="41">
        <f t="shared" ref="A601:B601" si="479">A600</f>
        <v>45440</v>
      </c>
      <c r="B601" s="37" t="str">
        <f t="shared" si="479"/>
        <v>Ense Biye</v>
      </c>
      <c r="C601" s="65">
        <f t="shared" ref="C601:C605" si="480">C425</f>
        <v>0</v>
      </c>
      <c r="D601" s="67">
        <f t="shared" si="475"/>
        <v>100</v>
      </c>
      <c r="E601" s="57"/>
      <c r="F601" s="52"/>
      <c r="G601" s="52"/>
      <c r="H601" s="58"/>
      <c r="I601" s="57"/>
      <c r="J601" s="52"/>
      <c r="K601" s="52"/>
      <c r="L601" s="58"/>
      <c r="M601" s="57"/>
      <c r="N601" s="52"/>
      <c r="O601" s="52"/>
      <c r="P601" s="58"/>
      <c r="Q601" s="57"/>
      <c r="R601" s="52"/>
      <c r="S601" s="52"/>
      <c r="T601" s="52"/>
      <c r="U601" s="58"/>
      <c r="V601" s="57"/>
      <c r="W601" s="52"/>
      <c r="X601" s="52"/>
      <c r="Y601" s="58"/>
      <c r="Z601" s="57"/>
      <c r="AA601" s="52"/>
      <c r="AB601" s="52"/>
      <c r="AC601" s="58"/>
      <c r="AD601" s="57"/>
      <c r="AE601" s="52"/>
      <c r="AF601" s="52"/>
      <c r="AG601" s="58"/>
      <c r="AH601" s="57"/>
      <c r="AI601" s="52"/>
      <c r="AJ601" s="52"/>
      <c r="AK601" s="58"/>
      <c r="AL601" s="57"/>
      <c r="AM601" s="52"/>
      <c r="AN601" s="52"/>
      <c r="AO601" s="58"/>
      <c r="AP601" s="57"/>
      <c r="AQ601" s="52"/>
      <c r="AR601" s="52"/>
      <c r="AS601" s="58"/>
      <c r="AT601" s="57"/>
      <c r="AU601" s="52"/>
      <c r="AV601" s="52"/>
      <c r="AW601" s="58"/>
      <c r="AX601" s="33">
        <f t="shared" si="476"/>
        <v>0</v>
      </c>
      <c r="AY601" s="31">
        <f t="shared" si="477"/>
        <v>0</v>
      </c>
      <c r="AZ601" s="30">
        <f t="shared" si="478"/>
        <v>0</v>
      </c>
      <c r="BA601" s="34"/>
      <c r="BB601" s="34"/>
      <c r="BC601" s="34"/>
      <c r="BD601" s="76"/>
      <c r="BE601" s="34"/>
      <c r="BF601" s="34"/>
      <c r="BG601" s="34"/>
      <c r="BH601" s="34"/>
    </row>
    <row r="602" spans="1:60" s="17" customFormat="1" ht="19.5" customHeight="1" x14ac:dyDescent="0.35">
      <c r="A602" s="41">
        <f t="shared" ref="A602:B602" si="481">A601</f>
        <v>45440</v>
      </c>
      <c r="B602" s="37" t="str">
        <f t="shared" si="481"/>
        <v>Ense Biye</v>
      </c>
      <c r="C602" s="65">
        <f t="shared" si="480"/>
        <v>0</v>
      </c>
      <c r="D602" s="67">
        <f t="shared" si="475"/>
        <v>100</v>
      </c>
      <c r="E602" s="57"/>
      <c r="F602" s="52"/>
      <c r="G602" s="52"/>
      <c r="H602" s="58"/>
      <c r="I602" s="57"/>
      <c r="J602" s="52"/>
      <c r="K602" s="52"/>
      <c r="L602" s="58"/>
      <c r="M602" s="57"/>
      <c r="N602" s="52"/>
      <c r="O602" s="52"/>
      <c r="P602" s="58"/>
      <c r="Q602" s="57"/>
      <c r="R602" s="52"/>
      <c r="S602" s="52"/>
      <c r="T602" s="52"/>
      <c r="U602" s="58"/>
      <c r="V602" s="57"/>
      <c r="W602" s="52"/>
      <c r="X602" s="52"/>
      <c r="Y602" s="58"/>
      <c r="Z602" s="57"/>
      <c r="AA602" s="52"/>
      <c r="AB602" s="52"/>
      <c r="AC602" s="58"/>
      <c r="AD602" s="57"/>
      <c r="AE602" s="52"/>
      <c r="AF602" s="52"/>
      <c r="AG602" s="58"/>
      <c r="AH602" s="57"/>
      <c r="AI602" s="52"/>
      <c r="AJ602" s="52"/>
      <c r="AK602" s="58"/>
      <c r="AL602" s="57"/>
      <c r="AM602" s="52"/>
      <c r="AN602" s="52"/>
      <c r="AO602" s="58"/>
      <c r="AP602" s="57"/>
      <c r="AQ602" s="52"/>
      <c r="AR602" s="52"/>
      <c r="AS602" s="58"/>
      <c r="AT602" s="57"/>
      <c r="AU602" s="52"/>
      <c r="AV602" s="52"/>
      <c r="AW602" s="58"/>
      <c r="AX602" s="33">
        <f t="shared" si="476"/>
        <v>0</v>
      </c>
      <c r="AY602" s="31">
        <f t="shared" si="477"/>
        <v>0</v>
      </c>
      <c r="AZ602" s="30">
        <f t="shared" si="478"/>
        <v>0</v>
      </c>
      <c r="BA602" s="34"/>
      <c r="BB602" s="34"/>
      <c r="BC602" s="34"/>
      <c r="BD602" s="76"/>
      <c r="BE602" s="34"/>
      <c r="BF602" s="34"/>
      <c r="BG602" s="34"/>
      <c r="BH602" s="34"/>
    </row>
    <row r="603" spans="1:60" s="17" customFormat="1" ht="19.5" customHeight="1" x14ac:dyDescent="0.35">
      <c r="A603" s="41">
        <f>A600</f>
        <v>45440</v>
      </c>
      <c r="B603" s="37" t="str">
        <f t="shared" ref="B603" si="482">B602</f>
        <v>Ense Biye</v>
      </c>
      <c r="C603" s="65">
        <f t="shared" si="480"/>
        <v>0</v>
      </c>
      <c r="D603" s="67">
        <f t="shared" si="475"/>
        <v>100</v>
      </c>
      <c r="E603" s="57"/>
      <c r="F603" s="52"/>
      <c r="G603" s="52"/>
      <c r="H603" s="58"/>
      <c r="I603" s="57"/>
      <c r="J603" s="52"/>
      <c r="K603" s="52"/>
      <c r="L603" s="58"/>
      <c r="M603" s="57"/>
      <c r="N603" s="52"/>
      <c r="O603" s="52"/>
      <c r="P603" s="58"/>
      <c r="Q603" s="57"/>
      <c r="R603" s="52"/>
      <c r="S603" s="52"/>
      <c r="T603" s="52"/>
      <c r="U603" s="58"/>
      <c r="V603" s="57"/>
      <c r="W603" s="52"/>
      <c r="X603" s="52"/>
      <c r="Y603" s="58"/>
      <c r="Z603" s="57"/>
      <c r="AA603" s="52"/>
      <c r="AB603" s="52"/>
      <c r="AC603" s="58"/>
      <c r="AD603" s="57"/>
      <c r="AE603" s="52"/>
      <c r="AF603" s="52"/>
      <c r="AG603" s="58"/>
      <c r="AH603" s="57"/>
      <c r="AI603" s="52"/>
      <c r="AJ603" s="52"/>
      <c r="AK603" s="58"/>
      <c r="AL603" s="57"/>
      <c r="AM603" s="52"/>
      <c r="AN603" s="52"/>
      <c r="AO603" s="58"/>
      <c r="AP603" s="57"/>
      <c r="AQ603" s="52"/>
      <c r="AR603" s="52"/>
      <c r="AS603" s="58"/>
      <c r="AT603" s="57"/>
      <c r="AU603" s="52"/>
      <c r="AV603" s="52"/>
      <c r="AW603" s="58"/>
      <c r="AX603" s="33">
        <f t="shared" si="476"/>
        <v>0</v>
      </c>
      <c r="AY603" s="31">
        <f t="shared" si="477"/>
        <v>0</v>
      </c>
      <c r="AZ603" s="30">
        <f t="shared" si="478"/>
        <v>0</v>
      </c>
      <c r="BA603" s="34"/>
      <c r="BB603" s="34"/>
      <c r="BC603" s="34"/>
      <c r="BD603" s="76"/>
      <c r="BE603" s="34"/>
      <c r="BF603" s="34"/>
      <c r="BG603" s="34"/>
      <c r="BH603" s="34"/>
    </row>
    <row r="604" spans="1:60" s="17" customFormat="1" ht="19.5" customHeight="1" x14ac:dyDescent="0.35">
      <c r="A604" s="41">
        <f>A603</f>
        <v>45440</v>
      </c>
      <c r="B604" s="37" t="str">
        <f t="shared" ref="B604" si="483">B603</f>
        <v>Ense Biye</v>
      </c>
      <c r="C604" s="65">
        <f t="shared" si="480"/>
        <v>0</v>
      </c>
      <c r="D604" s="67">
        <f t="shared" si="475"/>
        <v>100</v>
      </c>
      <c r="E604" s="57"/>
      <c r="F604" s="52"/>
      <c r="G604" s="52"/>
      <c r="H604" s="58"/>
      <c r="I604" s="57"/>
      <c r="J604" s="52"/>
      <c r="K604" s="52"/>
      <c r="L604" s="58"/>
      <c r="M604" s="57"/>
      <c r="N604" s="52"/>
      <c r="O604" s="52"/>
      <c r="P604" s="58"/>
      <c r="Q604" s="57"/>
      <c r="R604" s="52"/>
      <c r="S604" s="52"/>
      <c r="T604" s="52"/>
      <c r="U604" s="58"/>
      <c r="V604" s="57"/>
      <c r="W604" s="52"/>
      <c r="X604" s="52"/>
      <c r="Y604" s="58"/>
      <c r="Z604" s="57"/>
      <c r="AA604" s="52"/>
      <c r="AB604" s="52"/>
      <c r="AC604" s="58"/>
      <c r="AD604" s="57"/>
      <c r="AE604" s="52"/>
      <c r="AF604" s="52"/>
      <c r="AG604" s="58"/>
      <c r="AH604" s="57"/>
      <c r="AI604" s="52"/>
      <c r="AJ604" s="52"/>
      <c r="AK604" s="58"/>
      <c r="AL604" s="57"/>
      <c r="AM604" s="52"/>
      <c r="AN604" s="52"/>
      <c r="AO604" s="58"/>
      <c r="AP604" s="57"/>
      <c r="AQ604" s="52"/>
      <c r="AR604" s="52"/>
      <c r="AS604" s="58"/>
      <c r="AT604" s="57"/>
      <c r="AU604" s="52"/>
      <c r="AV604" s="52"/>
      <c r="AW604" s="58"/>
      <c r="AX604" s="33">
        <f t="shared" si="476"/>
        <v>0</v>
      </c>
      <c r="AY604" s="31">
        <f t="shared" si="477"/>
        <v>0</v>
      </c>
      <c r="AZ604" s="30">
        <f t="shared" si="478"/>
        <v>0</v>
      </c>
      <c r="BA604" s="34"/>
      <c r="BB604" s="34"/>
      <c r="BC604" s="34"/>
      <c r="BD604" s="76"/>
      <c r="BE604" s="34"/>
      <c r="BF604" s="34"/>
      <c r="BG604" s="34"/>
      <c r="BH604" s="34"/>
    </row>
    <row r="605" spans="1:60" s="17" customFormat="1" ht="19.5" customHeight="1" thickBot="1" x14ac:dyDescent="0.4">
      <c r="A605" s="41">
        <f>A604</f>
        <v>45440</v>
      </c>
      <c r="B605" s="37" t="str">
        <f t="shared" ref="B605" si="484">B604</f>
        <v>Ense Biye</v>
      </c>
      <c r="C605" s="65">
        <f t="shared" si="480"/>
        <v>0</v>
      </c>
      <c r="D605" s="67">
        <f t="shared" si="475"/>
        <v>100</v>
      </c>
      <c r="E605" s="59"/>
      <c r="F605" s="60"/>
      <c r="G605" s="61"/>
      <c r="H605" s="62"/>
      <c r="I605" s="59"/>
      <c r="J605" s="60"/>
      <c r="K605" s="61"/>
      <c r="L605" s="62"/>
      <c r="M605" s="59"/>
      <c r="N605" s="60"/>
      <c r="O605" s="61"/>
      <c r="P605" s="62"/>
      <c r="Q605" s="64"/>
      <c r="R605" s="61"/>
      <c r="S605" s="61"/>
      <c r="T605" s="61"/>
      <c r="U605" s="62"/>
      <c r="V605" s="59"/>
      <c r="W605" s="60"/>
      <c r="X605" s="61"/>
      <c r="Y605" s="62"/>
      <c r="Z605" s="59"/>
      <c r="AA605" s="60"/>
      <c r="AB605" s="61"/>
      <c r="AC605" s="62"/>
      <c r="AD605" s="59"/>
      <c r="AE605" s="60"/>
      <c r="AF605" s="61"/>
      <c r="AG605" s="62"/>
      <c r="AH605" s="59"/>
      <c r="AI605" s="60"/>
      <c r="AJ605" s="61"/>
      <c r="AK605" s="62"/>
      <c r="AL605" s="59"/>
      <c r="AM605" s="60"/>
      <c r="AN605" s="61"/>
      <c r="AO605" s="62"/>
      <c r="AP605" s="59"/>
      <c r="AQ605" s="60"/>
      <c r="AR605" s="61"/>
      <c r="AS605" s="62"/>
      <c r="AT605" s="59"/>
      <c r="AU605" s="60"/>
      <c r="AV605" s="61"/>
      <c r="AW605" s="62"/>
      <c r="AX605" s="33">
        <f t="shared" si="476"/>
        <v>0</v>
      </c>
      <c r="AY605" s="31">
        <f t="shared" si="477"/>
        <v>0</v>
      </c>
      <c r="AZ605" s="30">
        <f t="shared" si="478"/>
        <v>0</v>
      </c>
      <c r="BA605" s="34"/>
      <c r="BB605" s="34"/>
      <c r="BC605" s="34"/>
      <c r="BD605" s="76"/>
      <c r="BE605" s="34"/>
      <c r="BF605" s="34"/>
      <c r="BG605" s="34"/>
      <c r="BH605" s="34"/>
    </row>
    <row r="606" spans="1:60" s="17" customFormat="1" ht="19.5" customHeight="1" thickBot="1" x14ac:dyDescent="0.45">
      <c r="A606" s="41">
        <f>A605</f>
        <v>45440</v>
      </c>
      <c r="B606" s="139" t="str">
        <f>B599</f>
        <v>Ense Biye</v>
      </c>
      <c r="C606" s="140"/>
      <c r="D606" s="40">
        <f>C534/8</f>
        <v>500</v>
      </c>
      <c r="E606" s="147">
        <f>SUM(E599:H605)</f>
        <v>395</v>
      </c>
      <c r="F606" s="148"/>
      <c r="G606" s="148"/>
      <c r="H606" s="149"/>
      <c r="I606" s="147">
        <f>SUM(I599:L605)</f>
        <v>420</v>
      </c>
      <c r="J606" s="148"/>
      <c r="K606" s="148"/>
      <c r="L606" s="149"/>
      <c r="M606" s="147">
        <f>SUM(M599:P605)</f>
        <v>687</v>
      </c>
      <c r="N606" s="148"/>
      <c r="O606" s="148"/>
      <c r="P606" s="149"/>
      <c r="Q606" s="147">
        <f>SUM(Q599:U605)</f>
        <v>485</v>
      </c>
      <c r="R606" s="148"/>
      <c r="S606" s="148"/>
      <c r="T606" s="148"/>
      <c r="U606" s="149"/>
      <c r="V606" s="147">
        <f>SUM(V599:Y605)</f>
        <v>370</v>
      </c>
      <c r="W606" s="148"/>
      <c r="X606" s="148"/>
      <c r="Y606" s="149"/>
      <c r="Z606" s="147">
        <f>SUM(Z599:AC605)</f>
        <v>375</v>
      </c>
      <c r="AA606" s="148"/>
      <c r="AB606" s="148"/>
      <c r="AC606" s="149"/>
      <c r="AD606" s="147">
        <f>SUM(AD599:AG605)</f>
        <v>355</v>
      </c>
      <c r="AE606" s="148"/>
      <c r="AF606" s="148"/>
      <c r="AG606" s="149"/>
      <c r="AH606" s="147">
        <f>SUM(AH599:AK605)</f>
        <v>370</v>
      </c>
      <c r="AI606" s="148"/>
      <c r="AJ606" s="148"/>
      <c r="AK606" s="149"/>
      <c r="AL606" s="147">
        <f>SUM(AL599:AO605)</f>
        <v>270</v>
      </c>
      <c r="AM606" s="148"/>
      <c r="AN606" s="148"/>
      <c r="AO606" s="149"/>
      <c r="AP606" s="147">
        <f>SUM(AP599:AS605)</f>
        <v>0</v>
      </c>
      <c r="AQ606" s="148"/>
      <c r="AR606" s="148"/>
      <c r="AS606" s="149"/>
      <c r="AT606" s="147">
        <f>SUM(AT599:AW605)</f>
        <v>0</v>
      </c>
      <c r="AU606" s="148"/>
      <c r="AV606" s="148"/>
      <c r="AW606" s="149"/>
      <c r="AX606" s="87">
        <f>SUM(AX599:AX605)</f>
        <v>3727</v>
      </c>
      <c r="AY606" s="88">
        <f>IFERROR(AVERAGEIF(E606:AV606,"&lt;&gt;0",(E606:AV606)),)</f>
        <v>414.11111111111109</v>
      </c>
      <c r="AZ606" s="46">
        <f>IFERROR(AX606/BB600,0)</f>
        <v>0.93174999999999997</v>
      </c>
      <c r="BA606" s="34"/>
      <c r="BB606" s="34"/>
      <c r="BC606" s="34"/>
      <c r="BD606" s="76"/>
      <c r="BE606" s="34"/>
      <c r="BF606" s="34"/>
      <c r="BG606" s="34"/>
      <c r="BH606" s="34"/>
    </row>
    <row r="607" spans="1:60" s="17" customFormat="1" ht="19.5" customHeight="1" thickBot="1" x14ac:dyDescent="0.4">
      <c r="A607" s="42">
        <f>A597</f>
        <v>45440</v>
      </c>
      <c r="B607" s="38" t="str">
        <f>B608</f>
        <v>Yaka Basma 1 Et.(Beden)</v>
      </c>
      <c r="C607" s="39" t="s">
        <v>180</v>
      </c>
      <c r="D607" s="69" t="s">
        <v>181</v>
      </c>
      <c r="E607" s="48">
        <v>0.34375</v>
      </c>
      <c r="F607" s="49">
        <v>0.35416666666666669</v>
      </c>
      <c r="G607" s="49">
        <v>0.36458333333333331</v>
      </c>
      <c r="H607" s="50">
        <v>0.375</v>
      </c>
      <c r="I607" s="48">
        <v>0.38541666666666702</v>
      </c>
      <c r="J607" s="49">
        <v>0.39583333333333298</v>
      </c>
      <c r="K607" s="49">
        <v>0.40625</v>
      </c>
      <c r="L607" s="50">
        <v>0.41666666666666702</v>
      </c>
      <c r="M607" s="48">
        <v>0.4375</v>
      </c>
      <c r="N607" s="49">
        <v>0.44791666666666702</v>
      </c>
      <c r="O607" s="49">
        <v>0.45833333333333398</v>
      </c>
      <c r="P607" s="50">
        <v>0.46875</v>
      </c>
      <c r="Q607" s="48">
        <v>0.47916666666666702</v>
      </c>
      <c r="R607" s="49">
        <v>0.48958333333333398</v>
      </c>
      <c r="S607" s="49">
        <v>0.5</v>
      </c>
      <c r="T607" s="50">
        <v>0.51041666666666696</v>
      </c>
      <c r="U607" s="51">
        <v>0.52083333333333204</v>
      </c>
      <c r="V607" s="48">
        <v>0.5625</v>
      </c>
      <c r="W607" s="49">
        <v>0.57291666666666663</v>
      </c>
      <c r="X607" s="49">
        <v>0.58333333333333304</v>
      </c>
      <c r="Y607" s="50">
        <v>0.59375</v>
      </c>
      <c r="Z607" s="48">
        <v>0.60416666666666696</v>
      </c>
      <c r="AA607" s="49">
        <v>0.61458333333333304</v>
      </c>
      <c r="AB607" s="49">
        <v>0.625</v>
      </c>
      <c r="AC607" s="50">
        <v>0.63541666666666596</v>
      </c>
      <c r="AD607" s="48">
        <v>0.65625</v>
      </c>
      <c r="AE607" s="49">
        <v>0.66666666666666663</v>
      </c>
      <c r="AF607" s="49">
        <v>0.67708333333333304</v>
      </c>
      <c r="AG607" s="50">
        <v>0.6875</v>
      </c>
      <c r="AH607" s="48">
        <v>0.69791666666666696</v>
      </c>
      <c r="AI607" s="49">
        <v>0.70833333333333304</v>
      </c>
      <c r="AJ607" s="49">
        <v>0.71875</v>
      </c>
      <c r="AK607" s="50">
        <v>0.72916666666666696</v>
      </c>
      <c r="AL607" s="48">
        <v>0.73958333333333404</v>
      </c>
      <c r="AM607" s="49">
        <v>0.750000000000001</v>
      </c>
      <c r="AN607" s="49">
        <v>0.76041666666666796</v>
      </c>
      <c r="AO607" s="50">
        <v>0.77083333333333504</v>
      </c>
      <c r="AP607" s="48">
        <v>0.781250000000002</v>
      </c>
      <c r="AQ607" s="49">
        <v>0.79166666666666896</v>
      </c>
      <c r="AR607" s="49">
        <v>0.80208333333333603</v>
      </c>
      <c r="AS607" s="50">
        <v>0.812500000000003</v>
      </c>
      <c r="AT607" s="48">
        <v>0.82291666666666996</v>
      </c>
      <c r="AU607" s="49">
        <v>0.83333333333333703</v>
      </c>
      <c r="AV607" s="49">
        <v>0.843750000000004</v>
      </c>
      <c r="AW607" s="50">
        <v>0.85416666666666663</v>
      </c>
      <c r="AX607" s="68" t="s">
        <v>260</v>
      </c>
      <c r="AY607" s="28" t="s">
        <v>261</v>
      </c>
      <c r="AZ607" s="29" t="s">
        <v>262</v>
      </c>
      <c r="BA607" s="136" t="str">
        <f>B608</f>
        <v>Yaka Basma 1 Et.(Beden)</v>
      </c>
      <c r="BB607" s="137"/>
      <c r="BC607" s="137"/>
      <c r="BD607" s="137"/>
      <c r="BE607" s="137"/>
      <c r="BF607" s="137"/>
      <c r="BG607" s="137"/>
      <c r="BH607" s="138"/>
    </row>
    <row r="608" spans="1:60" s="17" customFormat="1" ht="19.5" customHeight="1" thickBot="1" x14ac:dyDescent="0.4">
      <c r="A608" s="41">
        <f t="shared" ref="A608" si="485">A607</f>
        <v>45440</v>
      </c>
      <c r="B608" s="37" t="str">
        <f>B432</f>
        <v>Yaka Basma 1 Et.(Beden)</v>
      </c>
      <c r="C608" s="65" t="str">
        <f>C432</f>
        <v>SERPİL ÇİMEN</v>
      </c>
      <c r="D608" s="70">
        <f>D432</f>
        <v>60</v>
      </c>
      <c r="E608" s="63">
        <v>48</v>
      </c>
      <c r="F608" s="55">
        <v>58</v>
      </c>
      <c r="G608" s="55">
        <v>51</v>
      </c>
      <c r="H608" s="56">
        <v>50</v>
      </c>
      <c r="I608" s="63">
        <v>50</v>
      </c>
      <c r="J608" s="55">
        <v>35</v>
      </c>
      <c r="K608" s="55">
        <v>50</v>
      </c>
      <c r="L608" s="56">
        <v>57</v>
      </c>
      <c r="M608" s="63">
        <v>55</v>
      </c>
      <c r="N608" s="55">
        <v>57</v>
      </c>
      <c r="O608" s="55">
        <v>50</v>
      </c>
      <c r="P608" s="56">
        <v>35</v>
      </c>
      <c r="Q608" s="63">
        <v>57</v>
      </c>
      <c r="R608" s="55">
        <v>63</v>
      </c>
      <c r="S608" s="55">
        <v>60</v>
      </c>
      <c r="T608" s="55">
        <v>55</v>
      </c>
      <c r="U608" s="56">
        <v>57</v>
      </c>
      <c r="V608" s="63">
        <v>65</v>
      </c>
      <c r="W608" s="55">
        <v>62</v>
      </c>
      <c r="X608" s="55">
        <v>60</v>
      </c>
      <c r="Y608" s="4">
        <v>35</v>
      </c>
      <c r="Z608" s="2">
        <v>0</v>
      </c>
      <c r="AA608" s="3">
        <v>0</v>
      </c>
      <c r="AB608" s="3">
        <v>0</v>
      </c>
      <c r="AC608" s="4">
        <v>0</v>
      </c>
      <c r="AD608" s="63">
        <v>45</v>
      </c>
      <c r="AE608" s="55">
        <v>65</v>
      </c>
      <c r="AF608" s="55">
        <v>61</v>
      </c>
      <c r="AG608" s="56">
        <v>50</v>
      </c>
      <c r="AH608" s="63">
        <v>55</v>
      </c>
      <c r="AI608" s="55">
        <v>60</v>
      </c>
      <c r="AJ608" s="55">
        <v>55</v>
      </c>
      <c r="AK608" s="56">
        <v>30</v>
      </c>
      <c r="AL608" s="63">
        <v>56</v>
      </c>
      <c r="AM608" s="55">
        <v>55</v>
      </c>
      <c r="AN608" s="55">
        <v>55</v>
      </c>
      <c r="AO608" s="56"/>
      <c r="AP608" s="63"/>
      <c r="AQ608" s="55"/>
      <c r="AR608" s="55"/>
      <c r="AS608" s="56"/>
      <c r="AT608" s="53"/>
      <c r="AU608" s="54"/>
      <c r="AV608" s="55"/>
      <c r="AW608" s="56"/>
      <c r="AX608" s="33">
        <f>SUM(E608:AW608)</f>
        <v>1697</v>
      </c>
      <c r="AY608" s="31">
        <f>IFERROR(AVERAGEIF(E608:AW608,"&lt;&gt;0",(E608:AW608)),)</f>
        <v>53.03125</v>
      </c>
      <c r="AZ608" s="30">
        <f>IFERROR(AY608/D608,0)</f>
        <v>0.88385416666666672</v>
      </c>
      <c r="BA608" s="103" t="s">
        <v>182</v>
      </c>
      <c r="BB608" s="100" t="s">
        <v>183</v>
      </c>
      <c r="BC608" s="100" t="s">
        <v>184</v>
      </c>
      <c r="BD608" s="101" t="s">
        <v>185</v>
      </c>
      <c r="BE608" s="100" t="s">
        <v>186</v>
      </c>
      <c r="BF608" s="102" t="s">
        <v>187</v>
      </c>
      <c r="BG608" s="100" t="s">
        <v>188</v>
      </c>
      <c r="BH608" s="102" t="s">
        <v>189</v>
      </c>
    </row>
    <row r="609" spans="1:60" s="17" customFormat="1" ht="19.5" customHeight="1" thickBot="1" x14ac:dyDescent="0.4">
      <c r="A609" s="41">
        <f t="shared" ref="A609:B609" si="486">A608</f>
        <v>45440</v>
      </c>
      <c r="B609" s="37" t="str">
        <f t="shared" si="486"/>
        <v>Yaka Basma 1 Et.(Beden)</v>
      </c>
      <c r="C609" s="65" t="s">
        <v>212</v>
      </c>
      <c r="D609" s="67">
        <f t="shared" ref="D609:D614" si="487">D608</f>
        <v>60</v>
      </c>
      <c r="E609" s="57">
        <v>27</v>
      </c>
      <c r="F609" s="52">
        <v>50</v>
      </c>
      <c r="G609" s="52">
        <v>38</v>
      </c>
      <c r="H609" s="7">
        <v>0</v>
      </c>
      <c r="I609" s="57">
        <v>45</v>
      </c>
      <c r="J609" s="52">
        <v>30</v>
      </c>
      <c r="K609" s="52">
        <v>42</v>
      </c>
      <c r="L609" s="58">
        <v>57</v>
      </c>
      <c r="M609" s="57">
        <v>50</v>
      </c>
      <c r="N609" s="52">
        <v>60</v>
      </c>
      <c r="O609" s="52">
        <v>50</v>
      </c>
      <c r="P609" s="58">
        <v>62</v>
      </c>
      <c r="Q609" s="57">
        <v>60</v>
      </c>
      <c r="R609" s="52">
        <v>60</v>
      </c>
      <c r="S609" s="52">
        <v>60</v>
      </c>
      <c r="T609" s="52">
        <v>60</v>
      </c>
      <c r="U609" s="58">
        <v>65</v>
      </c>
      <c r="V609" s="57">
        <v>60</v>
      </c>
      <c r="W609" s="52">
        <v>65</v>
      </c>
      <c r="X609" s="52">
        <v>62</v>
      </c>
      <c r="Y609" s="58">
        <v>65</v>
      </c>
      <c r="Z609" s="57">
        <v>50</v>
      </c>
      <c r="AA609" s="52">
        <v>60</v>
      </c>
      <c r="AB609" s="52">
        <v>55</v>
      </c>
      <c r="AC609" s="58">
        <v>30</v>
      </c>
      <c r="AD609" s="57">
        <v>50</v>
      </c>
      <c r="AE609" s="52">
        <v>50</v>
      </c>
      <c r="AF609" s="52">
        <v>42</v>
      </c>
      <c r="AG609" s="58">
        <v>50</v>
      </c>
      <c r="AH609" s="57">
        <v>50</v>
      </c>
      <c r="AI609" s="52">
        <v>60</v>
      </c>
      <c r="AJ609" s="52">
        <v>50</v>
      </c>
      <c r="AK609" s="58">
        <v>0</v>
      </c>
      <c r="AL609" s="57">
        <v>0</v>
      </c>
      <c r="AM609" s="52">
        <v>0</v>
      </c>
      <c r="AN609" s="52">
        <v>0</v>
      </c>
      <c r="AO609" s="58"/>
      <c r="AP609" s="57"/>
      <c r="AQ609" s="52"/>
      <c r="AR609" s="52"/>
      <c r="AS609" s="58"/>
      <c r="AT609" s="57"/>
      <c r="AU609" s="52"/>
      <c r="AV609" s="52"/>
      <c r="AW609" s="58"/>
      <c r="AX609" s="33">
        <f t="shared" ref="AX609:AX614" si="488">SUM(E609:AW609)</f>
        <v>1615</v>
      </c>
      <c r="AY609" s="31">
        <f t="shared" ref="AY609:AY614" si="489">IFERROR(AVERAGEIF(E609:AW609,"&lt;&gt;0",(E609:AW609)),)</f>
        <v>52.096774193548384</v>
      </c>
      <c r="AZ609" s="30">
        <f t="shared" ref="AZ609:AZ614" si="490">IFERROR(AY609/D609,0)</f>
        <v>0.86827956989247312</v>
      </c>
      <c r="BA609" s="94">
        <f>AX615+BA433</f>
        <v>4007</v>
      </c>
      <c r="BB609" s="95">
        <f>(D615*8)</f>
        <v>4000</v>
      </c>
      <c r="BC609" s="96">
        <f>C533-BA609</f>
        <v>38304</v>
      </c>
      <c r="BD609" s="96">
        <f>BA600-BA609</f>
        <v>130</v>
      </c>
      <c r="BE609" s="97">
        <f>IFERROR(BC609/E615,0)</f>
        <v>74.8125</v>
      </c>
      <c r="BF609" s="98">
        <f>IFERROR(BE609/9,0)</f>
        <v>8.3125</v>
      </c>
      <c r="BG609" s="97">
        <f>IFERROR(BC609/AY615,0)</f>
        <v>89.611645438003634</v>
      </c>
      <c r="BH609" s="97">
        <f>IFERROR(BG609/9,0)</f>
        <v>9.9568494931115143</v>
      </c>
    </row>
    <row r="610" spans="1:60" s="17" customFormat="1" ht="19.5" customHeight="1" x14ac:dyDescent="0.35">
      <c r="A610" s="41">
        <f t="shared" ref="A610:B610" si="491">A609</f>
        <v>45440</v>
      </c>
      <c r="B610" s="37" t="str">
        <f t="shared" si="491"/>
        <v>Yaka Basma 1 Et.(Beden)</v>
      </c>
      <c r="C610" s="65" t="s">
        <v>102</v>
      </c>
      <c r="D610" s="67">
        <f t="shared" si="487"/>
        <v>60</v>
      </c>
      <c r="E610" s="57">
        <v>45</v>
      </c>
      <c r="F610" s="52">
        <v>50</v>
      </c>
      <c r="G610" s="52">
        <v>45</v>
      </c>
      <c r="H610" s="58">
        <v>50</v>
      </c>
      <c r="I610" s="57">
        <v>50</v>
      </c>
      <c r="J610" s="52">
        <v>50</v>
      </c>
      <c r="K610" s="52">
        <v>33</v>
      </c>
      <c r="L610" s="58">
        <v>0</v>
      </c>
      <c r="M610" s="57"/>
      <c r="N610" s="52"/>
      <c r="O610" s="52"/>
      <c r="P610" s="58"/>
      <c r="Q610" s="57"/>
      <c r="R610" s="52"/>
      <c r="S610" s="52"/>
      <c r="T610" s="52"/>
      <c r="U610" s="58">
        <v>0</v>
      </c>
      <c r="V610" s="57"/>
      <c r="W610" s="52"/>
      <c r="X610" s="52"/>
      <c r="Y610" s="58"/>
      <c r="Z610" s="57"/>
      <c r="AA610" s="52"/>
      <c r="AB610" s="52"/>
      <c r="AC610" s="58"/>
      <c r="AD610" s="57"/>
      <c r="AE610" s="52"/>
      <c r="AF610" s="52"/>
      <c r="AG610" s="58"/>
      <c r="AH610" s="57"/>
      <c r="AI610" s="52"/>
      <c r="AJ610" s="52">
        <v>33</v>
      </c>
      <c r="AK610" s="58">
        <v>47</v>
      </c>
      <c r="AL610" s="57">
        <v>50</v>
      </c>
      <c r="AM610" s="52">
        <v>52</v>
      </c>
      <c r="AN610" s="52">
        <v>30</v>
      </c>
      <c r="AO610" s="58"/>
      <c r="AP610" s="57"/>
      <c r="AQ610" s="52"/>
      <c r="AR610" s="52"/>
      <c r="AS610" s="58"/>
      <c r="AT610" s="57"/>
      <c r="AU610" s="52"/>
      <c r="AV610" s="52"/>
      <c r="AW610" s="58"/>
      <c r="AX610" s="33">
        <f t="shared" si="488"/>
        <v>535</v>
      </c>
      <c r="AY610" s="31">
        <f t="shared" si="489"/>
        <v>44.583333333333336</v>
      </c>
      <c r="AZ610" s="30">
        <f t="shared" si="490"/>
        <v>0.74305555555555558</v>
      </c>
      <c r="BA610" s="34"/>
      <c r="BB610" s="34"/>
      <c r="BC610" s="34"/>
      <c r="BD610" s="76"/>
      <c r="BE610" s="34"/>
      <c r="BF610" s="34"/>
      <c r="BG610" s="34"/>
      <c r="BH610" s="34"/>
    </row>
    <row r="611" spans="1:60" s="17" customFormat="1" ht="19.5" customHeight="1" x14ac:dyDescent="0.35">
      <c r="A611" s="41">
        <f t="shared" ref="A611:B611" si="492">A610</f>
        <v>45440</v>
      </c>
      <c r="B611" s="37" t="str">
        <f t="shared" si="492"/>
        <v>Yaka Basma 1 Et.(Beden)</v>
      </c>
      <c r="C611" s="65">
        <f t="shared" ref="C611:C614" si="493">C435</f>
        <v>0</v>
      </c>
      <c r="D611" s="67">
        <f t="shared" si="487"/>
        <v>60</v>
      </c>
      <c r="E611" s="57"/>
      <c r="F611" s="52"/>
      <c r="G611" s="52"/>
      <c r="H611" s="58"/>
      <c r="I611" s="57"/>
      <c r="J611" s="52"/>
      <c r="K611" s="52"/>
      <c r="L611" s="58"/>
      <c r="M611" s="57"/>
      <c r="N611" s="52"/>
      <c r="O611" s="52"/>
      <c r="P611" s="58"/>
      <c r="Q611" s="57"/>
      <c r="R611" s="52"/>
      <c r="S611" s="52"/>
      <c r="T611" s="52"/>
      <c r="U611" s="58"/>
      <c r="V611" s="57"/>
      <c r="W611" s="52"/>
      <c r="X611" s="52"/>
      <c r="Y611" s="58"/>
      <c r="Z611" s="57"/>
      <c r="AA611" s="52"/>
      <c r="AB611" s="52"/>
      <c r="AC611" s="58"/>
      <c r="AD611" s="57"/>
      <c r="AE611" s="52"/>
      <c r="AF611" s="52"/>
      <c r="AG611" s="58"/>
      <c r="AH611" s="57"/>
      <c r="AI611" s="52"/>
      <c r="AJ611" s="52"/>
      <c r="AK611" s="58"/>
      <c r="AL611" s="57"/>
      <c r="AM611" s="52"/>
      <c r="AN611" s="52"/>
      <c r="AO611" s="58"/>
      <c r="AP611" s="57"/>
      <c r="AQ611" s="52"/>
      <c r="AR611" s="52"/>
      <c r="AS611" s="58"/>
      <c r="AT611" s="57"/>
      <c r="AU611" s="52"/>
      <c r="AV611" s="52"/>
      <c r="AW611" s="58"/>
      <c r="AX611" s="33">
        <f t="shared" si="488"/>
        <v>0</v>
      </c>
      <c r="AY611" s="31">
        <f t="shared" si="489"/>
        <v>0</v>
      </c>
      <c r="AZ611" s="30">
        <f t="shared" si="490"/>
        <v>0</v>
      </c>
      <c r="BA611" s="34"/>
      <c r="BB611" s="34"/>
      <c r="BC611" s="34"/>
      <c r="BD611" s="76"/>
      <c r="BE611" s="34"/>
      <c r="BF611" s="34"/>
      <c r="BG611" s="34"/>
      <c r="BH611" s="34"/>
    </row>
    <row r="612" spans="1:60" s="17" customFormat="1" ht="19.5" customHeight="1" x14ac:dyDescent="0.35">
      <c r="A612" s="41">
        <f>A609</f>
        <v>45440</v>
      </c>
      <c r="B612" s="37" t="str">
        <f t="shared" ref="B612" si="494">B611</f>
        <v>Yaka Basma 1 Et.(Beden)</v>
      </c>
      <c r="C612" s="65">
        <f t="shared" si="493"/>
        <v>0</v>
      </c>
      <c r="D612" s="67">
        <f t="shared" si="487"/>
        <v>60</v>
      </c>
      <c r="E612" s="57"/>
      <c r="F612" s="52"/>
      <c r="G612" s="52"/>
      <c r="H612" s="58"/>
      <c r="I612" s="57"/>
      <c r="J612" s="52"/>
      <c r="K612" s="52"/>
      <c r="L612" s="58"/>
      <c r="M612" s="57"/>
      <c r="N612" s="52"/>
      <c r="O612" s="52"/>
      <c r="P612" s="58"/>
      <c r="Q612" s="57"/>
      <c r="R612" s="52"/>
      <c r="S612" s="52"/>
      <c r="T612" s="52"/>
      <c r="U612" s="58"/>
      <c r="V612" s="57"/>
      <c r="W612" s="52"/>
      <c r="X612" s="52"/>
      <c r="Y612" s="58"/>
      <c r="Z612" s="57"/>
      <c r="AA612" s="52"/>
      <c r="AB612" s="52"/>
      <c r="AC612" s="58"/>
      <c r="AD612" s="57"/>
      <c r="AE612" s="52"/>
      <c r="AF612" s="52"/>
      <c r="AG612" s="58"/>
      <c r="AH612" s="57"/>
      <c r="AI612" s="52"/>
      <c r="AJ612" s="52"/>
      <c r="AK612" s="58"/>
      <c r="AL612" s="57"/>
      <c r="AM612" s="52"/>
      <c r="AN612" s="52"/>
      <c r="AO612" s="58"/>
      <c r="AP612" s="57"/>
      <c r="AQ612" s="52"/>
      <c r="AR612" s="52"/>
      <c r="AS612" s="58"/>
      <c r="AT612" s="57"/>
      <c r="AU612" s="52"/>
      <c r="AV612" s="52"/>
      <c r="AW612" s="58"/>
      <c r="AX612" s="33">
        <f t="shared" si="488"/>
        <v>0</v>
      </c>
      <c r="AY612" s="31">
        <f t="shared" si="489"/>
        <v>0</v>
      </c>
      <c r="AZ612" s="30">
        <f t="shared" si="490"/>
        <v>0</v>
      </c>
      <c r="BA612" s="34"/>
      <c r="BB612" s="34"/>
      <c r="BC612" s="34"/>
      <c r="BD612" s="76"/>
      <c r="BE612" s="34"/>
      <c r="BF612" s="34"/>
      <c r="BG612" s="34"/>
      <c r="BH612" s="34"/>
    </row>
    <row r="613" spans="1:60" s="17" customFormat="1" ht="19.5" customHeight="1" x14ac:dyDescent="0.35">
      <c r="A613" s="41">
        <f t="shared" ref="A613:B613" si="495">A612</f>
        <v>45440</v>
      </c>
      <c r="B613" s="37" t="str">
        <f t="shared" si="495"/>
        <v>Yaka Basma 1 Et.(Beden)</v>
      </c>
      <c r="C613" s="65">
        <f t="shared" si="493"/>
        <v>0</v>
      </c>
      <c r="D613" s="67">
        <f t="shared" si="487"/>
        <v>60</v>
      </c>
      <c r="E613" s="57"/>
      <c r="F613" s="52"/>
      <c r="G613" s="52"/>
      <c r="H613" s="58"/>
      <c r="I613" s="57"/>
      <c r="J613" s="52"/>
      <c r="K613" s="52"/>
      <c r="L613" s="58"/>
      <c r="M613" s="57"/>
      <c r="N613" s="52"/>
      <c r="O613" s="52"/>
      <c r="P613" s="58"/>
      <c r="Q613" s="57"/>
      <c r="R613" s="52"/>
      <c r="S613" s="52"/>
      <c r="T613" s="52"/>
      <c r="U613" s="58"/>
      <c r="V613" s="57"/>
      <c r="W613" s="52"/>
      <c r="X613" s="52"/>
      <c r="Y613" s="58"/>
      <c r="Z613" s="57"/>
      <c r="AA613" s="52"/>
      <c r="AB613" s="52"/>
      <c r="AC613" s="58"/>
      <c r="AD613" s="57"/>
      <c r="AE613" s="52"/>
      <c r="AF613" s="52"/>
      <c r="AG613" s="58"/>
      <c r="AH613" s="57"/>
      <c r="AI613" s="52"/>
      <c r="AJ613" s="52"/>
      <c r="AK613" s="58"/>
      <c r="AL613" s="57"/>
      <c r="AM613" s="52"/>
      <c r="AN613" s="52"/>
      <c r="AO613" s="58"/>
      <c r="AP613" s="57"/>
      <c r="AQ613" s="52"/>
      <c r="AR613" s="52"/>
      <c r="AS613" s="58"/>
      <c r="AT613" s="57"/>
      <c r="AU613" s="52"/>
      <c r="AV613" s="52"/>
      <c r="AW613" s="58"/>
      <c r="AX613" s="33">
        <f t="shared" si="488"/>
        <v>0</v>
      </c>
      <c r="AY613" s="31">
        <f t="shared" si="489"/>
        <v>0</v>
      </c>
      <c r="AZ613" s="30">
        <f t="shared" si="490"/>
        <v>0</v>
      </c>
      <c r="BA613" s="34"/>
      <c r="BB613" s="34"/>
      <c r="BC613" s="34"/>
      <c r="BD613" s="76"/>
      <c r="BE613" s="34"/>
      <c r="BF613" s="34"/>
      <c r="BG613" s="34"/>
      <c r="BH613" s="34"/>
    </row>
    <row r="614" spans="1:60" s="17" customFormat="1" ht="19.5" customHeight="1" thickBot="1" x14ac:dyDescent="0.4">
      <c r="A614" s="41">
        <f t="shared" ref="A614:B614" si="496">A613</f>
        <v>45440</v>
      </c>
      <c r="B614" s="37" t="str">
        <f t="shared" si="496"/>
        <v>Yaka Basma 1 Et.(Beden)</v>
      </c>
      <c r="C614" s="65">
        <f t="shared" si="493"/>
        <v>0</v>
      </c>
      <c r="D614" s="67">
        <f t="shared" si="487"/>
        <v>60</v>
      </c>
      <c r="E614" s="59"/>
      <c r="F614" s="60"/>
      <c r="G614" s="61"/>
      <c r="H614" s="62"/>
      <c r="I614" s="59"/>
      <c r="J614" s="60"/>
      <c r="K614" s="61"/>
      <c r="L614" s="62"/>
      <c r="M614" s="59"/>
      <c r="N614" s="60"/>
      <c r="O614" s="61"/>
      <c r="P614" s="62"/>
      <c r="Q614" s="64"/>
      <c r="R614" s="61"/>
      <c r="S614" s="61"/>
      <c r="T614" s="61"/>
      <c r="U614" s="62"/>
      <c r="V614" s="59"/>
      <c r="W614" s="60"/>
      <c r="X614" s="61"/>
      <c r="Y614" s="62"/>
      <c r="Z614" s="59"/>
      <c r="AA614" s="60"/>
      <c r="AB614" s="61"/>
      <c r="AC614" s="62"/>
      <c r="AD614" s="59"/>
      <c r="AE614" s="60"/>
      <c r="AF614" s="61"/>
      <c r="AG614" s="62"/>
      <c r="AH614" s="59"/>
      <c r="AI614" s="60"/>
      <c r="AJ614" s="61"/>
      <c r="AK614" s="62"/>
      <c r="AL614" s="59"/>
      <c r="AM614" s="60"/>
      <c r="AN614" s="61"/>
      <c r="AO614" s="62"/>
      <c r="AP614" s="59"/>
      <c r="AQ614" s="60"/>
      <c r="AR614" s="61"/>
      <c r="AS614" s="62"/>
      <c r="AT614" s="59"/>
      <c r="AU614" s="60"/>
      <c r="AV614" s="61"/>
      <c r="AW614" s="62"/>
      <c r="AX614" s="33">
        <f t="shared" si="488"/>
        <v>0</v>
      </c>
      <c r="AY614" s="31">
        <f t="shared" si="489"/>
        <v>0</v>
      </c>
      <c r="AZ614" s="30">
        <f t="shared" si="490"/>
        <v>0</v>
      </c>
      <c r="BA614" s="34"/>
      <c r="BB614" s="34"/>
      <c r="BC614" s="34"/>
      <c r="BD614" s="76"/>
      <c r="BE614" s="34"/>
      <c r="BF614" s="34"/>
      <c r="BG614" s="34"/>
      <c r="BH614" s="34"/>
    </row>
    <row r="615" spans="1:60" s="17" customFormat="1" ht="19.5" customHeight="1" thickBot="1" x14ac:dyDescent="0.45">
      <c r="A615" s="41">
        <f t="shared" ref="A615" si="497">A614</f>
        <v>45440</v>
      </c>
      <c r="B615" s="139" t="str">
        <f>B608</f>
        <v>Yaka Basma 1 Et.(Beden)</v>
      </c>
      <c r="C615" s="140"/>
      <c r="D615" s="40">
        <f>C534/8</f>
        <v>500</v>
      </c>
      <c r="E615" s="147">
        <f>SUM(E608:H614)</f>
        <v>512</v>
      </c>
      <c r="F615" s="148"/>
      <c r="G615" s="148"/>
      <c r="H615" s="149"/>
      <c r="I615" s="147">
        <f>SUM(I608:L614)</f>
        <v>499</v>
      </c>
      <c r="J615" s="148"/>
      <c r="K615" s="148"/>
      <c r="L615" s="149"/>
      <c r="M615" s="147">
        <f>SUM(M608:P614)</f>
        <v>419</v>
      </c>
      <c r="N615" s="148"/>
      <c r="O615" s="148"/>
      <c r="P615" s="149"/>
      <c r="Q615" s="147">
        <f>SUM(Q608:U614)</f>
        <v>597</v>
      </c>
      <c r="R615" s="148"/>
      <c r="S615" s="148"/>
      <c r="T615" s="148"/>
      <c r="U615" s="149"/>
      <c r="V615" s="147">
        <f>SUM(V608:Y614)</f>
        <v>474</v>
      </c>
      <c r="W615" s="148"/>
      <c r="X615" s="148"/>
      <c r="Y615" s="149"/>
      <c r="Z615" s="147">
        <f>SUM(Z608:AC614)</f>
        <v>195</v>
      </c>
      <c r="AA615" s="148"/>
      <c r="AB615" s="148"/>
      <c r="AC615" s="149"/>
      <c r="AD615" s="147">
        <f>SUM(AD608:AG614)</f>
        <v>413</v>
      </c>
      <c r="AE615" s="148"/>
      <c r="AF615" s="148"/>
      <c r="AG615" s="149"/>
      <c r="AH615" s="147">
        <f>SUM(AH608:AK614)</f>
        <v>440</v>
      </c>
      <c r="AI615" s="148"/>
      <c r="AJ615" s="148"/>
      <c r="AK615" s="149"/>
      <c r="AL615" s="147">
        <f>SUM(AL608:AO614)</f>
        <v>298</v>
      </c>
      <c r="AM615" s="148"/>
      <c r="AN615" s="148"/>
      <c r="AO615" s="149"/>
      <c r="AP615" s="147">
        <f>SUM(AP608:AS614)</f>
        <v>0</v>
      </c>
      <c r="AQ615" s="148"/>
      <c r="AR615" s="148"/>
      <c r="AS615" s="149"/>
      <c r="AT615" s="147">
        <f>SUM(AT608:AW614)</f>
        <v>0</v>
      </c>
      <c r="AU615" s="148"/>
      <c r="AV615" s="148"/>
      <c r="AW615" s="149"/>
      <c r="AX615" s="87">
        <f>SUM(AX608:AX614)</f>
        <v>3847</v>
      </c>
      <c r="AY615" s="88">
        <f>IFERROR(AVERAGEIF(E615:AV615,"&lt;&gt;0",(E615:AV615)),)</f>
        <v>427.44444444444446</v>
      </c>
      <c r="AZ615" s="46">
        <f>IFERROR(AX615/BB609,0)</f>
        <v>0.96174999999999999</v>
      </c>
      <c r="BA615" s="34"/>
      <c r="BB615" s="34"/>
      <c r="BC615" s="34"/>
      <c r="BD615" s="76"/>
      <c r="BE615" s="34"/>
      <c r="BF615" s="34"/>
      <c r="BG615" s="34"/>
      <c r="BH615" s="34"/>
    </row>
    <row r="616" spans="1:60" s="17" customFormat="1" ht="19.5" customHeight="1" thickBot="1" x14ac:dyDescent="0.4">
      <c r="A616" s="42">
        <f>A607</f>
        <v>45440</v>
      </c>
      <c r="B616" s="38" t="str">
        <f>B617</f>
        <v>Yaka Çıma</v>
      </c>
      <c r="C616" s="39" t="s">
        <v>180</v>
      </c>
      <c r="D616" s="69" t="s">
        <v>181</v>
      </c>
      <c r="E616" s="48">
        <v>0.34375</v>
      </c>
      <c r="F616" s="49">
        <v>0.35416666666666669</v>
      </c>
      <c r="G616" s="49">
        <v>0.36458333333333331</v>
      </c>
      <c r="H616" s="50">
        <v>0.375</v>
      </c>
      <c r="I616" s="48">
        <v>0.38541666666666702</v>
      </c>
      <c r="J616" s="49">
        <v>0.39583333333333298</v>
      </c>
      <c r="K616" s="49">
        <v>0.40625</v>
      </c>
      <c r="L616" s="50">
        <v>0.41666666666666702</v>
      </c>
      <c r="M616" s="48">
        <v>0.4375</v>
      </c>
      <c r="N616" s="49">
        <v>0.44791666666666702</v>
      </c>
      <c r="O616" s="49">
        <v>0.45833333333333398</v>
      </c>
      <c r="P616" s="50">
        <v>0.46875</v>
      </c>
      <c r="Q616" s="48">
        <v>0.47916666666666702</v>
      </c>
      <c r="R616" s="49">
        <v>0.48958333333333398</v>
      </c>
      <c r="S616" s="49">
        <v>0.5</v>
      </c>
      <c r="T616" s="50">
        <v>0.51041666666666696</v>
      </c>
      <c r="U616" s="51">
        <v>0.52083333333333204</v>
      </c>
      <c r="V616" s="48">
        <v>0.5625</v>
      </c>
      <c r="W616" s="49">
        <v>0.57291666666666663</v>
      </c>
      <c r="X616" s="49">
        <v>0.58333333333333304</v>
      </c>
      <c r="Y616" s="50">
        <v>0.59375</v>
      </c>
      <c r="Z616" s="48">
        <v>0.60416666666666696</v>
      </c>
      <c r="AA616" s="49">
        <v>0.61458333333333304</v>
      </c>
      <c r="AB616" s="49">
        <v>0.625</v>
      </c>
      <c r="AC616" s="50">
        <v>0.63541666666666596</v>
      </c>
      <c r="AD616" s="48">
        <v>0.65625</v>
      </c>
      <c r="AE616" s="49">
        <v>0.66666666666666663</v>
      </c>
      <c r="AF616" s="49">
        <v>0.67708333333333304</v>
      </c>
      <c r="AG616" s="50">
        <v>0.6875</v>
      </c>
      <c r="AH616" s="48">
        <v>0.69791666666666696</v>
      </c>
      <c r="AI616" s="49">
        <v>0.70833333333333304</v>
      </c>
      <c r="AJ616" s="49">
        <v>0.71875</v>
      </c>
      <c r="AK616" s="50">
        <v>0.72916666666666696</v>
      </c>
      <c r="AL616" s="48">
        <v>0.73958333333333404</v>
      </c>
      <c r="AM616" s="49">
        <v>0.750000000000001</v>
      </c>
      <c r="AN616" s="49">
        <v>0.76041666666666796</v>
      </c>
      <c r="AO616" s="50">
        <v>0.77083333333333504</v>
      </c>
      <c r="AP616" s="48">
        <v>0.781250000000002</v>
      </c>
      <c r="AQ616" s="49">
        <v>0.79166666666666896</v>
      </c>
      <c r="AR616" s="49">
        <v>0.80208333333333603</v>
      </c>
      <c r="AS616" s="50">
        <v>0.812500000000003</v>
      </c>
      <c r="AT616" s="48">
        <v>0.82291666666666996</v>
      </c>
      <c r="AU616" s="49">
        <v>0.83333333333333703</v>
      </c>
      <c r="AV616" s="49">
        <v>0.843750000000004</v>
      </c>
      <c r="AW616" s="50">
        <v>0.85416666666666663</v>
      </c>
      <c r="AX616" s="68" t="s">
        <v>260</v>
      </c>
      <c r="AY616" s="28" t="s">
        <v>261</v>
      </c>
      <c r="AZ616" s="29" t="s">
        <v>262</v>
      </c>
      <c r="BA616" s="136" t="str">
        <f>B617</f>
        <v>Yaka Çıma</v>
      </c>
      <c r="BB616" s="137"/>
      <c r="BC616" s="137"/>
      <c r="BD616" s="137"/>
      <c r="BE616" s="137"/>
      <c r="BF616" s="137"/>
      <c r="BG616" s="137"/>
      <c r="BH616" s="138"/>
    </row>
    <row r="617" spans="1:60" s="17" customFormat="1" ht="19.5" customHeight="1" thickBot="1" x14ac:dyDescent="0.4">
      <c r="A617" s="41">
        <f t="shared" ref="A617" si="498">A616</f>
        <v>45440</v>
      </c>
      <c r="B617" s="37" t="str">
        <f>B441</f>
        <v>Yaka Çıma</v>
      </c>
      <c r="C617" s="65" t="s">
        <v>60</v>
      </c>
      <c r="D617" s="70">
        <f>D441</f>
        <v>120</v>
      </c>
      <c r="E617" s="63"/>
      <c r="F617" s="55"/>
      <c r="G617" s="55"/>
      <c r="H617" s="56"/>
      <c r="I617" s="63">
        <v>30</v>
      </c>
      <c r="J617" s="55">
        <v>75</v>
      </c>
      <c r="K617" s="55">
        <v>75</v>
      </c>
      <c r="L617" s="56">
        <v>100</v>
      </c>
      <c r="M617" s="63">
        <v>95</v>
      </c>
      <c r="N617" s="55">
        <v>90</v>
      </c>
      <c r="O617" s="55">
        <v>85</v>
      </c>
      <c r="P617" s="56">
        <v>85</v>
      </c>
      <c r="Q617" s="63">
        <v>65</v>
      </c>
      <c r="R617" s="55">
        <v>100</v>
      </c>
      <c r="S617" s="55">
        <v>110</v>
      </c>
      <c r="T617" s="55">
        <v>110</v>
      </c>
      <c r="U617" s="56">
        <v>110</v>
      </c>
      <c r="V617" s="63">
        <v>110</v>
      </c>
      <c r="W617" s="55">
        <v>120</v>
      </c>
      <c r="X617" s="55">
        <v>110</v>
      </c>
      <c r="Y617" s="56">
        <v>120</v>
      </c>
      <c r="Z617" s="63">
        <v>100</v>
      </c>
      <c r="AA617" s="55">
        <v>120</v>
      </c>
      <c r="AB617" s="55">
        <v>120</v>
      </c>
      <c r="AC617" s="4">
        <v>0</v>
      </c>
      <c r="AD617" s="63">
        <v>120</v>
      </c>
      <c r="AE617" s="55">
        <v>120</v>
      </c>
      <c r="AF617" s="55">
        <v>80</v>
      </c>
      <c r="AG617" s="56">
        <v>100</v>
      </c>
      <c r="AH617" s="63">
        <v>100</v>
      </c>
      <c r="AI617" s="55">
        <v>100</v>
      </c>
      <c r="AJ617" s="55">
        <v>50</v>
      </c>
      <c r="AK617" s="56">
        <v>110</v>
      </c>
      <c r="AL617" s="63">
        <v>110</v>
      </c>
      <c r="AM617" s="55">
        <v>110</v>
      </c>
      <c r="AN617" s="55">
        <v>110</v>
      </c>
      <c r="AO617" s="56"/>
      <c r="AP617" s="63"/>
      <c r="AQ617" s="55"/>
      <c r="AR617" s="55"/>
      <c r="AS617" s="56"/>
      <c r="AT617" s="53"/>
      <c r="AU617" s="54"/>
      <c r="AV617" s="55"/>
      <c r="AW617" s="56"/>
      <c r="AX617" s="33">
        <f>SUM(E617:AW617)</f>
        <v>3040</v>
      </c>
      <c r="AY617" s="31">
        <f>IFERROR(AVERAGEIF(E617:AW617,"&lt;&gt;0",(E617:AW617)),)</f>
        <v>98.064516129032256</v>
      </c>
      <c r="AZ617" s="30">
        <f>IFERROR(AY617/D617,0)</f>
        <v>0.81720430107526876</v>
      </c>
      <c r="BA617" s="103" t="s">
        <v>182</v>
      </c>
      <c r="BB617" s="100" t="s">
        <v>183</v>
      </c>
      <c r="BC617" s="100" t="s">
        <v>184</v>
      </c>
      <c r="BD617" s="101" t="s">
        <v>185</v>
      </c>
      <c r="BE617" s="100" t="s">
        <v>186</v>
      </c>
      <c r="BF617" s="102" t="s">
        <v>187</v>
      </c>
      <c r="BG617" s="100" t="s">
        <v>188</v>
      </c>
      <c r="BH617" s="102" t="s">
        <v>189</v>
      </c>
    </row>
    <row r="618" spans="1:60" s="17" customFormat="1" ht="19.5" customHeight="1" thickBot="1" x14ac:dyDescent="0.4">
      <c r="A618" s="41">
        <f t="shared" ref="A618:B618" si="499">A617</f>
        <v>45440</v>
      </c>
      <c r="B618" s="37" t="str">
        <f t="shared" si="499"/>
        <v>Yaka Çıma</v>
      </c>
      <c r="C618" s="65" t="s">
        <v>281</v>
      </c>
      <c r="D618" s="67">
        <f t="shared" ref="D618:D623" si="500">D617</f>
        <v>120</v>
      </c>
      <c r="E618" s="57"/>
      <c r="F618" s="52"/>
      <c r="G618" s="52"/>
      <c r="H618" s="58"/>
      <c r="I618" s="57"/>
      <c r="J618" s="52"/>
      <c r="K618" s="52"/>
      <c r="L618" s="58"/>
      <c r="M618" s="57"/>
      <c r="N618" s="52"/>
      <c r="O618" s="52"/>
      <c r="P618" s="58"/>
      <c r="Q618" s="57"/>
      <c r="R618" s="52">
        <v>30</v>
      </c>
      <c r="S618" s="52">
        <v>80</v>
      </c>
      <c r="T618" s="52">
        <v>90</v>
      </c>
      <c r="U618" s="58">
        <v>80</v>
      </c>
      <c r="V618" s="57">
        <v>100</v>
      </c>
      <c r="W618" s="52">
        <v>100</v>
      </c>
      <c r="X618" s="52">
        <v>100</v>
      </c>
      <c r="Y618" s="58">
        <v>100</v>
      </c>
      <c r="Z618" s="57">
        <v>50</v>
      </c>
      <c r="AA618" s="52">
        <v>83</v>
      </c>
      <c r="AB618" s="52">
        <v>0</v>
      </c>
      <c r="AC618" s="58">
        <v>0</v>
      </c>
      <c r="AD618" s="57"/>
      <c r="AE618" s="52"/>
      <c r="AF618" s="52"/>
      <c r="AG618" s="58"/>
      <c r="AH618" s="57"/>
      <c r="AI618" s="52"/>
      <c r="AJ618" s="52"/>
      <c r="AK618" s="58"/>
      <c r="AL618" s="57"/>
      <c r="AM618" s="52"/>
      <c r="AN618" s="52"/>
      <c r="AO618" s="58"/>
      <c r="AP618" s="57"/>
      <c r="AQ618" s="52"/>
      <c r="AR618" s="52"/>
      <c r="AS618" s="58"/>
      <c r="AT618" s="57"/>
      <c r="AU618" s="52"/>
      <c r="AV618" s="52"/>
      <c r="AW618" s="58"/>
      <c r="AX618" s="33">
        <f t="shared" ref="AX618:AX623" si="501">SUM(E618:AW618)</f>
        <v>813</v>
      </c>
      <c r="AY618" s="31">
        <f t="shared" ref="AY618:AY623" si="502">IFERROR(AVERAGEIF(E618:AW618,"&lt;&gt;0",(E618:AW618)),)</f>
        <v>81.3</v>
      </c>
      <c r="AZ618" s="30">
        <f t="shared" ref="AZ618:AZ623" si="503">IFERROR(AY618/D618,0)</f>
        <v>0.67749999999999999</v>
      </c>
      <c r="BA618" s="94">
        <f>AX624+BA442</f>
        <v>3853</v>
      </c>
      <c r="BB618" s="95">
        <f>(D624*8)</f>
        <v>4000</v>
      </c>
      <c r="BC618" s="96">
        <f>C533-BA618</f>
        <v>38458</v>
      </c>
      <c r="BD618" s="96">
        <f>BA609-BA618</f>
        <v>154</v>
      </c>
      <c r="BE618" s="97">
        <f>IFERROR(BC618/E624,0)</f>
        <v>0</v>
      </c>
      <c r="BF618" s="98">
        <f>IFERROR(BE618/9,0)</f>
        <v>0</v>
      </c>
      <c r="BG618" s="97">
        <f>IFERROR(BC618/AY624,0)</f>
        <v>79.85050609914353</v>
      </c>
      <c r="BH618" s="97">
        <f>IFERROR(BG618/9,0)</f>
        <v>8.8722784554603926</v>
      </c>
    </row>
    <row r="619" spans="1:60" s="17" customFormat="1" ht="19.5" customHeight="1" x14ac:dyDescent="0.35">
      <c r="A619" s="41">
        <f t="shared" ref="A619:B619" si="504">A618</f>
        <v>45440</v>
      </c>
      <c r="B619" s="37" t="str">
        <f t="shared" si="504"/>
        <v>Yaka Çıma</v>
      </c>
      <c r="C619" s="65">
        <f t="shared" ref="C619:C623" si="505">C443</f>
        <v>0</v>
      </c>
      <c r="D619" s="67">
        <f t="shared" si="500"/>
        <v>120</v>
      </c>
      <c r="E619" s="57"/>
      <c r="F619" s="52"/>
      <c r="G619" s="52"/>
      <c r="H619" s="58"/>
      <c r="I619" s="57"/>
      <c r="J619" s="52"/>
      <c r="K619" s="52"/>
      <c r="L619" s="58"/>
      <c r="M619" s="57"/>
      <c r="N619" s="52"/>
      <c r="O619" s="52"/>
      <c r="P619" s="58"/>
      <c r="Q619" s="57"/>
      <c r="R619" s="52"/>
      <c r="S619" s="52"/>
      <c r="T619" s="52"/>
      <c r="U619" s="58"/>
      <c r="V619" s="57"/>
      <c r="W619" s="52"/>
      <c r="X619" s="52"/>
      <c r="Y619" s="58"/>
      <c r="Z619" s="57"/>
      <c r="AA619" s="52"/>
      <c r="AB619" s="52"/>
      <c r="AC619" s="58"/>
      <c r="AD619" s="57"/>
      <c r="AE619" s="52"/>
      <c r="AF619" s="52"/>
      <c r="AG619" s="58"/>
      <c r="AH619" s="57"/>
      <c r="AI619" s="52"/>
      <c r="AJ619" s="52"/>
      <c r="AK619" s="58"/>
      <c r="AL619" s="57"/>
      <c r="AM619" s="52"/>
      <c r="AN619" s="52"/>
      <c r="AO619" s="58"/>
      <c r="AP619" s="57"/>
      <c r="AQ619" s="52"/>
      <c r="AR619" s="52"/>
      <c r="AS619" s="58"/>
      <c r="AT619" s="57"/>
      <c r="AU619" s="52"/>
      <c r="AV619" s="52"/>
      <c r="AW619" s="58"/>
      <c r="AX619" s="33">
        <f t="shared" si="501"/>
        <v>0</v>
      </c>
      <c r="AY619" s="31">
        <f t="shared" si="502"/>
        <v>0</v>
      </c>
      <c r="AZ619" s="30">
        <f t="shared" si="503"/>
        <v>0</v>
      </c>
      <c r="BA619" s="34"/>
      <c r="BB619" s="34"/>
      <c r="BC619" s="34"/>
      <c r="BD619" s="76"/>
      <c r="BE619" s="34"/>
      <c r="BF619" s="34"/>
      <c r="BG619" s="34"/>
      <c r="BH619" s="34"/>
    </row>
    <row r="620" spans="1:60" s="17" customFormat="1" ht="19.5" customHeight="1" x14ac:dyDescent="0.35">
      <c r="A620" s="41">
        <f t="shared" ref="A620:B620" si="506">A619</f>
        <v>45440</v>
      </c>
      <c r="B620" s="37" t="str">
        <f t="shared" si="506"/>
        <v>Yaka Çıma</v>
      </c>
      <c r="C620" s="65">
        <f t="shared" si="505"/>
        <v>0</v>
      </c>
      <c r="D620" s="67">
        <f t="shared" si="500"/>
        <v>120</v>
      </c>
      <c r="E620" s="57"/>
      <c r="F620" s="52"/>
      <c r="G620" s="52"/>
      <c r="H620" s="58"/>
      <c r="I620" s="57"/>
      <c r="J620" s="52"/>
      <c r="K620" s="52"/>
      <c r="L620" s="58"/>
      <c r="M620" s="57"/>
      <c r="N620" s="52"/>
      <c r="O620" s="52"/>
      <c r="P620" s="58"/>
      <c r="Q620" s="57"/>
      <c r="R620" s="52"/>
      <c r="S620" s="52"/>
      <c r="T620" s="52"/>
      <c r="U620" s="58"/>
      <c r="V620" s="57"/>
      <c r="W620" s="52"/>
      <c r="X620" s="52"/>
      <c r="Y620" s="58"/>
      <c r="Z620" s="57"/>
      <c r="AA620" s="52"/>
      <c r="AB620" s="52"/>
      <c r="AC620" s="58"/>
      <c r="AD620" s="57"/>
      <c r="AE620" s="52"/>
      <c r="AF620" s="52"/>
      <c r="AG620" s="58"/>
      <c r="AH620" s="57"/>
      <c r="AI620" s="52"/>
      <c r="AJ620" s="52"/>
      <c r="AK620" s="58"/>
      <c r="AL620" s="57"/>
      <c r="AM620" s="52"/>
      <c r="AN620" s="52"/>
      <c r="AO620" s="58"/>
      <c r="AP620" s="57"/>
      <c r="AQ620" s="52"/>
      <c r="AR620" s="52"/>
      <c r="AS620" s="58"/>
      <c r="AT620" s="57"/>
      <c r="AU620" s="52"/>
      <c r="AV620" s="52"/>
      <c r="AW620" s="58"/>
      <c r="AX620" s="33">
        <f t="shared" si="501"/>
        <v>0</v>
      </c>
      <c r="AY620" s="31">
        <f t="shared" si="502"/>
        <v>0</v>
      </c>
      <c r="AZ620" s="30">
        <f t="shared" si="503"/>
        <v>0</v>
      </c>
      <c r="BA620" s="34"/>
      <c r="BB620" s="34"/>
      <c r="BC620" s="34"/>
      <c r="BD620" s="76"/>
      <c r="BE620" s="34"/>
      <c r="BF620" s="34"/>
      <c r="BG620" s="34"/>
      <c r="BH620" s="34"/>
    </row>
    <row r="621" spans="1:60" s="17" customFormat="1" ht="19.5" customHeight="1" x14ac:dyDescent="0.35">
      <c r="A621" s="41">
        <f>A618</f>
        <v>45440</v>
      </c>
      <c r="B621" s="37" t="str">
        <f t="shared" ref="B621" si="507">B620</f>
        <v>Yaka Çıma</v>
      </c>
      <c r="C621" s="65">
        <f t="shared" si="505"/>
        <v>0</v>
      </c>
      <c r="D621" s="67">
        <f t="shared" si="500"/>
        <v>120</v>
      </c>
      <c r="E621" s="57"/>
      <c r="F621" s="52"/>
      <c r="G621" s="52"/>
      <c r="H621" s="58"/>
      <c r="I621" s="57"/>
      <c r="J621" s="52"/>
      <c r="K621" s="52"/>
      <c r="L621" s="58"/>
      <c r="M621" s="57"/>
      <c r="N621" s="52"/>
      <c r="O621" s="52"/>
      <c r="P621" s="58"/>
      <c r="Q621" s="57"/>
      <c r="R621" s="52"/>
      <c r="S621" s="52"/>
      <c r="T621" s="52"/>
      <c r="U621" s="58"/>
      <c r="V621" s="57"/>
      <c r="W621" s="52"/>
      <c r="X621" s="52"/>
      <c r="Y621" s="58"/>
      <c r="Z621" s="57"/>
      <c r="AA621" s="52"/>
      <c r="AB621" s="52"/>
      <c r="AC621" s="58"/>
      <c r="AD621" s="57"/>
      <c r="AE621" s="52"/>
      <c r="AF621" s="52"/>
      <c r="AG621" s="58"/>
      <c r="AH621" s="57"/>
      <c r="AI621" s="52"/>
      <c r="AJ621" s="52"/>
      <c r="AK621" s="58"/>
      <c r="AL621" s="57"/>
      <c r="AM621" s="52"/>
      <c r="AN621" s="52"/>
      <c r="AO621" s="58"/>
      <c r="AP621" s="57"/>
      <c r="AQ621" s="52"/>
      <c r="AR621" s="52"/>
      <c r="AS621" s="58"/>
      <c r="AT621" s="57"/>
      <c r="AU621" s="52"/>
      <c r="AV621" s="52"/>
      <c r="AW621" s="58"/>
      <c r="AX621" s="33">
        <f t="shared" si="501"/>
        <v>0</v>
      </c>
      <c r="AY621" s="31">
        <f t="shared" si="502"/>
        <v>0</v>
      </c>
      <c r="AZ621" s="30">
        <f t="shared" si="503"/>
        <v>0</v>
      </c>
      <c r="BA621" s="34"/>
      <c r="BB621" s="34"/>
      <c r="BC621" s="34"/>
      <c r="BD621" s="76"/>
      <c r="BE621" s="34"/>
      <c r="BF621" s="34"/>
      <c r="BG621" s="34"/>
      <c r="BH621" s="34"/>
    </row>
    <row r="622" spans="1:60" s="17" customFormat="1" ht="19.5" customHeight="1" x14ac:dyDescent="0.35">
      <c r="A622" s="41">
        <f t="shared" ref="A622:B622" si="508">A621</f>
        <v>45440</v>
      </c>
      <c r="B622" s="37" t="str">
        <f t="shared" si="508"/>
        <v>Yaka Çıma</v>
      </c>
      <c r="C622" s="65">
        <f t="shared" si="505"/>
        <v>0</v>
      </c>
      <c r="D622" s="67">
        <f t="shared" si="500"/>
        <v>120</v>
      </c>
      <c r="E622" s="57"/>
      <c r="F622" s="52"/>
      <c r="G622" s="52"/>
      <c r="H622" s="58"/>
      <c r="I622" s="57"/>
      <c r="J622" s="52"/>
      <c r="K622" s="52"/>
      <c r="L622" s="58"/>
      <c r="M622" s="57"/>
      <c r="N622" s="52"/>
      <c r="O622" s="52"/>
      <c r="P622" s="58"/>
      <c r="Q622" s="57"/>
      <c r="R622" s="52"/>
      <c r="S622" s="52"/>
      <c r="T622" s="52"/>
      <c r="U622" s="58"/>
      <c r="V622" s="57"/>
      <c r="W622" s="52"/>
      <c r="X622" s="52"/>
      <c r="Y622" s="58"/>
      <c r="Z622" s="57"/>
      <c r="AA622" s="52"/>
      <c r="AB622" s="52"/>
      <c r="AC622" s="58"/>
      <c r="AD622" s="57"/>
      <c r="AE622" s="52"/>
      <c r="AF622" s="52"/>
      <c r="AG622" s="58"/>
      <c r="AH622" s="57"/>
      <c r="AI622" s="52"/>
      <c r="AJ622" s="52"/>
      <c r="AK622" s="58"/>
      <c r="AL622" s="57"/>
      <c r="AM622" s="52"/>
      <c r="AN622" s="52"/>
      <c r="AO622" s="58"/>
      <c r="AP622" s="57"/>
      <c r="AQ622" s="52"/>
      <c r="AR622" s="52"/>
      <c r="AS622" s="58"/>
      <c r="AT622" s="57"/>
      <c r="AU622" s="52"/>
      <c r="AV622" s="52"/>
      <c r="AW622" s="58"/>
      <c r="AX622" s="33">
        <f t="shared" si="501"/>
        <v>0</v>
      </c>
      <c r="AY622" s="31">
        <f t="shared" si="502"/>
        <v>0</v>
      </c>
      <c r="AZ622" s="30">
        <f t="shared" si="503"/>
        <v>0</v>
      </c>
      <c r="BA622" s="34"/>
      <c r="BB622" s="34"/>
      <c r="BC622" s="34"/>
      <c r="BD622" s="76"/>
      <c r="BE622" s="34"/>
      <c r="BF622" s="34"/>
      <c r="BG622" s="34"/>
      <c r="BH622" s="34"/>
    </row>
    <row r="623" spans="1:60" s="17" customFormat="1" ht="19.5" customHeight="1" thickBot="1" x14ac:dyDescent="0.4">
      <c r="A623" s="41">
        <f t="shared" ref="A623:B623" si="509">A622</f>
        <v>45440</v>
      </c>
      <c r="B623" s="37" t="str">
        <f t="shared" si="509"/>
        <v>Yaka Çıma</v>
      </c>
      <c r="C623" s="65">
        <f t="shared" si="505"/>
        <v>0</v>
      </c>
      <c r="D623" s="67">
        <f t="shared" si="500"/>
        <v>120</v>
      </c>
      <c r="E623" s="59"/>
      <c r="F623" s="60"/>
      <c r="G623" s="61"/>
      <c r="H623" s="62"/>
      <c r="I623" s="59"/>
      <c r="J623" s="60"/>
      <c r="K623" s="61"/>
      <c r="L623" s="62"/>
      <c r="M623" s="59"/>
      <c r="N623" s="60"/>
      <c r="O623" s="61"/>
      <c r="P623" s="62"/>
      <c r="Q623" s="64"/>
      <c r="R623" s="61"/>
      <c r="S623" s="61"/>
      <c r="T623" s="61"/>
      <c r="U623" s="62"/>
      <c r="V623" s="59"/>
      <c r="W623" s="60"/>
      <c r="X623" s="61"/>
      <c r="Y623" s="62"/>
      <c r="Z623" s="59"/>
      <c r="AA623" s="60"/>
      <c r="AB623" s="61"/>
      <c r="AC623" s="62"/>
      <c r="AD623" s="59"/>
      <c r="AE623" s="60"/>
      <c r="AF623" s="61"/>
      <c r="AG623" s="62"/>
      <c r="AH623" s="59"/>
      <c r="AI623" s="60"/>
      <c r="AJ623" s="61"/>
      <c r="AK623" s="62"/>
      <c r="AL623" s="59"/>
      <c r="AM623" s="60"/>
      <c r="AN623" s="61"/>
      <c r="AO623" s="62"/>
      <c r="AP623" s="59"/>
      <c r="AQ623" s="60"/>
      <c r="AR623" s="61"/>
      <c r="AS623" s="62"/>
      <c r="AT623" s="59"/>
      <c r="AU623" s="60"/>
      <c r="AV623" s="61"/>
      <c r="AW623" s="62"/>
      <c r="AX623" s="33">
        <f t="shared" si="501"/>
        <v>0</v>
      </c>
      <c r="AY623" s="31">
        <f t="shared" si="502"/>
        <v>0</v>
      </c>
      <c r="AZ623" s="30">
        <f t="shared" si="503"/>
        <v>0</v>
      </c>
      <c r="BA623" s="34"/>
      <c r="BB623" s="34"/>
      <c r="BC623" s="34"/>
      <c r="BD623" s="76"/>
      <c r="BE623" s="34"/>
      <c r="BF623" s="34"/>
      <c r="BG623" s="34"/>
      <c r="BH623" s="34"/>
    </row>
    <row r="624" spans="1:60" s="17" customFormat="1" ht="19.5" customHeight="1" thickBot="1" x14ac:dyDescent="0.45">
      <c r="A624" s="41">
        <f t="shared" ref="A624" si="510">A623</f>
        <v>45440</v>
      </c>
      <c r="B624" s="139" t="str">
        <f>B617</f>
        <v>Yaka Çıma</v>
      </c>
      <c r="C624" s="140"/>
      <c r="D624" s="40">
        <f>C534/8</f>
        <v>500</v>
      </c>
      <c r="E624" s="147">
        <f>SUM(E617:H623)</f>
        <v>0</v>
      </c>
      <c r="F624" s="148"/>
      <c r="G624" s="148"/>
      <c r="H624" s="149"/>
      <c r="I624" s="147">
        <f>SUM(I617:L623)</f>
        <v>280</v>
      </c>
      <c r="J624" s="148"/>
      <c r="K624" s="148"/>
      <c r="L624" s="149"/>
      <c r="M624" s="147">
        <f>SUM(M617:P623)</f>
        <v>355</v>
      </c>
      <c r="N624" s="148"/>
      <c r="O624" s="148"/>
      <c r="P624" s="149"/>
      <c r="Q624" s="147">
        <f>SUM(Q617:U623)</f>
        <v>775</v>
      </c>
      <c r="R624" s="148"/>
      <c r="S624" s="148"/>
      <c r="T624" s="148"/>
      <c r="U624" s="149"/>
      <c r="V624" s="147">
        <f>SUM(V617:Y623)</f>
        <v>860</v>
      </c>
      <c r="W624" s="148"/>
      <c r="X624" s="148"/>
      <c r="Y624" s="149"/>
      <c r="Z624" s="147">
        <f>SUM(Z617:AC623)</f>
        <v>473</v>
      </c>
      <c r="AA624" s="148"/>
      <c r="AB624" s="148"/>
      <c r="AC624" s="149"/>
      <c r="AD624" s="147">
        <f>SUM(AD617:AG623)</f>
        <v>420</v>
      </c>
      <c r="AE624" s="148"/>
      <c r="AF624" s="148"/>
      <c r="AG624" s="149"/>
      <c r="AH624" s="147">
        <f>SUM(AH617:AK623)</f>
        <v>360</v>
      </c>
      <c r="AI624" s="148"/>
      <c r="AJ624" s="148"/>
      <c r="AK624" s="149"/>
      <c r="AL624" s="147">
        <f>SUM(AL617:AO623)</f>
        <v>330</v>
      </c>
      <c r="AM624" s="148"/>
      <c r="AN624" s="148"/>
      <c r="AO624" s="149"/>
      <c r="AP624" s="147">
        <f>SUM(AP617:AS623)</f>
        <v>0</v>
      </c>
      <c r="AQ624" s="148"/>
      <c r="AR624" s="148"/>
      <c r="AS624" s="149"/>
      <c r="AT624" s="147">
        <f>SUM(AT617:AW623)</f>
        <v>0</v>
      </c>
      <c r="AU624" s="148"/>
      <c r="AV624" s="148"/>
      <c r="AW624" s="149"/>
      <c r="AX624" s="87">
        <f>SUM(AX617:AX623)</f>
        <v>3853</v>
      </c>
      <c r="AY624" s="88">
        <f>IFERROR(AVERAGEIF(E624:AV624,"&lt;&gt;0",(E624:AV624)),)</f>
        <v>481.625</v>
      </c>
      <c r="AZ624" s="46">
        <f>IFERROR(AX624/BB618,0)</f>
        <v>0.96325000000000005</v>
      </c>
      <c r="BA624" s="34"/>
      <c r="BB624" s="34"/>
      <c r="BC624" s="34"/>
      <c r="BD624" s="76"/>
      <c r="BE624" s="34"/>
      <c r="BF624" s="34"/>
      <c r="BG624" s="34"/>
      <c r="BH624" s="34"/>
    </row>
    <row r="625" spans="1:60" s="17" customFormat="1" ht="19.5" customHeight="1" thickBot="1" x14ac:dyDescent="0.4">
      <c r="A625" s="42">
        <f>A607</f>
        <v>45440</v>
      </c>
      <c r="B625" s="38" t="str">
        <f>B626</f>
        <v>Kol Takma</v>
      </c>
      <c r="C625" s="39" t="s">
        <v>180</v>
      </c>
      <c r="D625" s="69" t="s">
        <v>181</v>
      </c>
      <c r="E625" s="48">
        <v>0.34375</v>
      </c>
      <c r="F625" s="49">
        <v>0.35416666666666669</v>
      </c>
      <c r="G625" s="49">
        <v>0.36458333333333331</v>
      </c>
      <c r="H625" s="50">
        <v>0.375</v>
      </c>
      <c r="I625" s="48">
        <v>0.38541666666666702</v>
      </c>
      <c r="J625" s="49">
        <v>0.39583333333333298</v>
      </c>
      <c r="K625" s="49">
        <v>0.40625</v>
      </c>
      <c r="L625" s="50">
        <v>0.41666666666666702</v>
      </c>
      <c r="M625" s="48">
        <v>0.4375</v>
      </c>
      <c r="N625" s="49">
        <v>0.44791666666666702</v>
      </c>
      <c r="O625" s="49">
        <v>0.45833333333333398</v>
      </c>
      <c r="P625" s="50">
        <v>0.46875</v>
      </c>
      <c r="Q625" s="48">
        <v>0.47916666666666702</v>
      </c>
      <c r="R625" s="49">
        <v>0.48958333333333398</v>
      </c>
      <c r="S625" s="49">
        <v>0.5</v>
      </c>
      <c r="T625" s="50">
        <v>0.51041666666666696</v>
      </c>
      <c r="U625" s="51">
        <v>0.52083333333333204</v>
      </c>
      <c r="V625" s="48">
        <v>0.5625</v>
      </c>
      <c r="W625" s="49">
        <v>0.57291666666666663</v>
      </c>
      <c r="X625" s="49">
        <v>0.58333333333333304</v>
      </c>
      <c r="Y625" s="50">
        <v>0.59375</v>
      </c>
      <c r="Z625" s="48">
        <v>0.60416666666666696</v>
      </c>
      <c r="AA625" s="49">
        <v>0.61458333333333304</v>
      </c>
      <c r="AB625" s="49">
        <v>0.625</v>
      </c>
      <c r="AC625" s="50">
        <v>0.63541666666666596</v>
      </c>
      <c r="AD625" s="48">
        <v>0.65625</v>
      </c>
      <c r="AE625" s="49">
        <v>0.66666666666666663</v>
      </c>
      <c r="AF625" s="49">
        <v>0.67708333333333304</v>
      </c>
      <c r="AG625" s="50">
        <v>0.6875</v>
      </c>
      <c r="AH625" s="48">
        <v>0.69791666666666696</v>
      </c>
      <c r="AI625" s="49">
        <v>0.70833333333333304</v>
      </c>
      <c r="AJ625" s="49">
        <v>0.71875</v>
      </c>
      <c r="AK625" s="50">
        <v>0.72916666666666696</v>
      </c>
      <c r="AL625" s="48">
        <v>0.73958333333333404</v>
      </c>
      <c r="AM625" s="49">
        <v>0.750000000000001</v>
      </c>
      <c r="AN625" s="49">
        <v>0.76041666666666796</v>
      </c>
      <c r="AO625" s="50">
        <v>0.77083333333333504</v>
      </c>
      <c r="AP625" s="48">
        <v>0.781250000000002</v>
      </c>
      <c r="AQ625" s="49">
        <v>0.79166666666666896</v>
      </c>
      <c r="AR625" s="49">
        <v>0.80208333333333603</v>
      </c>
      <c r="AS625" s="50">
        <v>0.812500000000003</v>
      </c>
      <c r="AT625" s="48">
        <v>0.82291666666666996</v>
      </c>
      <c r="AU625" s="49">
        <v>0.83333333333333703</v>
      </c>
      <c r="AV625" s="49">
        <v>0.843750000000004</v>
      </c>
      <c r="AW625" s="50">
        <v>0.85416666666666663</v>
      </c>
      <c r="AX625" s="68" t="s">
        <v>260</v>
      </c>
      <c r="AY625" s="28" t="s">
        <v>261</v>
      </c>
      <c r="AZ625" s="29" t="s">
        <v>262</v>
      </c>
      <c r="BA625" s="136" t="str">
        <f>B626</f>
        <v>Kol Takma</v>
      </c>
      <c r="BB625" s="137"/>
      <c r="BC625" s="137"/>
      <c r="BD625" s="137"/>
      <c r="BE625" s="137"/>
      <c r="BF625" s="137"/>
      <c r="BG625" s="137"/>
      <c r="BH625" s="138"/>
    </row>
    <row r="626" spans="1:60" s="17" customFormat="1" ht="19.5" customHeight="1" thickBot="1" x14ac:dyDescent="0.4">
      <c r="A626" s="41">
        <f t="shared" ref="A626" si="511">A625</f>
        <v>45440</v>
      </c>
      <c r="B626" s="37" t="str">
        <f>B450</f>
        <v>Kol Takma</v>
      </c>
      <c r="C626" s="65" t="s">
        <v>24</v>
      </c>
      <c r="D626" s="70">
        <f>D450</f>
        <v>35</v>
      </c>
      <c r="E626" s="63"/>
      <c r="F626" s="55"/>
      <c r="G626" s="55"/>
      <c r="H626" s="56"/>
      <c r="I626" s="63"/>
      <c r="J626" s="55"/>
      <c r="K626" s="55"/>
      <c r="L626" s="56"/>
      <c r="M626" s="63">
        <v>23</v>
      </c>
      <c r="N626" s="55">
        <v>37</v>
      </c>
      <c r="O626" s="55">
        <v>35</v>
      </c>
      <c r="P626" s="56">
        <v>27</v>
      </c>
      <c r="Q626" s="63">
        <v>15</v>
      </c>
      <c r="R626" s="55">
        <v>26</v>
      </c>
      <c r="S626" s="55">
        <v>27</v>
      </c>
      <c r="T626" s="55">
        <v>30</v>
      </c>
      <c r="U626" s="56">
        <v>35</v>
      </c>
      <c r="V626" s="63">
        <v>30</v>
      </c>
      <c r="W626" s="55">
        <v>35</v>
      </c>
      <c r="X626" s="55">
        <v>35</v>
      </c>
      <c r="Y626" s="56">
        <v>30</v>
      </c>
      <c r="Z626" s="63">
        <v>10</v>
      </c>
      <c r="AA626" s="55">
        <v>30</v>
      </c>
      <c r="AB626" s="55">
        <v>35</v>
      </c>
      <c r="AC626" s="56">
        <v>33</v>
      </c>
      <c r="AD626" s="63">
        <v>37</v>
      </c>
      <c r="AE626" s="55">
        <v>20</v>
      </c>
      <c r="AF626" s="55">
        <v>17</v>
      </c>
      <c r="AG626" s="56">
        <v>35</v>
      </c>
      <c r="AH626" s="63">
        <v>36</v>
      </c>
      <c r="AI626" s="55">
        <v>40</v>
      </c>
      <c r="AJ626" s="55">
        <v>35</v>
      </c>
      <c r="AK626" s="56">
        <v>36</v>
      </c>
      <c r="AL626" s="63">
        <v>37</v>
      </c>
      <c r="AM626" s="55">
        <v>16</v>
      </c>
      <c r="AN626" s="55">
        <v>37</v>
      </c>
      <c r="AO626" s="56"/>
      <c r="AP626" s="63"/>
      <c r="AQ626" s="55"/>
      <c r="AR626" s="55"/>
      <c r="AS626" s="56"/>
      <c r="AT626" s="53"/>
      <c r="AU626" s="54"/>
      <c r="AV626" s="55"/>
      <c r="AW626" s="56"/>
      <c r="AX626" s="33">
        <f>SUM(E626:AW626)</f>
        <v>839</v>
      </c>
      <c r="AY626" s="31">
        <f>IFERROR(AVERAGEIF(E626:AW626,"&lt;&gt;0",(E626:AW626)),)</f>
        <v>29.964285714285715</v>
      </c>
      <c r="AZ626" s="30">
        <f>IFERROR(AY626/D626,0)</f>
        <v>0.85612244897959189</v>
      </c>
      <c r="BA626" s="103" t="s">
        <v>182</v>
      </c>
      <c r="BB626" s="100" t="s">
        <v>183</v>
      </c>
      <c r="BC626" s="100" t="s">
        <v>184</v>
      </c>
      <c r="BD626" s="101" t="s">
        <v>185</v>
      </c>
      <c r="BE626" s="100" t="s">
        <v>186</v>
      </c>
      <c r="BF626" s="102" t="s">
        <v>187</v>
      </c>
      <c r="BG626" s="100" t="s">
        <v>188</v>
      </c>
      <c r="BH626" s="102" t="s">
        <v>189</v>
      </c>
    </row>
    <row r="627" spans="1:60" s="17" customFormat="1" ht="19.5" customHeight="1" thickBot="1" x14ac:dyDescent="0.4">
      <c r="A627" s="41">
        <f t="shared" ref="A627:B627" si="512">A626</f>
        <v>45440</v>
      </c>
      <c r="B627" s="37" t="str">
        <f t="shared" si="512"/>
        <v>Kol Takma</v>
      </c>
      <c r="C627" s="65" t="s">
        <v>46</v>
      </c>
      <c r="D627" s="67">
        <f t="shared" ref="D627:D632" si="513">D626</f>
        <v>35</v>
      </c>
      <c r="E627" s="57"/>
      <c r="F627" s="52"/>
      <c r="G627" s="52"/>
      <c r="H627" s="58"/>
      <c r="I627" s="57"/>
      <c r="J627" s="52"/>
      <c r="K627" s="52"/>
      <c r="L627" s="58"/>
      <c r="M627" s="57"/>
      <c r="N627" s="6">
        <v>0</v>
      </c>
      <c r="O627" s="52">
        <v>25</v>
      </c>
      <c r="P627" s="58">
        <v>27</v>
      </c>
      <c r="Q627" s="57">
        <v>30</v>
      </c>
      <c r="R627" s="52">
        <v>28</v>
      </c>
      <c r="S627" s="52">
        <v>30</v>
      </c>
      <c r="T627" s="52">
        <v>30</v>
      </c>
      <c r="U627" s="58">
        <v>30</v>
      </c>
      <c r="V627" s="57">
        <v>30</v>
      </c>
      <c r="W627" s="52">
        <v>30</v>
      </c>
      <c r="X627" s="52">
        <v>32</v>
      </c>
      <c r="Y627" s="58">
        <v>33</v>
      </c>
      <c r="Z627" s="57">
        <v>31</v>
      </c>
      <c r="AA627" s="52">
        <v>33</v>
      </c>
      <c r="AB627" s="52">
        <v>32</v>
      </c>
      <c r="AC627" s="58">
        <v>30</v>
      </c>
      <c r="AD627" s="57">
        <v>30</v>
      </c>
      <c r="AE627" s="52">
        <v>30</v>
      </c>
      <c r="AF627" s="52">
        <v>33</v>
      </c>
      <c r="AG627" s="58">
        <v>30</v>
      </c>
      <c r="AH627" s="57">
        <v>32</v>
      </c>
      <c r="AI627" s="52">
        <v>31</v>
      </c>
      <c r="AJ627" s="52">
        <v>32</v>
      </c>
      <c r="AK627" s="58">
        <v>33</v>
      </c>
      <c r="AL627" s="57">
        <v>28</v>
      </c>
      <c r="AM627" s="52">
        <v>10</v>
      </c>
      <c r="AN627" s="52">
        <v>30</v>
      </c>
      <c r="AO627" s="58"/>
      <c r="AP627" s="57"/>
      <c r="AQ627" s="52"/>
      <c r="AR627" s="52"/>
      <c r="AS627" s="58"/>
      <c r="AT627" s="57"/>
      <c r="AU627" s="52"/>
      <c r="AV627" s="52"/>
      <c r="AW627" s="58"/>
      <c r="AX627" s="33">
        <f t="shared" ref="AX627:AX632" si="514">SUM(E627:AW627)</f>
        <v>770</v>
      </c>
      <c r="AY627" s="31">
        <f t="shared" ref="AY627:AY632" si="515">IFERROR(AVERAGEIF(E627:AW627,"&lt;&gt;0",(E627:AW627)),)</f>
        <v>29.615384615384617</v>
      </c>
      <c r="AZ627" s="30">
        <f t="shared" ref="AZ627:AZ632" si="516">IFERROR(AY627/D627,0)</f>
        <v>0.84615384615384615</v>
      </c>
      <c r="BA627" s="94">
        <f>AX633+BA451</f>
        <v>3041</v>
      </c>
      <c r="BB627" s="95">
        <f>(D633*8)</f>
        <v>4000</v>
      </c>
      <c r="BC627" s="96">
        <f>C533-BA627</f>
        <v>39270</v>
      </c>
      <c r="BD627" s="96">
        <f>BA618-BA627</f>
        <v>812</v>
      </c>
      <c r="BE627" s="97">
        <f>IFERROR(BC627/E633,0)</f>
        <v>0</v>
      </c>
      <c r="BF627" s="98">
        <f>IFERROR(BE627/9,0)</f>
        <v>0</v>
      </c>
      <c r="BG627" s="97">
        <f>IFERROR(BC627/AY633,0)</f>
        <v>90.394607037158821</v>
      </c>
      <c r="BH627" s="97">
        <f>IFERROR(BG627/9,0)</f>
        <v>10.04384522635098</v>
      </c>
    </row>
    <row r="628" spans="1:60" s="17" customFormat="1" ht="19.5" customHeight="1" x14ac:dyDescent="0.35">
      <c r="A628" s="41">
        <f t="shared" ref="A628:B628" si="517">A627</f>
        <v>45440</v>
      </c>
      <c r="B628" s="37" t="str">
        <f t="shared" si="517"/>
        <v>Kol Takma</v>
      </c>
      <c r="C628" s="65" t="s">
        <v>281</v>
      </c>
      <c r="D628" s="67">
        <f t="shared" si="513"/>
        <v>35</v>
      </c>
      <c r="E628" s="57"/>
      <c r="F628" s="52"/>
      <c r="G628" s="52"/>
      <c r="H628" s="58"/>
      <c r="I628" s="57"/>
      <c r="J628" s="52"/>
      <c r="K628" s="52"/>
      <c r="L628" s="58"/>
      <c r="M628" s="57">
        <v>30</v>
      </c>
      <c r="N628" s="52">
        <v>30</v>
      </c>
      <c r="O628" s="52">
        <v>30</v>
      </c>
      <c r="P628" s="58">
        <v>32</v>
      </c>
      <c r="Q628" s="57">
        <v>32</v>
      </c>
      <c r="R628" s="52"/>
      <c r="S628" s="52"/>
      <c r="T628" s="52"/>
      <c r="U628" s="58">
        <v>0</v>
      </c>
      <c r="V628" s="57"/>
      <c r="W628" s="52"/>
      <c r="X628" s="52"/>
      <c r="Y628" s="58"/>
      <c r="Z628" s="57"/>
      <c r="AA628" s="52"/>
      <c r="AB628" s="52">
        <v>35</v>
      </c>
      <c r="AC628" s="58">
        <v>35</v>
      </c>
      <c r="AD628" s="57">
        <v>35</v>
      </c>
      <c r="AE628" s="52">
        <v>35</v>
      </c>
      <c r="AF628" s="52">
        <v>35</v>
      </c>
      <c r="AG628" s="58">
        <v>30</v>
      </c>
      <c r="AH628" s="57">
        <v>35</v>
      </c>
      <c r="AI628" s="52">
        <v>40</v>
      </c>
      <c r="AJ628" s="52">
        <v>35</v>
      </c>
      <c r="AK628" s="58">
        <v>30</v>
      </c>
      <c r="AL628" s="57">
        <v>30</v>
      </c>
      <c r="AM628" s="52">
        <v>30</v>
      </c>
      <c r="AN628" s="52">
        <v>30</v>
      </c>
      <c r="AO628" s="58"/>
      <c r="AP628" s="57"/>
      <c r="AQ628" s="52"/>
      <c r="AR628" s="52"/>
      <c r="AS628" s="58"/>
      <c r="AT628" s="57"/>
      <c r="AU628" s="52"/>
      <c r="AV628" s="52"/>
      <c r="AW628" s="58"/>
      <c r="AX628" s="33">
        <f t="shared" si="514"/>
        <v>589</v>
      </c>
      <c r="AY628" s="31">
        <f t="shared" si="515"/>
        <v>32.722222222222221</v>
      </c>
      <c r="AZ628" s="30">
        <f t="shared" si="516"/>
        <v>0.93492063492063493</v>
      </c>
      <c r="BA628" s="34"/>
      <c r="BB628" s="34"/>
      <c r="BC628" s="34"/>
      <c r="BD628" s="76"/>
      <c r="BE628" s="34"/>
      <c r="BF628" s="34"/>
      <c r="BG628" s="34"/>
      <c r="BH628" s="34"/>
    </row>
    <row r="629" spans="1:60" s="17" customFormat="1" ht="19.5" customHeight="1" x14ac:dyDescent="0.35">
      <c r="A629" s="41">
        <f t="shared" ref="A629:B629" si="518">A628</f>
        <v>45440</v>
      </c>
      <c r="B629" s="37" t="str">
        <f t="shared" si="518"/>
        <v>Kol Takma</v>
      </c>
      <c r="C629" s="65" t="s">
        <v>52</v>
      </c>
      <c r="D629" s="67">
        <f t="shared" si="513"/>
        <v>35</v>
      </c>
      <c r="E629" s="57"/>
      <c r="F629" s="52"/>
      <c r="G629" s="52"/>
      <c r="H629" s="58"/>
      <c r="I629" s="57"/>
      <c r="J629" s="52"/>
      <c r="K629" s="52"/>
      <c r="L629" s="58"/>
      <c r="M629" s="57">
        <v>20</v>
      </c>
      <c r="N629" s="52">
        <v>26</v>
      </c>
      <c r="O629" s="52">
        <v>25</v>
      </c>
      <c r="P629" s="58">
        <v>26</v>
      </c>
      <c r="Q629" s="57">
        <v>12</v>
      </c>
      <c r="R629" s="52">
        <v>20</v>
      </c>
      <c r="S629" s="52">
        <v>25</v>
      </c>
      <c r="T629" s="52">
        <v>25</v>
      </c>
      <c r="U629" s="58">
        <v>25</v>
      </c>
      <c r="V629" s="57">
        <v>25</v>
      </c>
      <c r="W629" s="52">
        <v>25</v>
      </c>
      <c r="X629" s="52">
        <v>26</v>
      </c>
      <c r="Y629" s="58">
        <v>25</v>
      </c>
      <c r="Z629" s="57">
        <v>26</v>
      </c>
      <c r="AA629" s="52">
        <v>27</v>
      </c>
      <c r="AB629" s="52">
        <v>28</v>
      </c>
      <c r="AC629" s="58">
        <v>25</v>
      </c>
      <c r="AD629" s="57">
        <v>30</v>
      </c>
      <c r="AE629" s="52">
        <v>30</v>
      </c>
      <c r="AF629" s="52">
        <v>31</v>
      </c>
      <c r="AG629" s="58">
        <v>30</v>
      </c>
      <c r="AH629" s="57">
        <v>30</v>
      </c>
      <c r="AI629" s="52">
        <v>20</v>
      </c>
      <c r="AJ629" s="52">
        <v>30</v>
      </c>
      <c r="AK629" s="58">
        <v>33</v>
      </c>
      <c r="AL629" s="57">
        <v>33</v>
      </c>
      <c r="AM629" s="52">
        <v>25</v>
      </c>
      <c r="AN629" s="52">
        <v>30</v>
      </c>
      <c r="AO629" s="58"/>
      <c r="AP629" s="57"/>
      <c r="AQ629" s="52"/>
      <c r="AR629" s="52"/>
      <c r="AS629" s="58"/>
      <c r="AT629" s="57"/>
      <c r="AU629" s="52"/>
      <c r="AV629" s="52"/>
      <c r="AW629" s="58"/>
      <c r="AX629" s="33">
        <f t="shared" si="514"/>
        <v>733</v>
      </c>
      <c r="AY629" s="31">
        <f t="shared" si="515"/>
        <v>26.178571428571427</v>
      </c>
      <c r="AZ629" s="30">
        <f t="shared" si="516"/>
        <v>0.74795918367346936</v>
      </c>
      <c r="BA629" s="34"/>
      <c r="BB629" s="34"/>
      <c r="BC629" s="34"/>
      <c r="BD629" s="76"/>
      <c r="BE629" s="34"/>
      <c r="BF629" s="34"/>
      <c r="BG629" s="34"/>
      <c r="BH629" s="34"/>
    </row>
    <row r="630" spans="1:60" s="17" customFormat="1" ht="19.5" customHeight="1" x14ac:dyDescent="0.35">
      <c r="A630" s="41">
        <f>A627</f>
        <v>45440</v>
      </c>
      <c r="B630" s="37" t="str">
        <f t="shared" ref="B630" si="519">B629</f>
        <v>Kol Takma</v>
      </c>
      <c r="C630" s="65" t="s">
        <v>94</v>
      </c>
      <c r="D630" s="67">
        <f t="shared" si="513"/>
        <v>35</v>
      </c>
      <c r="E630" s="57"/>
      <c r="F630" s="52"/>
      <c r="G630" s="52"/>
      <c r="H630" s="58"/>
      <c r="I630" s="57"/>
      <c r="J630" s="52"/>
      <c r="K630" s="52"/>
      <c r="L630" s="58"/>
      <c r="M630" s="57"/>
      <c r="N630" s="52"/>
      <c r="O630" s="52"/>
      <c r="P630" s="58"/>
      <c r="Q630" s="57"/>
      <c r="R630" s="52"/>
      <c r="S630" s="52"/>
      <c r="T630" s="52"/>
      <c r="U630" s="58"/>
      <c r="V630" s="57"/>
      <c r="W630" s="52"/>
      <c r="X630" s="52"/>
      <c r="Y630" s="58"/>
      <c r="Z630" s="57"/>
      <c r="AA630" s="52">
        <v>35</v>
      </c>
      <c r="AB630" s="52">
        <v>35</v>
      </c>
      <c r="AC630" s="58">
        <v>40</v>
      </c>
      <c r="AD630" s="57"/>
      <c r="AE630" s="52"/>
      <c r="AF630" s="52"/>
      <c r="AG630" s="58"/>
      <c r="AH630" s="57"/>
      <c r="AI630" s="52"/>
      <c r="AJ630" s="52"/>
      <c r="AK630" s="58"/>
      <c r="AL630" s="57"/>
      <c r="AM630" s="52"/>
      <c r="AN630" s="52"/>
      <c r="AO630" s="58"/>
      <c r="AP630" s="57"/>
      <c r="AQ630" s="52"/>
      <c r="AR630" s="52"/>
      <c r="AS630" s="58"/>
      <c r="AT630" s="57"/>
      <c r="AU630" s="52"/>
      <c r="AV630" s="52"/>
      <c r="AW630" s="58"/>
      <c r="AX630" s="33">
        <f t="shared" si="514"/>
        <v>110</v>
      </c>
      <c r="AY630" s="31">
        <f t="shared" si="515"/>
        <v>36.666666666666664</v>
      </c>
      <c r="AZ630" s="30">
        <f t="shared" si="516"/>
        <v>1.0476190476190474</v>
      </c>
      <c r="BA630" s="34"/>
      <c r="BB630" s="34"/>
      <c r="BC630" s="34"/>
      <c r="BD630" s="76"/>
      <c r="BE630" s="34"/>
      <c r="BF630" s="34"/>
      <c r="BG630" s="34"/>
      <c r="BH630" s="34"/>
    </row>
    <row r="631" spans="1:60" s="17" customFormat="1" ht="19.5" customHeight="1" x14ac:dyDescent="0.35">
      <c r="A631" s="41">
        <f t="shared" ref="A631:B631" si="520">A630</f>
        <v>45440</v>
      </c>
      <c r="B631" s="37" t="str">
        <f t="shared" si="520"/>
        <v>Kol Takma</v>
      </c>
      <c r="C631" s="65">
        <f t="shared" ref="C631:C632" si="521">C455</f>
        <v>0</v>
      </c>
      <c r="D631" s="67">
        <f t="shared" si="513"/>
        <v>35</v>
      </c>
      <c r="E631" s="57"/>
      <c r="F631" s="52"/>
      <c r="G631" s="52"/>
      <c r="H631" s="58"/>
      <c r="I631" s="57"/>
      <c r="J631" s="52"/>
      <c r="K631" s="52"/>
      <c r="L631" s="58"/>
      <c r="M631" s="57"/>
      <c r="N631" s="52"/>
      <c r="O631" s="52"/>
      <c r="P631" s="58"/>
      <c r="Q631" s="57"/>
      <c r="R631" s="52"/>
      <c r="S631" s="52"/>
      <c r="T631" s="52"/>
      <c r="U631" s="58"/>
      <c r="V631" s="57"/>
      <c r="W631" s="52"/>
      <c r="X631" s="52"/>
      <c r="Y631" s="58"/>
      <c r="Z631" s="57"/>
      <c r="AA631" s="52"/>
      <c r="AB631" s="52"/>
      <c r="AC631" s="58"/>
      <c r="AD631" s="57"/>
      <c r="AE631" s="52"/>
      <c r="AF631" s="52"/>
      <c r="AG631" s="58"/>
      <c r="AH631" s="57"/>
      <c r="AI631" s="52"/>
      <c r="AJ631" s="52"/>
      <c r="AK631" s="58"/>
      <c r="AL631" s="57"/>
      <c r="AM631" s="52"/>
      <c r="AN631" s="52"/>
      <c r="AO631" s="58"/>
      <c r="AP631" s="57"/>
      <c r="AQ631" s="52"/>
      <c r="AR631" s="52"/>
      <c r="AS631" s="58"/>
      <c r="AT631" s="57"/>
      <c r="AU631" s="52"/>
      <c r="AV631" s="52"/>
      <c r="AW631" s="58"/>
      <c r="AX631" s="33">
        <f t="shared" si="514"/>
        <v>0</v>
      </c>
      <c r="AY631" s="31">
        <f t="shared" si="515"/>
        <v>0</v>
      </c>
      <c r="AZ631" s="30">
        <f t="shared" si="516"/>
        <v>0</v>
      </c>
      <c r="BA631" s="34"/>
      <c r="BB631" s="34"/>
      <c r="BC631" s="34"/>
      <c r="BD631" s="76"/>
      <c r="BE631" s="34"/>
      <c r="BF631" s="34"/>
      <c r="BG631" s="34"/>
      <c r="BH631" s="34"/>
    </row>
    <row r="632" spans="1:60" s="17" customFormat="1" ht="19.5" customHeight="1" thickBot="1" x14ac:dyDescent="0.4">
      <c r="A632" s="41">
        <f t="shared" ref="A632:B632" si="522">A631</f>
        <v>45440</v>
      </c>
      <c r="B632" s="37" t="str">
        <f t="shared" si="522"/>
        <v>Kol Takma</v>
      </c>
      <c r="C632" s="65">
        <f t="shared" si="521"/>
        <v>0</v>
      </c>
      <c r="D632" s="67">
        <f t="shared" si="513"/>
        <v>35</v>
      </c>
      <c r="E632" s="59"/>
      <c r="F632" s="60"/>
      <c r="G632" s="61"/>
      <c r="H632" s="62"/>
      <c r="I632" s="59"/>
      <c r="J632" s="60"/>
      <c r="K632" s="61"/>
      <c r="L632" s="62"/>
      <c r="M632" s="59"/>
      <c r="N632" s="60"/>
      <c r="O632" s="61"/>
      <c r="P632" s="62"/>
      <c r="Q632" s="64"/>
      <c r="R632" s="61"/>
      <c r="S632" s="61"/>
      <c r="T632" s="61"/>
      <c r="U632" s="62"/>
      <c r="V632" s="59"/>
      <c r="W632" s="60"/>
      <c r="X632" s="61"/>
      <c r="Y632" s="62"/>
      <c r="Z632" s="59"/>
      <c r="AA632" s="60"/>
      <c r="AB632" s="61"/>
      <c r="AC632" s="62"/>
      <c r="AD632" s="59"/>
      <c r="AE632" s="60"/>
      <c r="AF632" s="61"/>
      <c r="AG632" s="62"/>
      <c r="AH632" s="59"/>
      <c r="AI632" s="60"/>
      <c r="AJ632" s="61"/>
      <c r="AK632" s="62"/>
      <c r="AL632" s="59"/>
      <c r="AM632" s="60"/>
      <c r="AN632" s="61"/>
      <c r="AO632" s="62"/>
      <c r="AP632" s="59"/>
      <c r="AQ632" s="60"/>
      <c r="AR632" s="61"/>
      <c r="AS632" s="62"/>
      <c r="AT632" s="59"/>
      <c r="AU632" s="60"/>
      <c r="AV632" s="61"/>
      <c r="AW632" s="62"/>
      <c r="AX632" s="33">
        <f t="shared" si="514"/>
        <v>0</v>
      </c>
      <c r="AY632" s="31">
        <f t="shared" si="515"/>
        <v>0</v>
      </c>
      <c r="AZ632" s="30">
        <f t="shared" si="516"/>
        <v>0</v>
      </c>
      <c r="BA632" s="34"/>
      <c r="BB632" s="34"/>
      <c r="BC632" s="34"/>
      <c r="BD632" s="76"/>
      <c r="BE632" s="34"/>
      <c r="BF632" s="34"/>
      <c r="BG632" s="34"/>
      <c r="BH632" s="34"/>
    </row>
    <row r="633" spans="1:60" s="17" customFormat="1" ht="19.5" customHeight="1" thickBot="1" x14ac:dyDescent="0.45">
      <c r="A633" s="41">
        <f t="shared" ref="A633" si="523">A632</f>
        <v>45440</v>
      </c>
      <c r="B633" s="139" t="str">
        <f>B626</f>
        <v>Kol Takma</v>
      </c>
      <c r="C633" s="140"/>
      <c r="D633" s="40">
        <f>C534/8</f>
        <v>500</v>
      </c>
      <c r="E633" s="147">
        <f>SUM(E626:H632)</f>
        <v>0</v>
      </c>
      <c r="F633" s="148"/>
      <c r="G633" s="148"/>
      <c r="H633" s="149"/>
      <c r="I633" s="147">
        <f>SUM(I626:L632)</f>
        <v>0</v>
      </c>
      <c r="J633" s="148"/>
      <c r="K633" s="148"/>
      <c r="L633" s="149"/>
      <c r="M633" s="147">
        <f>SUM(M626:P632)</f>
        <v>393</v>
      </c>
      <c r="N633" s="148"/>
      <c r="O633" s="148"/>
      <c r="P633" s="149"/>
      <c r="Q633" s="147">
        <f>SUM(Q626:U632)</f>
        <v>420</v>
      </c>
      <c r="R633" s="148"/>
      <c r="S633" s="148"/>
      <c r="T633" s="148"/>
      <c r="U633" s="149"/>
      <c r="V633" s="147">
        <f>SUM(V626:Y632)</f>
        <v>356</v>
      </c>
      <c r="W633" s="148"/>
      <c r="X633" s="148"/>
      <c r="Y633" s="149"/>
      <c r="Z633" s="147">
        <f>SUM(Z626:AC632)</f>
        <v>520</v>
      </c>
      <c r="AA633" s="148"/>
      <c r="AB633" s="148"/>
      <c r="AC633" s="149"/>
      <c r="AD633" s="147">
        <f>SUM(AD626:AG632)</f>
        <v>488</v>
      </c>
      <c r="AE633" s="148"/>
      <c r="AF633" s="148"/>
      <c r="AG633" s="149"/>
      <c r="AH633" s="147">
        <f>SUM(AH626:AK632)</f>
        <v>528</v>
      </c>
      <c r="AI633" s="148"/>
      <c r="AJ633" s="148"/>
      <c r="AK633" s="149"/>
      <c r="AL633" s="147">
        <f>SUM(AL626:AO632)</f>
        <v>336</v>
      </c>
      <c r="AM633" s="148"/>
      <c r="AN633" s="148"/>
      <c r="AO633" s="149"/>
      <c r="AP633" s="147">
        <f>SUM(AP626:AS632)</f>
        <v>0</v>
      </c>
      <c r="AQ633" s="148"/>
      <c r="AR633" s="148"/>
      <c r="AS633" s="149"/>
      <c r="AT633" s="147">
        <f>SUM(AT626:AW632)</f>
        <v>0</v>
      </c>
      <c r="AU633" s="148"/>
      <c r="AV633" s="148"/>
      <c r="AW633" s="149"/>
      <c r="AX633" s="87">
        <f>SUM(AX626:AX632)</f>
        <v>3041</v>
      </c>
      <c r="AY633" s="88">
        <f>IFERROR(AVERAGEIF(E633:AV633,"&lt;&gt;0",(E633:AV633)),)</f>
        <v>434.42857142857144</v>
      </c>
      <c r="AZ633" s="46">
        <f>IFERROR(AX633/BB627,0)</f>
        <v>0.76024999999999998</v>
      </c>
      <c r="BA633" s="34"/>
      <c r="BB633" s="34"/>
      <c r="BC633" s="34"/>
      <c r="BD633" s="76"/>
      <c r="BE633" s="34"/>
      <c r="BF633" s="34"/>
      <c r="BG633" s="34"/>
      <c r="BH633" s="34"/>
    </row>
    <row r="634" spans="1:60" s="17" customFormat="1" ht="19.5" customHeight="1" thickBot="1" x14ac:dyDescent="0.4">
      <c r="A634" s="42">
        <f>A625</f>
        <v>45440</v>
      </c>
      <c r="B634" s="38" t="str">
        <f>B635</f>
        <v>Yan Kapama</v>
      </c>
      <c r="C634" s="39" t="s">
        <v>180</v>
      </c>
      <c r="D634" s="69" t="s">
        <v>181</v>
      </c>
      <c r="E634" s="48">
        <v>0.34375</v>
      </c>
      <c r="F634" s="49">
        <v>0.35416666666666669</v>
      </c>
      <c r="G634" s="49">
        <v>0.36458333333333331</v>
      </c>
      <c r="H634" s="50">
        <v>0.375</v>
      </c>
      <c r="I634" s="48">
        <v>0.38541666666666702</v>
      </c>
      <c r="J634" s="49">
        <v>0.39583333333333298</v>
      </c>
      <c r="K634" s="49">
        <v>0.40625</v>
      </c>
      <c r="L634" s="50">
        <v>0.41666666666666702</v>
      </c>
      <c r="M634" s="48">
        <v>0.4375</v>
      </c>
      <c r="N634" s="49">
        <v>0.44791666666666702</v>
      </c>
      <c r="O634" s="49">
        <v>0.45833333333333398</v>
      </c>
      <c r="P634" s="50">
        <v>0.46875</v>
      </c>
      <c r="Q634" s="82">
        <v>0.47916666666666702</v>
      </c>
      <c r="R634" s="83">
        <v>0.48958333333333398</v>
      </c>
      <c r="S634" s="83">
        <v>0.5</v>
      </c>
      <c r="T634" s="84">
        <v>0.51041666666666696</v>
      </c>
      <c r="U634" s="85">
        <v>0.52083333333333204</v>
      </c>
      <c r="V634" s="48">
        <v>0.5625</v>
      </c>
      <c r="W634" s="49">
        <v>0.57291666666666663</v>
      </c>
      <c r="X634" s="49">
        <v>0.58333333333333304</v>
      </c>
      <c r="Y634" s="50">
        <v>0.59375</v>
      </c>
      <c r="Z634" s="48">
        <v>0.60416666666666696</v>
      </c>
      <c r="AA634" s="49">
        <v>0.61458333333333304</v>
      </c>
      <c r="AB634" s="49">
        <v>0.625</v>
      </c>
      <c r="AC634" s="50">
        <v>0.63541666666666596</v>
      </c>
      <c r="AD634" s="48">
        <v>0.65625</v>
      </c>
      <c r="AE634" s="49">
        <v>0.66666666666666663</v>
      </c>
      <c r="AF634" s="49">
        <v>0.67708333333333304</v>
      </c>
      <c r="AG634" s="50">
        <v>0.6875</v>
      </c>
      <c r="AH634" s="48">
        <v>0.69791666666666696</v>
      </c>
      <c r="AI634" s="49">
        <v>0.70833333333333304</v>
      </c>
      <c r="AJ634" s="49">
        <v>0.71875</v>
      </c>
      <c r="AK634" s="50">
        <v>0.72916666666666696</v>
      </c>
      <c r="AL634" s="48">
        <v>0.73958333333333404</v>
      </c>
      <c r="AM634" s="49">
        <v>0.750000000000001</v>
      </c>
      <c r="AN634" s="49">
        <v>0.76041666666666796</v>
      </c>
      <c r="AO634" s="50">
        <v>0.77083333333333504</v>
      </c>
      <c r="AP634" s="48">
        <v>0.781250000000002</v>
      </c>
      <c r="AQ634" s="49">
        <v>0.79166666666666896</v>
      </c>
      <c r="AR634" s="49">
        <v>0.80208333333333603</v>
      </c>
      <c r="AS634" s="50">
        <v>0.812500000000003</v>
      </c>
      <c r="AT634" s="48">
        <v>0.82291666666666996</v>
      </c>
      <c r="AU634" s="49">
        <v>0.83333333333333703</v>
      </c>
      <c r="AV634" s="49">
        <v>0.843750000000004</v>
      </c>
      <c r="AW634" s="50">
        <v>0.85416666666666663</v>
      </c>
      <c r="AX634" s="68" t="s">
        <v>260</v>
      </c>
      <c r="AY634" s="28" t="s">
        <v>261</v>
      </c>
      <c r="AZ634" s="29" t="s">
        <v>262</v>
      </c>
      <c r="BA634" s="136" t="str">
        <f>B635</f>
        <v>Yan Kapama</v>
      </c>
      <c r="BB634" s="137"/>
      <c r="BC634" s="137"/>
      <c r="BD634" s="137"/>
      <c r="BE634" s="137"/>
      <c r="BF634" s="137"/>
      <c r="BG634" s="137"/>
      <c r="BH634" s="138"/>
    </row>
    <row r="635" spans="1:60" s="17" customFormat="1" ht="19.5" customHeight="1" thickBot="1" x14ac:dyDescent="0.4">
      <c r="A635" s="41">
        <f t="shared" ref="A635" si="524">A634</f>
        <v>45440</v>
      </c>
      <c r="B635" s="37" t="str">
        <f>B459</f>
        <v>Yan Kapama</v>
      </c>
      <c r="C635" s="65" t="s">
        <v>54</v>
      </c>
      <c r="D635" s="70">
        <f>D459</f>
        <v>40</v>
      </c>
      <c r="E635" s="63"/>
      <c r="F635" s="55"/>
      <c r="G635" s="55"/>
      <c r="H635" s="56"/>
      <c r="I635" s="63"/>
      <c r="J635" s="55"/>
      <c r="K635" s="55"/>
      <c r="L635" s="56"/>
      <c r="M635" s="63"/>
      <c r="N635" s="55"/>
      <c r="O635" s="55"/>
      <c r="P635" s="56">
        <v>0</v>
      </c>
      <c r="Q635" s="63">
        <v>35</v>
      </c>
      <c r="R635" s="55">
        <v>27</v>
      </c>
      <c r="S635" s="55">
        <v>30</v>
      </c>
      <c r="T635" s="55">
        <v>31</v>
      </c>
      <c r="U635" s="56">
        <v>32</v>
      </c>
      <c r="V635" s="63">
        <v>35</v>
      </c>
      <c r="W635" s="55">
        <v>15</v>
      </c>
      <c r="X635" s="55"/>
      <c r="Y635" s="56"/>
      <c r="Z635" s="63"/>
      <c r="AA635" s="55"/>
      <c r="AB635" s="55">
        <v>11</v>
      </c>
      <c r="AC635" s="56">
        <v>30</v>
      </c>
      <c r="AD635" s="63">
        <v>30</v>
      </c>
      <c r="AE635" s="55">
        <v>25</v>
      </c>
      <c r="AF635" s="55">
        <v>35</v>
      </c>
      <c r="AG635" s="56">
        <v>25</v>
      </c>
      <c r="AH635" s="63">
        <v>30</v>
      </c>
      <c r="AI635" s="55">
        <v>35</v>
      </c>
      <c r="AJ635" s="55">
        <v>27</v>
      </c>
      <c r="AK635" s="56">
        <v>32</v>
      </c>
      <c r="AL635" s="53">
        <v>22</v>
      </c>
      <c r="AM635" s="54">
        <v>25</v>
      </c>
      <c r="AN635" s="55">
        <v>25</v>
      </c>
      <c r="AO635" s="56"/>
      <c r="AP635" s="53"/>
      <c r="AQ635" s="54"/>
      <c r="AR635" s="55"/>
      <c r="AS635" s="56"/>
      <c r="AT635" s="53"/>
      <c r="AU635" s="54"/>
      <c r="AV635" s="55"/>
      <c r="AW635" s="56"/>
      <c r="AX635" s="33">
        <f>SUM(E635:AW635)</f>
        <v>557</v>
      </c>
      <c r="AY635" s="31">
        <f>IFERROR(AVERAGEIF(E635:AW635,"&lt;&gt;0",(E635:AW635)),)</f>
        <v>27.85</v>
      </c>
      <c r="AZ635" s="30">
        <f>IFERROR(AY635/D635,0)</f>
        <v>0.69625000000000004</v>
      </c>
      <c r="BA635" s="103" t="s">
        <v>182</v>
      </c>
      <c r="BB635" s="100" t="s">
        <v>183</v>
      </c>
      <c r="BC635" s="100" t="s">
        <v>184</v>
      </c>
      <c r="BD635" s="101" t="s">
        <v>185</v>
      </c>
      <c r="BE635" s="100" t="s">
        <v>186</v>
      </c>
      <c r="BF635" s="102" t="s">
        <v>187</v>
      </c>
      <c r="BG635" s="100" t="s">
        <v>188</v>
      </c>
      <c r="BH635" s="102" t="s">
        <v>189</v>
      </c>
    </row>
    <row r="636" spans="1:60" s="17" customFormat="1" ht="19.5" customHeight="1" thickBot="1" x14ac:dyDescent="0.4">
      <c r="A636" s="41">
        <f t="shared" ref="A636:B636" si="525">A635</f>
        <v>45440</v>
      </c>
      <c r="B636" s="37" t="str">
        <f t="shared" si="525"/>
        <v>Yan Kapama</v>
      </c>
      <c r="C636" s="65" t="s">
        <v>28</v>
      </c>
      <c r="D636" s="67">
        <f t="shared" ref="D636:D641" si="526">D635</f>
        <v>40</v>
      </c>
      <c r="E636" s="57"/>
      <c r="F636" s="52"/>
      <c r="G636" s="52"/>
      <c r="H636" s="58"/>
      <c r="I636" s="57"/>
      <c r="J636" s="52"/>
      <c r="K636" s="52"/>
      <c r="L636" s="58"/>
      <c r="M636" s="57"/>
      <c r="N636" s="52"/>
      <c r="O636" s="52"/>
      <c r="P636" s="58">
        <v>0</v>
      </c>
      <c r="Q636" s="57">
        <v>25</v>
      </c>
      <c r="R636" s="52">
        <v>24</v>
      </c>
      <c r="S636" s="52">
        <v>22</v>
      </c>
      <c r="T636" s="52">
        <v>22</v>
      </c>
      <c r="U636" s="58">
        <v>25</v>
      </c>
      <c r="V636" s="57">
        <v>30</v>
      </c>
      <c r="W636" s="52">
        <v>27</v>
      </c>
      <c r="X636" s="52">
        <v>28</v>
      </c>
      <c r="Y636" s="58">
        <v>26</v>
      </c>
      <c r="Z636" s="57">
        <v>27</v>
      </c>
      <c r="AA636" s="52">
        <v>18</v>
      </c>
      <c r="AB636" s="52">
        <v>28</v>
      </c>
      <c r="AC636" s="58">
        <v>25</v>
      </c>
      <c r="AD636" s="57">
        <v>25</v>
      </c>
      <c r="AE636" s="52">
        <v>30</v>
      </c>
      <c r="AF636" s="52">
        <v>28</v>
      </c>
      <c r="AG636" s="58">
        <v>25</v>
      </c>
      <c r="AH636" s="57">
        <v>20</v>
      </c>
      <c r="AI636" s="52">
        <v>20</v>
      </c>
      <c r="AJ636" s="52">
        <v>25</v>
      </c>
      <c r="AK636" s="58">
        <v>23</v>
      </c>
      <c r="AL636" s="57">
        <v>20</v>
      </c>
      <c r="AM636" s="52">
        <v>26</v>
      </c>
      <c r="AN636" s="52">
        <v>21</v>
      </c>
      <c r="AO636" s="58"/>
      <c r="AP636" s="57"/>
      <c r="AQ636" s="52"/>
      <c r="AR636" s="52"/>
      <c r="AS636" s="58"/>
      <c r="AT636" s="57"/>
      <c r="AU636" s="52"/>
      <c r="AV636" s="52"/>
      <c r="AW636" s="58"/>
      <c r="AX636" s="33">
        <f t="shared" ref="AX636:AX641" si="527">SUM(E636:AW636)</f>
        <v>590</v>
      </c>
      <c r="AY636" s="31">
        <f t="shared" ref="AY636:AY641" si="528">IFERROR(AVERAGEIF(E636:AW636,"&lt;&gt;0",(E636:AW636)),)</f>
        <v>24.583333333333332</v>
      </c>
      <c r="AZ636" s="30">
        <f t="shared" ref="AZ636:AZ641" si="529">IFERROR(AY636/D636,0)</f>
        <v>0.61458333333333326</v>
      </c>
      <c r="BA636" s="94">
        <f>AX642+BA460</f>
        <v>2607</v>
      </c>
      <c r="BB636" s="95">
        <f>(D642*8)</f>
        <v>4000</v>
      </c>
      <c r="BC636" s="96">
        <f>C533-BA636</f>
        <v>39704</v>
      </c>
      <c r="BD636" s="96">
        <f>BA627-BA636</f>
        <v>434</v>
      </c>
      <c r="BE636" s="97">
        <f>IFERROR(BC636/E642,0)</f>
        <v>0</v>
      </c>
      <c r="BF636" s="98">
        <f>IFERROR(BE636/9,0)</f>
        <v>0</v>
      </c>
      <c r="BG636" s="97">
        <f>IFERROR(BC636/AY642,0)</f>
        <v>106.60836210203298</v>
      </c>
      <c r="BH636" s="97">
        <f>IFERROR(BG636/9,0)</f>
        <v>11.845373566892555</v>
      </c>
    </row>
    <row r="637" spans="1:60" s="17" customFormat="1" ht="19.5" customHeight="1" x14ac:dyDescent="0.35">
      <c r="A637" s="41">
        <f t="shared" ref="A637:B637" si="530">A636</f>
        <v>45440</v>
      </c>
      <c r="B637" s="37" t="str">
        <f t="shared" si="530"/>
        <v>Yan Kapama</v>
      </c>
      <c r="C637" s="65" t="s">
        <v>278</v>
      </c>
      <c r="D637" s="67">
        <f t="shared" si="526"/>
        <v>40</v>
      </c>
      <c r="E637" s="57"/>
      <c r="F637" s="52"/>
      <c r="G637" s="52"/>
      <c r="H637" s="58"/>
      <c r="I637" s="57"/>
      <c r="J637" s="52"/>
      <c r="K637" s="52"/>
      <c r="L637" s="58"/>
      <c r="M637" s="57"/>
      <c r="N637" s="52"/>
      <c r="O637" s="52"/>
      <c r="P637" s="58">
        <v>20</v>
      </c>
      <c r="Q637" s="57">
        <v>20</v>
      </c>
      <c r="R637" s="52">
        <v>26</v>
      </c>
      <c r="S637" s="52">
        <v>21</v>
      </c>
      <c r="T637" s="52">
        <v>30</v>
      </c>
      <c r="U637" s="58">
        <v>30</v>
      </c>
      <c r="V637" s="57"/>
      <c r="W637" s="52"/>
      <c r="X637" s="52"/>
      <c r="Y637" s="58"/>
      <c r="Z637" s="57"/>
      <c r="AA637" s="52"/>
      <c r="AB637" s="52"/>
      <c r="AC637" s="58">
        <v>0</v>
      </c>
      <c r="AD637" s="57"/>
      <c r="AE637" s="52"/>
      <c r="AF637" s="52"/>
      <c r="AG637" s="58"/>
      <c r="AH637" s="57"/>
      <c r="AI637" s="52"/>
      <c r="AJ637" s="52"/>
      <c r="AK637" s="58"/>
      <c r="AL637" s="57"/>
      <c r="AM637" s="52"/>
      <c r="AN637" s="52"/>
      <c r="AO637" s="58"/>
      <c r="AP637" s="57"/>
      <c r="AQ637" s="52"/>
      <c r="AR637" s="52"/>
      <c r="AS637" s="58"/>
      <c r="AT637" s="57"/>
      <c r="AU637" s="52"/>
      <c r="AV637" s="52"/>
      <c r="AW637" s="58"/>
      <c r="AX637" s="33">
        <f t="shared" si="527"/>
        <v>147</v>
      </c>
      <c r="AY637" s="31">
        <f t="shared" si="528"/>
        <v>24.5</v>
      </c>
      <c r="AZ637" s="30">
        <f t="shared" si="529"/>
        <v>0.61250000000000004</v>
      </c>
      <c r="BA637" s="34"/>
      <c r="BB637" s="34"/>
      <c r="BC637" s="34"/>
      <c r="BD637" s="76"/>
      <c r="BE637" s="34"/>
      <c r="BF637" s="34"/>
      <c r="BG637" s="34"/>
      <c r="BH637" s="34"/>
    </row>
    <row r="638" spans="1:60" s="17" customFormat="1" ht="19.5" customHeight="1" x14ac:dyDescent="0.35">
      <c r="A638" s="41">
        <f t="shared" ref="A638:B638" si="531">A637</f>
        <v>45440</v>
      </c>
      <c r="B638" s="37" t="str">
        <f t="shared" si="531"/>
        <v>Yan Kapama</v>
      </c>
      <c r="C638" s="65" t="s">
        <v>99</v>
      </c>
      <c r="D638" s="67">
        <f t="shared" si="526"/>
        <v>40</v>
      </c>
      <c r="E638" s="57"/>
      <c r="F638" s="52"/>
      <c r="G638" s="52"/>
      <c r="H638" s="58"/>
      <c r="I638" s="57"/>
      <c r="J638" s="52"/>
      <c r="K638" s="52"/>
      <c r="L638" s="58"/>
      <c r="M638" s="57"/>
      <c r="N638" s="52"/>
      <c r="O638" s="52"/>
      <c r="P638" s="58">
        <v>20</v>
      </c>
      <c r="Q638" s="57">
        <v>37</v>
      </c>
      <c r="R638" s="52">
        <v>35</v>
      </c>
      <c r="S638" s="52">
        <v>35</v>
      </c>
      <c r="T638" s="52">
        <v>35</v>
      </c>
      <c r="U638" s="58">
        <v>36</v>
      </c>
      <c r="V638" s="57">
        <v>38</v>
      </c>
      <c r="W638" s="52">
        <v>40</v>
      </c>
      <c r="X638" s="52">
        <v>40</v>
      </c>
      <c r="Y638" s="58">
        <v>20</v>
      </c>
      <c r="Z638" s="57">
        <v>35</v>
      </c>
      <c r="AA638" s="52">
        <v>35</v>
      </c>
      <c r="AB638" s="52">
        <v>35</v>
      </c>
      <c r="AC638" s="58">
        <v>35</v>
      </c>
      <c r="AD638" s="57">
        <v>40</v>
      </c>
      <c r="AE638" s="52">
        <v>20</v>
      </c>
      <c r="AF638" s="52">
        <v>40</v>
      </c>
      <c r="AG638" s="58">
        <v>40</v>
      </c>
      <c r="AH638" s="57">
        <v>20</v>
      </c>
      <c r="AI638" s="52">
        <v>40</v>
      </c>
      <c r="AJ638" s="52">
        <v>40</v>
      </c>
      <c r="AK638" s="58">
        <v>35</v>
      </c>
      <c r="AL638" s="57">
        <v>15</v>
      </c>
      <c r="AM638" s="52">
        <v>30</v>
      </c>
      <c r="AN638" s="52">
        <v>25</v>
      </c>
      <c r="AO638" s="58"/>
      <c r="AP638" s="57"/>
      <c r="AQ638" s="52"/>
      <c r="AR638" s="52"/>
      <c r="AS638" s="58"/>
      <c r="AT638" s="57"/>
      <c r="AU638" s="52"/>
      <c r="AV638" s="52"/>
      <c r="AW638" s="58"/>
      <c r="AX638" s="33">
        <f t="shared" si="527"/>
        <v>821</v>
      </c>
      <c r="AY638" s="31">
        <f t="shared" si="528"/>
        <v>32.840000000000003</v>
      </c>
      <c r="AZ638" s="30">
        <f t="shared" si="529"/>
        <v>0.82100000000000006</v>
      </c>
      <c r="BA638" s="34"/>
      <c r="BB638" s="34"/>
      <c r="BC638" s="34"/>
      <c r="BD638" s="76"/>
      <c r="BE638" s="34"/>
      <c r="BF638" s="34"/>
      <c r="BG638" s="34"/>
      <c r="BH638" s="34"/>
    </row>
    <row r="639" spans="1:60" s="17" customFormat="1" ht="19.5" customHeight="1" x14ac:dyDescent="0.35">
      <c r="A639" s="41">
        <f>A636</f>
        <v>45440</v>
      </c>
      <c r="B639" s="37" t="str">
        <f t="shared" ref="B639" si="532">B638</f>
        <v>Yan Kapama</v>
      </c>
      <c r="C639" s="65" t="s">
        <v>266</v>
      </c>
      <c r="D639" s="67">
        <f t="shared" si="526"/>
        <v>40</v>
      </c>
      <c r="E639" s="57"/>
      <c r="F639" s="52"/>
      <c r="G639" s="52"/>
      <c r="H639" s="58"/>
      <c r="I639" s="57"/>
      <c r="J639" s="52"/>
      <c r="K639" s="52"/>
      <c r="L639" s="58"/>
      <c r="M639" s="57"/>
      <c r="N639" s="52"/>
      <c r="O639" s="52"/>
      <c r="P639" s="58"/>
      <c r="Q639" s="57">
        <v>9</v>
      </c>
      <c r="R639" s="52">
        <v>18</v>
      </c>
      <c r="S639" s="52">
        <v>17</v>
      </c>
      <c r="T639" s="52">
        <v>17</v>
      </c>
      <c r="U639" s="58">
        <v>14</v>
      </c>
      <c r="V639" s="57">
        <v>20</v>
      </c>
      <c r="W639" s="52">
        <v>20</v>
      </c>
      <c r="X639" s="52">
        <v>18</v>
      </c>
      <c r="Y639" s="58">
        <v>18</v>
      </c>
      <c r="Z639" s="57">
        <v>20</v>
      </c>
      <c r="AA639" s="52">
        <v>17</v>
      </c>
      <c r="AB639" s="52">
        <v>17</v>
      </c>
      <c r="AC639" s="58">
        <v>17</v>
      </c>
      <c r="AD639" s="57">
        <v>20</v>
      </c>
      <c r="AE639" s="52">
        <v>18</v>
      </c>
      <c r="AF639" s="52">
        <v>18</v>
      </c>
      <c r="AG639" s="58">
        <v>20</v>
      </c>
      <c r="AH639" s="57">
        <v>19</v>
      </c>
      <c r="AI639" s="52">
        <v>19</v>
      </c>
      <c r="AJ639" s="52">
        <v>20</v>
      </c>
      <c r="AK639" s="58">
        <v>20</v>
      </c>
      <c r="AL639" s="57">
        <v>16</v>
      </c>
      <c r="AM639" s="52">
        <v>13</v>
      </c>
      <c r="AN639" s="52">
        <v>18</v>
      </c>
      <c r="AO639" s="58"/>
      <c r="AP639" s="57"/>
      <c r="AQ639" s="52"/>
      <c r="AR639" s="52"/>
      <c r="AS639" s="58"/>
      <c r="AT639" s="57"/>
      <c r="AU639" s="52"/>
      <c r="AV639" s="52"/>
      <c r="AW639" s="58"/>
      <c r="AX639" s="33">
        <f t="shared" si="527"/>
        <v>423</v>
      </c>
      <c r="AY639" s="31">
        <f t="shared" si="528"/>
        <v>17.625</v>
      </c>
      <c r="AZ639" s="30">
        <f t="shared" si="529"/>
        <v>0.44062499999999999</v>
      </c>
      <c r="BA639" s="34"/>
      <c r="BB639" s="34"/>
      <c r="BC639" s="34"/>
      <c r="BD639" s="76"/>
      <c r="BE639" s="34"/>
      <c r="BF639" s="34"/>
      <c r="BG639" s="34"/>
      <c r="BH639" s="34"/>
    </row>
    <row r="640" spans="1:60" s="17" customFormat="1" ht="19.5" customHeight="1" x14ac:dyDescent="0.35">
      <c r="A640" s="41">
        <f>A639</f>
        <v>45440</v>
      </c>
      <c r="B640" s="37" t="str">
        <f t="shared" ref="B640" si="533">B639</f>
        <v>Yan Kapama</v>
      </c>
      <c r="C640" s="65">
        <f t="shared" ref="C640:C641" si="534">C464</f>
        <v>0</v>
      </c>
      <c r="D640" s="67">
        <f t="shared" si="526"/>
        <v>40</v>
      </c>
      <c r="E640" s="57"/>
      <c r="F640" s="52"/>
      <c r="G640" s="52"/>
      <c r="H640" s="58"/>
      <c r="I640" s="57"/>
      <c r="J640" s="52"/>
      <c r="K640" s="52"/>
      <c r="L640" s="58"/>
      <c r="M640" s="57"/>
      <c r="N640" s="52"/>
      <c r="O640" s="52"/>
      <c r="P640" s="78"/>
      <c r="Q640" s="57"/>
      <c r="R640" s="52"/>
      <c r="S640" s="52"/>
      <c r="T640" s="52"/>
      <c r="U640" s="58"/>
      <c r="V640" s="80"/>
      <c r="W640" s="52"/>
      <c r="X640" s="52"/>
      <c r="Y640" s="58"/>
      <c r="Z640" s="57"/>
      <c r="AA640" s="52"/>
      <c r="AB640" s="52"/>
      <c r="AC640" s="58"/>
      <c r="AD640" s="57"/>
      <c r="AE640" s="52"/>
      <c r="AF640" s="52"/>
      <c r="AG640" s="58"/>
      <c r="AH640" s="57"/>
      <c r="AI640" s="52"/>
      <c r="AJ640" s="52"/>
      <c r="AK640" s="58"/>
      <c r="AL640" s="57">
        <v>28</v>
      </c>
      <c r="AM640" s="52">
        <v>16</v>
      </c>
      <c r="AN640" s="52">
        <v>25</v>
      </c>
      <c r="AO640" s="58"/>
      <c r="AP640" s="57"/>
      <c r="AQ640" s="52"/>
      <c r="AR640" s="52"/>
      <c r="AS640" s="58"/>
      <c r="AT640" s="57"/>
      <c r="AU640" s="52"/>
      <c r="AV640" s="52"/>
      <c r="AW640" s="58"/>
      <c r="AX640" s="33">
        <f t="shared" si="527"/>
        <v>69</v>
      </c>
      <c r="AY640" s="31">
        <f t="shared" si="528"/>
        <v>23</v>
      </c>
      <c r="AZ640" s="30">
        <f t="shared" si="529"/>
        <v>0.57499999999999996</v>
      </c>
      <c r="BA640" s="34"/>
      <c r="BB640" s="34"/>
      <c r="BC640" s="34"/>
      <c r="BD640" s="76"/>
      <c r="BE640" s="34"/>
      <c r="BF640" s="34"/>
      <c r="BG640" s="34"/>
      <c r="BH640" s="34"/>
    </row>
    <row r="641" spans="1:60" s="17" customFormat="1" ht="19.5" customHeight="1" thickBot="1" x14ac:dyDescent="0.4">
      <c r="A641" s="41">
        <f>A640</f>
        <v>45440</v>
      </c>
      <c r="B641" s="37" t="str">
        <f t="shared" ref="B641" si="535">B640</f>
        <v>Yan Kapama</v>
      </c>
      <c r="C641" s="65">
        <f t="shared" si="534"/>
        <v>0</v>
      </c>
      <c r="D641" s="67">
        <f t="shared" si="526"/>
        <v>40</v>
      </c>
      <c r="E641" s="59"/>
      <c r="F641" s="60"/>
      <c r="G641" s="61"/>
      <c r="H641" s="62"/>
      <c r="I641" s="59"/>
      <c r="J641" s="60"/>
      <c r="K641" s="61"/>
      <c r="L641" s="62"/>
      <c r="M641" s="59"/>
      <c r="N641" s="60"/>
      <c r="O641" s="61"/>
      <c r="P641" s="79"/>
      <c r="Q641" s="64"/>
      <c r="R641" s="61"/>
      <c r="S641" s="61"/>
      <c r="T641" s="61"/>
      <c r="U641" s="62"/>
      <c r="V641" s="81"/>
      <c r="W641" s="60"/>
      <c r="X641" s="61"/>
      <c r="Y641" s="62"/>
      <c r="Z641" s="59"/>
      <c r="AA641" s="60"/>
      <c r="AB641" s="61"/>
      <c r="AC641" s="62"/>
      <c r="AD641" s="59"/>
      <c r="AE641" s="60"/>
      <c r="AF641" s="61"/>
      <c r="AG641" s="62"/>
      <c r="AH641" s="59"/>
      <c r="AI641" s="60"/>
      <c r="AJ641" s="61"/>
      <c r="AK641" s="62"/>
      <c r="AL641" s="59"/>
      <c r="AM641" s="60"/>
      <c r="AN641" s="61"/>
      <c r="AO641" s="62"/>
      <c r="AP641" s="59"/>
      <c r="AQ641" s="60"/>
      <c r="AR641" s="61"/>
      <c r="AS641" s="62"/>
      <c r="AT641" s="59"/>
      <c r="AU641" s="60"/>
      <c r="AV641" s="61"/>
      <c r="AW641" s="62"/>
      <c r="AX641" s="33">
        <f t="shared" si="527"/>
        <v>0</v>
      </c>
      <c r="AY641" s="31">
        <f t="shared" si="528"/>
        <v>0</v>
      </c>
      <c r="AZ641" s="30">
        <f t="shared" si="529"/>
        <v>0</v>
      </c>
      <c r="BA641" s="34"/>
      <c r="BB641" s="34"/>
      <c r="BC641" s="34"/>
      <c r="BD641" s="76"/>
      <c r="BE641" s="34"/>
      <c r="BF641" s="34"/>
      <c r="BG641" s="34"/>
      <c r="BH641" s="34"/>
    </row>
    <row r="642" spans="1:60" s="17" customFormat="1" ht="19.5" customHeight="1" thickBot="1" x14ac:dyDescent="0.45">
      <c r="A642" s="41">
        <f>A641</f>
        <v>45440</v>
      </c>
      <c r="B642" s="139" t="str">
        <f>B635</f>
        <v>Yan Kapama</v>
      </c>
      <c r="C642" s="140"/>
      <c r="D642" s="40">
        <f>C534/8</f>
        <v>500</v>
      </c>
      <c r="E642" s="147">
        <f>SUM(E635:H641)</f>
        <v>0</v>
      </c>
      <c r="F642" s="148"/>
      <c r="G642" s="148"/>
      <c r="H642" s="149"/>
      <c r="I642" s="147">
        <f>SUM(I635:L641)</f>
        <v>0</v>
      </c>
      <c r="J642" s="148"/>
      <c r="K642" s="148"/>
      <c r="L642" s="149"/>
      <c r="M642" s="147">
        <f>SUM(M635:P641)</f>
        <v>40</v>
      </c>
      <c r="N642" s="148"/>
      <c r="O642" s="148"/>
      <c r="P642" s="149"/>
      <c r="Q642" s="151">
        <f>SUM(Q635:U641)</f>
        <v>653</v>
      </c>
      <c r="R642" s="152"/>
      <c r="S642" s="152"/>
      <c r="T642" s="152"/>
      <c r="U642" s="153"/>
      <c r="V642" s="147">
        <f>SUM(V635:Y641)</f>
        <v>375</v>
      </c>
      <c r="W642" s="148"/>
      <c r="X642" s="148"/>
      <c r="Y642" s="149"/>
      <c r="Z642" s="147">
        <f>SUM(Z635:AC641)</f>
        <v>350</v>
      </c>
      <c r="AA642" s="148"/>
      <c r="AB642" s="148"/>
      <c r="AC642" s="149"/>
      <c r="AD642" s="147">
        <f>SUM(AD635:AG641)</f>
        <v>439</v>
      </c>
      <c r="AE642" s="148"/>
      <c r="AF642" s="148"/>
      <c r="AG642" s="149"/>
      <c r="AH642" s="147">
        <f>SUM(AH635:AK641)</f>
        <v>425</v>
      </c>
      <c r="AI642" s="148"/>
      <c r="AJ642" s="148"/>
      <c r="AK642" s="149"/>
      <c r="AL642" s="147">
        <f>SUM(AL635:AO641)</f>
        <v>325</v>
      </c>
      <c r="AM642" s="148"/>
      <c r="AN642" s="148"/>
      <c r="AO642" s="149"/>
      <c r="AP642" s="147">
        <f>SUM(AP635:AS641)</f>
        <v>0</v>
      </c>
      <c r="AQ642" s="148"/>
      <c r="AR642" s="148"/>
      <c r="AS642" s="149"/>
      <c r="AT642" s="147">
        <f>SUM(AT635:AW641)</f>
        <v>0</v>
      </c>
      <c r="AU642" s="148"/>
      <c r="AV642" s="148"/>
      <c r="AW642" s="149"/>
      <c r="AX642" s="87">
        <f>SUM(AX635:AX641)</f>
        <v>2607</v>
      </c>
      <c r="AY642" s="88">
        <f>IFERROR(AVERAGEIF(E642:AV642,"&lt;&gt;0",(E642:AV642)),)</f>
        <v>372.42857142857144</v>
      </c>
      <c r="AZ642" s="46">
        <f>IFERROR(AX642/BB636,0)</f>
        <v>0.65175000000000005</v>
      </c>
      <c r="BA642" s="34"/>
      <c r="BB642" s="34"/>
      <c r="BC642" s="34"/>
      <c r="BD642" s="76"/>
      <c r="BE642" s="34"/>
      <c r="BF642" s="34"/>
      <c r="BG642" s="34"/>
      <c r="BH642" s="34"/>
    </row>
    <row r="643" spans="1:60" s="17" customFormat="1" ht="19.5" customHeight="1" thickBot="1" x14ac:dyDescent="0.4">
      <c r="A643" s="42">
        <f>A634</f>
        <v>45440</v>
      </c>
      <c r="B643" s="38" t="str">
        <f>B644</f>
        <v>Yıkama Takma</v>
      </c>
      <c r="C643" s="39" t="s">
        <v>180</v>
      </c>
      <c r="D643" s="69" t="s">
        <v>181</v>
      </c>
      <c r="E643" s="48">
        <v>0.34375</v>
      </c>
      <c r="F643" s="49">
        <v>0.35416666666666669</v>
      </c>
      <c r="G643" s="49">
        <v>0.36458333333333331</v>
      </c>
      <c r="H643" s="50">
        <v>0.375</v>
      </c>
      <c r="I643" s="48">
        <v>0.38541666666666702</v>
      </c>
      <c r="J643" s="49">
        <v>0.39583333333333298</v>
      </c>
      <c r="K643" s="49">
        <v>0.40625</v>
      </c>
      <c r="L643" s="50">
        <v>0.41666666666666702</v>
      </c>
      <c r="M643" s="48">
        <v>0.4375</v>
      </c>
      <c r="N643" s="49">
        <v>0.44791666666666702</v>
      </c>
      <c r="O643" s="49">
        <v>0.45833333333333398</v>
      </c>
      <c r="P643" s="50">
        <v>0.46875</v>
      </c>
      <c r="Q643" s="48">
        <v>0.47916666666666702</v>
      </c>
      <c r="R643" s="49">
        <v>0.48958333333333398</v>
      </c>
      <c r="S643" s="49">
        <v>0.5</v>
      </c>
      <c r="T643" s="50">
        <v>0.51041666666666696</v>
      </c>
      <c r="U643" s="51">
        <v>0.52083333333333204</v>
      </c>
      <c r="V643" s="48">
        <v>0.5625</v>
      </c>
      <c r="W643" s="49">
        <v>0.57291666666666663</v>
      </c>
      <c r="X643" s="49">
        <v>0.58333333333333304</v>
      </c>
      <c r="Y643" s="50">
        <v>0.59375</v>
      </c>
      <c r="Z643" s="48">
        <v>0.60416666666666696</v>
      </c>
      <c r="AA643" s="49">
        <v>0.61458333333333304</v>
      </c>
      <c r="AB643" s="49">
        <v>0.625</v>
      </c>
      <c r="AC643" s="50">
        <v>0.63541666666666596</v>
      </c>
      <c r="AD643" s="48">
        <v>0.65625</v>
      </c>
      <c r="AE643" s="49">
        <v>0.66666666666666663</v>
      </c>
      <c r="AF643" s="49">
        <v>0.67708333333333304</v>
      </c>
      <c r="AG643" s="50">
        <v>0.6875</v>
      </c>
      <c r="AH643" s="48">
        <v>0.69791666666666696</v>
      </c>
      <c r="AI643" s="49">
        <v>0.70833333333333304</v>
      </c>
      <c r="AJ643" s="49">
        <v>0.71875</v>
      </c>
      <c r="AK643" s="50">
        <v>0.72916666666666696</v>
      </c>
      <c r="AL643" s="48">
        <v>0.73958333333333404</v>
      </c>
      <c r="AM643" s="49">
        <v>0.750000000000001</v>
      </c>
      <c r="AN643" s="49">
        <v>0.76041666666666796</v>
      </c>
      <c r="AO643" s="50">
        <v>0.77083333333333504</v>
      </c>
      <c r="AP643" s="48">
        <v>0.781250000000002</v>
      </c>
      <c r="AQ643" s="49">
        <v>0.79166666666666896</v>
      </c>
      <c r="AR643" s="49">
        <v>0.80208333333333603</v>
      </c>
      <c r="AS643" s="50">
        <v>0.812500000000003</v>
      </c>
      <c r="AT643" s="48">
        <v>0.82291666666666996</v>
      </c>
      <c r="AU643" s="49">
        <v>0.83333333333333703</v>
      </c>
      <c r="AV643" s="49">
        <v>0.843750000000004</v>
      </c>
      <c r="AW643" s="50">
        <v>0.85416666666666663</v>
      </c>
      <c r="AX643" s="68" t="s">
        <v>260</v>
      </c>
      <c r="AY643" s="28" t="s">
        <v>261</v>
      </c>
      <c r="AZ643" s="29" t="s">
        <v>262</v>
      </c>
      <c r="BA643" s="136" t="str">
        <f>B644</f>
        <v>Yıkama Takma</v>
      </c>
      <c r="BB643" s="137"/>
      <c r="BC643" s="137"/>
      <c r="BD643" s="137"/>
      <c r="BE643" s="137"/>
      <c r="BF643" s="137"/>
      <c r="BG643" s="137"/>
      <c r="BH643" s="138"/>
    </row>
    <row r="644" spans="1:60" s="17" customFormat="1" ht="19.5" customHeight="1" thickBot="1" x14ac:dyDescent="0.4">
      <c r="A644" s="41">
        <f t="shared" ref="A644" si="536">A643</f>
        <v>45440</v>
      </c>
      <c r="B644" s="37" t="str">
        <f>B468</f>
        <v>Yıkama Takma</v>
      </c>
      <c r="C644" s="65" t="s">
        <v>64</v>
      </c>
      <c r="D644" s="70">
        <f>D468</f>
        <v>125</v>
      </c>
      <c r="E644" s="63"/>
      <c r="F644" s="55"/>
      <c r="G644" s="55"/>
      <c r="H644" s="56"/>
      <c r="I644" s="63"/>
      <c r="J644" s="55"/>
      <c r="K644" s="55"/>
      <c r="L644" s="56"/>
      <c r="M644" s="63"/>
      <c r="N644" s="55"/>
      <c r="O644" s="55"/>
      <c r="P644" s="56"/>
      <c r="Q644" s="63"/>
      <c r="R644" s="55">
        <v>100</v>
      </c>
      <c r="S644" s="55">
        <v>130</v>
      </c>
      <c r="T644" s="55">
        <v>135</v>
      </c>
      <c r="U644" s="56">
        <v>110</v>
      </c>
      <c r="V644" s="63">
        <v>135</v>
      </c>
      <c r="W644" s="55">
        <v>135</v>
      </c>
      <c r="X644" s="55">
        <v>135</v>
      </c>
      <c r="Y644" s="56">
        <v>0</v>
      </c>
      <c r="Z644" s="63">
        <v>100</v>
      </c>
      <c r="AA644" s="55">
        <v>125</v>
      </c>
      <c r="AB644" s="55">
        <v>0</v>
      </c>
      <c r="AC644" s="56">
        <v>140</v>
      </c>
      <c r="AD644" s="63">
        <v>85</v>
      </c>
      <c r="AE644" s="55">
        <v>65</v>
      </c>
      <c r="AF644" s="55">
        <v>130</v>
      </c>
      <c r="AG644" s="56">
        <v>125</v>
      </c>
      <c r="AH644" s="63">
        <v>120</v>
      </c>
      <c r="AI644" s="55">
        <v>30</v>
      </c>
      <c r="AJ644" s="55">
        <v>120</v>
      </c>
      <c r="AK644" s="56">
        <v>0</v>
      </c>
      <c r="AL644" s="63">
        <v>125</v>
      </c>
      <c r="AM644" s="55">
        <v>120</v>
      </c>
      <c r="AN644" s="55">
        <v>130</v>
      </c>
      <c r="AO644" s="56"/>
      <c r="AP644" s="63"/>
      <c r="AQ644" s="55"/>
      <c r="AR644" s="55"/>
      <c r="AS644" s="56"/>
      <c r="AT644" s="53"/>
      <c r="AU644" s="54"/>
      <c r="AV644" s="55"/>
      <c r="AW644" s="56"/>
      <c r="AX644" s="33">
        <f>SUM(E644:AW644)</f>
        <v>2295</v>
      </c>
      <c r="AY644" s="31">
        <f>IFERROR(AVERAGEIF(E644:AW644,"&lt;&gt;0",(E644:AW644)),)</f>
        <v>114.75</v>
      </c>
      <c r="AZ644" s="30">
        <f>IFERROR(AY644/D644,0)</f>
        <v>0.91800000000000004</v>
      </c>
      <c r="BA644" s="103" t="s">
        <v>182</v>
      </c>
      <c r="BB644" s="100" t="s">
        <v>183</v>
      </c>
      <c r="BC644" s="100" t="s">
        <v>184</v>
      </c>
      <c r="BD644" s="101" t="s">
        <v>185</v>
      </c>
      <c r="BE644" s="100" t="s">
        <v>186</v>
      </c>
      <c r="BF644" s="102" t="s">
        <v>187</v>
      </c>
      <c r="BG644" s="100" t="s">
        <v>188</v>
      </c>
      <c r="BH644" s="102" t="s">
        <v>189</v>
      </c>
    </row>
    <row r="645" spans="1:60" s="17" customFormat="1" ht="19.5" customHeight="1" thickBot="1" x14ac:dyDescent="0.4">
      <c r="A645" s="41">
        <f t="shared" ref="A645:B645" si="537">A644</f>
        <v>45440</v>
      </c>
      <c r="B645" s="37" t="str">
        <f t="shared" si="537"/>
        <v>Yıkama Takma</v>
      </c>
      <c r="C645" s="65">
        <f t="shared" ref="C645:C650" si="538">C469</f>
        <v>0</v>
      </c>
      <c r="D645" s="67">
        <f t="shared" ref="D645:D650" si="539">D644</f>
        <v>125</v>
      </c>
      <c r="E645" s="57"/>
      <c r="F645" s="52"/>
      <c r="G645" s="52"/>
      <c r="H645" s="58"/>
      <c r="I645" s="57"/>
      <c r="J645" s="52"/>
      <c r="K645" s="52"/>
      <c r="L645" s="58"/>
      <c r="M645" s="57"/>
      <c r="N645" s="52"/>
      <c r="O645" s="52"/>
      <c r="P645" s="58"/>
      <c r="Q645" s="57"/>
      <c r="R645" s="52"/>
      <c r="S645" s="52"/>
      <c r="T645" s="52"/>
      <c r="U645" s="58"/>
      <c r="V645" s="57"/>
      <c r="W645" s="52"/>
      <c r="X645" s="52"/>
      <c r="Y645" s="58"/>
      <c r="Z645" s="57"/>
      <c r="AA645" s="52"/>
      <c r="AB645" s="52"/>
      <c r="AC645" s="58"/>
      <c r="AD645" s="57"/>
      <c r="AE645" s="52"/>
      <c r="AF645" s="52"/>
      <c r="AG645" s="58"/>
      <c r="AH645" s="57"/>
      <c r="AI645" s="52"/>
      <c r="AJ645" s="52"/>
      <c r="AK645" s="58"/>
      <c r="AL645" s="57"/>
      <c r="AM645" s="52"/>
      <c r="AN645" s="52"/>
      <c r="AO645" s="58"/>
      <c r="AP645" s="57"/>
      <c r="AQ645" s="52"/>
      <c r="AR645" s="52"/>
      <c r="AS645" s="58"/>
      <c r="AT645" s="57"/>
      <c r="AU645" s="52"/>
      <c r="AV645" s="52"/>
      <c r="AW645" s="58"/>
      <c r="AX645" s="33">
        <f t="shared" ref="AX645:AX650" si="540">SUM(E645:AW645)</f>
        <v>0</v>
      </c>
      <c r="AY645" s="31">
        <f t="shared" ref="AY645:AY650" si="541">IFERROR(AVERAGEIF(E645:AW645,"&lt;&gt;0",(E645:AW645)),)</f>
        <v>0</v>
      </c>
      <c r="AZ645" s="30">
        <f t="shared" ref="AZ645:AZ650" si="542">IFERROR(AY645/D645,0)</f>
        <v>0</v>
      </c>
      <c r="BA645" s="94">
        <f>AX651+BA469</f>
        <v>2295</v>
      </c>
      <c r="BB645" s="95">
        <f>(D651*8)</f>
        <v>4000</v>
      </c>
      <c r="BC645" s="96">
        <f>C533-BA645</f>
        <v>40016</v>
      </c>
      <c r="BD645" s="96">
        <f>BA636-BA645</f>
        <v>312</v>
      </c>
      <c r="BE645" s="97">
        <f>IFERROR(BC645/E651,0)</f>
        <v>0</v>
      </c>
      <c r="BF645" s="98">
        <f>IFERROR(BE645/9,0)</f>
        <v>0</v>
      </c>
      <c r="BG645" s="97">
        <f>IFERROR(BC645/AY651,0)</f>
        <v>104.61699346405229</v>
      </c>
      <c r="BH645" s="97">
        <f>IFERROR(BG645/9,0)</f>
        <v>11.624110384894699</v>
      </c>
    </row>
    <row r="646" spans="1:60" s="17" customFormat="1" ht="19.5" customHeight="1" x14ac:dyDescent="0.35">
      <c r="A646" s="41">
        <f t="shared" ref="A646:B646" si="543">A645</f>
        <v>45440</v>
      </c>
      <c r="B646" s="37" t="str">
        <f t="shared" si="543"/>
        <v>Yıkama Takma</v>
      </c>
      <c r="C646" s="65">
        <f t="shared" si="538"/>
        <v>0</v>
      </c>
      <c r="D646" s="67">
        <f t="shared" si="539"/>
        <v>125</v>
      </c>
      <c r="E646" s="57"/>
      <c r="F646" s="52"/>
      <c r="G646" s="52"/>
      <c r="H646" s="58"/>
      <c r="I646" s="57"/>
      <c r="J646" s="52"/>
      <c r="K646" s="52"/>
      <c r="L646" s="58"/>
      <c r="M646" s="57"/>
      <c r="N646" s="52"/>
      <c r="O646" s="52"/>
      <c r="P646" s="58"/>
      <c r="Q646" s="57"/>
      <c r="R646" s="52"/>
      <c r="S646" s="52"/>
      <c r="T646" s="52"/>
      <c r="U646" s="58"/>
      <c r="V646" s="57"/>
      <c r="W646" s="52"/>
      <c r="X646" s="52"/>
      <c r="Y646" s="58"/>
      <c r="Z646" s="57"/>
      <c r="AA646" s="52"/>
      <c r="AB646" s="52"/>
      <c r="AC646" s="58"/>
      <c r="AD646" s="57"/>
      <c r="AE646" s="52"/>
      <c r="AF646" s="52"/>
      <c r="AG646" s="58"/>
      <c r="AH646" s="57"/>
      <c r="AI646" s="52"/>
      <c r="AJ646" s="52"/>
      <c r="AK646" s="58"/>
      <c r="AL646" s="57"/>
      <c r="AM646" s="52"/>
      <c r="AN646" s="52"/>
      <c r="AO646" s="58"/>
      <c r="AP646" s="57"/>
      <c r="AQ646" s="52"/>
      <c r="AR646" s="52"/>
      <c r="AS646" s="58"/>
      <c r="AT646" s="57"/>
      <c r="AU646" s="52"/>
      <c r="AV646" s="52"/>
      <c r="AW646" s="58"/>
      <c r="AX646" s="33">
        <f t="shared" si="540"/>
        <v>0</v>
      </c>
      <c r="AY646" s="31">
        <f t="shared" si="541"/>
        <v>0</v>
      </c>
      <c r="AZ646" s="30">
        <f t="shared" si="542"/>
        <v>0</v>
      </c>
      <c r="BA646" s="34"/>
      <c r="BB646" s="34"/>
      <c r="BC646" s="34"/>
      <c r="BD646" s="76"/>
      <c r="BE646" s="34"/>
      <c r="BF646" s="34"/>
      <c r="BG646" s="34"/>
      <c r="BH646" s="34"/>
    </row>
    <row r="647" spans="1:60" s="17" customFormat="1" ht="19.5" customHeight="1" x14ac:dyDescent="0.35">
      <c r="A647" s="41">
        <f t="shared" ref="A647:B647" si="544">A646</f>
        <v>45440</v>
      </c>
      <c r="B647" s="37" t="str">
        <f t="shared" si="544"/>
        <v>Yıkama Takma</v>
      </c>
      <c r="C647" s="65">
        <f t="shared" si="538"/>
        <v>0</v>
      </c>
      <c r="D647" s="67">
        <f t="shared" si="539"/>
        <v>125</v>
      </c>
      <c r="E647" s="57"/>
      <c r="F647" s="52"/>
      <c r="G647" s="52"/>
      <c r="H647" s="58"/>
      <c r="I647" s="57"/>
      <c r="J647" s="52"/>
      <c r="K647" s="52"/>
      <c r="L647" s="58"/>
      <c r="M647" s="57"/>
      <c r="N647" s="52"/>
      <c r="O647" s="52"/>
      <c r="P647" s="58"/>
      <c r="Q647" s="57"/>
      <c r="R647" s="52"/>
      <c r="S647" s="52"/>
      <c r="T647" s="52"/>
      <c r="U647" s="58"/>
      <c r="V647" s="57"/>
      <c r="W647" s="52"/>
      <c r="X647" s="52"/>
      <c r="Y647" s="58"/>
      <c r="Z647" s="57"/>
      <c r="AA647" s="52"/>
      <c r="AB647" s="52"/>
      <c r="AC647" s="58"/>
      <c r="AD647" s="57"/>
      <c r="AE647" s="52"/>
      <c r="AF647" s="52"/>
      <c r="AG647" s="58"/>
      <c r="AH647" s="57"/>
      <c r="AI647" s="52"/>
      <c r="AJ647" s="52"/>
      <c r="AK647" s="58"/>
      <c r="AL647" s="57"/>
      <c r="AM647" s="52"/>
      <c r="AN647" s="52"/>
      <c r="AO647" s="58"/>
      <c r="AP647" s="57"/>
      <c r="AQ647" s="52"/>
      <c r="AR647" s="52"/>
      <c r="AS647" s="58"/>
      <c r="AT647" s="57"/>
      <c r="AU647" s="52"/>
      <c r="AV647" s="52"/>
      <c r="AW647" s="58"/>
      <c r="AX647" s="33">
        <f t="shared" si="540"/>
        <v>0</v>
      </c>
      <c r="AY647" s="31">
        <f t="shared" si="541"/>
        <v>0</v>
      </c>
      <c r="AZ647" s="30">
        <f t="shared" si="542"/>
        <v>0</v>
      </c>
      <c r="BA647" s="34"/>
      <c r="BB647" s="34"/>
      <c r="BC647" s="34"/>
      <c r="BD647" s="76"/>
      <c r="BE647" s="34"/>
      <c r="BF647" s="34"/>
      <c r="BG647" s="34"/>
      <c r="BH647" s="34"/>
    </row>
    <row r="648" spans="1:60" s="17" customFormat="1" ht="19.5" customHeight="1" x14ac:dyDescent="0.35">
      <c r="A648" s="41">
        <f>A645</f>
        <v>45440</v>
      </c>
      <c r="B648" s="37" t="str">
        <f t="shared" ref="B648" si="545">B647</f>
        <v>Yıkama Takma</v>
      </c>
      <c r="C648" s="65">
        <f t="shared" si="538"/>
        <v>0</v>
      </c>
      <c r="D648" s="67">
        <f t="shared" si="539"/>
        <v>125</v>
      </c>
      <c r="E648" s="57"/>
      <c r="F648" s="52"/>
      <c r="G648" s="52"/>
      <c r="H648" s="58"/>
      <c r="I648" s="57"/>
      <c r="J648" s="52"/>
      <c r="K648" s="52"/>
      <c r="L648" s="58"/>
      <c r="M648" s="57"/>
      <c r="N648" s="52"/>
      <c r="O648" s="52"/>
      <c r="P648" s="58"/>
      <c r="Q648" s="57"/>
      <c r="R648" s="52"/>
      <c r="S648" s="52"/>
      <c r="T648" s="52"/>
      <c r="U648" s="58"/>
      <c r="V648" s="57"/>
      <c r="W648" s="52"/>
      <c r="X648" s="52"/>
      <c r="Y648" s="58"/>
      <c r="Z648" s="57"/>
      <c r="AA648" s="52"/>
      <c r="AB648" s="52"/>
      <c r="AC648" s="58"/>
      <c r="AD648" s="57"/>
      <c r="AE648" s="52"/>
      <c r="AF648" s="52"/>
      <c r="AG648" s="58"/>
      <c r="AH648" s="57"/>
      <c r="AI648" s="52"/>
      <c r="AJ648" s="52"/>
      <c r="AK648" s="58"/>
      <c r="AL648" s="57"/>
      <c r="AM648" s="52"/>
      <c r="AN648" s="52"/>
      <c r="AO648" s="58"/>
      <c r="AP648" s="57"/>
      <c r="AQ648" s="52"/>
      <c r="AR648" s="52"/>
      <c r="AS648" s="58"/>
      <c r="AT648" s="57"/>
      <c r="AU648" s="52"/>
      <c r="AV648" s="52"/>
      <c r="AW648" s="58"/>
      <c r="AX648" s="33">
        <f t="shared" si="540"/>
        <v>0</v>
      </c>
      <c r="AY648" s="31">
        <f t="shared" si="541"/>
        <v>0</v>
      </c>
      <c r="AZ648" s="30">
        <f t="shared" si="542"/>
        <v>0</v>
      </c>
      <c r="BA648" s="34"/>
      <c r="BB648" s="34"/>
      <c r="BC648" s="34"/>
      <c r="BD648" s="76"/>
      <c r="BE648" s="34"/>
      <c r="BF648" s="34"/>
      <c r="BG648" s="34"/>
      <c r="BH648" s="34"/>
    </row>
    <row r="649" spans="1:60" s="17" customFormat="1" ht="19.5" customHeight="1" x14ac:dyDescent="0.35">
      <c r="A649" s="41">
        <f t="shared" ref="A649:B649" si="546">A648</f>
        <v>45440</v>
      </c>
      <c r="B649" s="37" t="str">
        <f t="shared" si="546"/>
        <v>Yıkama Takma</v>
      </c>
      <c r="C649" s="65">
        <f t="shared" si="538"/>
        <v>0</v>
      </c>
      <c r="D649" s="67">
        <f t="shared" si="539"/>
        <v>125</v>
      </c>
      <c r="E649" s="57"/>
      <c r="F649" s="52"/>
      <c r="G649" s="52"/>
      <c r="H649" s="58"/>
      <c r="I649" s="57"/>
      <c r="J649" s="52"/>
      <c r="K649" s="52"/>
      <c r="L649" s="58"/>
      <c r="M649" s="57"/>
      <c r="N649" s="52"/>
      <c r="O649" s="52"/>
      <c r="P649" s="58"/>
      <c r="Q649" s="57"/>
      <c r="R649" s="52"/>
      <c r="S649" s="52"/>
      <c r="T649" s="52"/>
      <c r="U649" s="58"/>
      <c r="V649" s="57"/>
      <c r="W649" s="52"/>
      <c r="X649" s="52"/>
      <c r="Y649" s="58"/>
      <c r="Z649" s="57"/>
      <c r="AA649" s="52"/>
      <c r="AB649" s="52"/>
      <c r="AC649" s="58"/>
      <c r="AD649" s="57"/>
      <c r="AE649" s="52"/>
      <c r="AF649" s="52"/>
      <c r="AG649" s="58"/>
      <c r="AH649" s="57"/>
      <c r="AI649" s="52"/>
      <c r="AJ649" s="52"/>
      <c r="AK649" s="58"/>
      <c r="AL649" s="57"/>
      <c r="AM649" s="52"/>
      <c r="AN649" s="52"/>
      <c r="AO649" s="58"/>
      <c r="AP649" s="57"/>
      <c r="AQ649" s="52"/>
      <c r="AR649" s="52"/>
      <c r="AS649" s="58"/>
      <c r="AT649" s="57"/>
      <c r="AU649" s="52"/>
      <c r="AV649" s="52"/>
      <c r="AW649" s="58"/>
      <c r="AX649" s="33">
        <f t="shared" si="540"/>
        <v>0</v>
      </c>
      <c r="AY649" s="31">
        <f t="shared" si="541"/>
        <v>0</v>
      </c>
      <c r="AZ649" s="30">
        <f t="shared" si="542"/>
        <v>0</v>
      </c>
      <c r="BA649" s="34"/>
      <c r="BB649" s="34"/>
      <c r="BC649" s="34"/>
      <c r="BD649" s="76"/>
      <c r="BE649" s="34"/>
      <c r="BF649" s="34"/>
      <c r="BG649" s="34"/>
      <c r="BH649" s="34"/>
    </row>
    <row r="650" spans="1:60" s="17" customFormat="1" ht="19.5" customHeight="1" thickBot="1" x14ac:dyDescent="0.4">
      <c r="A650" s="41">
        <f t="shared" ref="A650:B650" si="547">A649</f>
        <v>45440</v>
      </c>
      <c r="B650" s="37" t="str">
        <f t="shared" si="547"/>
        <v>Yıkama Takma</v>
      </c>
      <c r="C650" s="65">
        <f t="shared" si="538"/>
        <v>0</v>
      </c>
      <c r="D650" s="67">
        <f t="shared" si="539"/>
        <v>125</v>
      </c>
      <c r="E650" s="59"/>
      <c r="F650" s="60"/>
      <c r="G650" s="61"/>
      <c r="H650" s="62"/>
      <c r="I650" s="59"/>
      <c r="J650" s="60"/>
      <c r="K650" s="61"/>
      <c r="L650" s="62"/>
      <c r="M650" s="59"/>
      <c r="N650" s="60"/>
      <c r="O650" s="61"/>
      <c r="P650" s="62"/>
      <c r="Q650" s="64"/>
      <c r="R650" s="61"/>
      <c r="S650" s="61"/>
      <c r="T650" s="61"/>
      <c r="U650" s="62"/>
      <c r="V650" s="59"/>
      <c r="W650" s="60"/>
      <c r="X650" s="61"/>
      <c r="Y650" s="62"/>
      <c r="Z650" s="59"/>
      <c r="AA650" s="60"/>
      <c r="AB650" s="61"/>
      <c r="AC650" s="62"/>
      <c r="AD650" s="59"/>
      <c r="AE650" s="60"/>
      <c r="AF650" s="61"/>
      <c r="AG650" s="62"/>
      <c r="AH650" s="59"/>
      <c r="AI650" s="60"/>
      <c r="AJ650" s="61"/>
      <c r="AK650" s="62"/>
      <c r="AL650" s="59"/>
      <c r="AM650" s="60"/>
      <c r="AN650" s="61"/>
      <c r="AO650" s="62"/>
      <c r="AP650" s="59"/>
      <c r="AQ650" s="60"/>
      <c r="AR650" s="61"/>
      <c r="AS650" s="62"/>
      <c r="AT650" s="59"/>
      <c r="AU650" s="60"/>
      <c r="AV650" s="61"/>
      <c r="AW650" s="62"/>
      <c r="AX650" s="33">
        <f t="shared" si="540"/>
        <v>0</v>
      </c>
      <c r="AY650" s="31">
        <f t="shared" si="541"/>
        <v>0</v>
      </c>
      <c r="AZ650" s="30">
        <f t="shared" si="542"/>
        <v>0</v>
      </c>
      <c r="BA650" s="34"/>
      <c r="BB650" s="34"/>
      <c r="BC650" s="34"/>
      <c r="BD650" s="76"/>
      <c r="BE650" s="34"/>
      <c r="BF650" s="34"/>
      <c r="BG650" s="34"/>
      <c r="BH650" s="34"/>
    </row>
    <row r="651" spans="1:60" s="17" customFormat="1" ht="19.5" customHeight="1" thickBot="1" x14ac:dyDescent="0.45">
      <c r="A651" s="41">
        <f t="shared" ref="A651" si="548">A650</f>
        <v>45440</v>
      </c>
      <c r="B651" s="139" t="str">
        <f>B644</f>
        <v>Yıkama Takma</v>
      </c>
      <c r="C651" s="140"/>
      <c r="D651" s="40">
        <f>C534/8</f>
        <v>500</v>
      </c>
      <c r="E651" s="147">
        <f>SUM(E644:H650)</f>
        <v>0</v>
      </c>
      <c r="F651" s="148"/>
      <c r="G651" s="148"/>
      <c r="H651" s="149"/>
      <c r="I651" s="147">
        <f>SUM(I644:L650)</f>
        <v>0</v>
      </c>
      <c r="J651" s="148"/>
      <c r="K651" s="148"/>
      <c r="L651" s="149"/>
      <c r="M651" s="147">
        <f>SUM(M644:P650)</f>
        <v>0</v>
      </c>
      <c r="N651" s="148"/>
      <c r="O651" s="148"/>
      <c r="P651" s="149"/>
      <c r="Q651" s="147">
        <f>SUM(Q644:U650)</f>
        <v>475</v>
      </c>
      <c r="R651" s="148"/>
      <c r="S651" s="148"/>
      <c r="T651" s="148"/>
      <c r="U651" s="149"/>
      <c r="V651" s="147">
        <f>SUM(V644:Y650)</f>
        <v>405</v>
      </c>
      <c r="W651" s="148"/>
      <c r="X651" s="148"/>
      <c r="Y651" s="149"/>
      <c r="Z651" s="147">
        <f>SUM(Z644:AC650)</f>
        <v>365</v>
      </c>
      <c r="AA651" s="148"/>
      <c r="AB651" s="148"/>
      <c r="AC651" s="149"/>
      <c r="AD651" s="147">
        <f>SUM(AD644:AG650)</f>
        <v>405</v>
      </c>
      <c r="AE651" s="148"/>
      <c r="AF651" s="148"/>
      <c r="AG651" s="149"/>
      <c r="AH651" s="147">
        <f>SUM(AH644:AK650)</f>
        <v>270</v>
      </c>
      <c r="AI651" s="148"/>
      <c r="AJ651" s="148"/>
      <c r="AK651" s="149"/>
      <c r="AL651" s="147">
        <f>SUM(AL644:AO650)</f>
        <v>375</v>
      </c>
      <c r="AM651" s="148"/>
      <c r="AN651" s="148"/>
      <c r="AO651" s="149"/>
      <c r="AP651" s="147">
        <f>SUM(AP644:AS650)</f>
        <v>0</v>
      </c>
      <c r="AQ651" s="148"/>
      <c r="AR651" s="148"/>
      <c r="AS651" s="149"/>
      <c r="AT651" s="147">
        <f>SUM(AT644:AW650)</f>
        <v>0</v>
      </c>
      <c r="AU651" s="148"/>
      <c r="AV651" s="148"/>
      <c r="AW651" s="149"/>
      <c r="AX651" s="87">
        <f>SUM(AX644:AX650)</f>
        <v>2295</v>
      </c>
      <c r="AY651" s="88">
        <f>IFERROR(AVERAGEIF(E651:AV651,"&lt;&gt;0",(E651:AV651)),)</f>
        <v>382.5</v>
      </c>
      <c r="AZ651" s="46">
        <f>IFERROR(AX651/BB645,0)</f>
        <v>0.57374999999999998</v>
      </c>
      <c r="BA651" s="34"/>
      <c r="BB651" s="34"/>
      <c r="BC651" s="34"/>
      <c r="BD651" s="76"/>
      <c r="BE651" s="34"/>
      <c r="BF651" s="34"/>
      <c r="BG651" s="34"/>
      <c r="BH651" s="34"/>
    </row>
    <row r="652" spans="1:60" s="17" customFormat="1" ht="19.5" customHeight="1" thickBot="1" x14ac:dyDescent="0.4">
      <c r="A652" s="42">
        <f>A643</f>
        <v>45440</v>
      </c>
      <c r="B652" s="38" t="str">
        <f>B653</f>
        <v>Kol Reçme</v>
      </c>
      <c r="C652" s="39" t="s">
        <v>180</v>
      </c>
      <c r="D652" s="69" t="s">
        <v>181</v>
      </c>
      <c r="E652" s="48">
        <v>0.34375</v>
      </c>
      <c r="F652" s="49">
        <v>0.35416666666666669</v>
      </c>
      <c r="G652" s="49">
        <v>0.36458333333333331</v>
      </c>
      <c r="H652" s="50">
        <v>0.375</v>
      </c>
      <c r="I652" s="48">
        <v>0.38541666666666702</v>
      </c>
      <c r="J652" s="49">
        <v>0.39583333333333298</v>
      </c>
      <c r="K652" s="49">
        <v>0.40625</v>
      </c>
      <c r="L652" s="50">
        <v>0.41666666666666702</v>
      </c>
      <c r="M652" s="48">
        <v>0.4375</v>
      </c>
      <c r="N652" s="49">
        <v>0.44791666666666702</v>
      </c>
      <c r="O652" s="49">
        <v>0.45833333333333398</v>
      </c>
      <c r="P652" s="50">
        <v>0.46875</v>
      </c>
      <c r="Q652" s="82">
        <v>0.47916666666666702</v>
      </c>
      <c r="R652" s="83">
        <v>0.48958333333333398</v>
      </c>
      <c r="S652" s="83">
        <v>0.5</v>
      </c>
      <c r="T652" s="84">
        <v>0.51041666666666696</v>
      </c>
      <c r="U652" s="85">
        <v>0.52083333333333204</v>
      </c>
      <c r="V652" s="48">
        <v>0.5625</v>
      </c>
      <c r="W652" s="49">
        <v>0.57291666666666663</v>
      </c>
      <c r="X652" s="49">
        <v>0.58333333333333304</v>
      </c>
      <c r="Y652" s="50">
        <v>0.59375</v>
      </c>
      <c r="Z652" s="48">
        <v>0.60416666666666696</v>
      </c>
      <c r="AA652" s="49">
        <v>0.61458333333333304</v>
      </c>
      <c r="AB652" s="49">
        <v>0.625</v>
      </c>
      <c r="AC652" s="50">
        <v>0.63541666666666596</v>
      </c>
      <c r="AD652" s="48">
        <v>0.65625</v>
      </c>
      <c r="AE652" s="49">
        <v>0.66666666666666663</v>
      </c>
      <c r="AF652" s="49">
        <v>0.67708333333333304</v>
      </c>
      <c r="AG652" s="50">
        <v>0.6875</v>
      </c>
      <c r="AH652" s="48">
        <v>0.69791666666666696</v>
      </c>
      <c r="AI652" s="49">
        <v>0.70833333333333304</v>
      </c>
      <c r="AJ652" s="49">
        <v>0.71875</v>
      </c>
      <c r="AK652" s="50">
        <v>0.72916666666666696</v>
      </c>
      <c r="AL652" s="48">
        <v>0.73958333333333404</v>
      </c>
      <c r="AM652" s="49">
        <v>0.750000000000001</v>
      </c>
      <c r="AN652" s="49">
        <v>0.76041666666666796</v>
      </c>
      <c r="AO652" s="50">
        <v>0.77083333333333504</v>
      </c>
      <c r="AP652" s="48">
        <v>0.781250000000002</v>
      </c>
      <c r="AQ652" s="49">
        <v>0.79166666666666896</v>
      </c>
      <c r="AR652" s="49">
        <v>0.80208333333333603</v>
      </c>
      <c r="AS652" s="50">
        <v>0.812500000000003</v>
      </c>
      <c r="AT652" s="48">
        <v>0.82291666666666996</v>
      </c>
      <c r="AU652" s="49">
        <v>0.83333333333333703</v>
      </c>
      <c r="AV652" s="49">
        <v>0.843750000000004</v>
      </c>
      <c r="AW652" s="50">
        <v>0.85416666666666663</v>
      </c>
      <c r="AX652" s="68" t="s">
        <v>260</v>
      </c>
      <c r="AY652" s="28" t="s">
        <v>261</v>
      </c>
      <c r="AZ652" s="29" t="s">
        <v>262</v>
      </c>
      <c r="BA652" s="136" t="str">
        <f>B653</f>
        <v>Kol Reçme</v>
      </c>
      <c r="BB652" s="137"/>
      <c r="BC652" s="137"/>
      <c r="BD652" s="137"/>
      <c r="BE652" s="137"/>
      <c r="BF652" s="137"/>
      <c r="BG652" s="137"/>
      <c r="BH652" s="138"/>
    </row>
    <row r="653" spans="1:60" s="17" customFormat="1" ht="19.5" customHeight="1" thickBot="1" x14ac:dyDescent="0.4">
      <c r="A653" s="41">
        <f t="shared" ref="A653" si="549">A652</f>
        <v>45440</v>
      </c>
      <c r="B653" s="37" t="str">
        <f>B477</f>
        <v>Kol Reçme</v>
      </c>
      <c r="C653" s="65" t="s">
        <v>62</v>
      </c>
      <c r="D653" s="70">
        <f>D477</f>
        <v>60</v>
      </c>
      <c r="E653" s="63"/>
      <c r="F653" s="55"/>
      <c r="G653" s="55"/>
      <c r="H653" s="56"/>
      <c r="I653" s="63"/>
      <c r="J653" s="55"/>
      <c r="K653" s="55"/>
      <c r="L653" s="56"/>
      <c r="M653" s="63"/>
      <c r="N653" s="55"/>
      <c r="O653" s="55"/>
      <c r="P653" s="56"/>
      <c r="Q653" s="63"/>
      <c r="R653" s="55"/>
      <c r="S653" s="55"/>
      <c r="T653" s="55"/>
      <c r="U653" s="56">
        <v>20</v>
      </c>
      <c r="V653" s="63">
        <v>40</v>
      </c>
      <c r="W653" s="55">
        <v>40</v>
      </c>
      <c r="X653" s="55">
        <v>30</v>
      </c>
      <c r="Y653" s="56">
        <v>35</v>
      </c>
      <c r="Z653" s="63">
        <v>35</v>
      </c>
      <c r="AA653" s="55">
        <v>30</v>
      </c>
      <c r="AB653" s="55">
        <v>35</v>
      </c>
      <c r="AC653" s="56">
        <v>35</v>
      </c>
      <c r="AD653" s="63">
        <v>40</v>
      </c>
      <c r="AE653" s="55">
        <v>40</v>
      </c>
      <c r="AF653" s="55">
        <v>40</v>
      </c>
      <c r="AG653" s="56">
        <v>46</v>
      </c>
      <c r="AH653" s="63">
        <v>45</v>
      </c>
      <c r="AI653" s="55">
        <v>35</v>
      </c>
      <c r="AJ653" s="55">
        <v>40</v>
      </c>
      <c r="AK653" s="56">
        <v>40</v>
      </c>
      <c r="AL653" s="53">
        <v>15</v>
      </c>
      <c r="AM653" s="54">
        <v>30</v>
      </c>
      <c r="AN653" s="55">
        <v>33</v>
      </c>
      <c r="AO653" s="56"/>
      <c r="AP653" s="53"/>
      <c r="AQ653" s="54"/>
      <c r="AR653" s="55"/>
      <c r="AS653" s="56"/>
      <c r="AT653" s="53"/>
      <c r="AU653" s="54"/>
      <c r="AV653" s="55"/>
      <c r="AW653" s="56"/>
      <c r="AX653" s="33">
        <f>SUM(E653:AW653)</f>
        <v>704</v>
      </c>
      <c r="AY653" s="31">
        <f>IFERROR(AVERAGEIF(E653:AW653,"&lt;&gt;0",(E653:AW653)),)</f>
        <v>35.200000000000003</v>
      </c>
      <c r="AZ653" s="30">
        <f>IFERROR(AY653/D653,0)</f>
        <v>0.58666666666666667</v>
      </c>
      <c r="BA653" s="103" t="s">
        <v>182</v>
      </c>
      <c r="BB653" s="100" t="s">
        <v>183</v>
      </c>
      <c r="BC653" s="100" t="s">
        <v>184</v>
      </c>
      <c r="BD653" s="101" t="s">
        <v>185</v>
      </c>
      <c r="BE653" s="100" t="s">
        <v>186</v>
      </c>
      <c r="BF653" s="102" t="s">
        <v>187</v>
      </c>
      <c r="BG653" s="100" t="s">
        <v>188</v>
      </c>
      <c r="BH653" s="102" t="s">
        <v>189</v>
      </c>
    </row>
    <row r="654" spans="1:60" s="17" customFormat="1" ht="19.5" customHeight="1" thickBot="1" x14ac:dyDescent="0.4">
      <c r="A654" s="41">
        <f t="shared" ref="A654:B654" si="550">A653</f>
        <v>45440</v>
      </c>
      <c r="B654" s="37" t="str">
        <f t="shared" si="550"/>
        <v>Kol Reçme</v>
      </c>
      <c r="C654" s="65" t="s">
        <v>278</v>
      </c>
      <c r="D654" s="67">
        <f t="shared" ref="D654:D659" si="551">D653</f>
        <v>60</v>
      </c>
      <c r="E654" s="57"/>
      <c r="F654" s="52"/>
      <c r="G654" s="52"/>
      <c r="H654" s="58"/>
      <c r="I654" s="57"/>
      <c r="J654" s="52"/>
      <c r="K654" s="52"/>
      <c r="L654" s="58"/>
      <c r="M654" s="57"/>
      <c r="N654" s="52"/>
      <c r="O654" s="52"/>
      <c r="P654" s="58"/>
      <c r="Q654" s="57"/>
      <c r="R654" s="52"/>
      <c r="S654" s="52"/>
      <c r="T654" s="52"/>
      <c r="U654" s="58">
        <v>0</v>
      </c>
      <c r="V654" s="57"/>
      <c r="W654" s="52">
        <v>54</v>
      </c>
      <c r="X654" s="52">
        <v>41</v>
      </c>
      <c r="Y654" s="58">
        <v>40</v>
      </c>
      <c r="Z654" s="57">
        <v>40</v>
      </c>
      <c r="AA654" s="52">
        <v>30</v>
      </c>
      <c r="AB654" s="52">
        <v>25</v>
      </c>
      <c r="AC654" s="58">
        <v>35</v>
      </c>
      <c r="AD654" s="57">
        <v>40</v>
      </c>
      <c r="AE654" s="52">
        <v>30</v>
      </c>
      <c r="AF654" s="52">
        <v>40</v>
      </c>
      <c r="AG654" s="58">
        <v>40</v>
      </c>
      <c r="AH654" s="57">
        <v>40</v>
      </c>
      <c r="AI654" s="52">
        <v>40</v>
      </c>
      <c r="AJ654" s="52">
        <v>30</v>
      </c>
      <c r="AK654" s="58">
        <v>35</v>
      </c>
      <c r="AL654" s="57"/>
      <c r="AM654" s="52"/>
      <c r="AN654" s="52"/>
      <c r="AO654" s="58"/>
      <c r="AP654" s="57"/>
      <c r="AQ654" s="52"/>
      <c r="AR654" s="52"/>
      <c r="AS654" s="58"/>
      <c r="AT654" s="57"/>
      <c r="AU654" s="52"/>
      <c r="AV654" s="52"/>
      <c r="AW654" s="58"/>
      <c r="AX654" s="33">
        <f t="shared" ref="AX654:AX659" si="552">SUM(E654:AW654)</f>
        <v>560</v>
      </c>
      <c r="AY654" s="31">
        <f t="shared" ref="AY654:AY659" si="553">IFERROR(AVERAGEIF(E654:AW654,"&lt;&gt;0",(E654:AW654)),)</f>
        <v>37.333333333333336</v>
      </c>
      <c r="AZ654" s="30">
        <f t="shared" ref="AZ654:AZ659" si="554">IFERROR(AY654/D654,0)</f>
        <v>0.62222222222222223</v>
      </c>
      <c r="BA654" s="94">
        <f>AX660+BA478</f>
        <v>2147</v>
      </c>
      <c r="BB654" s="95">
        <f>(D660*8)</f>
        <v>4000</v>
      </c>
      <c r="BC654" s="96">
        <f>C533-BA654</f>
        <v>40164</v>
      </c>
      <c r="BD654" s="96">
        <f>BA645-BA654</f>
        <v>148</v>
      </c>
      <c r="BE654" s="97">
        <f>IFERROR(BC654/E660,0)</f>
        <v>0</v>
      </c>
      <c r="BF654" s="98">
        <f>IFERROR(BE654/9,0)</f>
        <v>0</v>
      </c>
      <c r="BG654" s="97">
        <f>IFERROR(BC654/AY660,0)</f>
        <v>112.24219841639497</v>
      </c>
      <c r="BH654" s="97">
        <f>IFERROR(BG654/9,0)</f>
        <v>12.471355379599441</v>
      </c>
    </row>
    <row r="655" spans="1:60" s="17" customFormat="1" ht="19.5" customHeight="1" x14ac:dyDescent="0.35">
      <c r="A655" s="41">
        <f t="shared" ref="A655:B655" si="555">A654</f>
        <v>45440</v>
      </c>
      <c r="B655" s="37" t="str">
        <f t="shared" si="555"/>
        <v>Kol Reçme</v>
      </c>
      <c r="C655" s="65" t="s">
        <v>271</v>
      </c>
      <c r="D655" s="67">
        <f t="shared" si="551"/>
        <v>60</v>
      </c>
      <c r="E655" s="57"/>
      <c r="F655" s="52"/>
      <c r="G655" s="52"/>
      <c r="H655" s="58"/>
      <c r="I655" s="57"/>
      <c r="J655" s="52"/>
      <c r="K655" s="52"/>
      <c r="L655" s="58"/>
      <c r="M655" s="57"/>
      <c r="N655" s="52"/>
      <c r="O655" s="52"/>
      <c r="P655" s="58"/>
      <c r="Q655" s="57"/>
      <c r="R655" s="52"/>
      <c r="S655" s="52"/>
      <c r="T655" s="52"/>
      <c r="U655" s="58">
        <v>0</v>
      </c>
      <c r="V655" s="57">
        <v>30</v>
      </c>
      <c r="W655" s="52">
        <v>22</v>
      </c>
      <c r="X655" s="52">
        <v>30</v>
      </c>
      <c r="Y655" s="58">
        <v>30</v>
      </c>
      <c r="Z655" s="57">
        <v>32</v>
      </c>
      <c r="AA655" s="52">
        <v>33</v>
      </c>
      <c r="AB655" s="52">
        <v>18</v>
      </c>
      <c r="AC655" s="58">
        <v>32</v>
      </c>
      <c r="AD655" s="57">
        <v>35</v>
      </c>
      <c r="AE655" s="52">
        <v>32</v>
      </c>
      <c r="AF655" s="52">
        <v>31</v>
      </c>
      <c r="AG655" s="58">
        <v>30</v>
      </c>
      <c r="AH655" s="57">
        <v>32</v>
      </c>
      <c r="AI655" s="52">
        <v>33</v>
      </c>
      <c r="AJ655" s="52">
        <v>37</v>
      </c>
      <c r="AK655" s="58">
        <v>36</v>
      </c>
      <c r="AL655" s="57">
        <v>35</v>
      </c>
      <c r="AM655" s="52">
        <v>15</v>
      </c>
      <c r="AN655" s="52">
        <v>35</v>
      </c>
      <c r="AO655" s="58"/>
      <c r="AP655" s="57"/>
      <c r="AQ655" s="52"/>
      <c r="AR655" s="52"/>
      <c r="AS655" s="58"/>
      <c r="AT655" s="57"/>
      <c r="AU655" s="52"/>
      <c r="AV655" s="52"/>
      <c r="AW655" s="58"/>
      <c r="AX655" s="33">
        <f t="shared" si="552"/>
        <v>578</v>
      </c>
      <c r="AY655" s="31">
        <f t="shared" si="553"/>
        <v>30.421052631578949</v>
      </c>
      <c r="AZ655" s="30">
        <f t="shared" si="554"/>
        <v>0.50701754385964914</v>
      </c>
      <c r="BA655" s="34"/>
      <c r="BB655" s="34"/>
      <c r="BC655" s="34"/>
      <c r="BD655" s="76"/>
      <c r="BE655" s="34"/>
      <c r="BF655" s="34"/>
      <c r="BG655" s="34"/>
      <c r="BH655" s="34"/>
    </row>
    <row r="656" spans="1:60" s="17" customFormat="1" ht="19.5" customHeight="1" x14ac:dyDescent="0.35">
      <c r="A656" s="41">
        <f t="shared" ref="A656:B656" si="556">A655</f>
        <v>45440</v>
      </c>
      <c r="B656" s="37" t="str">
        <f t="shared" si="556"/>
        <v>Kol Reçme</v>
      </c>
      <c r="C656" s="65" t="s">
        <v>94</v>
      </c>
      <c r="D656" s="67">
        <f t="shared" si="551"/>
        <v>60</v>
      </c>
      <c r="E656" s="57"/>
      <c r="F656" s="52"/>
      <c r="G656" s="52"/>
      <c r="H656" s="58"/>
      <c r="I656" s="57"/>
      <c r="J656" s="52"/>
      <c r="K656" s="52"/>
      <c r="L656" s="58"/>
      <c r="M656" s="57"/>
      <c r="N656" s="52"/>
      <c r="O656" s="52"/>
      <c r="P656" s="58"/>
      <c r="Q656" s="57"/>
      <c r="R656" s="52"/>
      <c r="S656" s="52"/>
      <c r="T656" s="52"/>
      <c r="U656" s="58">
        <v>0</v>
      </c>
      <c r="V656" s="5">
        <v>0</v>
      </c>
      <c r="W656" s="6">
        <v>0</v>
      </c>
      <c r="X656" s="6">
        <v>0</v>
      </c>
      <c r="Y656" s="7">
        <v>0</v>
      </c>
      <c r="Z656" s="5">
        <v>0</v>
      </c>
      <c r="AA656" s="6">
        <v>0</v>
      </c>
      <c r="AB656" s="6">
        <v>0</v>
      </c>
      <c r="AC656" s="7">
        <v>0</v>
      </c>
      <c r="AD656" s="5">
        <v>0</v>
      </c>
      <c r="AE656" s="6">
        <v>0</v>
      </c>
      <c r="AF656" s="52">
        <v>50</v>
      </c>
      <c r="AG656" s="58">
        <v>50</v>
      </c>
      <c r="AH656" s="57">
        <v>55</v>
      </c>
      <c r="AI656" s="52">
        <v>50</v>
      </c>
      <c r="AJ656" s="52">
        <v>50</v>
      </c>
      <c r="AK656" s="58">
        <v>50</v>
      </c>
      <c r="AL656" s="5"/>
      <c r="AM656" s="6"/>
      <c r="AN656" s="6"/>
      <c r="AO656" s="58"/>
      <c r="AP656" s="57"/>
      <c r="AQ656" s="52"/>
      <c r="AR656" s="52"/>
      <c r="AS656" s="58"/>
      <c r="AT656" s="57"/>
      <c r="AU656" s="52"/>
      <c r="AV656" s="52"/>
      <c r="AW656" s="58"/>
      <c r="AX656" s="33">
        <f t="shared" si="552"/>
        <v>305</v>
      </c>
      <c r="AY656" s="31">
        <f t="shared" si="553"/>
        <v>50.833333333333336</v>
      </c>
      <c r="AZ656" s="30">
        <f t="shared" si="554"/>
        <v>0.84722222222222221</v>
      </c>
      <c r="BA656" s="34"/>
      <c r="BB656" s="34"/>
      <c r="BC656" s="34"/>
      <c r="BD656" s="76"/>
      <c r="BE656" s="34"/>
      <c r="BF656" s="34"/>
      <c r="BG656" s="34"/>
      <c r="BH656" s="34"/>
    </row>
    <row r="657" spans="1:60" s="17" customFormat="1" ht="19.5" customHeight="1" x14ac:dyDescent="0.35">
      <c r="A657" s="41">
        <f>A654</f>
        <v>45440</v>
      </c>
      <c r="B657" s="37" t="str">
        <f t="shared" ref="B657" si="557">B656</f>
        <v>Kol Reçme</v>
      </c>
      <c r="C657" s="65">
        <f t="shared" ref="C657:C659" si="558">C481</f>
        <v>0</v>
      </c>
      <c r="D657" s="67">
        <f t="shared" si="551"/>
        <v>60</v>
      </c>
      <c r="E657" s="57"/>
      <c r="F657" s="52"/>
      <c r="G657" s="52"/>
      <c r="H657" s="58"/>
      <c r="I657" s="57"/>
      <c r="J657" s="52"/>
      <c r="K657" s="52"/>
      <c r="L657" s="58"/>
      <c r="M657" s="57"/>
      <c r="N657" s="52"/>
      <c r="O657" s="52"/>
      <c r="P657" s="58"/>
      <c r="Q657" s="57"/>
      <c r="R657" s="52"/>
      <c r="S657" s="52"/>
      <c r="T657" s="52"/>
      <c r="U657" s="58"/>
      <c r="V657" s="57"/>
      <c r="W657" s="52"/>
      <c r="X657" s="52"/>
      <c r="Y657" s="58"/>
      <c r="Z657" s="57"/>
      <c r="AA657" s="52"/>
      <c r="AB657" s="52"/>
      <c r="AC657" s="58"/>
      <c r="AD657" s="57"/>
      <c r="AE657" s="52"/>
      <c r="AF657" s="52"/>
      <c r="AG657" s="58"/>
      <c r="AH657" s="57"/>
      <c r="AI657" s="52"/>
      <c r="AJ657" s="52"/>
      <c r="AK657" s="58"/>
      <c r="AL657" s="57"/>
      <c r="AM657" s="52"/>
      <c r="AN657" s="52"/>
      <c r="AO657" s="58"/>
      <c r="AP657" s="57"/>
      <c r="AQ657" s="52"/>
      <c r="AR657" s="52"/>
      <c r="AS657" s="58"/>
      <c r="AT657" s="57"/>
      <c r="AU657" s="52"/>
      <c r="AV657" s="52"/>
      <c r="AW657" s="58"/>
      <c r="AX657" s="33">
        <f t="shared" si="552"/>
        <v>0</v>
      </c>
      <c r="AY657" s="31">
        <f t="shared" si="553"/>
        <v>0</v>
      </c>
      <c r="AZ657" s="30">
        <f t="shared" si="554"/>
        <v>0</v>
      </c>
      <c r="BA657" s="34"/>
      <c r="BB657" s="34"/>
      <c r="BC657" s="34"/>
      <c r="BD657" s="76"/>
      <c r="BE657" s="34"/>
      <c r="BF657" s="34"/>
      <c r="BG657" s="34"/>
      <c r="BH657" s="34"/>
    </row>
    <row r="658" spans="1:60" s="17" customFormat="1" ht="19.5" customHeight="1" x14ac:dyDescent="0.35">
      <c r="A658" s="41">
        <f t="shared" ref="A658:B658" si="559">A657</f>
        <v>45440</v>
      </c>
      <c r="B658" s="37" t="str">
        <f t="shared" si="559"/>
        <v>Kol Reçme</v>
      </c>
      <c r="C658" s="65">
        <f t="shared" si="558"/>
        <v>0</v>
      </c>
      <c r="D658" s="67">
        <f t="shared" si="551"/>
        <v>60</v>
      </c>
      <c r="E658" s="57"/>
      <c r="F658" s="52"/>
      <c r="G658" s="52"/>
      <c r="H658" s="58"/>
      <c r="I658" s="57"/>
      <c r="J658" s="52"/>
      <c r="K658" s="52"/>
      <c r="L658" s="58"/>
      <c r="M658" s="57"/>
      <c r="N658" s="52"/>
      <c r="O658" s="52"/>
      <c r="P658" s="78"/>
      <c r="Q658" s="57"/>
      <c r="R658" s="52"/>
      <c r="S658" s="52"/>
      <c r="T658" s="52"/>
      <c r="U658" s="58"/>
      <c r="V658" s="80"/>
      <c r="W658" s="52"/>
      <c r="X658" s="52"/>
      <c r="Y658" s="58"/>
      <c r="Z658" s="57"/>
      <c r="AA658" s="52"/>
      <c r="AB658" s="52"/>
      <c r="AC658" s="58"/>
      <c r="AD658" s="57"/>
      <c r="AE658" s="52"/>
      <c r="AF658" s="52"/>
      <c r="AG658" s="58"/>
      <c r="AH658" s="57"/>
      <c r="AI658" s="52"/>
      <c r="AJ658" s="52"/>
      <c r="AK658" s="58"/>
      <c r="AL658" s="57"/>
      <c r="AM658" s="52"/>
      <c r="AN658" s="52"/>
      <c r="AO658" s="58"/>
      <c r="AP658" s="57"/>
      <c r="AQ658" s="52"/>
      <c r="AR658" s="52"/>
      <c r="AS658" s="58"/>
      <c r="AT658" s="57"/>
      <c r="AU658" s="52"/>
      <c r="AV658" s="52"/>
      <c r="AW658" s="58"/>
      <c r="AX658" s="33">
        <f t="shared" si="552"/>
        <v>0</v>
      </c>
      <c r="AY658" s="31">
        <f t="shared" si="553"/>
        <v>0</v>
      </c>
      <c r="AZ658" s="30">
        <f t="shared" si="554"/>
        <v>0</v>
      </c>
      <c r="BA658" s="34"/>
      <c r="BB658" s="34"/>
      <c r="BC658" s="34"/>
      <c r="BD658" s="76"/>
      <c r="BE658" s="34"/>
      <c r="BF658" s="34"/>
      <c r="BG658" s="34"/>
      <c r="BH658" s="34"/>
    </row>
    <row r="659" spans="1:60" s="17" customFormat="1" ht="19.5" customHeight="1" thickBot="1" x14ac:dyDescent="0.4">
      <c r="A659" s="41">
        <f t="shared" ref="A659:B659" si="560">A658</f>
        <v>45440</v>
      </c>
      <c r="B659" s="37" t="str">
        <f t="shared" si="560"/>
        <v>Kol Reçme</v>
      </c>
      <c r="C659" s="65">
        <f t="shared" si="558"/>
        <v>0</v>
      </c>
      <c r="D659" s="67">
        <f t="shared" si="551"/>
        <v>60</v>
      </c>
      <c r="E659" s="59"/>
      <c r="F659" s="60"/>
      <c r="G659" s="61"/>
      <c r="H659" s="62"/>
      <c r="I659" s="59"/>
      <c r="J659" s="60"/>
      <c r="K659" s="61"/>
      <c r="L659" s="62"/>
      <c r="M659" s="59"/>
      <c r="N659" s="60"/>
      <c r="O659" s="61"/>
      <c r="P659" s="79"/>
      <c r="Q659" s="64"/>
      <c r="R659" s="61"/>
      <c r="S659" s="61"/>
      <c r="T659" s="61"/>
      <c r="U659" s="62"/>
      <c r="V659" s="81"/>
      <c r="W659" s="60"/>
      <c r="X659" s="61"/>
      <c r="Y659" s="62"/>
      <c r="Z659" s="59"/>
      <c r="AA659" s="60"/>
      <c r="AB659" s="61"/>
      <c r="AC659" s="62"/>
      <c r="AD659" s="59"/>
      <c r="AE659" s="60"/>
      <c r="AF659" s="61"/>
      <c r="AG659" s="62"/>
      <c r="AH659" s="59"/>
      <c r="AI659" s="60"/>
      <c r="AJ659" s="61"/>
      <c r="AK659" s="62"/>
      <c r="AL659" s="59"/>
      <c r="AM659" s="60"/>
      <c r="AN659" s="61"/>
      <c r="AO659" s="62"/>
      <c r="AP659" s="59"/>
      <c r="AQ659" s="60"/>
      <c r="AR659" s="61"/>
      <c r="AS659" s="62"/>
      <c r="AT659" s="59"/>
      <c r="AU659" s="60"/>
      <c r="AV659" s="61"/>
      <c r="AW659" s="62"/>
      <c r="AX659" s="33">
        <f t="shared" si="552"/>
        <v>0</v>
      </c>
      <c r="AY659" s="31">
        <f t="shared" si="553"/>
        <v>0</v>
      </c>
      <c r="AZ659" s="30">
        <f t="shared" si="554"/>
        <v>0</v>
      </c>
      <c r="BA659" s="34"/>
      <c r="BB659" s="34"/>
      <c r="BC659" s="34"/>
      <c r="BD659" s="76"/>
      <c r="BE659" s="34"/>
      <c r="BF659" s="34"/>
      <c r="BG659" s="34"/>
      <c r="BH659" s="34"/>
    </row>
    <row r="660" spans="1:60" s="17" customFormat="1" ht="19.5" customHeight="1" thickBot="1" x14ac:dyDescent="0.45">
      <c r="A660" s="41">
        <f t="shared" ref="A660" si="561">A659</f>
        <v>45440</v>
      </c>
      <c r="B660" s="139" t="str">
        <f>B653</f>
        <v>Kol Reçme</v>
      </c>
      <c r="C660" s="140"/>
      <c r="D660" s="40">
        <f>C534/8</f>
        <v>500</v>
      </c>
      <c r="E660" s="147">
        <f>SUM(E653:H659)</f>
        <v>0</v>
      </c>
      <c r="F660" s="148"/>
      <c r="G660" s="148"/>
      <c r="H660" s="149"/>
      <c r="I660" s="147">
        <f>SUM(I653:L659)</f>
        <v>0</v>
      </c>
      <c r="J660" s="148"/>
      <c r="K660" s="148"/>
      <c r="L660" s="149"/>
      <c r="M660" s="147">
        <f>SUM(M653:P659)</f>
        <v>0</v>
      </c>
      <c r="N660" s="148"/>
      <c r="O660" s="148"/>
      <c r="P660" s="149"/>
      <c r="Q660" s="151">
        <f>SUM(Q653:U659)</f>
        <v>20</v>
      </c>
      <c r="R660" s="152"/>
      <c r="S660" s="152"/>
      <c r="T660" s="152"/>
      <c r="U660" s="153"/>
      <c r="V660" s="147">
        <f>SUM(V653:Y659)</f>
        <v>392</v>
      </c>
      <c r="W660" s="148"/>
      <c r="X660" s="148"/>
      <c r="Y660" s="149"/>
      <c r="Z660" s="147">
        <f>SUM(Z653:AC659)</f>
        <v>380</v>
      </c>
      <c r="AA660" s="148"/>
      <c r="AB660" s="148"/>
      <c r="AC660" s="149"/>
      <c r="AD660" s="147">
        <f>SUM(AD653:AG659)</f>
        <v>544</v>
      </c>
      <c r="AE660" s="148"/>
      <c r="AF660" s="148"/>
      <c r="AG660" s="149"/>
      <c r="AH660" s="147">
        <f>SUM(AH653:AK659)</f>
        <v>648</v>
      </c>
      <c r="AI660" s="148"/>
      <c r="AJ660" s="148"/>
      <c r="AK660" s="149"/>
      <c r="AL660" s="147">
        <f>SUM(AL653:AO659)</f>
        <v>163</v>
      </c>
      <c r="AM660" s="148"/>
      <c r="AN660" s="148"/>
      <c r="AO660" s="149"/>
      <c r="AP660" s="147">
        <f>SUM(AP653:AS659)</f>
        <v>0</v>
      </c>
      <c r="AQ660" s="148"/>
      <c r="AR660" s="148"/>
      <c r="AS660" s="149"/>
      <c r="AT660" s="147">
        <f>SUM(AT653:AW659)</f>
        <v>0</v>
      </c>
      <c r="AU660" s="148"/>
      <c r="AV660" s="148"/>
      <c r="AW660" s="149"/>
      <c r="AX660" s="87">
        <f>SUM(AX653:AX659)</f>
        <v>2147</v>
      </c>
      <c r="AY660" s="88">
        <f>IFERROR(AVERAGEIF(E660:AV660,"&lt;&gt;0",(E660:AV660)),)</f>
        <v>357.83333333333331</v>
      </c>
      <c r="AZ660" s="46">
        <f>IFERROR(AX660/BB654,0)</f>
        <v>0.53674999999999995</v>
      </c>
      <c r="BA660" s="34"/>
      <c r="BB660" s="34"/>
      <c r="BC660" s="34"/>
      <c r="BD660" s="76"/>
      <c r="BE660" s="34"/>
      <c r="BF660" s="34"/>
      <c r="BG660" s="34"/>
      <c r="BH660" s="34"/>
    </row>
    <row r="661" spans="1:60" s="17" customFormat="1" ht="19.5" customHeight="1" thickBot="1" x14ac:dyDescent="0.4">
      <c r="A661" s="42">
        <f>A652</f>
        <v>45440</v>
      </c>
      <c r="B661" s="38" t="str">
        <f>B662</f>
        <v>Etek Reçme</v>
      </c>
      <c r="C661" s="39" t="s">
        <v>180</v>
      </c>
      <c r="D661" s="69" t="s">
        <v>181</v>
      </c>
      <c r="E661" s="48">
        <v>0.34375</v>
      </c>
      <c r="F661" s="49">
        <v>0.35416666666666669</v>
      </c>
      <c r="G661" s="49">
        <v>0.36458333333333331</v>
      </c>
      <c r="H661" s="50">
        <v>0.375</v>
      </c>
      <c r="I661" s="48">
        <v>0.38541666666666702</v>
      </c>
      <c r="J661" s="49">
        <v>0.39583333333333298</v>
      </c>
      <c r="K661" s="49">
        <v>0.40625</v>
      </c>
      <c r="L661" s="50">
        <v>0.41666666666666702</v>
      </c>
      <c r="M661" s="48">
        <v>0.4375</v>
      </c>
      <c r="N661" s="49">
        <v>0.44791666666666702</v>
      </c>
      <c r="O661" s="49">
        <v>0.45833333333333398</v>
      </c>
      <c r="P661" s="50">
        <v>0.46875</v>
      </c>
      <c r="Q661" s="82">
        <v>0.47916666666666702</v>
      </c>
      <c r="R661" s="83">
        <v>0.48958333333333398</v>
      </c>
      <c r="S661" s="83">
        <v>0.5</v>
      </c>
      <c r="T661" s="84">
        <v>0.51041666666666696</v>
      </c>
      <c r="U661" s="85">
        <v>0.52083333333333204</v>
      </c>
      <c r="V661" s="48">
        <v>0.5625</v>
      </c>
      <c r="W661" s="49">
        <v>0.57291666666666663</v>
      </c>
      <c r="X661" s="49">
        <v>0.58333333333333304</v>
      </c>
      <c r="Y661" s="50">
        <v>0.59375</v>
      </c>
      <c r="Z661" s="48">
        <v>0.60416666666666696</v>
      </c>
      <c r="AA661" s="49">
        <v>0.61458333333333304</v>
      </c>
      <c r="AB661" s="49">
        <v>0.625</v>
      </c>
      <c r="AC661" s="50">
        <v>0.63541666666666596</v>
      </c>
      <c r="AD661" s="48">
        <v>0.65625</v>
      </c>
      <c r="AE661" s="49">
        <v>0.66666666666666663</v>
      </c>
      <c r="AF661" s="49">
        <v>0.67708333333333304</v>
      </c>
      <c r="AG661" s="50">
        <v>0.6875</v>
      </c>
      <c r="AH661" s="48">
        <v>0.69791666666666696</v>
      </c>
      <c r="AI661" s="49">
        <v>0.70833333333333304</v>
      </c>
      <c r="AJ661" s="49">
        <v>0.71875</v>
      </c>
      <c r="AK661" s="50">
        <v>0.72916666666666696</v>
      </c>
      <c r="AL661" s="48">
        <v>0.73958333333333404</v>
      </c>
      <c r="AM661" s="49">
        <v>0.750000000000001</v>
      </c>
      <c r="AN661" s="49">
        <v>0.76041666666666796</v>
      </c>
      <c r="AO661" s="50">
        <v>0.77083333333333504</v>
      </c>
      <c r="AP661" s="48">
        <v>0.781250000000002</v>
      </c>
      <c r="AQ661" s="49">
        <v>0.79166666666666896</v>
      </c>
      <c r="AR661" s="49">
        <v>0.80208333333333603</v>
      </c>
      <c r="AS661" s="50">
        <v>0.812500000000003</v>
      </c>
      <c r="AT661" s="48">
        <v>0.82291666666666996</v>
      </c>
      <c r="AU661" s="49">
        <v>0.83333333333333703</v>
      </c>
      <c r="AV661" s="49">
        <v>0.843750000000004</v>
      </c>
      <c r="AW661" s="50">
        <v>0.85416666666666663</v>
      </c>
      <c r="AX661" s="68" t="s">
        <v>260</v>
      </c>
      <c r="AY661" s="28" t="s">
        <v>261</v>
      </c>
      <c r="AZ661" s="29" t="s">
        <v>262</v>
      </c>
      <c r="BA661" s="136" t="str">
        <f>B662</f>
        <v>Etek Reçme</v>
      </c>
      <c r="BB661" s="137"/>
      <c r="BC661" s="137"/>
      <c r="BD661" s="137"/>
      <c r="BE661" s="137"/>
      <c r="BF661" s="137"/>
      <c r="BG661" s="137"/>
      <c r="BH661" s="138"/>
    </row>
    <row r="662" spans="1:60" s="17" customFormat="1" ht="19.5" customHeight="1" thickBot="1" x14ac:dyDescent="0.4">
      <c r="A662" s="41">
        <f t="shared" ref="A662" si="562">A661</f>
        <v>45440</v>
      </c>
      <c r="B662" s="37" t="str">
        <f>B486</f>
        <v>Etek Reçme</v>
      </c>
      <c r="C662" s="65" t="s">
        <v>259</v>
      </c>
      <c r="D662" s="70">
        <f>D486</f>
        <v>120</v>
      </c>
      <c r="E662" s="63"/>
      <c r="F662" s="55"/>
      <c r="G662" s="55"/>
      <c r="H662" s="56"/>
      <c r="I662" s="63"/>
      <c r="J662" s="55"/>
      <c r="K662" s="55"/>
      <c r="L662" s="56"/>
      <c r="M662" s="63"/>
      <c r="N662" s="55"/>
      <c r="O662" s="55"/>
      <c r="P662" s="56"/>
      <c r="Q662" s="63"/>
      <c r="R662" s="55"/>
      <c r="S662" s="55"/>
      <c r="T662" s="55"/>
      <c r="U662" s="56"/>
      <c r="V662" s="63">
        <v>50</v>
      </c>
      <c r="W662" s="55">
        <v>25</v>
      </c>
      <c r="X662" s="55">
        <v>40</v>
      </c>
      <c r="Y662" s="56">
        <v>55</v>
      </c>
      <c r="Z662" s="63">
        <v>90</v>
      </c>
      <c r="AA662" s="55">
        <v>80</v>
      </c>
      <c r="AB662" s="55">
        <v>93</v>
      </c>
      <c r="AC662" s="56">
        <v>93</v>
      </c>
      <c r="AD662" s="63">
        <v>145</v>
      </c>
      <c r="AE662" s="55">
        <v>123</v>
      </c>
      <c r="AF662" s="55">
        <v>141</v>
      </c>
      <c r="AG662" s="56">
        <v>135</v>
      </c>
      <c r="AH662" s="63">
        <v>105</v>
      </c>
      <c r="AI662" s="55">
        <v>120</v>
      </c>
      <c r="AJ662" s="55">
        <v>130</v>
      </c>
      <c r="AK662" s="56">
        <v>100</v>
      </c>
      <c r="AL662" s="53">
        <v>100</v>
      </c>
      <c r="AM662" s="54">
        <v>112</v>
      </c>
      <c r="AN662" s="55">
        <v>90</v>
      </c>
      <c r="AO662" s="56"/>
      <c r="AP662" s="53"/>
      <c r="AQ662" s="54"/>
      <c r="AR662" s="55"/>
      <c r="AS662" s="56"/>
      <c r="AT662" s="53"/>
      <c r="AU662" s="54"/>
      <c r="AV662" s="55"/>
      <c r="AW662" s="56"/>
      <c r="AX662" s="33">
        <f>SUM(E662:AW662)</f>
        <v>1827</v>
      </c>
      <c r="AY662" s="31">
        <f>IFERROR(AVERAGEIF(E662:AW662,"&lt;&gt;0",(E662:AW662)),)</f>
        <v>96.15789473684211</v>
      </c>
      <c r="AZ662" s="30">
        <f>IFERROR(AY662/D662,0)</f>
        <v>0.8013157894736842</v>
      </c>
      <c r="BA662" s="103" t="s">
        <v>182</v>
      </c>
      <c r="BB662" s="100" t="s">
        <v>183</v>
      </c>
      <c r="BC662" s="100" t="s">
        <v>184</v>
      </c>
      <c r="BD662" s="101" t="s">
        <v>185</v>
      </c>
      <c r="BE662" s="100" t="s">
        <v>186</v>
      </c>
      <c r="BF662" s="102" t="s">
        <v>187</v>
      </c>
      <c r="BG662" s="100" t="s">
        <v>188</v>
      </c>
      <c r="BH662" s="102" t="s">
        <v>189</v>
      </c>
    </row>
    <row r="663" spans="1:60" s="17" customFormat="1" ht="19.5" customHeight="1" thickBot="1" x14ac:dyDescent="0.4">
      <c r="A663" s="41">
        <f t="shared" ref="A663:B663" si="563">A662</f>
        <v>45440</v>
      </c>
      <c r="B663" s="37" t="str">
        <f t="shared" si="563"/>
        <v>Etek Reçme</v>
      </c>
      <c r="C663" s="65">
        <f t="shared" ref="C663:C668" si="564">C487</f>
        <v>0</v>
      </c>
      <c r="D663" s="67">
        <f t="shared" ref="D663:D668" si="565">D662</f>
        <v>120</v>
      </c>
      <c r="E663" s="57"/>
      <c r="F663" s="52"/>
      <c r="G663" s="52"/>
      <c r="H663" s="58"/>
      <c r="I663" s="57"/>
      <c r="J663" s="52"/>
      <c r="K663" s="52"/>
      <c r="L663" s="58"/>
      <c r="M663" s="57"/>
      <c r="N663" s="52"/>
      <c r="O663" s="52"/>
      <c r="P663" s="58"/>
      <c r="Q663" s="57"/>
      <c r="R663" s="52"/>
      <c r="S663" s="52"/>
      <c r="T663" s="52"/>
      <c r="U663" s="58"/>
      <c r="V663" s="57"/>
      <c r="W663" s="52"/>
      <c r="X663" s="52"/>
      <c r="Y663" s="58"/>
      <c r="Z663" s="57"/>
      <c r="AA663" s="52"/>
      <c r="AB663" s="52"/>
      <c r="AC663" s="58"/>
      <c r="AD663" s="57"/>
      <c r="AE663" s="52"/>
      <c r="AF663" s="52"/>
      <c r="AG663" s="58"/>
      <c r="AH663" s="57"/>
      <c r="AI663" s="52"/>
      <c r="AJ663" s="52"/>
      <c r="AK663" s="58"/>
      <c r="AL663" s="57"/>
      <c r="AM663" s="52"/>
      <c r="AN663" s="52"/>
      <c r="AO663" s="58"/>
      <c r="AP663" s="57"/>
      <c r="AQ663" s="52"/>
      <c r="AR663" s="52"/>
      <c r="AS663" s="58"/>
      <c r="AT663" s="57"/>
      <c r="AU663" s="52"/>
      <c r="AV663" s="52"/>
      <c r="AW663" s="58"/>
      <c r="AX663" s="33">
        <f t="shared" ref="AX663:AX668" si="566">SUM(E663:AW663)</f>
        <v>0</v>
      </c>
      <c r="AY663" s="31">
        <f t="shared" ref="AY663:AY668" si="567">IFERROR(AVERAGEIF(E663:AW663,"&lt;&gt;0",(E663:AW663)),)</f>
        <v>0</v>
      </c>
      <c r="AZ663" s="30">
        <f t="shared" ref="AZ663:AZ668" si="568">IFERROR(AY663/D663,0)</f>
        <v>0</v>
      </c>
      <c r="BA663" s="94">
        <f>AX669+BA487</f>
        <v>1827</v>
      </c>
      <c r="BB663" s="95">
        <f>(D669*8)</f>
        <v>4000</v>
      </c>
      <c r="BC663" s="96">
        <f>C533-BA663</f>
        <v>40484</v>
      </c>
      <c r="BD663" s="96">
        <f>BA654-BA663</f>
        <v>320</v>
      </c>
      <c r="BE663" s="97">
        <f>IFERROR(BC663/E669,0)</f>
        <v>0</v>
      </c>
      <c r="BF663" s="98">
        <f>IFERROR(BE663/9,0)</f>
        <v>0</v>
      </c>
      <c r="BG663" s="97">
        <f>IFERROR(BC663/AY669,0)</f>
        <v>110.7936507936508</v>
      </c>
      <c r="BH663" s="97">
        <f>IFERROR(BG663/9,0)</f>
        <v>12.310405643738978</v>
      </c>
    </row>
    <row r="664" spans="1:60" s="17" customFormat="1" ht="19.5" customHeight="1" x14ac:dyDescent="0.35">
      <c r="A664" s="41">
        <f t="shared" ref="A664:B664" si="569">A663</f>
        <v>45440</v>
      </c>
      <c r="B664" s="37" t="str">
        <f t="shared" si="569"/>
        <v>Etek Reçme</v>
      </c>
      <c r="C664" s="65">
        <f t="shared" si="564"/>
        <v>0</v>
      </c>
      <c r="D664" s="67">
        <f t="shared" si="565"/>
        <v>120</v>
      </c>
      <c r="E664" s="57"/>
      <c r="F664" s="52"/>
      <c r="G664" s="52"/>
      <c r="H664" s="58"/>
      <c r="I664" s="57"/>
      <c r="J664" s="52"/>
      <c r="K664" s="52"/>
      <c r="L664" s="58"/>
      <c r="M664" s="57"/>
      <c r="N664" s="52"/>
      <c r="O664" s="52"/>
      <c r="P664" s="58"/>
      <c r="Q664" s="57"/>
      <c r="R664" s="52"/>
      <c r="S664" s="52"/>
      <c r="T664" s="52"/>
      <c r="U664" s="58"/>
      <c r="V664" s="57"/>
      <c r="W664" s="52"/>
      <c r="X664" s="52"/>
      <c r="Y664" s="58"/>
      <c r="Z664" s="57"/>
      <c r="AA664" s="52"/>
      <c r="AB664" s="52"/>
      <c r="AC664" s="58"/>
      <c r="AD664" s="57"/>
      <c r="AE664" s="52"/>
      <c r="AF664" s="52"/>
      <c r="AG664" s="58"/>
      <c r="AH664" s="57"/>
      <c r="AI664" s="52"/>
      <c r="AJ664" s="52"/>
      <c r="AK664" s="58"/>
      <c r="AL664" s="57"/>
      <c r="AM664" s="52"/>
      <c r="AN664" s="52"/>
      <c r="AO664" s="58"/>
      <c r="AP664" s="57"/>
      <c r="AQ664" s="52"/>
      <c r="AR664" s="52"/>
      <c r="AS664" s="58"/>
      <c r="AT664" s="57"/>
      <c r="AU664" s="52"/>
      <c r="AV664" s="52"/>
      <c r="AW664" s="58"/>
      <c r="AX664" s="33">
        <f t="shared" si="566"/>
        <v>0</v>
      </c>
      <c r="AY664" s="31">
        <f t="shared" si="567"/>
        <v>0</v>
      </c>
      <c r="AZ664" s="30">
        <f t="shared" si="568"/>
        <v>0</v>
      </c>
      <c r="BA664" s="34"/>
      <c r="BB664" s="34"/>
      <c r="BC664" s="34"/>
      <c r="BD664" s="76"/>
      <c r="BE664" s="34"/>
      <c r="BF664" s="34"/>
      <c r="BG664" s="34"/>
      <c r="BH664" s="34"/>
    </row>
    <row r="665" spans="1:60" s="17" customFormat="1" ht="19.5" customHeight="1" x14ac:dyDescent="0.35">
      <c r="A665" s="41">
        <f t="shared" ref="A665:B665" si="570">A664</f>
        <v>45440</v>
      </c>
      <c r="B665" s="37" t="str">
        <f t="shared" si="570"/>
        <v>Etek Reçme</v>
      </c>
      <c r="C665" s="65">
        <f t="shared" si="564"/>
        <v>0</v>
      </c>
      <c r="D665" s="67">
        <f t="shared" si="565"/>
        <v>120</v>
      </c>
      <c r="E665" s="57"/>
      <c r="F665" s="52"/>
      <c r="G665" s="52"/>
      <c r="H665" s="58"/>
      <c r="I665" s="57"/>
      <c r="J665" s="52"/>
      <c r="K665" s="52"/>
      <c r="L665" s="58"/>
      <c r="M665" s="57"/>
      <c r="N665" s="52"/>
      <c r="O665" s="52"/>
      <c r="P665" s="58"/>
      <c r="Q665" s="57"/>
      <c r="R665" s="52"/>
      <c r="S665" s="52"/>
      <c r="T665" s="52"/>
      <c r="U665" s="58"/>
      <c r="V665" s="57"/>
      <c r="W665" s="52"/>
      <c r="X665" s="52"/>
      <c r="Y665" s="58"/>
      <c r="Z665" s="57"/>
      <c r="AA665" s="52"/>
      <c r="AB665" s="52"/>
      <c r="AC665" s="58"/>
      <c r="AD665" s="57"/>
      <c r="AE665" s="52"/>
      <c r="AF665" s="52"/>
      <c r="AG665" s="58"/>
      <c r="AH665" s="57"/>
      <c r="AI665" s="52"/>
      <c r="AJ665" s="52"/>
      <c r="AK665" s="58"/>
      <c r="AL665" s="57"/>
      <c r="AM665" s="52"/>
      <c r="AN665" s="52"/>
      <c r="AO665" s="58"/>
      <c r="AP665" s="57"/>
      <c r="AQ665" s="52"/>
      <c r="AR665" s="52"/>
      <c r="AS665" s="58"/>
      <c r="AT665" s="57"/>
      <c r="AU665" s="52"/>
      <c r="AV665" s="52"/>
      <c r="AW665" s="58"/>
      <c r="AX665" s="33">
        <f t="shared" si="566"/>
        <v>0</v>
      </c>
      <c r="AY665" s="31">
        <f t="shared" si="567"/>
        <v>0</v>
      </c>
      <c r="AZ665" s="30">
        <f t="shared" si="568"/>
        <v>0</v>
      </c>
      <c r="BA665" s="34"/>
      <c r="BB665" s="34"/>
      <c r="BC665" s="34"/>
      <c r="BD665" s="76"/>
      <c r="BE665" s="34"/>
      <c r="BF665" s="34"/>
      <c r="BG665" s="34"/>
      <c r="BH665" s="34"/>
    </row>
    <row r="666" spans="1:60" s="17" customFormat="1" ht="19.5" customHeight="1" x14ac:dyDescent="0.35">
      <c r="A666" s="41">
        <f>A663</f>
        <v>45440</v>
      </c>
      <c r="B666" s="37" t="str">
        <f t="shared" ref="B666" si="571">B665</f>
        <v>Etek Reçme</v>
      </c>
      <c r="C666" s="65">
        <f t="shared" si="564"/>
        <v>0</v>
      </c>
      <c r="D666" s="67">
        <f t="shared" si="565"/>
        <v>120</v>
      </c>
      <c r="E666" s="57"/>
      <c r="F666" s="52"/>
      <c r="G666" s="52"/>
      <c r="H666" s="58"/>
      <c r="I666" s="57"/>
      <c r="J666" s="52"/>
      <c r="K666" s="52"/>
      <c r="L666" s="58"/>
      <c r="M666" s="57"/>
      <c r="N666" s="52"/>
      <c r="O666" s="52"/>
      <c r="P666" s="58"/>
      <c r="Q666" s="57"/>
      <c r="R666" s="52"/>
      <c r="S666" s="52"/>
      <c r="T666" s="52"/>
      <c r="U666" s="58"/>
      <c r="V666" s="57"/>
      <c r="W666" s="52"/>
      <c r="X666" s="52"/>
      <c r="Y666" s="58"/>
      <c r="Z666" s="57"/>
      <c r="AA666" s="52"/>
      <c r="AB666" s="52"/>
      <c r="AC666" s="58"/>
      <c r="AD666" s="57"/>
      <c r="AE666" s="52"/>
      <c r="AF666" s="52"/>
      <c r="AG666" s="58"/>
      <c r="AH666" s="57"/>
      <c r="AI666" s="52"/>
      <c r="AJ666" s="52"/>
      <c r="AK666" s="58"/>
      <c r="AL666" s="57"/>
      <c r="AM666" s="52"/>
      <c r="AN666" s="52"/>
      <c r="AO666" s="58"/>
      <c r="AP666" s="57"/>
      <c r="AQ666" s="52"/>
      <c r="AR666" s="52"/>
      <c r="AS666" s="58"/>
      <c r="AT666" s="57"/>
      <c r="AU666" s="52"/>
      <c r="AV666" s="52"/>
      <c r="AW666" s="58"/>
      <c r="AX666" s="33">
        <f t="shared" si="566"/>
        <v>0</v>
      </c>
      <c r="AY666" s="31">
        <f t="shared" si="567"/>
        <v>0</v>
      </c>
      <c r="AZ666" s="30">
        <f t="shared" si="568"/>
        <v>0</v>
      </c>
      <c r="BA666" s="34"/>
      <c r="BB666" s="34"/>
      <c r="BC666" s="34"/>
      <c r="BD666" s="76"/>
      <c r="BE666" s="34"/>
      <c r="BF666" s="34"/>
      <c r="BG666" s="34"/>
      <c r="BH666" s="34"/>
    </row>
    <row r="667" spans="1:60" s="17" customFormat="1" ht="19.5" customHeight="1" x14ac:dyDescent="0.35">
      <c r="A667" s="41">
        <f t="shared" ref="A667:B667" si="572">A666</f>
        <v>45440</v>
      </c>
      <c r="B667" s="37" t="str">
        <f t="shared" si="572"/>
        <v>Etek Reçme</v>
      </c>
      <c r="C667" s="65">
        <f t="shared" si="564"/>
        <v>0</v>
      </c>
      <c r="D667" s="67">
        <f t="shared" si="565"/>
        <v>120</v>
      </c>
      <c r="E667" s="57"/>
      <c r="F667" s="52"/>
      <c r="G667" s="52"/>
      <c r="H667" s="58"/>
      <c r="I667" s="57"/>
      <c r="J667" s="52"/>
      <c r="K667" s="52"/>
      <c r="L667" s="58"/>
      <c r="M667" s="57"/>
      <c r="N667" s="52"/>
      <c r="O667" s="52"/>
      <c r="P667" s="78"/>
      <c r="Q667" s="57"/>
      <c r="R667" s="52"/>
      <c r="S667" s="52"/>
      <c r="T667" s="52"/>
      <c r="U667" s="58"/>
      <c r="V667" s="80"/>
      <c r="W667" s="52"/>
      <c r="X667" s="52"/>
      <c r="Y667" s="58"/>
      <c r="Z667" s="57"/>
      <c r="AA667" s="52"/>
      <c r="AB667" s="52"/>
      <c r="AC667" s="58"/>
      <c r="AD667" s="57"/>
      <c r="AE667" s="52"/>
      <c r="AF667" s="52"/>
      <c r="AG667" s="58"/>
      <c r="AH667" s="57"/>
      <c r="AI667" s="52"/>
      <c r="AJ667" s="52"/>
      <c r="AK667" s="58"/>
      <c r="AL667" s="57"/>
      <c r="AM667" s="52"/>
      <c r="AN667" s="52"/>
      <c r="AO667" s="58"/>
      <c r="AP667" s="57"/>
      <c r="AQ667" s="52"/>
      <c r="AR667" s="52"/>
      <c r="AS667" s="58"/>
      <c r="AT667" s="57"/>
      <c r="AU667" s="52"/>
      <c r="AV667" s="52"/>
      <c r="AW667" s="58"/>
      <c r="AX667" s="33">
        <f t="shared" si="566"/>
        <v>0</v>
      </c>
      <c r="AY667" s="31">
        <f t="shared" si="567"/>
        <v>0</v>
      </c>
      <c r="AZ667" s="30">
        <f t="shared" si="568"/>
        <v>0</v>
      </c>
      <c r="BA667" s="34"/>
      <c r="BB667" s="34"/>
      <c r="BC667" s="34"/>
      <c r="BD667" s="76"/>
      <c r="BE667" s="34"/>
      <c r="BF667" s="34"/>
      <c r="BG667" s="34"/>
      <c r="BH667" s="34"/>
    </row>
    <row r="668" spans="1:60" s="17" customFormat="1" ht="19.5" customHeight="1" thickBot="1" x14ac:dyDescent="0.4">
      <c r="A668" s="41">
        <f t="shared" ref="A668:B668" si="573">A667</f>
        <v>45440</v>
      </c>
      <c r="B668" s="37" t="str">
        <f t="shared" si="573"/>
        <v>Etek Reçme</v>
      </c>
      <c r="C668" s="65">
        <f t="shared" si="564"/>
        <v>0</v>
      </c>
      <c r="D668" s="67">
        <f t="shared" si="565"/>
        <v>120</v>
      </c>
      <c r="E668" s="59"/>
      <c r="F668" s="60"/>
      <c r="G668" s="61"/>
      <c r="H668" s="62"/>
      <c r="I668" s="59"/>
      <c r="J668" s="60"/>
      <c r="K668" s="61"/>
      <c r="L668" s="62"/>
      <c r="M668" s="59"/>
      <c r="N668" s="60"/>
      <c r="O668" s="61"/>
      <c r="P668" s="79"/>
      <c r="Q668" s="64"/>
      <c r="R668" s="61"/>
      <c r="S668" s="61"/>
      <c r="T668" s="61"/>
      <c r="U668" s="62"/>
      <c r="V668" s="81"/>
      <c r="W668" s="60"/>
      <c r="X668" s="61"/>
      <c r="Y668" s="62"/>
      <c r="Z668" s="59"/>
      <c r="AA668" s="60"/>
      <c r="AB668" s="61"/>
      <c r="AC668" s="62"/>
      <c r="AD668" s="59"/>
      <c r="AE668" s="60"/>
      <c r="AF668" s="61"/>
      <c r="AG668" s="62"/>
      <c r="AH668" s="59"/>
      <c r="AI668" s="60"/>
      <c r="AJ668" s="61"/>
      <c r="AK668" s="62"/>
      <c r="AL668" s="59"/>
      <c r="AM668" s="60"/>
      <c r="AN668" s="61"/>
      <c r="AO668" s="62"/>
      <c r="AP668" s="59"/>
      <c r="AQ668" s="60"/>
      <c r="AR668" s="61"/>
      <c r="AS668" s="62"/>
      <c r="AT668" s="59"/>
      <c r="AU668" s="60"/>
      <c r="AV668" s="61"/>
      <c r="AW668" s="62"/>
      <c r="AX668" s="33">
        <f t="shared" si="566"/>
        <v>0</v>
      </c>
      <c r="AY668" s="31">
        <f t="shared" si="567"/>
        <v>0</v>
      </c>
      <c r="AZ668" s="30">
        <f t="shared" si="568"/>
        <v>0</v>
      </c>
      <c r="BA668" s="34"/>
      <c r="BB668" s="34"/>
      <c r="BC668" s="34"/>
      <c r="BD668" s="76"/>
      <c r="BE668" s="34"/>
      <c r="BF668" s="34"/>
      <c r="BG668" s="34"/>
      <c r="BH668" s="34"/>
    </row>
    <row r="669" spans="1:60" s="17" customFormat="1" ht="19.5" customHeight="1" thickBot="1" x14ac:dyDescent="0.45">
      <c r="A669" s="41">
        <f t="shared" ref="A669" si="574">A668</f>
        <v>45440</v>
      </c>
      <c r="B669" s="139" t="str">
        <f>B662</f>
        <v>Etek Reçme</v>
      </c>
      <c r="C669" s="140"/>
      <c r="D669" s="40">
        <f>C534/8</f>
        <v>500</v>
      </c>
      <c r="E669" s="147">
        <f>SUM(E662:H668)</f>
        <v>0</v>
      </c>
      <c r="F669" s="148"/>
      <c r="G669" s="148"/>
      <c r="H669" s="149"/>
      <c r="I669" s="147">
        <f>SUM(I662:L668)</f>
        <v>0</v>
      </c>
      <c r="J669" s="148"/>
      <c r="K669" s="148"/>
      <c r="L669" s="149"/>
      <c r="M669" s="147">
        <f>SUM(M662:P668)</f>
        <v>0</v>
      </c>
      <c r="N669" s="148"/>
      <c r="O669" s="148"/>
      <c r="P669" s="149"/>
      <c r="Q669" s="151">
        <f>SUM(Q662:U668)</f>
        <v>0</v>
      </c>
      <c r="R669" s="152"/>
      <c r="S669" s="152"/>
      <c r="T669" s="152"/>
      <c r="U669" s="153"/>
      <c r="V669" s="147">
        <f>SUM(V662:Y668)</f>
        <v>170</v>
      </c>
      <c r="W669" s="148"/>
      <c r="X669" s="148"/>
      <c r="Y669" s="149"/>
      <c r="Z669" s="147">
        <f>SUM(Z662:AC668)</f>
        <v>356</v>
      </c>
      <c r="AA669" s="148"/>
      <c r="AB669" s="148"/>
      <c r="AC669" s="149"/>
      <c r="AD669" s="147">
        <f>SUM(AD662:AG668)</f>
        <v>544</v>
      </c>
      <c r="AE669" s="148"/>
      <c r="AF669" s="148"/>
      <c r="AG669" s="149"/>
      <c r="AH669" s="147">
        <f>SUM(AH662:AK668)</f>
        <v>455</v>
      </c>
      <c r="AI669" s="148"/>
      <c r="AJ669" s="148"/>
      <c r="AK669" s="149"/>
      <c r="AL669" s="147">
        <f>SUM(AL662:AO668)</f>
        <v>302</v>
      </c>
      <c r="AM669" s="148"/>
      <c r="AN669" s="148"/>
      <c r="AO669" s="149"/>
      <c r="AP669" s="147">
        <f>SUM(AP662:AS668)</f>
        <v>0</v>
      </c>
      <c r="AQ669" s="148"/>
      <c r="AR669" s="148"/>
      <c r="AS669" s="149"/>
      <c r="AT669" s="147">
        <f>SUM(AT662:AW668)</f>
        <v>0</v>
      </c>
      <c r="AU669" s="148"/>
      <c r="AV669" s="148"/>
      <c r="AW669" s="149"/>
      <c r="AX669" s="87">
        <f>SUM(AX662:AX668)</f>
        <v>1827</v>
      </c>
      <c r="AY669" s="88">
        <f>IFERROR(AVERAGEIF(E669:AV669,"&lt;&gt;0",(E669:AV669)),)</f>
        <v>365.4</v>
      </c>
      <c r="AZ669" s="46">
        <f>IFERROR(AX669/BB663,0)</f>
        <v>0.45674999999999999</v>
      </c>
      <c r="BA669" s="34"/>
      <c r="BB669" s="34"/>
      <c r="BC669" s="34"/>
      <c r="BD669" s="76"/>
      <c r="BE669" s="34"/>
      <c r="BF669" s="34"/>
      <c r="BG669" s="34"/>
      <c r="BH669" s="34"/>
    </row>
    <row r="670" spans="1:60" s="17" customFormat="1" ht="19.5" customHeight="1" thickBot="1" x14ac:dyDescent="0.4">
      <c r="A670" s="42">
        <f>A634</f>
        <v>45440</v>
      </c>
      <c r="B670" s="38" t="str">
        <f>B671</f>
        <v>Çevirme</v>
      </c>
      <c r="C670" s="39" t="s">
        <v>180</v>
      </c>
      <c r="D670" s="69" t="s">
        <v>181</v>
      </c>
      <c r="E670" s="48">
        <v>0.34375</v>
      </c>
      <c r="F670" s="49">
        <v>0.35416666666666669</v>
      </c>
      <c r="G670" s="49">
        <v>0.36458333333333331</v>
      </c>
      <c r="H670" s="50">
        <v>0.375</v>
      </c>
      <c r="I670" s="48">
        <v>0.38541666666666702</v>
      </c>
      <c r="J670" s="49">
        <v>0.39583333333333298</v>
      </c>
      <c r="K670" s="49">
        <v>0.40625</v>
      </c>
      <c r="L670" s="50">
        <v>0.41666666666666702</v>
      </c>
      <c r="M670" s="48">
        <v>0.4375</v>
      </c>
      <c r="N670" s="49">
        <v>0.44791666666666702</v>
      </c>
      <c r="O670" s="49">
        <v>0.45833333333333398</v>
      </c>
      <c r="P670" s="50">
        <v>0.46875</v>
      </c>
      <c r="Q670" s="48">
        <v>0.47916666666666702</v>
      </c>
      <c r="R670" s="49">
        <v>0.48958333333333398</v>
      </c>
      <c r="S670" s="49">
        <v>0.5</v>
      </c>
      <c r="T670" s="50">
        <v>0.51041666666666696</v>
      </c>
      <c r="U670" s="51">
        <v>0.52083333333333204</v>
      </c>
      <c r="V670" s="48">
        <v>0.5625</v>
      </c>
      <c r="W670" s="49">
        <v>0.57291666666666663</v>
      </c>
      <c r="X670" s="49">
        <v>0.58333333333333304</v>
      </c>
      <c r="Y670" s="50">
        <v>0.59375</v>
      </c>
      <c r="Z670" s="48">
        <v>0.60416666666666696</v>
      </c>
      <c r="AA670" s="49">
        <v>0.61458333333333304</v>
      </c>
      <c r="AB670" s="49">
        <v>0.625</v>
      </c>
      <c r="AC670" s="50">
        <v>0.63541666666666596</v>
      </c>
      <c r="AD670" s="48">
        <v>0.65625</v>
      </c>
      <c r="AE670" s="49">
        <v>0.66666666666666663</v>
      </c>
      <c r="AF670" s="49">
        <v>0.67708333333333304</v>
      </c>
      <c r="AG670" s="50">
        <v>0.6875</v>
      </c>
      <c r="AH670" s="48">
        <v>0.69791666666666696</v>
      </c>
      <c r="AI670" s="49">
        <v>0.70833333333333304</v>
      </c>
      <c r="AJ670" s="49">
        <v>0.71875</v>
      </c>
      <c r="AK670" s="50">
        <v>0.72916666666666696</v>
      </c>
      <c r="AL670" s="48">
        <v>0.73958333333333404</v>
      </c>
      <c r="AM670" s="49">
        <v>0.750000000000001</v>
      </c>
      <c r="AN670" s="49">
        <v>0.76041666666666796</v>
      </c>
      <c r="AO670" s="50">
        <v>0.77083333333333504</v>
      </c>
      <c r="AP670" s="48">
        <v>0.781250000000002</v>
      </c>
      <c r="AQ670" s="49">
        <v>0.79166666666666896</v>
      </c>
      <c r="AR670" s="49">
        <v>0.80208333333333603</v>
      </c>
      <c r="AS670" s="50">
        <v>0.812500000000003</v>
      </c>
      <c r="AT670" s="48">
        <v>0.82291666666666996</v>
      </c>
      <c r="AU670" s="49">
        <v>0.83333333333333703</v>
      </c>
      <c r="AV670" s="49">
        <v>0.843750000000004</v>
      </c>
      <c r="AW670" s="50">
        <v>0.85416666666666663</v>
      </c>
      <c r="AX670" s="68" t="s">
        <v>260</v>
      </c>
      <c r="AY670" s="28" t="s">
        <v>261</v>
      </c>
      <c r="AZ670" s="29" t="s">
        <v>262</v>
      </c>
      <c r="BA670" s="136" t="str">
        <f>B671</f>
        <v>Çevirme</v>
      </c>
      <c r="BB670" s="137"/>
      <c r="BC670" s="137"/>
      <c r="BD670" s="137"/>
      <c r="BE670" s="137"/>
      <c r="BF670" s="137"/>
      <c r="BG670" s="137"/>
      <c r="BH670" s="138"/>
    </row>
    <row r="671" spans="1:60" s="17" customFormat="1" ht="19.5" customHeight="1" thickBot="1" x14ac:dyDescent="0.4">
      <c r="A671" s="41">
        <f t="shared" ref="A671" si="575">A670</f>
        <v>45440</v>
      </c>
      <c r="B671" s="37" t="str">
        <f>B495</f>
        <v>Çevirme</v>
      </c>
      <c r="C671" s="65" t="s">
        <v>97</v>
      </c>
      <c r="D671" s="70">
        <v>65</v>
      </c>
      <c r="E671" s="63"/>
      <c r="F671" s="55"/>
      <c r="G671" s="55"/>
      <c r="H671" s="56"/>
      <c r="I671" s="63"/>
      <c r="J671" s="55"/>
      <c r="K671" s="55"/>
      <c r="L671" s="56"/>
      <c r="M671" s="63"/>
      <c r="N671" s="55"/>
      <c r="O671" s="55"/>
      <c r="P671" s="56"/>
      <c r="Q671" s="63"/>
      <c r="R671" s="55"/>
      <c r="S671" s="55"/>
      <c r="T671" s="55"/>
      <c r="U671" s="56"/>
      <c r="V671" s="63"/>
      <c r="W671" s="55"/>
      <c r="X671" s="55">
        <v>50</v>
      </c>
      <c r="Y671" s="56">
        <v>50</v>
      </c>
      <c r="Z671" s="63">
        <v>50</v>
      </c>
      <c r="AA671" s="55">
        <v>31</v>
      </c>
      <c r="AB671" s="55">
        <v>50</v>
      </c>
      <c r="AC671" s="56">
        <v>46</v>
      </c>
      <c r="AD671" s="63">
        <v>45</v>
      </c>
      <c r="AE671" s="55">
        <v>45</v>
      </c>
      <c r="AF671" s="55">
        <v>43</v>
      </c>
      <c r="AG671" s="56">
        <v>45</v>
      </c>
      <c r="AH671" s="63">
        <v>45</v>
      </c>
      <c r="AI671" s="55">
        <v>45</v>
      </c>
      <c r="AJ671" s="55">
        <v>51</v>
      </c>
      <c r="AK671" s="56">
        <v>51</v>
      </c>
      <c r="AL671" s="63">
        <v>50</v>
      </c>
      <c r="AM671" s="55">
        <v>50</v>
      </c>
      <c r="AN671" s="55">
        <v>51</v>
      </c>
      <c r="AO671" s="56"/>
      <c r="AP671" s="63"/>
      <c r="AQ671" s="55"/>
      <c r="AR671" s="55"/>
      <c r="AS671" s="56"/>
      <c r="AT671" s="53"/>
      <c r="AU671" s="54"/>
      <c r="AV671" s="55"/>
      <c r="AW671" s="56"/>
      <c r="AX671" s="33">
        <f>SUM(E671:AW671)</f>
        <v>798</v>
      </c>
      <c r="AY671" s="31">
        <f>IFERROR(AVERAGEIF(E671:AW671,"&lt;&gt;0",(E671:AW671)),)</f>
        <v>46.941176470588232</v>
      </c>
      <c r="AZ671" s="30">
        <f>IFERROR(AY671/D671,0)</f>
        <v>0.72217194570135745</v>
      </c>
      <c r="BA671" s="103" t="s">
        <v>182</v>
      </c>
      <c r="BB671" s="100" t="s">
        <v>183</v>
      </c>
      <c r="BC671" s="100" t="s">
        <v>184</v>
      </c>
      <c r="BD671" s="101" t="s">
        <v>185</v>
      </c>
      <c r="BE671" s="100" t="s">
        <v>186</v>
      </c>
      <c r="BF671" s="102" t="s">
        <v>187</v>
      </c>
      <c r="BG671" s="100" t="s">
        <v>188</v>
      </c>
      <c r="BH671" s="102" t="s">
        <v>189</v>
      </c>
    </row>
    <row r="672" spans="1:60" s="17" customFormat="1" ht="19.5" customHeight="1" thickBot="1" x14ac:dyDescent="0.4">
      <c r="A672" s="41">
        <f t="shared" ref="A672:B672" si="576">A671</f>
        <v>45440</v>
      </c>
      <c r="B672" s="37" t="str">
        <f t="shared" si="576"/>
        <v>Çevirme</v>
      </c>
      <c r="C672" s="65" t="s">
        <v>87</v>
      </c>
      <c r="D672" s="67">
        <f t="shared" ref="D672:D677" si="577">D671</f>
        <v>65</v>
      </c>
      <c r="E672" s="57"/>
      <c r="F672" s="52"/>
      <c r="G672" s="52"/>
      <c r="H672" s="58"/>
      <c r="I672" s="57"/>
      <c r="J672" s="52"/>
      <c r="K672" s="52"/>
      <c r="L672" s="58"/>
      <c r="M672" s="57"/>
      <c r="N672" s="52"/>
      <c r="O672" s="52"/>
      <c r="P672" s="58"/>
      <c r="Q672" s="57"/>
      <c r="R672" s="52"/>
      <c r="S672" s="52"/>
      <c r="T672" s="52"/>
      <c r="U672" s="58"/>
      <c r="V672" s="57">
        <v>60</v>
      </c>
      <c r="W672" s="52">
        <v>60</v>
      </c>
      <c r="X672" s="52">
        <v>50</v>
      </c>
      <c r="Y672" s="58">
        <v>60</v>
      </c>
      <c r="Z672" s="57">
        <v>60</v>
      </c>
      <c r="AA672" s="52">
        <v>60</v>
      </c>
      <c r="AB672" s="52">
        <v>38</v>
      </c>
      <c r="AC672" s="58">
        <v>60</v>
      </c>
      <c r="AD672" s="57">
        <v>55</v>
      </c>
      <c r="AE672" s="52">
        <v>60</v>
      </c>
      <c r="AF672" s="52">
        <v>55</v>
      </c>
      <c r="AG672" s="58">
        <v>60</v>
      </c>
      <c r="AH672" s="57">
        <v>60</v>
      </c>
      <c r="AI672" s="52">
        <v>55</v>
      </c>
      <c r="AJ672" s="52">
        <v>40</v>
      </c>
      <c r="AK672" s="58">
        <v>60</v>
      </c>
      <c r="AL672" s="57">
        <v>60</v>
      </c>
      <c r="AM672" s="52">
        <v>55</v>
      </c>
      <c r="AN672" s="52">
        <v>60</v>
      </c>
      <c r="AO672" s="58"/>
      <c r="AP672" s="57"/>
      <c r="AQ672" s="52"/>
      <c r="AR672" s="52"/>
      <c r="AS672" s="58"/>
      <c r="AT672" s="57"/>
      <c r="AU672" s="52"/>
      <c r="AV672" s="52"/>
      <c r="AW672" s="58"/>
      <c r="AX672" s="33">
        <f t="shared" ref="AX672:AX677" si="578">SUM(E672:AW672)</f>
        <v>1068</v>
      </c>
      <c r="AY672" s="31">
        <f t="shared" ref="AY672:AY677" si="579">IFERROR(AVERAGEIF(E672:AW672,"&lt;&gt;0",(E672:AW672)),)</f>
        <v>56.210526315789473</v>
      </c>
      <c r="AZ672" s="30">
        <f t="shared" ref="AZ672:AZ677" si="580">IFERROR(AY672/D672,0)</f>
        <v>0.86477732793522266</v>
      </c>
      <c r="BA672" s="94">
        <f>AX678+BA496</f>
        <v>1866</v>
      </c>
      <c r="BB672" s="95">
        <f>(D678*8)</f>
        <v>4000</v>
      </c>
      <c r="BC672" s="96">
        <f>C533-BA672</f>
        <v>40445</v>
      </c>
      <c r="BD672" s="96">
        <f>BA654-BA672</f>
        <v>281</v>
      </c>
      <c r="BE672" s="97">
        <f>IFERROR(BC672/E678,0)</f>
        <v>0</v>
      </c>
      <c r="BF672" s="98">
        <f>IFERROR(BE672/9,0)</f>
        <v>0</v>
      </c>
      <c r="BG672" s="97">
        <f>IFERROR(BC672/AY678,0)</f>
        <v>108.37352625937835</v>
      </c>
      <c r="BH672" s="97">
        <f>IFERROR(BG672/9,0)</f>
        <v>12.041502917708705</v>
      </c>
    </row>
    <row r="673" spans="1:60" s="17" customFormat="1" ht="19.5" customHeight="1" x14ac:dyDescent="0.35">
      <c r="A673" s="41">
        <f t="shared" ref="A673:B673" si="581">A672</f>
        <v>45440</v>
      </c>
      <c r="B673" s="37" t="str">
        <f t="shared" si="581"/>
        <v>Çevirme</v>
      </c>
      <c r="C673" s="65" t="s">
        <v>72</v>
      </c>
      <c r="D673" s="67">
        <f t="shared" si="577"/>
        <v>65</v>
      </c>
      <c r="E673" s="57"/>
      <c r="F673" s="52"/>
      <c r="G673" s="52"/>
      <c r="H673" s="58"/>
      <c r="I673" s="57"/>
      <c r="J673" s="52"/>
      <c r="K673" s="52"/>
      <c r="L673" s="58"/>
      <c r="M673" s="57"/>
      <c r="N673" s="52"/>
      <c r="O673" s="52"/>
      <c r="P673" s="58"/>
      <c r="Q673" s="57"/>
      <c r="R673" s="52"/>
      <c r="S673" s="52"/>
      <c r="T673" s="52"/>
      <c r="U673" s="58"/>
      <c r="V673" s="57"/>
      <c r="W673" s="52"/>
      <c r="X673" s="52"/>
      <c r="Y673" s="58"/>
      <c r="Z673" s="57"/>
      <c r="AA673" s="52"/>
      <c r="AB673" s="52"/>
      <c r="AC673" s="58"/>
      <c r="AD673" s="57"/>
      <c r="AE673" s="52"/>
      <c r="AF673" s="52"/>
      <c r="AG673" s="58"/>
      <c r="AH673" s="57"/>
      <c r="AI673" s="52"/>
      <c r="AJ673" s="52"/>
      <c r="AK673" s="58"/>
      <c r="AL673" s="57"/>
      <c r="AM673" s="52"/>
      <c r="AN673" s="52"/>
      <c r="AO673" s="58"/>
      <c r="AP673" s="57"/>
      <c r="AQ673" s="52"/>
      <c r="AR673" s="52"/>
      <c r="AS673" s="58"/>
      <c r="AT673" s="57"/>
      <c r="AU673" s="52"/>
      <c r="AV673" s="52"/>
      <c r="AW673" s="58"/>
      <c r="AX673" s="33">
        <f t="shared" si="578"/>
        <v>0</v>
      </c>
      <c r="AY673" s="31">
        <f t="shared" si="579"/>
        <v>0</v>
      </c>
      <c r="AZ673" s="30">
        <f t="shared" si="580"/>
        <v>0</v>
      </c>
      <c r="BA673" s="34"/>
      <c r="BB673" s="34"/>
      <c r="BC673" s="34"/>
      <c r="BD673" s="76"/>
      <c r="BE673" s="34"/>
      <c r="BF673" s="34"/>
      <c r="BG673" s="34"/>
      <c r="BH673" s="34"/>
    </row>
    <row r="674" spans="1:60" s="17" customFormat="1" ht="19.5" customHeight="1" x14ac:dyDescent="0.35">
      <c r="A674" s="41">
        <f t="shared" ref="A674:B674" si="582">A673</f>
        <v>45440</v>
      </c>
      <c r="B674" s="37" t="str">
        <f t="shared" si="582"/>
        <v>Çevirme</v>
      </c>
      <c r="C674" s="65" t="s">
        <v>285</v>
      </c>
      <c r="D674" s="67">
        <f t="shared" si="577"/>
        <v>65</v>
      </c>
      <c r="E674" s="57"/>
      <c r="F674" s="52"/>
      <c r="G674" s="52"/>
      <c r="H674" s="58"/>
      <c r="I674" s="57"/>
      <c r="J674" s="52"/>
      <c r="K674" s="52"/>
      <c r="L674" s="58"/>
      <c r="M674" s="57"/>
      <c r="N674" s="52"/>
      <c r="O674" s="52"/>
      <c r="P674" s="58"/>
      <c r="Q674" s="57"/>
      <c r="R674" s="52"/>
      <c r="S674" s="52"/>
      <c r="T674" s="52"/>
      <c r="U674" s="58"/>
      <c r="V674" s="57"/>
      <c r="W674" s="52"/>
      <c r="X674" s="52"/>
      <c r="Y674" s="58"/>
      <c r="Z674" s="57"/>
      <c r="AA674" s="52"/>
      <c r="AB674" s="52"/>
      <c r="AC674" s="58"/>
      <c r="AD674" s="57"/>
      <c r="AE674" s="52"/>
      <c r="AF674" s="52"/>
      <c r="AG674" s="58"/>
      <c r="AH674" s="57"/>
      <c r="AI674" s="52"/>
      <c r="AJ674" s="52"/>
      <c r="AK674" s="58"/>
      <c r="AL674" s="57"/>
      <c r="AM674" s="52"/>
      <c r="AN674" s="52"/>
      <c r="AO674" s="58"/>
      <c r="AP674" s="57"/>
      <c r="AQ674" s="52"/>
      <c r="AR674" s="52"/>
      <c r="AS674" s="58"/>
      <c r="AT674" s="57"/>
      <c r="AU674" s="52"/>
      <c r="AV674" s="52"/>
      <c r="AW674" s="58"/>
      <c r="AX674" s="33">
        <f t="shared" si="578"/>
        <v>0</v>
      </c>
      <c r="AY674" s="31">
        <f t="shared" si="579"/>
        <v>0</v>
      </c>
      <c r="AZ674" s="30">
        <f t="shared" si="580"/>
        <v>0</v>
      </c>
      <c r="BA674" s="34"/>
      <c r="BB674" s="34"/>
      <c r="BC674" s="34"/>
      <c r="BD674" s="76"/>
      <c r="BE674" s="34"/>
      <c r="BF674" s="34"/>
      <c r="BG674" s="34"/>
      <c r="BH674" s="34"/>
    </row>
    <row r="675" spans="1:60" s="17" customFormat="1" ht="19.5" customHeight="1" x14ac:dyDescent="0.35">
      <c r="A675" s="41">
        <f>A672</f>
        <v>45440</v>
      </c>
      <c r="B675" s="37" t="str">
        <f t="shared" ref="B675" si="583">B674</f>
        <v>Çevirme</v>
      </c>
      <c r="C675" s="65">
        <f t="shared" ref="C675:C677" si="584">C499</f>
        <v>0</v>
      </c>
      <c r="D675" s="67">
        <f t="shared" si="577"/>
        <v>65</v>
      </c>
      <c r="E675" s="57"/>
      <c r="F675" s="52"/>
      <c r="G675" s="52"/>
      <c r="H675" s="58"/>
      <c r="I675" s="57"/>
      <c r="J675" s="52"/>
      <c r="K675" s="52"/>
      <c r="L675" s="58"/>
      <c r="M675" s="57"/>
      <c r="N675" s="52"/>
      <c r="O675" s="52"/>
      <c r="P675" s="58"/>
      <c r="Q675" s="57"/>
      <c r="R675" s="52"/>
      <c r="S675" s="52"/>
      <c r="T675" s="52"/>
      <c r="U675" s="58"/>
      <c r="V675" s="57"/>
      <c r="W675" s="52"/>
      <c r="X675" s="52"/>
      <c r="Y675" s="58"/>
      <c r="Z675" s="57"/>
      <c r="AA675" s="52"/>
      <c r="AB675" s="52"/>
      <c r="AC675" s="58"/>
      <c r="AD675" s="57"/>
      <c r="AE675" s="52"/>
      <c r="AF675" s="52"/>
      <c r="AG675" s="58"/>
      <c r="AH675" s="57"/>
      <c r="AI675" s="52"/>
      <c r="AJ675" s="52"/>
      <c r="AK675" s="58"/>
      <c r="AL675" s="57"/>
      <c r="AM675" s="52"/>
      <c r="AN675" s="52"/>
      <c r="AO675" s="58"/>
      <c r="AP675" s="57"/>
      <c r="AQ675" s="52"/>
      <c r="AR675" s="52"/>
      <c r="AS675" s="58"/>
      <c r="AT675" s="57"/>
      <c r="AU675" s="52"/>
      <c r="AV675" s="52"/>
      <c r="AW675" s="58"/>
      <c r="AX675" s="33">
        <f t="shared" si="578"/>
        <v>0</v>
      </c>
      <c r="AY675" s="31">
        <f t="shared" si="579"/>
        <v>0</v>
      </c>
      <c r="AZ675" s="30">
        <f t="shared" si="580"/>
        <v>0</v>
      </c>
      <c r="BA675" s="34"/>
      <c r="BB675" s="34"/>
      <c r="BC675" s="34"/>
      <c r="BD675" s="76"/>
      <c r="BE675" s="34"/>
      <c r="BF675" s="34"/>
      <c r="BG675" s="34"/>
      <c r="BH675" s="34"/>
    </row>
    <row r="676" spans="1:60" s="17" customFormat="1" ht="19.5" customHeight="1" x14ac:dyDescent="0.35">
      <c r="A676" s="41">
        <f t="shared" ref="A676:B676" si="585">A675</f>
        <v>45440</v>
      </c>
      <c r="B676" s="37" t="str">
        <f t="shared" si="585"/>
        <v>Çevirme</v>
      </c>
      <c r="C676" s="65">
        <f t="shared" si="584"/>
        <v>0</v>
      </c>
      <c r="D676" s="67">
        <f t="shared" si="577"/>
        <v>65</v>
      </c>
      <c r="E676" s="57"/>
      <c r="F676" s="52"/>
      <c r="G676" s="52"/>
      <c r="H676" s="58"/>
      <c r="I676" s="57"/>
      <c r="J676" s="52"/>
      <c r="K676" s="52"/>
      <c r="L676" s="58"/>
      <c r="M676" s="57"/>
      <c r="N676" s="52"/>
      <c r="O676" s="52"/>
      <c r="P676" s="58"/>
      <c r="Q676" s="57"/>
      <c r="R676" s="52"/>
      <c r="S676" s="52"/>
      <c r="T676" s="52"/>
      <c r="U676" s="58"/>
      <c r="V676" s="57"/>
      <c r="W676" s="52"/>
      <c r="X676" s="52"/>
      <c r="Y676" s="58"/>
      <c r="Z676" s="57"/>
      <c r="AA676" s="52"/>
      <c r="AB676" s="52"/>
      <c r="AC676" s="58"/>
      <c r="AD676" s="57"/>
      <c r="AE676" s="52"/>
      <c r="AF676" s="52"/>
      <c r="AG676" s="58"/>
      <c r="AH676" s="57"/>
      <c r="AI676" s="52"/>
      <c r="AJ676" s="52"/>
      <c r="AK676" s="58"/>
      <c r="AL676" s="57"/>
      <c r="AM676" s="52"/>
      <c r="AN676" s="52"/>
      <c r="AO676" s="58"/>
      <c r="AP676" s="57"/>
      <c r="AQ676" s="52"/>
      <c r="AR676" s="52"/>
      <c r="AS676" s="58"/>
      <c r="AT676" s="57"/>
      <c r="AU676" s="52"/>
      <c r="AV676" s="52"/>
      <c r="AW676" s="58"/>
      <c r="AX676" s="33">
        <f t="shared" si="578"/>
        <v>0</v>
      </c>
      <c r="AY676" s="31">
        <f t="shared" si="579"/>
        <v>0</v>
      </c>
      <c r="AZ676" s="30">
        <f t="shared" si="580"/>
        <v>0</v>
      </c>
      <c r="BA676" s="34"/>
      <c r="BB676" s="34"/>
      <c r="BC676" s="34"/>
      <c r="BD676" s="76"/>
      <c r="BE676" s="34"/>
      <c r="BF676" s="34"/>
      <c r="BG676" s="34"/>
      <c r="BH676" s="34"/>
    </row>
    <row r="677" spans="1:60" s="17" customFormat="1" ht="19.5" customHeight="1" thickBot="1" x14ac:dyDescent="0.4">
      <c r="A677" s="41">
        <f t="shared" ref="A677:B677" si="586">A676</f>
        <v>45440</v>
      </c>
      <c r="B677" s="37" t="str">
        <f t="shared" si="586"/>
        <v>Çevirme</v>
      </c>
      <c r="C677" s="65">
        <f t="shared" si="584"/>
        <v>0</v>
      </c>
      <c r="D677" s="67">
        <f t="shared" si="577"/>
        <v>65</v>
      </c>
      <c r="E677" s="59"/>
      <c r="F677" s="60"/>
      <c r="G677" s="61"/>
      <c r="H677" s="62"/>
      <c r="I677" s="59"/>
      <c r="J677" s="60"/>
      <c r="K677" s="61"/>
      <c r="L677" s="62"/>
      <c r="M677" s="59"/>
      <c r="N677" s="60"/>
      <c r="O677" s="61"/>
      <c r="P677" s="62"/>
      <c r="Q677" s="64"/>
      <c r="R677" s="61"/>
      <c r="S677" s="61"/>
      <c r="T677" s="61"/>
      <c r="U677" s="62"/>
      <c r="V677" s="59"/>
      <c r="W677" s="60"/>
      <c r="X677" s="61"/>
      <c r="Y677" s="62"/>
      <c r="Z677" s="59"/>
      <c r="AA677" s="60"/>
      <c r="AB677" s="61"/>
      <c r="AC677" s="62"/>
      <c r="AD677" s="59"/>
      <c r="AE677" s="60"/>
      <c r="AF677" s="61"/>
      <c r="AG677" s="62"/>
      <c r="AH677" s="59"/>
      <c r="AI677" s="60"/>
      <c r="AJ677" s="61"/>
      <c r="AK677" s="62"/>
      <c r="AL677" s="59"/>
      <c r="AM677" s="60"/>
      <c r="AN677" s="61"/>
      <c r="AO677" s="62"/>
      <c r="AP677" s="59"/>
      <c r="AQ677" s="60"/>
      <c r="AR677" s="61"/>
      <c r="AS677" s="62"/>
      <c r="AT677" s="59"/>
      <c r="AU677" s="60"/>
      <c r="AV677" s="61"/>
      <c r="AW677" s="62"/>
      <c r="AX677" s="33">
        <f t="shared" si="578"/>
        <v>0</v>
      </c>
      <c r="AY677" s="31">
        <f t="shared" si="579"/>
        <v>0</v>
      </c>
      <c r="AZ677" s="30">
        <f t="shared" si="580"/>
        <v>0</v>
      </c>
      <c r="BA677" s="34"/>
      <c r="BB677" s="34"/>
      <c r="BC677" s="34"/>
      <c r="BD677" s="76"/>
      <c r="BE677" s="34"/>
      <c r="BF677" s="34"/>
      <c r="BG677" s="34"/>
      <c r="BH677" s="34"/>
    </row>
    <row r="678" spans="1:60" s="17" customFormat="1" ht="19.5" customHeight="1" thickBot="1" x14ac:dyDescent="0.45">
      <c r="A678" s="41">
        <f t="shared" ref="A678" si="587">A677</f>
        <v>45440</v>
      </c>
      <c r="B678" s="139" t="str">
        <f>B671</f>
        <v>Çevirme</v>
      </c>
      <c r="C678" s="140"/>
      <c r="D678" s="40">
        <f>C534/8</f>
        <v>500</v>
      </c>
      <c r="E678" s="147">
        <f>SUM(E671:H677)</f>
        <v>0</v>
      </c>
      <c r="F678" s="148"/>
      <c r="G678" s="148"/>
      <c r="H678" s="149"/>
      <c r="I678" s="147">
        <f>SUM(I671:L677)</f>
        <v>0</v>
      </c>
      <c r="J678" s="148"/>
      <c r="K678" s="148"/>
      <c r="L678" s="149"/>
      <c r="M678" s="147">
        <f>SUM(M671:P677)</f>
        <v>0</v>
      </c>
      <c r="N678" s="148"/>
      <c r="O678" s="148"/>
      <c r="P678" s="149"/>
      <c r="Q678" s="147">
        <f>SUM(Q671:U677)</f>
        <v>0</v>
      </c>
      <c r="R678" s="148"/>
      <c r="S678" s="148"/>
      <c r="T678" s="148"/>
      <c r="U678" s="149"/>
      <c r="V678" s="147">
        <f>SUM(V671:Y677)</f>
        <v>330</v>
      </c>
      <c r="W678" s="148"/>
      <c r="X678" s="148"/>
      <c r="Y678" s="149"/>
      <c r="Z678" s="147">
        <f>SUM(Z671:AC677)</f>
        <v>395</v>
      </c>
      <c r="AA678" s="148"/>
      <c r="AB678" s="148"/>
      <c r="AC678" s="149"/>
      <c r="AD678" s="147">
        <f>SUM(AD671:AG677)</f>
        <v>408</v>
      </c>
      <c r="AE678" s="148"/>
      <c r="AF678" s="148"/>
      <c r="AG678" s="149"/>
      <c r="AH678" s="147">
        <f>SUM(AH671:AK677)</f>
        <v>407</v>
      </c>
      <c r="AI678" s="148"/>
      <c r="AJ678" s="148"/>
      <c r="AK678" s="149"/>
      <c r="AL678" s="147">
        <f>SUM(AL671:AO677)</f>
        <v>326</v>
      </c>
      <c r="AM678" s="148"/>
      <c r="AN678" s="148"/>
      <c r="AO678" s="149"/>
      <c r="AP678" s="147">
        <f>SUM(AP671:AS677)</f>
        <v>0</v>
      </c>
      <c r="AQ678" s="148"/>
      <c r="AR678" s="148"/>
      <c r="AS678" s="149"/>
      <c r="AT678" s="147">
        <f>SUM(AT671:AW677)</f>
        <v>0</v>
      </c>
      <c r="AU678" s="148"/>
      <c r="AV678" s="148"/>
      <c r="AW678" s="149"/>
      <c r="AX678" s="87">
        <f>SUM(AX671:AX677)</f>
        <v>1866</v>
      </c>
      <c r="AY678" s="88">
        <f>IFERROR(AVERAGEIF(E678:AV678,"&lt;&gt;0",(E678:AV678)),)</f>
        <v>373.2</v>
      </c>
      <c r="AZ678" s="46">
        <f>IFERROR(AX678/BB672,0)</f>
        <v>0.46650000000000003</v>
      </c>
      <c r="BA678" s="34"/>
      <c r="BB678" s="34"/>
      <c r="BC678" s="34"/>
      <c r="BD678" s="76"/>
      <c r="BE678" s="34"/>
      <c r="BF678" s="34"/>
      <c r="BG678" s="34"/>
      <c r="BH678" s="34"/>
    </row>
    <row r="679" spans="1:60" s="17" customFormat="1" ht="19.5" customHeight="1" thickBot="1" x14ac:dyDescent="0.4">
      <c r="A679" s="42">
        <f>A670</f>
        <v>45440</v>
      </c>
      <c r="B679" s="38" t="str">
        <f>B680</f>
        <v>ÇEVİRME BEDEN</v>
      </c>
      <c r="C679" s="39" t="s">
        <v>180</v>
      </c>
      <c r="D679" s="69" t="s">
        <v>181</v>
      </c>
      <c r="E679" s="48">
        <v>0.34375</v>
      </c>
      <c r="F679" s="49">
        <v>0.35416666666666669</v>
      </c>
      <c r="G679" s="49">
        <v>0.36458333333333331</v>
      </c>
      <c r="H679" s="50">
        <v>0.375</v>
      </c>
      <c r="I679" s="48">
        <v>0.38541666666666702</v>
      </c>
      <c r="J679" s="49">
        <v>0.39583333333333298</v>
      </c>
      <c r="K679" s="49">
        <v>0.40625</v>
      </c>
      <c r="L679" s="50">
        <v>0.41666666666666702</v>
      </c>
      <c r="M679" s="48">
        <v>0.4375</v>
      </c>
      <c r="N679" s="49">
        <v>0.44791666666666702</v>
      </c>
      <c r="O679" s="49">
        <v>0.45833333333333398</v>
      </c>
      <c r="P679" s="50">
        <v>0.46875</v>
      </c>
      <c r="Q679" s="48">
        <v>0.47916666666666702</v>
      </c>
      <c r="R679" s="49">
        <v>0.48958333333333398</v>
      </c>
      <c r="S679" s="49">
        <v>0.5</v>
      </c>
      <c r="T679" s="50">
        <v>0.51041666666666696</v>
      </c>
      <c r="U679" s="51">
        <v>0.52083333333333204</v>
      </c>
      <c r="V679" s="48">
        <v>0.5625</v>
      </c>
      <c r="W679" s="49">
        <v>0.57291666666666663</v>
      </c>
      <c r="X679" s="49">
        <v>0.58333333333333304</v>
      </c>
      <c r="Y679" s="50">
        <v>0.59375</v>
      </c>
      <c r="Z679" s="48">
        <v>0.60416666666666696</v>
      </c>
      <c r="AA679" s="49">
        <v>0.61458333333333304</v>
      </c>
      <c r="AB679" s="49">
        <v>0.625</v>
      </c>
      <c r="AC679" s="50">
        <v>0.63541666666666596</v>
      </c>
      <c r="AD679" s="48">
        <v>0.65625</v>
      </c>
      <c r="AE679" s="49">
        <v>0.66666666666666663</v>
      </c>
      <c r="AF679" s="49">
        <v>0.67708333333333304</v>
      </c>
      <c r="AG679" s="50">
        <v>0.6875</v>
      </c>
      <c r="AH679" s="48">
        <v>0.69791666666666696</v>
      </c>
      <c r="AI679" s="49">
        <v>0.70833333333333304</v>
      </c>
      <c r="AJ679" s="49">
        <v>0.71875</v>
      </c>
      <c r="AK679" s="50">
        <v>0.72916666666666696</v>
      </c>
      <c r="AL679" s="48">
        <v>0.73958333333333404</v>
      </c>
      <c r="AM679" s="49">
        <v>0.750000000000001</v>
      </c>
      <c r="AN679" s="49">
        <v>0.76041666666666796</v>
      </c>
      <c r="AO679" s="50">
        <v>0.77083333333333504</v>
      </c>
      <c r="AP679" s="48">
        <v>0.781250000000002</v>
      </c>
      <c r="AQ679" s="49">
        <v>0.79166666666666896</v>
      </c>
      <c r="AR679" s="49">
        <v>0.80208333333333603</v>
      </c>
      <c r="AS679" s="50">
        <v>0.812500000000003</v>
      </c>
      <c r="AT679" s="48">
        <v>0.82291666666666996</v>
      </c>
      <c r="AU679" s="49">
        <v>0.83333333333333703</v>
      </c>
      <c r="AV679" s="49">
        <v>0.843750000000004</v>
      </c>
      <c r="AW679" s="50">
        <v>0.85416666666666663</v>
      </c>
      <c r="AX679" s="68" t="s">
        <v>260</v>
      </c>
      <c r="AY679" s="28" t="s">
        <v>261</v>
      </c>
      <c r="AZ679" s="29" t="s">
        <v>262</v>
      </c>
      <c r="BA679" s="136" t="str">
        <f>B680</f>
        <v>ÇEVİRME BEDEN</v>
      </c>
      <c r="BB679" s="137"/>
      <c r="BC679" s="137"/>
      <c r="BD679" s="137"/>
      <c r="BE679" s="137"/>
      <c r="BF679" s="137"/>
      <c r="BG679" s="137"/>
      <c r="BH679" s="138"/>
    </row>
    <row r="680" spans="1:60" s="17" customFormat="1" ht="19.5" customHeight="1" thickBot="1" x14ac:dyDescent="0.4">
      <c r="A680" s="41">
        <f t="shared" ref="A680" si="588">A679</f>
        <v>45440</v>
      </c>
      <c r="B680" s="37" t="str">
        <f>B504</f>
        <v>ÇEVİRME BEDEN</v>
      </c>
      <c r="C680" s="65" t="s">
        <v>285</v>
      </c>
      <c r="D680" s="70">
        <v>110</v>
      </c>
      <c r="E680" s="63"/>
      <c r="F680" s="55"/>
      <c r="G680" s="55"/>
      <c r="H680" s="56"/>
      <c r="I680" s="63"/>
      <c r="J680" s="55"/>
      <c r="K680" s="55"/>
      <c r="L680" s="56"/>
      <c r="M680" s="63"/>
      <c r="N680" s="55"/>
      <c r="O680" s="55"/>
      <c r="P680" s="56"/>
      <c r="Q680" s="63"/>
      <c r="R680" s="55"/>
      <c r="S680" s="55"/>
      <c r="T680" s="55"/>
      <c r="U680" s="56"/>
      <c r="V680" s="63"/>
      <c r="W680" s="55"/>
      <c r="X680" s="55"/>
      <c r="Y680" s="56">
        <v>65</v>
      </c>
      <c r="Z680" s="63">
        <v>65</v>
      </c>
      <c r="AA680" s="55"/>
      <c r="AB680" s="55">
        <v>90</v>
      </c>
      <c r="AC680" s="56">
        <v>76</v>
      </c>
      <c r="AD680" s="63">
        <v>75</v>
      </c>
      <c r="AE680" s="55">
        <v>75</v>
      </c>
      <c r="AF680" s="55">
        <v>75</v>
      </c>
      <c r="AG680" s="56">
        <v>100</v>
      </c>
      <c r="AH680" s="63">
        <v>66</v>
      </c>
      <c r="AI680" s="55">
        <v>75</v>
      </c>
      <c r="AJ680" s="55">
        <v>86</v>
      </c>
      <c r="AK680" s="56">
        <v>80</v>
      </c>
      <c r="AL680" s="63">
        <v>90</v>
      </c>
      <c r="AM680" s="55"/>
      <c r="AN680" s="55"/>
      <c r="AO680" s="56"/>
      <c r="AP680" s="63"/>
      <c r="AQ680" s="55"/>
      <c r="AR680" s="55"/>
      <c r="AS680" s="56"/>
      <c r="AT680" s="53"/>
      <c r="AU680" s="54"/>
      <c r="AV680" s="55"/>
      <c r="AW680" s="56"/>
      <c r="AX680" s="33">
        <f>SUM(E680:AW680)</f>
        <v>1018</v>
      </c>
      <c r="AY680" s="31">
        <f>IFERROR(AVERAGEIF(E680:AW680,"&lt;&gt;0",(E680:AW680)),)</f>
        <v>78.307692307692307</v>
      </c>
      <c r="AZ680" s="30">
        <f>IFERROR(AY680/D680,0)</f>
        <v>0.71188811188811185</v>
      </c>
      <c r="BA680" s="93"/>
      <c r="BB680" s="93" t="str">
        <f t="shared" ref="BB680" si="589">BA534</f>
        <v>XS</v>
      </c>
      <c r="BC680" s="93" t="str">
        <f t="shared" ref="BC680" si="590">BB534</f>
        <v>S</v>
      </c>
      <c r="BD680" s="93" t="str">
        <f t="shared" ref="BD680" si="591">BC534</f>
        <v>M</v>
      </c>
      <c r="BE680" s="93" t="str">
        <f t="shared" ref="BE680" si="592">BD534</f>
        <v>L</v>
      </c>
      <c r="BF680" s="93" t="str">
        <f t="shared" ref="BF680" si="593">BE534</f>
        <v>XL</v>
      </c>
      <c r="BG680" s="93" t="str">
        <f t="shared" ref="BG680" si="594">BF534</f>
        <v>XXL</v>
      </c>
      <c r="BH680" s="93"/>
    </row>
    <row r="681" spans="1:60" s="17" customFormat="1" ht="19.5" customHeight="1" thickBot="1" x14ac:dyDescent="0.4">
      <c r="A681" s="41">
        <f t="shared" ref="A681:B681" si="595">A680</f>
        <v>45440</v>
      </c>
      <c r="B681" s="37" t="str">
        <f t="shared" si="595"/>
        <v>ÇEVİRME BEDEN</v>
      </c>
      <c r="C681" s="65" t="s">
        <v>72</v>
      </c>
      <c r="D681" s="67">
        <f t="shared" ref="D681:D686" si="596">D680</f>
        <v>110</v>
      </c>
      <c r="E681" s="57"/>
      <c r="F681" s="52"/>
      <c r="G681" s="52"/>
      <c r="H681" s="58"/>
      <c r="I681" s="57"/>
      <c r="J681" s="52"/>
      <c r="K681" s="52"/>
      <c r="L681" s="58"/>
      <c r="M681" s="57"/>
      <c r="N681" s="52"/>
      <c r="O681" s="52"/>
      <c r="P681" s="58"/>
      <c r="Q681" s="57"/>
      <c r="R681" s="52"/>
      <c r="S681" s="52"/>
      <c r="T681" s="52"/>
      <c r="U681" s="58"/>
      <c r="V681" s="57"/>
      <c r="W681" s="52"/>
      <c r="X681" s="52"/>
      <c r="Y681" s="58"/>
      <c r="Z681" s="57"/>
      <c r="AA681" s="52"/>
      <c r="AB681" s="52"/>
      <c r="AC681" s="58"/>
      <c r="AD681" s="57">
        <v>100</v>
      </c>
      <c r="AE681" s="52">
        <v>70</v>
      </c>
      <c r="AF681" s="52"/>
      <c r="AG681" s="58"/>
      <c r="AH681" s="57"/>
      <c r="AI681" s="52">
        <v>100</v>
      </c>
      <c r="AJ681" s="52">
        <v>100</v>
      </c>
      <c r="AK681" s="58">
        <v>60</v>
      </c>
      <c r="AL681" s="57"/>
      <c r="AM681" s="52"/>
      <c r="AN681" s="52"/>
      <c r="AO681" s="58"/>
      <c r="AP681" s="57"/>
      <c r="AQ681" s="52"/>
      <c r="AR681" s="52"/>
      <c r="AS681" s="58"/>
      <c r="AT681" s="57"/>
      <c r="AU681" s="52"/>
      <c r="AV681" s="52"/>
      <c r="AW681" s="58"/>
      <c r="AX681" s="33">
        <f t="shared" ref="AX681:AX686" si="597">SUM(E681:AW681)</f>
        <v>430</v>
      </c>
      <c r="AY681" s="31">
        <f t="shared" ref="AY681:AY686" si="598">IFERROR(AVERAGEIF(E681:AW681,"&lt;&gt;0",(E681:AW681)),)</f>
        <v>86</v>
      </c>
      <c r="AZ681" s="30">
        <f t="shared" ref="AZ681:AZ686" si="599">IFERROR(AY681/D681,0)</f>
        <v>0.78181818181818186</v>
      </c>
      <c r="BA681" s="94" t="s">
        <v>194</v>
      </c>
      <c r="BB681" s="96">
        <f t="shared" ref="BB681:BG681" si="600">BB573</f>
        <v>0</v>
      </c>
      <c r="BC681" s="96">
        <f t="shared" si="600"/>
        <v>0</v>
      </c>
      <c r="BD681" s="96">
        <f t="shared" si="600"/>
        <v>0</v>
      </c>
      <c r="BE681" s="96">
        <f t="shared" si="600"/>
        <v>0</v>
      </c>
      <c r="BF681" s="96">
        <f t="shared" si="600"/>
        <v>0</v>
      </c>
      <c r="BG681" s="96">
        <f t="shared" si="600"/>
        <v>0</v>
      </c>
      <c r="BH681" s="99">
        <f>SUM(BB681:BG681)</f>
        <v>0</v>
      </c>
    </row>
    <row r="682" spans="1:60" s="17" customFormat="1" ht="19.5" customHeight="1" thickBot="1" x14ac:dyDescent="0.4">
      <c r="A682" s="41">
        <f t="shared" ref="A682:B682" si="601">A681</f>
        <v>45440</v>
      </c>
      <c r="B682" s="37" t="str">
        <f t="shared" si="601"/>
        <v>ÇEVİRME BEDEN</v>
      </c>
      <c r="C682" s="65" t="s">
        <v>97</v>
      </c>
      <c r="D682" s="67">
        <f t="shared" si="596"/>
        <v>110</v>
      </c>
      <c r="E682" s="57"/>
      <c r="F682" s="52"/>
      <c r="G682" s="52"/>
      <c r="H682" s="58"/>
      <c r="I682" s="57"/>
      <c r="J682" s="52"/>
      <c r="K682" s="52"/>
      <c r="L682" s="58"/>
      <c r="M682" s="57"/>
      <c r="N682" s="52"/>
      <c r="O682" s="52"/>
      <c r="P682" s="58"/>
      <c r="Q682" s="57"/>
      <c r="R682" s="52"/>
      <c r="S682" s="52"/>
      <c r="T682" s="52"/>
      <c r="U682" s="58"/>
      <c r="V682" s="57"/>
      <c r="W682" s="52"/>
      <c r="X682" s="52"/>
      <c r="Y682" s="58"/>
      <c r="Z682" s="57"/>
      <c r="AA682" s="52"/>
      <c r="AB682" s="52"/>
      <c r="AC682" s="58"/>
      <c r="AD682" s="57"/>
      <c r="AE682" s="52"/>
      <c r="AF682" s="52"/>
      <c r="AG682" s="58"/>
      <c r="AH682" s="57"/>
      <c r="AI682" s="52"/>
      <c r="AJ682" s="52"/>
      <c r="AK682" s="58"/>
      <c r="AL682" s="57"/>
      <c r="AM682" s="52"/>
      <c r="AN682" s="52"/>
      <c r="AO682" s="58"/>
      <c r="AP682" s="57"/>
      <c r="AQ682" s="52"/>
      <c r="AR682" s="52"/>
      <c r="AS682" s="58"/>
      <c r="AT682" s="57"/>
      <c r="AU682" s="52"/>
      <c r="AV682" s="52"/>
      <c r="AW682" s="58"/>
      <c r="AX682" s="33">
        <f t="shared" si="597"/>
        <v>0</v>
      </c>
      <c r="AY682" s="31">
        <f t="shared" si="598"/>
        <v>0</v>
      </c>
      <c r="AZ682" s="30">
        <f t="shared" si="599"/>
        <v>0</v>
      </c>
      <c r="BA682" s="94" t="s">
        <v>195</v>
      </c>
      <c r="BB682" s="96">
        <f>SUMIF(C680:C686,BB680,AX680:AX686)+BB506</f>
        <v>0</v>
      </c>
      <c r="BC682" s="96">
        <f>SUMIF(C680:C686,BC680,AX680:AX686)+BC506</f>
        <v>0</v>
      </c>
      <c r="BD682" s="96">
        <f>SUMIF(C680:C686,BD680,AX680:AX686)+BD506</f>
        <v>0</v>
      </c>
      <c r="BE682" s="96">
        <f>SUMIF(C680:C686,BE680,AX680:AX686)+BE506</f>
        <v>0</v>
      </c>
      <c r="BF682" s="96">
        <f>SUMIF(C680:C686,BF680,AX680:AX686)+BF506</f>
        <v>0</v>
      </c>
      <c r="BG682" s="96">
        <f>SUMIF(C680:C686,BG680,AX680:AX686)+BG506</f>
        <v>0</v>
      </c>
      <c r="BH682" s="99">
        <f>SUM(BB682:BG682)</f>
        <v>0</v>
      </c>
    </row>
    <row r="683" spans="1:60" s="17" customFormat="1" ht="19.5" customHeight="1" thickBot="1" x14ac:dyDescent="0.4">
      <c r="A683" s="41">
        <f t="shared" ref="A683:B683" si="602">A682</f>
        <v>45440</v>
      </c>
      <c r="B683" s="37" t="str">
        <f t="shared" si="602"/>
        <v>ÇEVİRME BEDEN</v>
      </c>
      <c r="C683" s="65"/>
      <c r="D683" s="67">
        <f t="shared" si="596"/>
        <v>110</v>
      </c>
      <c r="E683" s="57"/>
      <c r="F683" s="52"/>
      <c r="G683" s="52"/>
      <c r="H683" s="58"/>
      <c r="I683" s="57"/>
      <c r="J683" s="52"/>
      <c r="K683" s="52"/>
      <c r="L683" s="58"/>
      <c r="M683" s="57"/>
      <c r="N683" s="52"/>
      <c r="O683" s="52"/>
      <c r="P683" s="58"/>
      <c r="Q683" s="57"/>
      <c r="R683" s="52"/>
      <c r="S683" s="52"/>
      <c r="T683" s="52"/>
      <c r="U683" s="58"/>
      <c r="V683" s="57"/>
      <c r="W683" s="52"/>
      <c r="X683" s="52"/>
      <c r="Y683" s="58"/>
      <c r="Z683" s="57"/>
      <c r="AA683" s="52"/>
      <c r="AB683" s="52"/>
      <c r="AC683" s="58"/>
      <c r="AD683" s="57"/>
      <c r="AE683" s="52"/>
      <c r="AF683" s="52"/>
      <c r="AG683" s="58"/>
      <c r="AH683" s="57"/>
      <c r="AI683" s="52"/>
      <c r="AJ683" s="52"/>
      <c r="AK683" s="58"/>
      <c r="AL683" s="57"/>
      <c r="AM683" s="52"/>
      <c r="AN683" s="52"/>
      <c r="AO683" s="58"/>
      <c r="AP683" s="57"/>
      <c r="AQ683" s="52"/>
      <c r="AR683" s="52"/>
      <c r="AS683" s="58"/>
      <c r="AT683" s="57"/>
      <c r="AU683" s="52"/>
      <c r="AV683" s="52"/>
      <c r="AW683" s="58"/>
      <c r="AX683" s="33">
        <f t="shared" si="597"/>
        <v>0</v>
      </c>
      <c r="AY683" s="31">
        <f t="shared" si="598"/>
        <v>0</v>
      </c>
      <c r="AZ683" s="30">
        <f t="shared" si="599"/>
        <v>0</v>
      </c>
      <c r="BA683" s="94" t="s">
        <v>196</v>
      </c>
      <c r="BB683" s="96">
        <f t="shared" ref="BB683:BG683" si="603">BB681-BB682</f>
        <v>0</v>
      </c>
      <c r="BC683" s="96">
        <f t="shared" si="603"/>
        <v>0</v>
      </c>
      <c r="BD683" s="96">
        <f t="shared" si="603"/>
        <v>0</v>
      </c>
      <c r="BE683" s="96">
        <f t="shared" si="603"/>
        <v>0</v>
      </c>
      <c r="BF683" s="96">
        <f t="shared" si="603"/>
        <v>0</v>
      </c>
      <c r="BG683" s="96">
        <f t="shared" si="603"/>
        <v>0</v>
      </c>
      <c r="BH683" s="99">
        <f>SUM(BB683:BG683)</f>
        <v>0</v>
      </c>
    </row>
    <row r="684" spans="1:60" s="17" customFormat="1" ht="19.5" customHeight="1" x14ac:dyDescent="0.35">
      <c r="A684" s="41">
        <f>A681</f>
        <v>45440</v>
      </c>
      <c r="B684" s="37" t="str">
        <f t="shared" ref="B684" si="604">B683</f>
        <v>ÇEVİRME BEDEN</v>
      </c>
      <c r="C684" s="65"/>
      <c r="D684" s="67">
        <f t="shared" si="596"/>
        <v>110</v>
      </c>
      <c r="E684" s="57"/>
      <c r="F684" s="52"/>
      <c r="G684" s="52"/>
      <c r="H684" s="58"/>
      <c r="I684" s="57"/>
      <c r="J684" s="52"/>
      <c r="K684" s="52"/>
      <c r="L684" s="58"/>
      <c r="M684" s="57"/>
      <c r="N684" s="52"/>
      <c r="O684" s="52"/>
      <c r="P684" s="58"/>
      <c r="Q684" s="57"/>
      <c r="R684" s="52"/>
      <c r="S684" s="52"/>
      <c r="T684" s="52"/>
      <c r="U684" s="58"/>
      <c r="V684" s="57"/>
      <c r="W684" s="52"/>
      <c r="X684" s="52"/>
      <c r="Y684" s="58"/>
      <c r="Z684" s="57"/>
      <c r="AA684" s="52"/>
      <c r="AB684" s="52"/>
      <c r="AC684" s="58"/>
      <c r="AD684" s="57"/>
      <c r="AE684" s="52"/>
      <c r="AF684" s="52"/>
      <c r="AG684" s="58"/>
      <c r="AH684" s="57"/>
      <c r="AI684" s="52"/>
      <c r="AJ684" s="52"/>
      <c r="AK684" s="58"/>
      <c r="AL684" s="57"/>
      <c r="AM684" s="52"/>
      <c r="AN684" s="52"/>
      <c r="AO684" s="58"/>
      <c r="AP684" s="57"/>
      <c r="AQ684" s="52"/>
      <c r="AR684" s="52"/>
      <c r="AS684" s="58"/>
      <c r="AT684" s="57"/>
      <c r="AU684" s="52"/>
      <c r="AV684" s="52"/>
      <c r="AW684" s="58"/>
      <c r="AX684" s="33">
        <f t="shared" si="597"/>
        <v>0</v>
      </c>
      <c r="AY684" s="31">
        <f t="shared" si="598"/>
        <v>0</v>
      </c>
      <c r="AZ684" s="30">
        <f t="shared" si="599"/>
        <v>0</v>
      </c>
      <c r="BA684" s="34"/>
      <c r="BB684" s="34"/>
      <c r="BC684" s="34"/>
      <c r="BD684" s="76"/>
      <c r="BE684" s="34"/>
      <c r="BF684" s="34"/>
      <c r="BG684" s="34"/>
      <c r="BH684" s="34"/>
    </row>
    <row r="685" spans="1:60" s="17" customFormat="1" ht="19.5" customHeight="1" x14ac:dyDescent="0.35">
      <c r="A685" s="41">
        <f t="shared" ref="A685:B685" si="605">A684</f>
        <v>45440</v>
      </c>
      <c r="B685" s="37" t="str">
        <f t="shared" si="605"/>
        <v>ÇEVİRME BEDEN</v>
      </c>
      <c r="C685" s="65">
        <f t="shared" ref="C685:C686" si="606">C509</f>
        <v>0</v>
      </c>
      <c r="D685" s="67">
        <f t="shared" si="596"/>
        <v>110</v>
      </c>
      <c r="E685" s="57"/>
      <c r="F685" s="52"/>
      <c r="G685" s="52"/>
      <c r="H685" s="58"/>
      <c r="I685" s="57"/>
      <c r="J685" s="52"/>
      <c r="K685" s="52"/>
      <c r="L685" s="58"/>
      <c r="M685" s="57"/>
      <c r="N685" s="52"/>
      <c r="O685" s="52"/>
      <c r="P685" s="58"/>
      <c r="Q685" s="57"/>
      <c r="R685" s="52"/>
      <c r="S685" s="52"/>
      <c r="T685" s="52"/>
      <c r="U685" s="58"/>
      <c r="V685" s="57"/>
      <c r="W685" s="52"/>
      <c r="X685" s="52"/>
      <c r="Y685" s="58"/>
      <c r="Z685" s="57"/>
      <c r="AA685" s="52"/>
      <c r="AB685" s="52"/>
      <c r="AC685" s="58"/>
      <c r="AD685" s="57"/>
      <c r="AE685" s="52"/>
      <c r="AF685" s="52"/>
      <c r="AG685" s="58"/>
      <c r="AH685" s="57"/>
      <c r="AI685" s="52"/>
      <c r="AJ685" s="52"/>
      <c r="AK685" s="58"/>
      <c r="AL685" s="57"/>
      <c r="AM685" s="52"/>
      <c r="AN685" s="52"/>
      <c r="AO685" s="58"/>
      <c r="AP685" s="57"/>
      <c r="AQ685" s="52"/>
      <c r="AR685" s="52"/>
      <c r="AS685" s="58"/>
      <c r="AT685" s="57"/>
      <c r="AU685" s="52"/>
      <c r="AV685" s="52"/>
      <c r="AW685" s="58"/>
      <c r="AX685" s="33">
        <f t="shared" si="597"/>
        <v>0</v>
      </c>
      <c r="AY685" s="31">
        <f t="shared" si="598"/>
        <v>0</v>
      </c>
      <c r="AZ685" s="30">
        <f t="shared" si="599"/>
        <v>0</v>
      </c>
      <c r="BA685" s="34"/>
      <c r="BB685" s="34"/>
      <c r="BC685" s="34"/>
      <c r="BD685" s="76"/>
      <c r="BE685" s="34"/>
      <c r="BF685" s="34"/>
      <c r="BG685" s="34"/>
      <c r="BH685" s="34"/>
    </row>
    <row r="686" spans="1:60" s="17" customFormat="1" ht="19.5" customHeight="1" thickBot="1" x14ac:dyDescent="0.4">
      <c r="A686" s="41">
        <f t="shared" ref="A686:B686" si="607">A685</f>
        <v>45440</v>
      </c>
      <c r="B686" s="37" t="str">
        <f t="shared" si="607"/>
        <v>ÇEVİRME BEDEN</v>
      </c>
      <c r="C686" s="65">
        <f t="shared" si="606"/>
        <v>0</v>
      </c>
      <c r="D686" s="67">
        <f t="shared" si="596"/>
        <v>110</v>
      </c>
      <c r="E686" s="59"/>
      <c r="F686" s="60"/>
      <c r="G686" s="61"/>
      <c r="H686" s="62"/>
      <c r="I686" s="59"/>
      <c r="J686" s="60"/>
      <c r="K686" s="61"/>
      <c r="L686" s="62"/>
      <c r="M686" s="59"/>
      <c r="N686" s="60"/>
      <c r="O686" s="61"/>
      <c r="P686" s="62"/>
      <c r="Q686" s="64"/>
      <c r="R686" s="61"/>
      <c r="S686" s="61"/>
      <c r="T686" s="61"/>
      <c r="U686" s="62"/>
      <c r="V686" s="59"/>
      <c r="W686" s="60"/>
      <c r="X686" s="61"/>
      <c r="Y686" s="62"/>
      <c r="Z686" s="59"/>
      <c r="AA686" s="60"/>
      <c r="AB686" s="61"/>
      <c r="AC686" s="62"/>
      <c r="AD686" s="59"/>
      <c r="AE686" s="60"/>
      <c r="AF686" s="61"/>
      <c r="AG686" s="62"/>
      <c r="AH686" s="59"/>
      <c r="AI686" s="60"/>
      <c r="AJ686" s="61"/>
      <c r="AK686" s="62"/>
      <c r="AL686" s="59"/>
      <c r="AM686" s="60"/>
      <c r="AN686" s="61"/>
      <c r="AO686" s="62"/>
      <c r="AP686" s="59"/>
      <c r="AQ686" s="60"/>
      <c r="AR686" s="61"/>
      <c r="AS686" s="62"/>
      <c r="AT686" s="59"/>
      <c r="AU686" s="60"/>
      <c r="AV686" s="61"/>
      <c r="AW686" s="62"/>
      <c r="AX686" s="33">
        <f t="shared" si="597"/>
        <v>0</v>
      </c>
      <c r="AY686" s="31">
        <f t="shared" si="598"/>
        <v>0</v>
      </c>
      <c r="AZ686" s="30">
        <f t="shared" si="599"/>
        <v>0</v>
      </c>
      <c r="BA686" s="34"/>
      <c r="BB686" s="34"/>
      <c r="BC686" s="34"/>
      <c r="BD686" s="76"/>
      <c r="BE686" s="34"/>
      <c r="BF686" s="34"/>
      <c r="BG686" s="34"/>
      <c r="BH686" s="34"/>
    </row>
    <row r="687" spans="1:60" s="17" customFormat="1" ht="19.5" customHeight="1" thickBot="1" x14ac:dyDescent="0.45">
      <c r="A687" s="41">
        <f t="shared" ref="A687" si="608">A686</f>
        <v>45440</v>
      </c>
      <c r="B687" s="139" t="str">
        <f>B680</f>
        <v>ÇEVİRME BEDEN</v>
      </c>
      <c r="C687" s="140"/>
      <c r="D687" s="40">
        <f>C534/8</f>
        <v>500</v>
      </c>
      <c r="E687" s="147">
        <f>SUM(E680:H686)</f>
        <v>0</v>
      </c>
      <c r="F687" s="148"/>
      <c r="G687" s="148"/>
      <c r="H687" s="149"/>
      <c r="I687" s="147">
        <f>SUM(I680:L686)</f>
        <v>0</v>
      </c>
      <c r="J687" s="148"/>
      <c r="K687" s="148"/>
      <c r="L687" s="149"/>
      <c r="M687" s="147">
        <f>SUM(M680:P686)</f>
        <v>0</v>
      </c>
      <c r="N687" s="148"/>
      <c r="O687" s="148"/>
      <c r="P687" s="149"/>
      <c r="Q687" s="147">
        <f>SUM(Q680:U686)</f>
        <v>0</v>
      </c>
      <c r="R687" s="148"/>
      <c r="S687" s="148"/>
      <c r="T687" s="148"/>
      <c r="U687" s="149"/>
      <c r="V687" s="147">
        <f>SUM(V680:Y686)</f>
        <v>65</v>
      </c>
      <c r="W687" s="148"/>
      <c r="X687" s="148"/>
      <c r="Y687" s="149"/>
      <c r="Z687" s="147">
        <f>SUM(Z680:AC686)</f>
        <v>231</v>
      </c>
      <c r="AA687" s="148"/>
      <c r="AB687" s="148"/>
      <c r="AC687" s="149"/>
      <c r="AD687" s="147">
        <f>SUM(AD680:AG686)</f>
        <v>495</v>
      </c>
      <c r="AE687" s="148"/>
      <c r="AF687" s="148"/>
      <c r="AG687" s="149"/>
      <c r="AH687" s="147">
        <f>SUM(AH680:AK686)</f>
        <v>567</v>
      </c>
      <c r="AI687" s="148"/>
      <c r="AJ687" s="148"/>
      <c r="AK687" s="149"/>
      <c r="AL687" s="147">
        <f>SUM(AL680:AO686)</f>
        <v>90</v>
      </c>
      <c r="AM687" s="148"/>
      <c r="AN687" s="148"/>
      <c r="AO687" s="149"/>
      <c r="AP687" s="147">
        <f>SUM(AP680:AS686)</f>
        <v>0</v>
      </c>
      <c r="AQ687" s="148"/>
      <c r="AR687" s="148"/>
      <c r="AS687" s="149"/>
      <c r="AT687" s="147">
        <f>SUM(AT680:AW686)</f>
        <v>0</v>
      </c>
      <c r="AU687" s="148"/>
      <c r="AV687" s="148"/>
      <c r="AW687" s="149"/>
      <c r="AX687" s="87">
        <f>SUM(AX680:AX686)</f>
        <v>1448</v>
      </c>
      <c r="AY687" s="88">
        <f>IFERROR(AVERAGEIF(E687:AV687,"&lt;&gt;0",(E687:AV687)),)</f>
        <v>289.60000000000002</v>
      </c>
      <c r="AZ687" s="46">
        <f>IFERROR(AX687/BB681,0)</f>
        <v>0</v>
      </c>
      <c r="BA687" s="34"/>
      <c r="BB687" s="34"/>
      <c r="BC687" s="34"/>
      <c r="BD687" s="76"/>
      <c r="BE687" s="34"/>
      <c r="BF687" s="34"/>
      <c r="BG687" s="34"/>
      <c r="BH687" s="34"/>
    </row>
    <row r="688" spans="1:60" s="17" customFormat="1" ht="19.5" customHeight="1" thickBot="1" x14ac:dyDescent="0.4">
      <c r="A688" s="42">
        <f>A679</f>
        <v>45440</v>
      </c>
      <c r="B688" s="38">
        <v>50</v>
      </c>
      <c r="C688" s="39" t="s">
        <v>180</v>
      </c>
      <c r="D688" s="69" t="s">
        <v>181</v>
      </c>
      <c r="E688" s="48">
        <v>0.34375</v>
      </c>
      <c r="F688" s="49">
        <v>0.35416666666666669</v>
      </c>
      <c r="G688" s="49">
        <v>0.36458333333333331</v>
      </c>
      <c r="H688" s="50">
        <v>0.375</v>
      </c>
      <c r="I688" s="48">
        <v>0.38541666666666702</v>
      </c>
      <c r="J688" s="49">
        <v>0.39583333333333298</v>
      </c>
      <c r="K688" s="49">
        <v>0.40625</v>
      </c>
      <c r="L688" s="50">
        <v>0.41666666666666702</v>
      </c>
      <c r="M688" s="48">
        <v>0.4375</v>
      </c>
      <c r="N688" s="49">
        <v>0.44791666666666702</v>
      </c>
      <c r="O688" s="49">
        <v>0.45833333333333398</v>
      </c>
      <c r="P688" s="50">
        <v>0.46875</v>
      </c>
      <c r="Q688" s="82">
        <v>0.47916666666666702</v>
      </c>
      <c r="R688" s="83">
        <v>0.48958333333333398</v>
      </c>
      <c r="S688" s="83">
        <v>0.5</v>
      </c>
      <c r="T688" s="84">
        <v>0.51041666666666696</v>
      </c>
      <c r="U688" s="85">
        <v>0.52083333333333204</v>
      </c>
      <c r="V688" s="48">
        <v>0.5625</v>
      </c>
      <c r="W688" s="49">
        <v>0.57291666666666663</v>
      </c>
      <c r="X688" s="49">
        <v>0.58333333333333304</v>
      </c>
      <c r="Y688" s="50">
        <v>0.59375</v>
      </c>
      <c r="Z688" s="48">
        <v>0.60416666666666696</v>
      </c>
      <c r="AA688" s="49">
        <v>0.61458333333333304</v>
      </c>
      <c r="AB688" s="49">
        <v>0.625</v>
      </c>
      <c r="AC688" s="50">
        <v>0.63541666666666596</v>
      </c>
      <c r="AD688" s="48">
        <v>0.65625</v>
      </c>
      <c r="AE688" s="49">
        <v>0.66666666666666663</v>
      </c>
      <c r="AF688" s="49">
        <v>0.67708333333333304</v>
      </c>
      <c r="AG688" s="50">
        <v>0.6875</v>
      </c>
      <c r="AH688" s="48">
        <v>0.69791666666666696</v>
      </c>
      <c r="AI688" s="49">
        <v>0.70833333333333304</v>
      </c>
      <c r="AJ688" s="49">
        <v>0.71875</v>
      </c>
      <c r="AK688" s="50">
        <v>0.72916666666666696</v>
      </c>
      <c r="AL688" s="48">
        <v>0.73958333333333404</v>
      </c>
      <c r="AM688" s="49">
        <v>0.750000000000001</v>
      </c>
      <c r="AN688" s="49">
        <v>0.76041666666666796</v>
      </c>
      <c r="AO688" s="50">
        <v>0.77083333333333504</v>
      </c>
      <c r="AP688" s="48">
        <v>0.781250000000002</v>
      </c>
      <c r="AQ688" s="49">
        <v>0.79166666666666896</v>
      </c>
      <c r="AR688" s="49">
        <v>0.80208333333333603</v>
      </c>
      <c r="AS688" s="50">
        <v>0.812500000000003</v>
      </c>
      <c r="AT688" s="48">
        <v>0.82291666666666996</v>
      </c>
      <c r="AU688" s="49">
        <v>0.83333333333333703</v>
      </c>
      <c r="AV688" s="49">
        <v>0.843750000000004</v>
      </c>
      <c r="AW688" s="50">
        <v>0.85416666666666663</v>
      </c>
      <c r="AX688" s="68" t="s">
        <v>260</v>
      </c>
      <c r="AY688" s="28" t="s">
        <v>261</v>
      </c>
      <c r="AZ688" s="29" t="s">
        <v>262</v>
      </c>
      <c r="BA688" s="136" t="str">
        <f>B689</f>
        <v>Ütü</v>
      </c>
      <c r="BB688" s="137"/>
      <c r="BC688" s="137"/>
      <c r="BD688" s="137"/>
      <c r="BE688" s="137"/>
      <c r="BF688" s="137"/>
      <c r="BG688" s="137"/>
      <c r="BH688" s="138"/>
    </row>
    <row r="689" spans="1:60" s="17" customFormat="1" ht="19.5" customHeight="1" thickBot="1" x14ac:dyDescent="0.4">
      <c r="A689" s="41">
        <f t="shared" ref="A689" si="609">A688</f>
        <v>45440</v>
      </c>
      <c r="B689" s="37" t="str">
        <f>B513</f>
        <v>Ütü</v>
      </c>
      <c r="C689" s="65" t="s">
        <v>36</v>
      </c>
      <c r="D689" s="70">
        <v>45</v>
      </c>
      <c r="E689" s="63"/>
      <c r="F689" s="55"/>
      <c r="G689" s="55"/>
      <c r="H689" s="56"/>
      <c r="I689" s="63"/>
      <c r="J689" s="55"/>
      <c r="K689" s="55"/>
      <c r="L689" s="56"/>
      <c r="M689" s="63"/>
      <c r="N689" s="55"/>
      <c r="O689" s="55"/>
      <c r="P689" s="56"/>
      <c r="Q689" s="63"/>
      <c r="R689" s="55"/>
      <c r="S689" s="55"/>
      <c r="T689" s="55"/>
      <c r="U689" s="56"/>
      <c r="V689" s="63"/>
      <c r="W689" s="55"/>
      <c r="X689" s="55"/>
      <c r="Y689" s="56"/>
      <c r="Z689" s="63">
        <v>25</v>
      </c>
      <c r="AA689" s="55">
        <v>41</v>
      </c>
      <c r="AB689" s="55">
        <v>40</v>
      </c>
      <c r="AC689" s="56">
        <v>45</v>
      </c>
      <c r="AD689" s="63">
        <v>24</v>
      </c>
      <c r="AE689" s="55">
        <v>45</v>
      </c>
      <c r="AF689" s="55">
        <v>44</v>
      </c>
      <c r="AG689" s="56">
        <v>46</v>
      </c>
      <c r="AH689" s="63">
        <v>22</v>
      </c>
      <c r="AI689" s="55">
        <v>42</v>
      </c>
      <c r="AJ689" s="55">
        <v>44</v>
      </c>
      <c r="AK689" s="56">
        <v>45</v>
      </c>
      <c r="AL689" s="53">
        <v>24</v>
      </c>
      <c r="AM689" s="54">
        <v>44</v>
      </c>
      <c r="AN689" s="55">
        <v>44</v>
      </c>
      <c r="AO689" s="56"/>
      <c r="AP689" s="53"/>
      <c r="AQ689" s="54"/>
      <c r="AR689" s="55"/>
      <c r="AS689" s="56"/>
      <c r="AT689" s="53"/>
      <c r="AU689" s="54"/>
      <c r="AV689" s="55"/>
      <c r="AW689" s="56"/>
      <c r="AX689" s="33">
        <f>SUM(E689:AW689)</f>
        <v>575</v>
      </c>
      <c r="AY689" s="31">
        <f>IFERROR(AVERAGEIF(E689:AW689,"&lt;&gt;0",(E689:AW689)),)</f>
        <v>38.333333333333336</v>
      </c>
      <c r="AZ689" s="30">
        <f>IFERROR(AY689/D689,0)</f>
        <v>0.85185185185185186</v>
      </c>
      <c r="BA689" s="103" t="s">
        <v>182</v>
      </c>
      <c r="BB689" s="100" t="s">
        <v>183</v>
      </c>
      <c r="BC689" s="100" t="s">
        <v>184</v>
      </c>
      <c r="BD689" s="101" t="s">
        <v>185</v>
      </c>
      <c r="BE689" s="100" t="s">
        <v>186</v>
      </c>
      <c r="BF689" s="102" t="s">
        <v>187</v>
      </c>
      <c r="BG689" s="100" t="s">
        <v>188</v>
      </c>
      <c r="BH689" s="102" t="s">
        <v>189</v>
      </c>
    </row>
    <row r="690" spans="1:60" s="17" customFormat="1" ht="19.5" customHeight="1" thickBot="1" x14ac:dyDescent="0.4">
      <c r="A690" s="41">
        <f t="shared" ref="A690:B690" si="610">A689</f>
        <v>45440</v>
      </c>
      <c r="B690" s="37" t="str">
        <f t="shared" si="610"/>
        <v>Ütü</v>
      </c>
      <c r="C690" s="65" t="s">
        <v>48</v>
      </c>
      <c r="D690" s="67">
        <f t="shared" ref="D690:D695" si="611">D689</f>
        <v>45</v>
      </c>
      <c r="E690" s="57"/>
      <c r="F690" s="52"/>
      <c r="G690" s="52"/>
      <c r="H690" s="58"/>
      <c r="I690" s="57"/>
      <c r="J690" s="52"/>
      <c r="K690" s="52"/>
      <c r="L690" s="58"/>
      <c r="M690" s="57"/>
      <c r="N690" s="52"/>
      <c r="O690" s="52"/>
      <c r="P690" s="58"/>
      <c r="Q690" s="57"/>
      <c r="R690" s="52"/>
      <c r="S690" s="52"/>
      <c r="T690" s="52"/>
      <c r="U690" s="58"/>
      <c r="V690" s="57"/>
      <c r="W690" s="52"/>
      <c r="X690" s="52"/>
      <c r="Y690" s="58"/>
      <c r="Z690" s="57"/>
      <c r="AA690" s="52"/>
      <c r="AB690" s="52"/>
      <c r="AC690" s="58"/>
      <c r="AD690" s="57"/>
      <c r="AE690" s="52"/>
      <c r="AF690" s="52"/>
      <c r="AG690" s="58"/>
      <c r="AH690" s="57"/>
      <c r="AI690" s="52"/>
      <c r="AJ690" s="52">
        <v>23</v>
      </c>
      <c r="AK690" s="58">
        <v>35</v>
      </c>
      <c r="AL690" s="57">
        <v>35</v>
      </c>
      <c r="AM690" s="52">
        <v>35</v>
      </c>
      <c r="AN690" s="52">
        <v>35</v>
      </c>
      <c r="AO690" s="58"/>
      <c r="AP690" s="57"/>
      <c r="AQ690" s="52"/>
      <c r="AR690" s="52"/>
      <c r="AS690" s="58"/>
      <c r="AT690" s="57"/>
      <c r="AU690" s="52"/>
      <c r="AV690" s="52"/>
      <c r="AW690" s="58"/>
      <c r="AX690" s="33">
        <f t="shared" ref="AX690:AX695" si="612">SUM(E690:AW690)</f>
        <v>163</v>
      </c>
      <c r="AY690" s="31">
        <f t="shared" ref="AY690:AY695" si="613">IFERROR(AVERAGEIF(E690:AW690,"&lt;&gt;0",(E690:AW690)),)</f>
        <v>32.6</v>
      </c>
      <c r="AZ690" s="30">
        <f t="shared" ref="AZ690:AZ695" si="614">IFERROR(AY690/D690,0)</f>
        <v>0.72444444444444445</v>
      </c>
      <c r="BA690" s="94">
        <f>AX696+BA514</f>
        <v>1411</v>
      </c>
      <c r="BB690" s="95">
        <f>(D678*8)</f>
        <v>4000</v>
      </c>
      <c r="BC690" s="96">
        <f>C533-BA690</f>
        <v>40900</v>
      </c>
      <c r="BD690" s="96">
        <f>BA663-BA690</f>
        <v>416</v>
      </c>
      <c r="BE690" s="97">
        <f>IFERROR(BC690/E696,0)</f>
        <v>0</v>
      </c>
      <c r="BF690" s="98">
        <f>IFERROR(BE690/9,0)</f>
        <v>0</v>
      </c>
      <c r="BG690" s="97">
        <f>IFERROR(BC690/AY696,0)</f>
        <v>115.94613749114103</v>
      </c>
      <c r="BH690" s="97">
        <f>IFERROR(BG690/9,0)</f>
        <v>12.882904165682337</v>
      </c>
    </row>
    <row r="691" spans="1:60" s="17" customFormat="1" ht="19.5" customHeight="1" x14ac:dyDescent="0.35">
      <c r="A691" s="41">
        <f t="shared" ref="A691:B691" si="615">A690</f>
        <v>45440</v>
      </c>
      <c r="B691" s="37" t="str">
        <f t="shared" si="615"/>
        <v>Ütü</v>
      </c>
      <c r="C691" s="65" t="s">
        <v>14</v>
      </c>
      <c r="D691" s="67">
        <f t="shared" si="611"/>
        <v>45</v>
      </c>
      <c r="E691" s="57"/>
      <c r="F691" s="52"/>
      <c r="G691" s="52"/>
      <c r="H691" s="58"/>
      <c r="I691" s="57"/>
      <c r="J691" s="52"/>
      <c r="K691" s="52"/>
      <c r="L691" s="58"/>
      <c r="M691" s="57"/>
      <c r="N691" s="52"/>
      <c r="O691" s="52"/>
      <c r="P691" s="58"/>
      <c r="Q691" s="57"/>
      <c r="R691" s="52"/>
      <c r="S691" s="52"/>
      <c r="T691" s="52"/>
      <c r="U691" s="58"/>
      <c r="V691" s="57"/>
      <c r="W691" s="52"/>
      <c r="X691" s="52"/>
      <c r="Y691" s="58"/>
      <c r="Z691" s="57">
        <v>21</v>
      </c>
      <c r="AA691" s="52">
        <v>30</v>
      </c>
      <c r="AB691" s="52">
        <v>31</v>
      </c>
      <c r="AC691" s="58">
        <v>31</v>
      </c>
      <c r="AD691" s="57">
        <v>31</v>
      </c>
      <c r="AE691" s="52">
        <v>31</v>
      </c>
      <c r="AF691" s="52">
        <v>23</v>
      </c>
      <c r="AG691" s="58">
        <v>30</v>
      </c>
      <c r="AH691" s="57">
        <v>25</v>
      </c>
      <c r="AI691" s="52">
        <v>21</v>
      </c>
      <c r="AJ691" s="52">
        <v>24</v>
      </c>
      <c r="AK691" s="58">
        <v>28</v>
      </c>
      <c r="AL691" s="57">
        <v>29</v>
      </c>
      <c r="AM691" s="52">
        <v>31</v>
      </c>
      <c r="AN691" s="52">
        <v>31</v>
      </c>
      <c r="AO691" s="58"/>
      <c r="AP691" s="57"/>
      <c r="AQ691" s="52"/>
      <c r="AR691" s="52"/>
      <c r="AS691" s="58"/>
      <c r="AT691" s="57"/>
      <c r="AU691" s="52"/>
      <c r="AV691" s="52"/>
      <c r="AW691" s="58"/>
      <c r="AX691" s="33">
        <f t="shared" si="612"/>
        <v>417</v>
      </c>
      <c r="AY691" s="31">
        <f t="shared" si="613"/>
        <v>27.8</v>
      </c>
      <c r="AZ691" s="30">
        <f t="shared" si="614"/>
        <v>0.61777777777777776</v>
      </c>
      <c r="BA691" s="34"/>
      <c r="BB691" s="34"/>
      <c r="BC691" s="34"/>
      <c r="BD691" s="76"/>
      <c r="BE691" s="34"/>
      <c r="BF691" s="34"/>
      <c r="BG691" s="34"/>
      <c r="BH691" s="34"/>
    </row>
    <row r="692" spans="1:60" s="17" customFormat="1" ht="19.5" customHeight="1" x14ac:dyDescent="0.35">
      <c r="A692" s="41">
        <f t="shared" ref="A692:B692" si="616">A691</f>
        <v>45440</v>
      </c>
      <c r="B692" s="37" t="str">
        <f t="shared" si="616"/>
        <v>Ütü</v>
      </c>
      <c r="C692" s="65" t="s">
        <v>22</v>
      </c>
      <c r="D692" s="67">
        <f t="shared" si="611"/>
        <v>45</v>
      </c>
      <c r="E692" s="57"/>
      <c r="F692" s="52"/>
      <c r="G692" s="52"/>
      <c r="H692" s="58"/>
      <c r="I692" s="57"/>
      <c r="J692" s="52"/>
      <c r="K692" s="52"/>
      <c r="L692" s="58"/>
      <c r="M692" s="57"/>
      <c r="N692" s="52"/>
      <c r="O692" s="52"/>
      <c r="P692" s="58"/>
      <c r="Q692" s="57"/>
      <c r="R692" s="52"/>
      <c r="S692" s="52"/>
      <c r="T692" s="52"/>
      <c r="U692" s="58"/>
      <c r="V692" s="57"/>
      <c r="W692" s="52"/>
      <c r="X692" s="52"/>
      <c r="Y692" s="58"/>
      <c r="Z692" s="57">
        <v>10</v>
      </c>
      <c r="AA692" s="52">
        <v>19</v>
      </c>
      <c r="AB692" s="52">
        <v>17</v>
      </c>
      <c r="AC692" s="58">
        <v>20</v>
      </c>
      <c r="AD692" s="57">
        <v>17</v>
      </c>
      <c r="AE692" s="52">
        <v>20</v>
      </c>
      <c r="AF692" s="52">
        <v>19</v>
      </c>
      <c r="AG692" s="58">
        <v>19</v>
      </c>
      <c r="AH692" s="57">
        <v>16</v>
      </c>
      <c r="AI692" s="52">
        <v>21</v>
      </c>
      <c r="AJ692" s="52"/>
      <c r="AK692" s="58">
        <v>22</v>
      </c>
      <c r="AL692" s="57">
        <v>15</v>
      </c>
      <c r="AM692" s="52">
        <v>21</v>
      </c>
      <c r="AN692" s="52">
        <v>20</v>
      </c>
      <c r="AO692" s="58"/>
      <c r="AP692" s="57"/>
      <c r="AQ692" s="52"/>
      <c r="AR692" s="52"/>
      <c r="AS692" s="58"/>
      <c r="AT692" s="57"/>
      <c r="AU692" s="52"/>
      <c r="AV692" s="52"/>
      <c r="AW692" s="58"/>
      <c r="AX692" s="33">
        <f t="shared" si="612"/>
        <v>256</v>
      </c>
      <c r="AY692" s="31">
        <f t="shared" si="613"/>
        <v>18.285714285714285</v>
      </c>
      <c r="AZ692" s="30">
        <f t="shared" si="614"/>
        <v>0.40634920634920635</v>
      </c>
      <c r="BA692" s="34"/>
      <c r="BB692" s="34"/>
      <c r="BC692" s="34"/>
      <c r="BD692" s="76"/>
      <c r="BE692" s="34"/>
      <c r="BF692" s="34"/>
      <c r="BG692" s="34"/>
      <c r="BH692" s="34"/>
    </row>
    <row r="693" spans="1:60" s="17" customFormat="1" ht="19.5" customHeight="1" x14ac:dyDescent="0.35">
      <c r="A693" s="41">
        <f>A690</f>
        <v>45440</v>
      </c>
      <c r="B693" s="37" t="str">
        <f t="shared" ref="B693" si="617">B692</f>
        <v>Ütü</v>
      </c>
      <c r="C693" s="65" t="s">
        <v>74</v>
      </c>
      <c r="D693" s="67">
        <f t="shared" si="611"/>
        <v>45</v>
      </c>
      <c r="E693" s="57"/>
      <c r="F693" s="52"/>
      <c r="G693" s="52"/>
      <c r="H693" s="58"/>
      <c r="I693" s="57"/>
      <c r="J693" s="52"/>
      <c r="K693" s="52"/>
      <c r="L693" s="58"/>
      <c r="M693" s="57"/>
      <c r="N693" s="52"/>
      <c r="O693" s="52"/>
      <c r="P693" s="58"/>
      <c r="Q693" s="57"/>
      <c r="R693" s="52"/>
      <c r="S693" s="52"/>
      <c r="T693" s="52"/>
      <c r="U693" s="58"/>
      <c r="V693" s="57"/>
      <c r="W693" s="52"/>
      <c r="X693" s="52"/>
      <c r="Y693" s="58"/>
      <c r="Z693" s="57"/>
      <c r="AA693" s="52"/>
      <c r="AB693" s="52"/>
      <c r="AC693" s="58"/>
      <c r="AD693" s="57"/>
      <c r="AE693" s="52"/>
      <c r="AF693" s="52"/>
      <c r="AG693" s="58"/>
      <c r="AH693" s="57"/>
      <c r="AI693" s="52"/>
      <c r="AJ693" s="52"/>
      <c r="AK693" s="58"/>
      <c r="AL693" s="57"/>
      <c r="AM693" s="52"/>
      <c r="AN693" s="52"/>
      <c r="AO693" s="58"/>
      <c r="AP693" s="57"/>
      <c r="AQ693" s="52"/>
      <c r="AR693" s="52"/>
      <c r="AS693" s="58"/>
      <c r="AT693" s="57"/>
      <c r="AU693" s="52"/>
      <c r="AV693" s="52"/>
      <c r="AW693" s="58"/>
      <c r="AX693" s="33">
        <f t="shared" si="612"/>
        <v>0</v>
      </c>
      <c r="AY693" s="31">
        <f t="shared" si="613"/>
        <v>0</v>
      </c>
      <c r="AZ693" s="30">
        <f t="shared" si="614"/>
        <v>0</v>
      </c>
      <c r="BA693" s="34"/>
      <c r="BB693" s="34"/>
      <c r="BC693" s="34"/>
      <c r="BD693" s="76"/>
      <c r="BE693" s="34"/>
      <c r="BF693" s="34"/>
      <c r="BG693" s="34"/>
      <c r="BH693" s="34"/>
    </row>
    <row r="694" spans="1:60" s="17" customFormat="1" ht="19.5" customHeight="1" x14ac:dyDescent="0.35">
      <c r="A694" s="41">
        <f t="shared" ref="A694:B694" si="618">A693</f>
        <v>45440</v>
      </c>
      <c r="B694" s="37" t="str">
        <f t="shared" si="618"/>
        <v>Ütü</v>
      </c>
      <c r="C694" s="65">
        <f t="shared" ref="C694:C695" si="619">C518</f>
        <v>0</v>
      </c>
      <c r="D694" s="67">
        <f t="shared" si="611"/>
        <v>45</v>
      </c>
      <c r="E694" s="57"/>
      <c r="F694" s="52"/>
      <c r="G694" s="52"/>
      <c r="H694" s="58"/>
      <c r="I694" s="57"/>
      <c r="J694" s="52"/>
      <c r="K694" s="52"/>
      <c r="L694" s="58"/>
      <c r="M694" s="57"/>
      <c r="N694" s="52"/>
      <c r="O694" s="52"/>
      <c r="P694" s="78"/>
      <c r="Q694" s="57"/>
      <c r="R694" s="52"/>
      <c r="S694" s="52"/>
      <c r="T694" s="52"/>
      <c r="U694" s="58"/>
      <c r="V694" s="80"/>
      <c r="W694" s="52"/>
      <c r="X694" s="52"/>
      <c r="Y694" s="58"/>
      <c r="Z694" s="57"/>
      <c r="AA694" s="52"/>
      <c r="AB694" s="52"/>
      <c r="AC694" s="58"/>
      <c r="AD694" s="57"/>
      <c r="AE694" s="52"/>
      <c r="AF694" s="52"/>
      <c r="AG694" s="58"/>
      <c r="AH694" s="57"/>
      <c r="AI694" s="52"/>
      <c r="AJ694" s="52"/>
      <c r="AK694" s="58"/>
      <c r="AL694" s="57"/>
      <c r="AM694" s="52"/>
      <c r="AN694" s="52"/>
      <c r="AO694" s="58"/>
      <c r="AP694" s="57"/>
      <c r="AQ694" s="52"/>
      <c r="AR694" s="52"/>
      <c r="AS694" s="58"/>
      <c r="AT694" s="57"/>
      <c r="AU694" s="52"/>
      <c r="AV694" s="52"/>
      <c r="AW694" s="58"/>
      <c r="AX694" s="33">
        <f t="shared" si="612"/>
        <v>0</v>
      </c>
      <c r="AY694" s="31">
        <f t="shared" si="613"/>
        <v>0</v>
      </c>
      <c r="AZ694" s="30">
        <f t="shared" si="614"/>
        <v>0</v>
      </c>
      <c r="BA694" s="34"/>
      <c r="BB694" s="34"/>
      <c r="BC694" s="34"/>
      <c r="BD694" s="76"/>
      <c r="BE694" s="34"/>
      <c r="BF694" s="34"/>
      <c r="BG694" s="34"/>
      <c r="BH694" s="34"/>
    </row>
    <row r="695" spans="1:60" s="17" customFormat="1" ht="19.5" customHeight="1" thickBot="1" x14ac:dyDescent="0.4">
      <c r="A695" s="41">
        <f t="shared" ref="A695:B695" si="620">A694</f>
        <v>45440</v>
      </c>
      <c r="B695" s="37" t="str">
        <f t="shared" si="620"/>
        <v>Ütü</v>
      </c>
      <c r="C695" s="65">
        <f t="shared" si="619"/>
        <v>0</v>
      </c>
      <c r="D695" s="67">
        <f t="shared" si="611"/>
        <v>45</v>
      </c>
      <c r="E695" s="59"/>
      <c r="F695" s="60"/>
      <c r="G695" s="61"/>
      <c r="H695" s="62"/>
      <c r="I695" s="59"/>
      <c r="J695" s="60"/>
      <c r="K695" s="61"/>
      <c r="L695" s="62"/>
      <c r="M695" s="59"/>
      <c r="N695" s="60"/>
      <c r="O695" s="61"/>
      <c r="P695" s="79"/>
      <c r="Q695" s="64"/>
      <c r="R695" s="61"/>
      <c r="S695" s="61"/>
      <c r="T695" s="61"/>
      <c r="U695" s="62"/>
      <c r="V695" s="81"/>
      <c r="W695" s="60"/>
      <c r="X695" s="61"/>
      <c r="Y695" s="62"/>
      <c r="Z695" s="59"/>
      <c r="AA695" s="60"/>
      <c r="AB695" s="61"/>
      <c r="AC695" s="62"/>
      <c r="AD695" s="59"/>
      <c r="AE695" s="60"/>
      <c r="AF695" s="61"/>
      <c r="AG695" s="62"/>
      <c r="AH695" s="59"/>
      <c r="AI695" s="60"/>
      <c r="AJ695" s="61"/>
      <c r="AK695" s="62"/>
      <c r="AL695" s="59"/>
      <c r="AM695" s="60"/>
      <c r="AN695" s="61"/>
      <c r="AO695" s="62"/>
      <c r="AP695" s="59"/>
      <c r="AQ695" s="60"/>
      <c r="AR695" s="61"/>
      <c r="AS695" s="62"/>
      <c r="AT695" s="59"/>
      <c r="AU695" s="60"/>
      <c r="AV695" s="61"/>
      <c r="AW695" s="62"/>
      <c r="AX695" s="33">
        <f t="shared" si="612"/>
        <v>0</v>
      </c>
      <c r="AY695" s="31">
        <f t="shared" si="613"/>
        <v>0</v>
      </c>
      <c r="AZ695" s="30">
        <f t="shared" si="614"/>
        <v>0</v>
      </c>
      <c r="BA695" s="34"/>
      <c r="BB695" s="34"/>
      <c r="BC695" s="34"/>
      <c r="BD695" s="76"/>
      <c r="BE695" s="34"/>
      <c r="BF695" s="34"/>
      <c r="BG695" s="34"/>
      <c r="BH695" s="34"/>
    </row>
    <row r="696" spans="1:60" s="17" customFormat="1" ht="19.5" customHeight="1" thickBot="1" x14ac:dyDescent="0.45">
      <c r="A696" s="41">
        <f t="shared" ref="A696" si="621">A695</f>
        <v>45440</v>
      </c>
      <c r="B696" s="139" t="str">
        <f>B689</f>
        <v>Ütü</v>
      </c>
      <c r="C696" s="140"/>
      <c r="D696" s="40">
        <f>C534/8</f>
        <v>500</v>
      </c>
      <c r="E696" s="141">
        <f>SUM(E689:H695)</f>
        <v>0</v>
      </c>
      <c r="F696" s="142"/>
      <c r="G696" s="142"/>
      <c r="H696" s="143"/>
      <c r="I696" s="141">
        <f>SUM(I689:L695)</f>
        <v>0</v>
      </c>
      <c r="J696" s="142"/>
      <c r="K696" s="142"/>
      <c r="L696" s="143"/>
      <c r="M696" s="141">
        <f>SUM(M689:P695)</f>
        <v>0</v>
      </c>
      <c r="N696" s="142"/>
      <c r="O696" s="142"/>
      <c r="P696" s="143"/>
      <c r="Q696" s="144">
        <f>SUM(Q689:U695)</f>
        <v>0</v>
      </c>
      <c r="R696" s="145"/>
      <c r="S696" s="145"/>
      <c r="T696" s="145"/>
      <c r="U696" s="146"/>
      <c r="V696" s="141">
        <f>SUM(V689:Y695)</f>
        <v>0</v>
      </c>
      <c r="W696" s="142"/>
      <c r="X696" s="142"/>
      <c r="Y696" s="143"/>
      <c r="Z696" s="141">
        <f>SUM(Z689:AC695)</f>
        <v>330</v>
      </c>
      <c r="AA696" s="142"/>
      <c r="AB696" s="142"/>
      <c r="AC696" s="143"/>
      <c r="AD696" s="147">
        <f>SUM(AD689:AG695)</f>
        <v>349</v>
      </c>
      <c r="AE696" s="148"/>
      <c r="AF696" s="148"/>
      <c r="AG696" s="149"/>
      <c r="AH696" s="147">
        <f>SUM(AH689:AK695)</f>
        <v>368</v>
      </c>
      <c r="AI696" s="148"/>
      <c r="AJ696" s="148"/>
      <c r="AK696" s="149"/>
      <c r="AL696" s="147">
        <f>SUM(AL689:AO695)</f>
        <v>364</v>
      </c>
      <c r="AM696" s="148"/>
      <c r="AN696" s="148"/>
      <c r="AO696" s="149"/>
      <c r="AP696" s="147">
        <f>SUM(AP689:AS695)</f>
        <v>0</v>
      </c>
      <c r="AQ696" s="148"/>
      <c r="AR696" s="148"/>
      <c r="AS696" s="149"/>
      <c r="AT696" s="147">
        <f>SUM(AT689:AW695)</f>
        <v>0</v>
      </c>
      <c r="AU696" s="148"/>
      <c r="AV696" s="148"/>
      <c r="AW696" s="149"/>
      <c r="AX696" s="87">
        <f>SUM(AX689:AX695)</f>
        <v>1411</v>
      </c>
      <c r="AY696" s="88">
        <f>IFERROR(AVERAGEIF(E696:AV696,"&lt;&gt;0",(E696:AV696)),)</f>
        <v>352.75</v>
      </c>
      <c r="AZ696" s="46">
        <f>IFERROR(AX696/BB690,0)</f>
        <v>0.35275000000000001</v>
      </c>
      <c r="BA696" s="34"/>
      <c r="BB696" s="34"/>
      <c r="BC696" s="34"/>
      <c r="BD696" s="76"/>
      <c r="BE696" s="34"/>
      <c r="BF696" s="34"/>
      <c r="BG696" s="34"/>
      <c r="BH696" s="34"/>
    </row>
    <row r="697" spans="1:60" s="17" customFormat="1" ht="19.5" customHeight="1" thickBot="1" x14ac:dyDescent="0.4">
      <c r="A697" s="42">
        <f>A688</f>
        <v>45440</v>
      </c>
      <c r="B697" s="38" t="str">
        <f>B698</f>
        <v>Kalite</v>
      </c>
      <c r="C697" s="39" t="s">
        <v>180</v>
      </c>
      <c r="D697" s="69" t="s">
        <v>181</v>
      </c>
      <c r="E697" s="48">
        <v>0.34375</v>
      </c>
      <c r="F697" s="49">
        <v>0.35416666666666669</v>
      </c>
      <c r="G697" s="49">
        <v>0.36458333333333331</v>
      </c>
      <c r="H697" s="50">
        <v>0.375</v>
      </c>
      <c r="I697" s="48">
        <v>0.38541666666666702</v>
      </c>
      <c r="J697" s="49">
        <v>0.39583333333333298</v>
      </c>
      <c r="K697" s="49">
        <v>0.40625</v>
      </c>
      <c r="L697" s="50">
        <v>0.41666666666666702</v>
      </c>
      <c r="M697" s="48">
        <v>0.4375</v>
      </c>
      <c r="N697" s="49">
        <v>0.44791666666666702</v>
      </c>
      <c r="O697" s="49">
        <v>0.45833333333333398</v>
      </c>
      <c r="P697" s="50">
        <v>0.46875</v>
      </c>
      <c r="Q697" s="82">
        <v>0.47916666666666702</v>
      </c>
      <c r="R697" s="83">
        <v>0.48958333333333398</v>
      </c>
      <c r="S697" s="83">
        <v>0.5</v>
      </c>
      <c r="T697" s="84">
        <v>0.51041666666666696</v>
      </c>
      <c r="U697" s="85">
        <v>0.52083333333333204</v>
      </c>
      <c r="V697" s="48">
        <v>0.5625</v>
      </c>
      <c r="W697" s="49">
        <v>0.57291666666666663</v>
      </c>
      <c r="X697" s="49">
        <v>0.58333333333333304</v>
      </c>
      <c r="Y697" s="50">
        <v>0.59375</v>
      </c>
      <c r="Z697" s="48">
        <v>0.60416666666666696</v>
      </c>
      <c r="AA697" s="49">
        <v>0.61458333333333304</v>
      </c>
      <c r="AB697" s="49">
        <v>0.625</v>
      </c>
      <c r="AC697" s="50">
        <v>0.63541666666666596</v>
      </c>
      <c r="AD697" s="48">
        <v>0.65625</v>
      </c>
      <c r="AE697" s="49">
        <v>0.66666666666666663</v>
      </c>
      <c r="AF697" s="49">
        <v>0.67708333333333304</v>
      </c>
      <c r="AG697" s="50">
        <v>0.6875</v>
      </c>
      <c r="AH697" s="48">
        <v>0.69791666666666696</v>
      </c>
      <c r="AI697" s="49">
        <v>0.70833333333333304</v>
      </c>
      <c r="AJ697" s="49">
        <v>0.71875</v>
      </c>
      <c r="AK697" s="50">
        <v>0.72916666666666696</v>
      </c>
      <c r="AL697" s="48">
        <v>0.73958333333333404</v>
      </c>
      <c r="AM697" s="49">
        <v>0.750000000000001</v>
      </c>
      <c r="AN697" s="49">
        <v>0.76041666666666796</v>
      </c>
      <c r="AO697" s="50">
        <v>0.77083333333333504</v>
      </c>
      <c r="AP697" s="48">
        <v>0.781250000000002</v>
      </c>
      <c r="AQ697" s="49">
        <v>0.79166666666666896</v>
      </c>
      <c r="AR697" s="49">
        <v>0.80208333333333603</v>
      </c>
      <c r="AS697" s="50">
        <v>0.812500000000003</v>
      </c>
      <c r="AT697" s="48">
        <v>0.82291666666666996</v>
      </c>
      <c r="AU697" s="49">
        <v>0.83333333333333703</v>
      </c>
      <c r="AV697" s="49">
        <v>0.843750000000004</v>
      </c>
      <c r="AW697" s="50">
        <v>0.85416666666666663</v>
      </c>
      <c r="AX697" s="68" t="s">
        <v>260</v>
      </c>
      <c r="AY697" s="28" t="s">
        <v>261</v>
      </c>
      <c r="AZ697" s="29" t="s">
        <v>262</v>
      </c>
      <c r="BA697" s="136" t="str">
        <f>B698</f>
        <v>Kalite</v>
      </c>
      <c r="BB697" s="137"/>
      <c r="BC697" s="137"/>
      <c r="BD697" s="137"/>
      <c r="BE697" s="137"/>
      <c r="BF697" s="137"/>
      <c r="BG697" s="137"/>
      <c r="BH697" s="138"/>
    </row>
    <row r="698" spans="1:60" s="17" customFormat="1" ht="19.5" customHeight="1" thickBot="1" x14ac:dyDescent="0.4">
      <c r="A698" s="41">
        <f t="shared" ref="A698" si="622">A697</f>
        <v>45440</v>
      </c>
      <c r="B698" s="37" t="str">
        <f>B522</f>
        <v>Kalite</v>
      </c>
      <c r="C698" s="65" t="s">
        <v>66</v>
      </c>
      <c r="D698" s="70">
        <v>28</v>
      </c>
      <c r="E698" s="63"/>
      <c r="F698" s="55"/>
      <c r="G698" s="55"/>
      <c r="H698" s="56"/>
      <c r="I698" s="63"/>
      <c r="J698" s="55"/>
      <c r="K698" s="55"/>
      <c r="L698" s="56"/>
      <c r="M698" s="63"/>
      <c r="N698" s="55"/>
      <c r="O698" s="55"/>
      <c r="P698" s="56"/>
      <c r="Q698" s="63"/>
      <c r="R698" s="55"/>
      <c r="S698" s="55"/>
      <c r="T698" s="55"/>
      <c r="U698" s="56"/>
      <c r="V698" s="63"/>
      <c r="W698" s="55"/>
      <c r="X698" s="55"/>
      <c r="Y698" s="56"/>
      <c r="Z698" s="63">
        <v>11</v>
      </c>
      <c r="AA698" s="55">
        <v>21</v>
      </c>
      <c r="AB698" s="55">
        <v>18</v>
      </c>
      <c r="AC698" s="56">
        <v>22</v>
      </c>
      <c r="AD698" s="63">
        <v>21</v>
      </c>
      <c r="AE698" s="55">
        <v>20</v>
      </c>
      <c r="AF698" s="55">
        <v>22</v>
      </c>
      <c r="AG698" s="56">
        <v>25</v>
      </c>
      <c r="AH698" s="63">
        <v>24</v>
      </c>
      <c r="AI698" s="55">
        <v>16</v>
      </c>
      <c r="AJ698" s="55">
        <v>23</v>
      </c>
      <c r="AK698" s="56">
        <v>25</v>
      </c>
      <c r="AL698" s="53">
        <v>25</v>
      </c>
      <c r="AM698" s="54">
        <v>27</v>
      </c>
      <c r="AN698" s="55">
        <v>28</v>
      </c>
      <c r="AO698" s="56"/>
      <c r="AP698" s="53"/>
      <c r="AQ698" s="54"/>
      <c r="AR698" s="55"/>
      <c r="AS698" s="56"/>
      <c r="AT698" s="53"/>
      <c r="AU698" s="54"/>
      <c r="AV698" s="55"/>
      <c r="AW698" s="56"/>
      <c r="AX698" s="33">
        <f>SUM(E698:AW698)</f>
        <v>328</v>
      </c>
      <c r="AY698" s="31">
        <f>IFERROR(AVERAGEIF(E698:AW698,"&lt;&gt;0",(E698:AW698)),)</f>
        <v>21.866666666666667</v>
      </c>
      <c r="AZ698" s="30">
        <f>IFERROR(AY698/D698,0)</f>
        <v>0.78095238095238095</v>
      </c>
      <c r="BA698" s="103" t="s">
        <v>182</v>
      </c>
      <c r="BB698" s="100" t="s">
        <v>183</v>
      </c>
      <c r="BC698" s="100" t="s">
        <v>184</v>
      </c>
      <c r="BD698" s="101" t="s">
        <v>185</v>
      </c>
      <c r="BE698" s="100" t="s">
        <v>186</v>
      </c>
      <c r="BF698" s="102" t="s">
        <v>187</v>
      </c>
      <c r="BG698" s="100" t="s">
        <v>188</v>
      </c>
      <c r="BH698" s="102" t="s">
        <v>189</v>
      </c>
    </row>
    <row r="699" spans="1:60" s="17" customFormat="1" ht="19.5" customHeight="1" thickBot="1" x14ac:dyDescent="0.4">
      <c r="A699" s="41">
        <f t="shared" ref="A699:B699" si="623">A698</f>
        <v>45440</v>
      </c>
      <c r="B699" s="37" t="str">
        <f t="shared" si="623"/>
        <v>Kalite</v>
      </c>
      <c r="C699" s="65" t="s">
        <v>22</v>
      </c>
      <c r="D699" s="67">
        <f t="shared" ref="D699:D704" si="624">D698</f>
        <v>28</v>
      </c>
      <c r="E699" s="57"/>
      <c r="F699" s="52"/>
      <c r="G699" s="52"/>
      <c r="H699" s="58"/>
      <c r="I699" s="57"/>
      <c r="J699" s="52"/>
      <c r="K699" s="52"/>
      <c r="L699" s="58"/>
      <c r="M699" s="57"/>
      <c r="N699" s="52"/>
      <c r="O699" s="52"/>
      <c r="P699" s="58"/>
      <c r="Q699" s="57"/>
      <c r="R699" s="52"/>
      <c r="S699" s="52"/>
      <c r="T699" s="52"/>
      <c r="U699" s="58"/>
      <c r="V699" s="57"/>
      <c r="W699" s="52"/>
      <c r="X699" s="52"/>
      <c r="Y699" s="58"/>
      <c r="Z699" s="57"/>
      <c r="AA699" s="52"/>
      <c r="AB699" s="52"/>
      <c r="AC699" s="58"/>
      <c r="AD699" s="57"/>
      <c r="AE699" s="52"/>
      <c r="AF699" s="52"/>
      <c r="AG699" s="58"/>
      <c r="AH699" s="57"/>
      <c r="AI699" s="52"/>
      <c r="AJ699" s="52"/>
      <c r="AK699" s="58"/>
      <c r="AL699" s="57"/>
      <c r="AM699" s="52"/>
      <c r="AN699" s="52"/>
      <c r="AO699" s="58"/>
      <c r="AP699" s="57"/>
      <c r="AQ699" s="52"/>
      <c r="AR699" s="52"/>
      <c r="AS699" s="58"/>
      <c r="AT699" s="57"/>
      <c r="AU699" s="52"/>
      <c r="AV699" s="52"/>
      <c r="AW699" s="58"/>
      <c r="AX699" s="33">
        <f t="shared" ref="AX699:AX704" si="625">SUM(E699:AW699)</f>
        <v>0</v>
      </c>
      <c r="AY699" s="31">
        <f t="shared" ref="AY699:AY704" si="626">IFERROR(AVERAGEIF(E699:AW699,"&lt;&gt;0",(E699:AW699)),)</f>
        <v>0</v>
      </c>
      <c r="AZ699" s="30">
        <f t="shared" ref="AZ699:AZ704" si="627">IFERROR(AY699/D699,0)</f>
        <v>0</v>
      </c>
      <c r="BA699" s="94">
        <f>AX705+BA523</f>
        <v>1154</v>
      </c>
      <c r="BB699" s="95">
        <f>(D705*8)</f>
        <v>4000</v>
      </c>
      <c r="BC699" s="96">
        <f>C533-BA699</f>
        <v>41157</v>
      </c>
      <c r="BD699" s="96">
        <f>BA690-BA699</f>
        <v>257</v>
      </c>
      <c r="BE699" s="97">
        <f>IFERROR(BC699/E705,0)</f>
        <v>0</v>
      </c>
      <c r="BF699" s="98">
        <f>IFERROR(BE699/9,0)</f>
        <v>0</v>
      </c>
      <c r="BG699" s="97">
        <f>IFERROR(BC699/AY705,0)</f>
        <v>142.6585788561525</v>
      </c>
      <c r="BH699" s="97">
        <f>IFERROR(BG699/9,0)</f>
        <v>15.850953206239167</v>
      </c>
    </row>
    <row r="700" spans="1:60" s="17" customFormat="1" ht="19.5" customHeight="1" x14ac:dyDescent="0.35">
      <c r="A700" s="41">
        <f t="shared" ref="A700:B700" si="628">A699</f>
        <v>45440</v>
      </c>
      <c r="B700" s="37" t="str">
        <f t="shared" si="628"/>
        <v>Kalite</v>
      </c>
      <c r="C700" s="65" t="s">
        <v>44</v>
      </c>
      <c r="D700" s="67">
        <f t="shared" si="624"/>
        <v>28</v>
      </c>
      <c r="E700" s="57"/>
      <c r="F700" s="52"/>
      <c r="G700" s="52"/>
      <c r="H700" s="58"/>
      <c r="I700" s="57"/>
      <c r="J700" s="52"/>
      <c r="K700" s="52"/>
      <c r="L700" s="58"/>
      <c r="M700" s="57"/>
      <c r="N700" s="52"/>
      <c r="O700" s="52"/>
      <c r="P700" s="58"/>
      <c r="Q700" s="57"/>
      <c r="R700" s="52"/>
      <c r="S700" s="52"/>
      <c r="T700" s="52"/>
      <c r="U700" s="58"/>
      <c r="V700" s="57"/>
      <c r="W700" s="52"/>
      <c r="X700" s="52"/>
      <c r="Y700" s="58"/>
      <c r="Z700" s="57"/>
      <c r="AA700" s="52">
        <v>26</v>
      </c>
      <c r="AB700" s="52">
        <v>20</v>
      </c>
      <c r="AC700" s="58">
        <v>22</v>
      </c>
      <c r="AD700" s="57">
        <v>24</v>
      </c>
      <c r="AE700" s="52">
        <v>21</v>
      </c>
      <c r="AF700" s="52">
        <v>22</v>
      </c>
      <c r="AG700" s="58">
        <v>22</v>
      </c>
      <c r="AH700" s="57">
        <v>19</v>
      </c>
      <c r="AI700" s="52">
        <v>18</v>
      </c>
      <c r="AJ700" s="52">
        <v>21</v>
      </c>
      <c r="AK700" s="58">
        <v>24</v>
      </c>
      <c r="AL700" s="57">
        <v>24</v>
      </c>
      <c r="AM700" s="52">
        <v>20</v>
      </c>
      <c r="AN700" s="52">
        <v>22</v>
      </c>
      <c r="AO700" s="58"/>
      <c r="AP700" s="57"/>
      <c r="AQ700" s="52"/>
      <c r="AR700" s="52"/>
      <c r="AS700" s="58"/>
      <c r="AT700" s="57"/>
      <c r="AU700" s="52"/>
      <c r="AV700" s="52"/>
      <c r="AW700" s="58"/>
      <c r="AX700" s="33">
        <f t="shared" si="625"/>
        <v>305</v>
      </c>
      <c r="AY700" s="31">
        <f t="shared" si="626"/>
        <v>21.785714285714285</v>
      </c>
      <c r="AZ700" s="30">
        <f t="shared" si="627"/>
        <v>0.77806122448979587</v>
      </c>
      <c r="BA700" s="34"/>
      <c r="BB700" s="34"/>
      <c r="BC700" s="34"/>
      <c r="BD700" s="76"/>
      <c r="BE700" s="34"/>
      <c r="BF700" s="34"/>
      <c r="BG700" s="34"/>
      <c r="BH700" s="34"/>
    </row>
    <row r="701" spans="1:60" s="17" customFormat="1" ht="19.5" customHeight="1" x14ac:dyDescent="0.35">
      <c r="A701" s="41">
        <f t="shared" ref="A701:B701" si="629">A700</f>
        <v>45440</v>
      </c>
      <c r="B701" s="37" t="str">
        <f t="shared" si="629"/>
        <v>Kalite</v>
      </c>
      <c r="C701" s="65" t="s">
        <v>78</v>
      </c>
      <c r="D701" s="67">
        <f t="shared" si="624"/>
        <v>28</v>
      </c>
      <c r="E701" s="57"/>
      <c r="F701" s="52"/>
      <c r="G701" s="52"/>
      <c r="H701" s="58"/>
      <c r="I701" s="57"/>
      <c r="J701" s="52"/>
      <c r="K701" s="52"/>
      <c r="L701" s="58"/>
      <c r="M701" s="57"/>
      <c r="N701" s="52"/>
      <c r="O701" s="52"/>
      <c r="P701" s="58"/>
      <c r="Q701" s="57"/>
      <c r="R701" s="52"/>
      <c r="S701" s="52"/>
      <c r="T701" s="52"/>
      <c r="U701" s="58"/>
      <c r="V701" s="57"/>
      <c r="W701" s="52"/>
      <c r="X701" s="52"/>
      <c r="Y701" s="58"/>
      <c r="Z701" s="57"/>
      <c r="AA701" s="52">
        <v>17</v>
      </c>
      <c r="AB701" s="52">
        <v>26</v>
      </c>
      <c r="AC701" s="58">
        <v>23</v>
      </c>
      <c r="AD701" s="57">
        <v>24</v>
      </c>
      <c r="AE701" s="52">
        <v>21</v>
      </c>
      <c r="AF701" s="52">
        <v>25</v>
      </c>
      <c r="AG701" s="58">
        <v>26</v>
      </c>
      <c r="AH701" s="57">
        <v>22</v>
      </c>
      <c r="AI701" s="52">
        <v>22</v>
      </c>
      <c r="AJ701" s="52">
        <v>16</v>
      </c>
      <c r="AK701" s="58">
        <v>25</v>
      </c>
      <c r="AL701" s="57">
        <v>24</v>
      </c>
      <c r="AM701" s="52">
        <v>26</v>
      </c>
      <c r="AN701" s="52">
        <v>25</v>
      </c>
      <c r="AO701" s="58"/>
      <c r="AP701" s="57"/>
      <c r="AQ701" s="52"/>
      <c r="AR701" s="52"/>
      <c r="AS701" s="58"/>
      <c r="AT701" s="57"/>
      <c r="AU701" s="52"/>
      <c r="AV701" s="52"/>
      <c r="AW701" s="58"/>
      <c r="AX701" s="33">
        <f t="shared" si="625"/>
        <v>322</v>
      </c>
      <c r="AY701" s="31">
        <f t="shared" si="626"/>
        <v>23</v>
      </c>
      <c r="AZ701" s="30">
        <f t="shared" si="627"/>
        <v>0.8214285714285714</v>
      </c>
      <c r="BA701" s="34"/>
      <c r="BB701" s="34"/>
      <c r="BC701" s="34"/>
      <c r="BD701" s="76"/>
      <c r="BE701" s="34"/>
      <c r="BF701" s="34"/>
      <c r="BG701" s="34"/>
      <c r="BH701" s="34"/>
    </row>
    <row r="702" spans="1:60" s="17" customFormat="1" ht="19.5" customHeight="1" x14ac:dyDescent="0.35">
      <c r="A702" s="41">
        <f>A699</f>
        <v>45440</v>
      </c>
      <c r="B702" s="37" t="str">
        <f t="shared" ref="B702" si="630">B701</f>
        <v>Kalite</v>
      </c>
      <c r="C702" s="65" t="s">
        <v>74</v>
      </c>
      <c r="D702" s="67">
        <f t="shared" si="624"/>
        <v>28</v>
      </c>
      <c r="E702" s="57"/>
      <c r="F702" s="52"/>
      <c r="G702" s="52"/>
      <c r="H702" s="58"/>
      <c r="I702" s="57"/>
      <c r="J702" s="52"/>
      <c r="K702" s="52"/>
      <c r="L702" s="58"/>
      <c r="M702" s="57"/>
      <c r="N702" s="52"/>
      <c r="O702" s="52"/>
      <c r="P702" s="58"/>
      <c r="Q702" s="57"/>
      <c r="R702" s="52"/>
      <c r="S702" s="52"/>
      <c r="T702" s="52"/>
      <c r="U702" s="58"/>
      <c r="V702" s="57"/>
      <c r="W702" s="52"/>
      <c r="X702" s="52"/>
      <c r="Y702" s="58"/>
      <c r="Z702" s="57"/>
      <c r="AA702" s="52"/>
      <c r="AB702" s="52"/>
      <c r="AC702" s="58"/>
      <c r="AD702" s="57"/>
      <c r="AE702" s="52"/>
      <c r="AF702" s="52"/>
      <c r="AG702" s="58"/>
      <c r="AH702" s="57"/>
      <c r="AI702" s="52"/>
      <c r="AJ702" s="52"/>
      <c r="AK702" s="58">
        <v>24</v>
      </c>
      <c r="AL702" s="57">
        <v>21</v>
      </c>
      <c r="AM702" s="52">
        <v>21</v>
      </c>
      <c r="AN702" s="52">
        <v>23</v>
      </c>
      <c r="AO702" s="58"/>
      <c r="AP702" s="57"/>
      <c r="AQ702" s="52"/>
      <c r="AR702" s="52"/>
      <c r="AS702" s="58"/>
      <c r="AT702" s="57"/>
      <c r="AU702" s="52"/>
      <c r="AV702" s="52"/>
      <c r="AW702" s="58"/>
      <c r="AX702" s="33">
        <f t="shared" si="625"/>
        <v>89</v>
      </c>
      <c r="AY702" s="31">
        <f t="shared" si="626"/>
        <v>22.25</v>
      </c>
      <c r="AZ702" s="30">
        <f t="shared" si="627"/>
        <v>0.7946428571428571</v>
      </c>
      <c r="BA702" s="34"/>
      <c r="BB702" s="34"/>
      <c r="BC702" s="34"/>
      <c r="BD702" s="76"/>
      <c r="BE702" s="34"/>
      <c r="BF702" s="34"/>
      <c r="BG702" s="34"/>
      <c r="BH702" s="34"/>
    </row>
    <row r="703" spans="1:60" s="17" customFormat="1" ht="19.5" customHeight="1" x14ac:dyDescent="0.35">
      <c r="A703" s="41">
        <f t="shared" ref="A703:B703" si="631">A702</f>
        <v>45440</v>
      </c>
      <c r="B703" s="37" t="str">
        <f t="shared" si="631"/>
        <v>Kalite</v>
      </c>
      <c r="C703" s="65" t="s">
        <v>31</v>
      </c>
      <c r="D703" s="67">
        <f t="shared" si="624"/>
        <v>28</v>
      </c>
      <c r="E703" s="57"/>
      <c r="F703" s="52"/>
      <c r="G703" s="52"/>
      <c r="H703" s="58"/>
      <c r="I703" s="57"/>
      <c r="J703" s="52"/>
      <c r="K703" s="52"/>
      <c r="L703" s="58"/>
      <c r="M703" s="57"/>
      <c r="N703" s="52"/>
      <c r="O703" s="52"/>
      <c r="P703" s="78"/>
      <c r="Q703" s="57"/>
      <c r="R703" s="52"/>
      <c r="S703" s="52"/>
      <c r="T703" s="52"/>
      <c r="U703" s="58"/>
      <c r="V703" s="80"/>
      <c r="W703" s="52"/>
      <c r="X703" s="52"/>
      <c r="Y703" s="58"/>
      <c r="Z703" s="57"/>
      <c r="AA703" s="52"/>
      <c r="AB703" s="52"/>
      <c r="AC703" s="58"/>
      <c r="AD703" s="57"/>
      <c r="AE703" s="52"/>
      <c r="AF703" s="52"/>
      <c r="AG703" s="58"/>
      <c r="AH703" s="57"/>
      <c r="AI703" s="52"/>
      <c r="AJ703" s="52"/>
      <c r="AK703" s="58"/>
      <c r="AL703" s="57"/>
      <c r="AM703" s="52"/>
      <c r="AN703" s="52"/>
      <c r="AO703" s="58"/>
      <c r="AP703" s="57"/>
      <c r="AQ703" s="52"/>
      <c r="AR703" s="52"/>
      <c r="AS703" s="58"/>
      <c r="AT703" s="57"/>
      <c r="AU703" s="52"/>
      <c r="AV703" s="52"/>
      <c r="AW703" s="58"/>
      <c r="AX703" s="33">
        <f t="shared" si="625"/>
        <v>0</v>
      </c>
      <c r="AY703" s="31">
        <f t="shared" si="626"/>
        <v>0</v>
      </c>
      <c r="AZ703" s="30">
        <f t="shared" si="627"/>
        <v>0</v>
      </c>
      <c r="BA703" s="34"/>
      <c r="BB703" s="34"/>
      <c r="BC703" s="34"/>
      <c r="BD703" s="76"/>
      <c r="BE703" s="34"/>
      <c r="BF703" s="34"/>
      <c r="BG703" s="34"/>
      <c r="BH703" s="34"/>
    </row>
    <row r="704" spans="1:60" s="17" customFormat="1" ht="19.5" customHeight="1" thickBot="1" x14ac:dyDescent="0.4">
      <c r="A704" s="41">
        <f t="shared" ref="A704:B704" si="632">A703</f>
        <v>45440</v>
      </c>
      <c r="B704" s="37" t="str">
        <f t="shared" si="632"/>
        <v>Kalite</v>
      </c>
      <c r="C704" s="65" t="s">
        <v>72</v>
      </c>
      <c r="D704" s="67">
        <f t="shared" si="624"/>
        <v>28</v>
      </c>
      <c r="E704" s="59"/>
      <c r="F704" s="60"/>
      <c r="G704" s="61"/>
      <c r="H704" s="62"/>
      <c r="I704" s="59"/>
      <c r="J704" s="60"/>
      <c r="K704" s="61"/>
      <c r="L704" s="62"/>
      <c r="M704" s="59"/>
      <c r="N704" s="60"/>
      <c r="O704" s="61"/>
      <c r="P704" s="79"/>
      <c r="Q704" s="64"/>
      <c r="R704" s="61"/>
      <c r="S704" s="61"/>
      <c r="T704" s="61"/>
      <c r="U704" s="62"/>
      <c r="V704" s="81"/>
      <c r="W704" s="60"/>
      <c r="X704" s="61"/>
      <c r="Y704" s="62"/>
      <c r="Z704" s="59"/>
      <c r="AA704" s="60"/>
      <c r="AB704" s="61">
        <v>17</v>
      </c>
      <c r="AC704" s="62">
        <v>20</v>
      </c>
      <c r="AD704" s="59"/>
      <c r="AE704" s="60"/>
      <c r="AF704" s="61">
        <v>23</v>
      </c>
      <c r="AG704" s="62">
        <v>25</v>
      </c>
      <c r="AH704" s="59">
        <v>25</v>
      </c>
      <c r="AI704" s="60"/>
      <c r="AJ704" s="61"/>
      <c r="AK704" s="62"/>
      <c r="AL704" s="59"/>
      <c r="AM704" s="60"/>
      <c r="AN704" s="61"/>
      <c r="AO704" s="62"/>
      <c r="AP704" s="59"/>
      <c r="AQ704" s="60"/>
      <c r="AR704" s="61"/>
      <c r="AS704" s="62"/>
      <c r="AT704" s="59"/>
      <c r="AU704" s="60"/>
      <c r="AV704" s="61"/>
      <c r="AW704" s="62"/>
      <c r="AX704" s="33">
        <f t="shared" si="625"/>
        <v>110</v>
      </c>
      <c r="AY704" s="31">
        <f t="shared" si="626"/>
        <v>22</v>
      </c>
      <c r="AZ704" s="30">
        <f t="shared" si="627"/>
        <v>0.7857142857142857</v>
      </c>
      <c r="BA704" s="34"/>
      <c r="BB704" s="34"/>
      <c r="BC704" s="34"/>
      <c r="BD704" s="76"/>
      <c r="BE704" s="34"/>
      <c r="BF704" s="34"/>
      <c r="BG704" s="34"/>
      <c r="BH704" s="34"/>
    </row>
    <row r="705" spans="1:60" s="17" customFormat="1" ht="19.5" customHeight="1" thickBot="1" x14ac:dyDescent="0.45">
      <c r="A705" s="41">
        <f t="shared" ref="A705" si="633">A704</f>
        <v>45440</v>
      </c>
      <c r="B705" s="139" t="str">
        <f>B698</f>
        <v>Kalite</v>
      </c>
      <c r="C705" s="140"/>
      <c r="D705" s="40">
        <f>C534/8</f>
        <v>500</v>
      </c>
      <c r="E705" s="141">
        <f>SUM(E698:H704)</f>
        <v>0</v>
      </c>
      <c r="F705" s="142"/>
      <c r="G705" s="142"/>
      <c r="H705" s="143"/>
      <c r="I705" s="141">
        <f>SUM(I698:L704)</f>
        <v>0</v>
      </c>
      <c r="J705" s="142"/>
      <c r="K705" s="142"/>
      <c r="L705" s="143"/>
      <c r="M705" s="141">
        <f>SUM(M698:P704)</f>
        <v>0</v>
      </c>
      <c r="N705" s="142"/>
      <c r="O705" s="142"/>
      <c r="P705" s="143"/>
      <c r="Q705" s="144">
        <f>SUM(Q698:U704)</f>
        <v>0</v>
      </c>
      <c r="R705" s="145"/>
      <c r="S705" s="145"/>
      <c r="T705" s="145"/>
      <c r="U705" s="146"/>
      <c r="V705" s="141">
        <f>SUM(V698:Y704)</f>
        <v>0</v>
      </c>
      <c r="W705" s="142"/>
      <c r="X705" s="142"/>
      <c r="Y705" s="143"/>
      <c r="Z705" s="141">
        <f>SUM(Z698:AC704)</f>
        <v>243</v>
      </c>
      <c r="AA705" s="142"/>
      <c r="AB705" s="142"/>
      <c r="AC705" s="143"/>
      <c r="AD705" s="147">
        <f>SUM(AD698:AG704)</f>
        <v>321</v>
      </c>
      <c r="AE705" s="148"/>
      <c r="AF705" s="148"/>
      <c r="AG705" s="149"/>
      <c r="AH705" s="147">
        <f>SUM(AH698:AK704)</f>
        <v>304</v>
      </c>
      <c r="AI705" s="148"/>
      <c r="AJ705" s="148"/>
      <c r="AK705" s="149"/>
      <c r="AL705" s="147">
        <f>SUM(AL698:AO704)</f>
        <v>286</v>
      </c>
      <c r="AM705" s="148"/>
      <c r="AN705" s="148"/>
      <c r="AO705" s="149"/>
      <c r="AP705" s="147">
        <f>SUM(AP698:AS704)</f>
        <v>0</v>
      </c>
      <c r="AQ705" s="148"/>
      <c r="AR705" s="148"/>
      <c r="AS705" s="149"/>
      <c r="AT705" s="147">
        <f>SUM(AT698:AW704)</f>
        <v>0</v>
      </c>
      <c r="AU705" s="148"/>
      <c r="AV705" s="148"/>
      <c r="AW705" s="149"/>
      <c r="AX705" s="87">
        <f>SUM(AX698:AX704)</f>
        <v>1154</v>
      </c>
      <c r="AY705" s="88">
        <f>IFERROR(AVERAGEIF(E705:AV705,"&lt;&gt;0",(E705:AV705)),)</f>
        <v>288.5</v>
      </c>
      <c r="AZ705" s="46">
        <f>IFERROR(AX705/BB699,0)</f>
        <v>0.28849999999999998</v>
      </c>
      <c r="BA705" s="34"/>
      <c r="BB705" s="34"/>
      <c r="BC705" s="34"/>
      <c r="BD705" s="76"/>
      <c r="BE705" s="34"/>
      <c r="BF705" s="34"/>
      <c r="BG705" s="34"/>
      <c r="BH705" s="34"/>
    </row>
    <row r="706" spans="1:60" s="17" customFormat="1" ht="19.5" customHeight="1" x14ac:dyDescent="0.35">
      <c r="A706" s="109"/>
      <c r="B706" s="35" t="s">
        <v>168</v>
      </c>
      <c r="C706" s="24">
        <v>45441</v>
      </c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09"/>
      <c r="AC706" s="109"/>
      <c r="AD706" s="109"/>
      <c r="AE706" s="109"/>
      <c r="AF706" s="109"/>
      <c r="AG706" s="109"/>
      <c r="AH706" s="109"/>
      <c r="AI706" s="109"/>
      <c r="AJ706" s="109"/>
      <c r="AK706" s="109"/>
      <c r="AL706" s="109"/>
      <c r="AM706" s="109"/>
      <c r="AN706" s="109"/>
      <c r="AO706" s="109"/>
      <c r="AP706" s="109"/>
      <c r="AQ706" s="109"/>
      <c r="AR706" s="109"/>
      <c r="AS706" s="109"/>
      <c r="AT706" s="109"/>
      <c r="AU706" s="109"/>
      <c r="AV706" s="109"/>
      <c r="AW706" s="109"/>
      <c r="AX706" s="109"/>
      <c r="AY706" s="109"/>
      <c r="AZ706" s="109"/>
      <c r="BA706" s="109"/>
      <c r="BB706" s="109"/>
      <c r="BC706" s="109"/>
      <c r="BD706" s="110"/>
      <c r="BE706" s="109"/>
      <c r="BF706" s="109"/>
      <c r="BG706" s="109"/>
      <c r="BH706" s="109"/>
    </row>
    <row r="707" spans="1:60" s="17" customFormat="1" ht="19.5" customHeight="1" x14ac:dyDescent="0.35">
      <c r="A707" s="109"/>
      <c r="B707" s="35" t="s">
        <v>169</v>
      </c>
      <c r="C707" s="77">
        <f>C531</f>
        <v>0</v>
      </c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09"/>
      <c r="AC707" s="109"/>
      <c r="AD707" s="109"/>
      <c r="AE707" s="109"/>
      <c r="AF707" s="109"/>
      <c r="AG707" s="109"/>
      <c r="AH707" s="109"/>
      <c r="AI707" s="109"/>
      <c r="AJ707" s="109"/>
      <c r="AK707" s="109"/>
      <c r="AL707" s="109"/>
      <c r="AM707" s="109"/>
      <c r="AN707" s="109"/>
      <c r="AO707" s="109"/>
      <c r="AP707" s="109"/>
      <c r="AQ707" s="109"/>
      <c r="AR707" s="109"/>
      <c r="AS707" s="109"/>
      <c r="AT707" s="109"/>
      <c r="AU707" s="109"/>
      <c r="AV707" s="109"/>
      <c r="AW707" s="109"/>
      <c r="AX707" s="109"/>
      <c r="AY707" s="109"/>
      <c r="AZ707" s="109"/>
      <c r="BA707" s="20" t="s">
        <v>170</v>
      </c>
      <c r="BB707" s="21" t="s">
        <v>171</v>
      </c>
      <c r="BC707" s="26" t="s">
        <v>172</v>
      </c>
      <c r="BD707" s="110"/>
      <c r="BE707" s="109"/>
      <c r="BF707" s="109"/>
      <c r="BG707" s="109"/>
      <c r="BH707" s="109"/>
    </row>
    <row r="708" spans="1:60" s="17" customFormat="1" ht="19.5" customHeight="1" x14ac:dyDescent="0.35">
      <c r="A708" s="109"/>
      <c r="B708" s="35" t="s">
        <v>173</v>
      </c>
      <c r="C708" s="77" t="str">
        <f>C532</f>
        <v>H&amp;M MAN</v>
      </c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09"/>
      <c r="AC708" s="109"/>
      <c r="AD708" s="109"/>
      <c r="AE708" s="109"/>
      <c r="AF708" s="109"/>
      <c r="AG708" s="109"/>
      <c r="AH708" s="109"/>
      <c r="AI708" s="109"/>
      <c r="AJ708" s="109"/>
      <c r="AK708" s="109"/>
      <c r="AL708" s="109"/>
      <c r="AM708" s="109"/>
      <c r="AN708" s="109"/>
      <c r="AO708" s="109"/>
      <c r="AP708" s="109"/>
      <c r="AQ708" s="109"/>
      <c r="AR708" s="109"/>
      <c r="AS708" s="109"/>
      <c r="AT708" s="109"/>
      <c r="AU708" s="109"/>
      <c r="AV708" s="109"/>
      <c r="AW708" s="109"/>
      <c r="AX708" s="109"/>
      <c r="AY708" s="109"/>
      <c r="AZ708" s="109"/>
      <c r="BA708" s="32" t="s">
        <v>174</v>
      </c>
      <c r="BB708" s="22" t="s">
        <v>175</v>
      </c>
      <c r="BC708" s="109"/>
      <c r="BD708" s="110"/>
      <c r="BE708" s="109"/>
      <c r="BF708" s="109"/>
      <c r="BG708" s="109"/>
      <c r="BH708" s="109"/>
    </row>
    <row r="709" spans="1:60" s="17" customFormat="1" ht="19.5" customHeight="1" thickBot="1" x14ac:dyDescent="0.4">
      <c r="A709" s="109"/>
      <c r="B709" s="35" t="s">
        <v>176</v>
      </c>
      <c r="C709" s="25">
        <f>C533</f>
        <v>42311</v>
      </c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09"/>
      <c r="AC709" s="109"/>
      <c r="AD709" s="109"/>
      <c r="AE709" s="109"/>
      <c r="AF709" s="109"/>
      <c r="AG709" s="109"/>
      <c r="AH709" s="109"/>
      <c r="AI709" s="109"/>
      <c r="AJ709" s="109"/>
      <c r="AK709" s="109"/>
      <c r="AL709" s="109"/>
      <c r="AM709" s="109"/>
      <c r="AN709" s="109"/>
      <c r="AO709" s="109"/>
      <c r="AP709" s="109"/>
      <c r="AQ709" s="109"/>
      <c r="AR709" s="109"/>
      <c r="AS709" s="109"/>
      <c r="AT709" s="109"/>
      <c r="AU709" s="109"/>
      <c r="AV709" s="109"/>
      <c r="AW709" s="109"/>
      <c r="AX709" s="109"/>
      <c r="AY709" s="109"/>
      <c r="AZ709" s="109"/>
      <c r="BA709" s="27" t="s">
        <v>177</v>
      </c>
      <c r="BB709" s="23" t="s">
        <v>178</v>
      </c>
      <c r="BC709" s="109"/>
      <c r="BD709" s="110"/>
      <c r="BE709" s="109"/>
      <c r="BF709" s="109"/>
      <c r="BG709" s="109"/>
      <c r="BH709" s="109"/>
    </row>
    <row r="710" spans="1:60" s="17" customFormat="1" ht="19.5" customHeight="1" x14ac:dyDescent="0.35">
      <c r="A710" s="109"/>
      <c r="B710" s="36" t="s">
        <v>179</v>
      </c>
      <c r="C710" s="25">
        <f>C534</f>
        <v>4000</v>
      </c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09"/>
      <c r="AC710" s="109"/>
      <c r="AD710" s="109"/>
      <c r="AE710" s="109"/>
      <c r="AF710" s="109"/>
      <c r="AG710" s="109"/>
      <c r="AH710" s="109"/>
      <c r="AI710" s="109"/>
      <c r="AJ710" s="109"/>
      <c r="AK710" s="109"/>
      <c r="AL710" s="109"/>
      <c r="AM710" s="109"/>
      <c r="AN710" s="109"/>
      <c r="AO710" s="109"/>
      <c r="AP710" s="109"/>
      <c r="AQ710" s="109"/>
      <c r="AR710" s="109"/>
      <c r="AS710" s="109"/>
      <c r="AT710" s="109"/>
      <c r="AU710" s="109"/>
      <c r="AV710" s="109"/>
      <c r="AW710" s="109"/>
      <c r="AX710" s="109"/>
      <c r="AY710" s="109"/>
      <c r="AZ710" s="109"/>
      <c r="BA710" s="12" t="str">
        <f t="shared" ref="BA710:BG710" si="634">BA534</f>
        <v>XS</v>
      </c>
      <c r="BB710" s="12" t="str">
        <f t="shared" si="634"/>
        <v>S</v>
      </c>
      <c r="BC710" s="12" t="str">
        <f t="shared" si="634"/>
        <v>M</v>
      </c>
      <c r="BD710" s="12" t="str">
        <f t="shared" si="634"/>
        <v>L</v>
      </c>
      <c r="BE710" s="12" t="str">
        <f t="shared" si="634"/>
        <v>XL</v>
      </c>
      <c r="BF710" s="12" t="str">
        <f t="shared" si="634"/>
        <v>XXL</v>
      </c>
      <c r="BG710" s="12">
        <f t="shared" si="634"/>
        <v>0</v>
      </c>
      <c r="BH710" s="13"/>
    </row>
    <row r="711" spans="1:60" s="17" customFormat="1" ht="19.5" customHeight="1" thickBot="1" x14ac:dyDescent="0.4">
      <c r="A711" s="109"/>
      <c r="B711" s="36" t="s">
        <v>197</v>
      </c>
      <c r="C711" s="25" t="str">
        <f>C535</f>
        <v>EKRU</v>
      </c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09"/>
      <c r="AF711" s="109"/>
      <c r="AG711" s="109"/>
      <c r="AH711" s="109"/>
      <c r="AI711" s="109"/>
      <c r="AJ711" s="109"/>
      <c r="AK711" s="109"/>
      <c r="AL711" s="109"/>
      <c r="AM711" s="109"/>
      <c r="AN711" s="109"/>
      <c r="AO711" s="109"/>
      <c r="AP711" s="109"/>
      <c r="AQ711" s="109"/>
      <c r="AR711" s="109"/>
      <c r="AS711" s="109"/>
      <c r="AT711" s="109"/>
      <c r="AU711" s="109"/>
      <c r="AV711" s="109"/>
      <c r="AW711" s="109"/>
      <c r="AX711" s="109"/>
      <c r="AY711" s="109"/>
      <c r="AZ711" s="109"/>
      <c r="BA711" s="14">
        <f t="shared" ref="BA711:BG711" si="635">BA535</f>
        <v>492</v>
      </c>
      <c r="BB711" s="14">
        <f t="shared" si="635"/>
        <v>11438</v>
      </c>
      <c r="BC711" s="14">
        <f t="shared" si="635"/>
        <v>13689</v>
      </c>
      <c r="BD711" s="14">
        <f t="shared" si="635"/>
        <v>9760</v>
      </c>
      <c r="BE711" s="14">
        <f t="shared" si="635"/>
        <v>4794</v>
      </c>
      <c r="BF711" s="14">
        <f t="shared" si="635"/>
        <v>2138</v>
      </c>
      <c r="BG711" s="14">
        <f t="shared" si="635"/>
        <v>0</v>
      </c>
      <c r="BH711" s="15">
        <f>SUM(BA711:BG711)</f>
        <v>42311</v>
      </c>
    </row>
    <row r="712" spans="1:60" s="17" customFormat="1" ht="19.5" customHeight="1" thickBot="1" x14ac:dyDescent="0.4">
      <c r="A712" s="42">
        <f>C706</f>
        <v>45441</v>
      </c>
      <c r="B712" s="38" t="str">
        <f>B713</f>
        <v>Yaka İç Dikiş</v>
      </c>
      <c r="C712" s="39" t="s">
        <v>180</v>
      </c>
      <c r="D712" s="69" t="s">
        <v>181</v>
      </c>
      <c r="E712" s="48">
        <v>0.34375</v>
      </c>
      <c r="F712" s="49">
        <v>0.35416666666666669</v>
      </c>
      <c r="G712" s="49">
        <v>0.36458333333333331</v>
      </c>
      <c r="H712" s="50">
        <v>0.375</v>
      </c>
      <c r="I712" s="48">
        <v>0.38541666666666702</v>
      </c>
      <c r="J712" s="49">
        <v>0.39583333333333298</v>
      </c>
      <c r="K712" s="49">
        <v>0.40625</v>
      </c>
      <c r="L712" s="50">
        <v>0.41666666666666702</v>
      </c>
      <c r="M712" s="48">
        <v>0.4375</v>
      </c>
      <c r="N712" s="49">
        <v>0.44791666666666702</v>
      </c>
      <c r="O712" s="49">
        <v>0.45833333333333398</v>
      </c>
      <c r="P712" s="50">
        <v>0.46875</v>
      </c>
      <c r="Q712" s="48">
        <v>0.47916666666666702</v>
      </c>
      <c r="R712" s="49">
        <v>0.48958333333333398</v>
      </c>
      <c r="S712" s="49">
        <v>0.5</v>
      </c>
      <c r="T712" s="50">
        <v>0.51041666666666696</v>
      </c>
      <c r="U712" s="51">
        <v>0.52083333333333204</v>
      </c>
      <c r="V712" s="48">
        <v>0.5625</v>
      </c>
      <c r="W712" s="49">
        <v>0.57291666666666663</v>
      </c>
      <c r="X712" s="49">
        <v>0.58333333333333304</v>
      </c>
      <c r="Y712" s="50">
        <v>0.59375</v>
      </c>
      <c r="Z712" s="48">
        <v>0.60416666666666696</v>
      </c>
      <c r="AA712" s="49">
        <v>0.61458333333333304</v>
      </c>
      <c r="AB712" s="49">
        <v>0.625</v>
      </c>
      <c r="AC712" s="50">
        <v>0.63541666666666596</v>
      </c>
      <c r="AD712" s="48">
        <v>0.65625</v>
      </c>
      <c r="AE712" s="49">
        <v>0.66666666666666663</v>
      </c>
      <c r="AF712" s="49">
        <v>0.67708333333333304</v>
      </c>
      <c r="AG712" s="50">
        <v>0.6875</v>
      </c>
      <c r="AH712" s="48">
        <v>0.69791666666666696</v>
      </c>
      <c r="AI712" s="49">
        <v>0.70833333333333304</v>
      </c>
      <c r="AJ712" s="49">
        <v>0.71875</v>
      </c>
      <c r="AK712" s="50">
        <v>0.72916666666666696</v>
      </c>
      <c r="AL712" s="48">
        <v>0.73958333333333404</v>
      </c>
      <c r="AM712" s="49">
        <v>0.750000000000001</v>
      </c>
      <c r="AN712" s="49">
        <v>0.76041666666666796</v>
      </c>
      <c r="AO712" s="50">
        <v>0.77083333333333504</v>
      </c>
      <c r="AP712" s="48">
        <v>0.781250000000002</v>
      </c>
      <c r="AQ712" s="49">
        <v>0.79166666666666896</v>
      </c>
      <c r="AR712" s="49">
        <v>0.80208333333333603</v>
      </c>
      <c r="AS712" s="50">
        <v>0.812500000000003</v>
      </c>
      <c r="AT712" s="48">
        <v>0.82291666666666996</v>
      </c>
      <c r="AU712" s="49">
        <v>0.83333333333333703</v>
      </c>
      <c r="AV712" s="49">
        <v>0.843750000000004</v>
      </c>
      <c r="AW712" s="50">
        <v>0.85416666666666663</v>
      </c>
      <c r="AX712" s="68" t="s">
        <v>260</v>
      </c>
      <c r="AY712" s="28" t="s">
        <v>261</v>
      </c>
      <c r="AZ712" s="29" t="s">
        <v>262</v>
      </c>
      <c r="BA712" s="136" t="str">
        <f>B713</f>
        <v>Yaka İç Dikiş</v>
      </c>
      <c r="BB712" s="137"/>
      <c r="BC712" s="137"/>
      <c r="BD712" s="137"/>
      <c r="BE712" s="137"/>
      <c r="BF712" s="137"/>
      <c r="BG712" s="137"/>
      <c r="BH712" s="138"/>
    </row>
    <row r="713" spans="1:60" s="17" customFormat="1" ht="19.5" customHeight="1" thickBot="1" x14ac:dyDescent="0.4">
      <c r="A713" s="41">
        <f t="shared" ref="A713:A718" si="636">A712</f>
        <v>45441</v>
      </c>
      <c r="B713" s="37" t="str">
        <f>B537</f>
        <v>Yaka İç Dikiş</v>
      </c>
      <c r="C713" s="66" t="str">
        <f>C537</f>
        <v>HAZİME AVCİ</v>
      </c>
      <c r="D713" s="70">
        <f>D537</f>
        <v>200</v>
      </c>
      <c r="E713" s="63">
        <v>150</v>
      </c>
      <c r="F713" s="55">
        <v>200</v>
      </c>
      <c r="G713" s="55">
        <v>200</v>
      </c>
      <c r="H713" s="56">
        <v>160</v>
      </c>
      <c r="I713" s="63">
        <v>220</v>
      </c>
      <c r="J713" s="55">
        <v>230</v>
      </c>
      <c r="K713" s="55">
        <v>230</v>
      </c>
      <c r="L713" s="56">
        <v>230</v>
      </c>
      <c r="M713" s="63">
        <v>230</v>
      </c>
      <c r="N713" s="55">
        <v>220</v>
      </c>
      <c r="O713" s="55">
        <v>230</v>
      </c>
      <c r="P713" s="56"/>
      <c r="Q713" s="63"/>
      <c r="R713" s="55"/>
      <c r="S713" s="55"/>
      <c r="T713" s="55"/>
      <c r="U713" s="56">
        <v>0</v>
      </c>
      <c r="V713" s="63"/>
      <c r="W713" s="55">
        <v>100</v>
      </c>
      <c r="X713" s="55">
        <v>190</v>
      </c>
      <c r="Y713" s="56">
        <v>190</v>
      </c>
      <c r="Z713" s="63">
        <v>120</v>
      </c>
      <c r="AA713" s="55"/>
      <c r="AB713" s="55"/>
      <c r="AC713" s="56">
        <v>0</v>
      </c>
      <c r="AD713" s="63"/>
      <c r="AE713" s="55"/>
      <c r="AF713" s="55"/>
      <c r="AG713" s="56"/>
      <c r="AH713" s="63"/>
      <c r="AI713" s="55"/>
      <c r="AJ713" s="55"/>
      <c r="AK713" s="56"/>
      <c r="AL713" s="63"/>
      <c r="AM713" s="55"/>
      <c r="AN713" s="55">
        <v>0</v>
      </c>
      <c r="AO713" s="56"/>
      <c r="AP713" s="63"/>
      <c r="AQ713" s="54"/>
      <c r="AR713" s="55"/>
      <c r="AS713" s="56"/>
      <c r="AT713" s="53"/>
      <c r="AU713" s="54"/>
      <c r="AV713" s="55"/>
      <c r="AW713" s="56"/>
      <c r="AX713" s="33">
        <f>SUM(E713:AW713)</f>
        <v>2900</v>
      </c>
      <c r="AY713" s="31">
        <f>IFERROR(AVERAGEIF(E713:AW713,"&lt;&gt;0",(E713:AW713)),)</f>
        <v>193.33333333333334</v>
      </c>
      <c r="AZ713" s="30">
        <f>IFERROR(AY713/D713,0)</f>
        <v>0.96666666666666667</v>
      </c>
      <c r="BA713" s="103" t="s">
        <v>182</v>
      </c>
      <c r="BB713" s="100" t="s">
        <v>183</v>
      </c>
      <c r="BC713" s="100" t="s">
        <v>184</v>
      </c>
      <c r="BD713" s="101" t="s">
        <v>185</v>
      </c>
      <c r="BE713" s="100" t="s">
        <v>186</v>
      </c>
      <c r="BF713" s="102" t="s">
        <v>187</v>
      </c>
      <c r="BG713" s="100" t="s">
        <v>188</v>
      </c>
      <c r="BH713" s="102" t="s">
        <v>189</v>
      </c>
    </row>
    <row r="714" spans="1:60" s="17" customFormat="1" ht="19.5" customHeight="1" thickBot="1" x14ac:dyDescent="0.4">
      <c r="A714" s="41">
        <f t="shared" si="636"/>
        <v>45441</v>
      </c>
      <c r="B714" s="37" t="str">
        <f>B713</f>
        <v>Yaka İç Dikiş</v>
      </c>
      <c r="C714" s="66">
        <f>C538</f>
        <v>0</v>
      </c>
      <c r="D714" s="67">
        <f>D713</f>
        <v>200</v>
      </c>
      <c r="E714" s="57"/>
      <c r="F714" s="52"/>
      <c r="G714" s="52"/>
      <c r="H714" s="58"/>
      <c r="I714" s="57"/>
      <c r="J714" s="52"/>
      <c r="K714" s="52"/>
      <c r="L714" s="58"/>
      <c r="M714" s="57"/>
      <c r="N714" s="52"/>
      <c r="O714" s="52"/>
      <c r="P714" s="58"/>
      <c r="Q714" s="57"/>
      <c r="R714" s="52"/>
      <c r="S714" s="52"/>
      <c r="T714" s="52"/>
      <c r="U714" s="58"/>
      <c r="V714" s="57"/>
      <c r="W714" s="52"/>
      <c r="X714" s="52"/>
      <c r="Y714" s="58"/>
      <c r="Z714" s="57"/>
      <c r="AA714" s="52"/>
      <c r="AB714" s="52"/>
      <c r="AC714" s="58"/>
      <c r="AD714" s="57"/>
      <c r="AE714" s="52"/>
      <c r="AF714" s="52"/>
      <c r="AG714" s="58"/>
      <c r="AH714" s="57"/>
      <c r="AI714" s="52"/>
      <c r="AJ714" s="52"/>
      <c r="AK714" s="58"/>
      <c r="AL714" s="57"/>
      <c r="AM714" s="52"/>
      <c r="AN714" s="52"/>
      <c r="AO714" s="58"/>
      <c r="AP714" s="57"/>
      <c r="AQ714" s="52"/>
      <c r="AR714" s="52"/>
      <c r="AS714" s="58"/>
      <c r="AT714" s="57"/>
      <c r="AU714" s="52"/>
      <c r="AV714" s="52"/>
      <c r="AW714" s="58"/>
      <c r="AX714" s="33">
        <f>SUM(E714:AW714)</f>
        <v>0</v>
      </c>
      <c r="AY714" s="31">
        <f>IFERROR(AVERAGEIF(E714:AW714,"&lt;&gt;0",(E714:AW714)),)</f>
        <v>0</v>
      </c>
      <c r="AZ714" s="30">
        <f>IFERROR(AY714/D714,0)</f>
        <v>0</v>
      </c>
      <c r="BA714" s="94">
        <f>AX718+BA538</f>
        <v>12115</v>
      </c>
      <c r="BB714" s="95">
        <f>(D718*8)</f>
        <v>4000</v>
      </c>
      <c r="BC714" s="96">
        <f>C709-BA714</f>
        <v>30196</v>
      </c>
      <c r="BD714" s="96">
        <f>BC714</f>
        <v>30196</v>
      </c>
      <c r="BE714" s="97">
        <f>IFERROR(BC714/E718,0)</f>
        <v>42.52957746478873</v>
      </c>
      <c r="BF714" s="98">
        <f>IFERROR(BE714/9,0)</f>
        <v>4.7255086071987478</v>
      </c>
      <c r="BG714" s="97">
        <f>IFERROR(BC714/AY718,0)</f>
        <v>52.062068965517241</v>
      </c>
      <c r="BH714" s="97">
        <f>IFERROR(BG714/9,0)</f>
        <v>5.7846743295019154</v>
      </c>
    </row>
    <row r="715" spans="1:60" s="17" customFormat="1" ht="19.5" customHeight="1" x14ac:dyDescent="0.35">
      <c r="A715" s="41">
        <f t="shared" si="636"/>
        <v>45441</v>
      </c>
      <c r="B715" s="37" t="str">
        <f>B714</f>
        <v>Yaka İç Dikiş</v>
      </c>
      <c r="C715" s="66">
        <f>C539</f>
        <v>0</v>
      </c>
      <c r="D715" s="67">
        <f>D714</f>
        <v>200</v>
      </c>
      <c r="E715" s="57"/>
      <c r="F715" s="52"/>
      <c r="G715" s="52"/>
      <c r="H715" s="58"/>
      <c r="I715" s="57"/>
      <c r="J715" s="52"/>
      <c r="K715" s="52"/>
      <c r="L715" s="58"/>
      <c r="M715" s="57"/>
      <c r="N715" s="52"/>
      <c r="O715" s="52"/>
      <c r="P715" s="58"/>
      <c r="Q715" s="57"/>
      <c r="R715" s="52"/>
      <c r="S715" s="52"/>
      <c r="T715" s="52"/>
      <c r="U715" s="58"/>
      <c r="V715" s="57"/>
      <c r="W715" s="52"/>
      <c r="X715" s="52"/>
      <c r="Y715" s="58"/>
      <c r="Z715" s="57"/>
      <c r="AA715" s="52"/>
      <c r="AB715" s="52"/>
      <c r="AC715" s="58"/>
      <c r="AD715" s="57"/>
      <c r="AE715" s="52"/>
      <c r="AF715" s="52"/>
      <c r="AG715" s="58"/>
      <c r="AH715" s="57"/>
      <c r="AI715" s="52"/>
      <c r="AJ715" s="52"/>
      <c r="AK715" s="58"/>
      <c r="AL715" s="57"/>
      <c r="AM715" s="52"/>
      <c r="AN715" s="52"/>
      <c r="AO715" s="58"/>
      <c r="AP715" s="57"/>
      <c r="AQ715" s="52"/>
      <c r="AR715" s="52"/>
      <c r="AS715" s="58"/>
      <c r="AT715" s="57"/>
      <c r="AU715" s="52"/>
      <c r="AV715" s="52"/>
      <c r="AW715" s="58"/>
      <c r="AX715" s="33">
        <f>SUM(E715:AW715)</f>
        <v>0</v>
      </c>
      <c r="AY715" s="31">
        <f>IFERROR(AVERAGEIF(E715:AW715,"&lt;&gt;0",(E715:AW715)),)</f>
        <v>0</v>
      </c>
      <c r="AZ715" s="30">
        <f>IFERROR(AY715/D715,0)</f>
        <v>0</v>
      </c>
      <c r="BA715" s="34"/>
      <c r="BB715" s="34"/>
      <c r="BC715" s="34"/>
      <c r="BD715" s="76"/>
      <c r="BE715" s="34"/>
      <c r="BF715" s="34"/>
      <c r="BG715" s="34"/>
      <c r="BH715" s="34"/>
    </row>
    <row r="716" spans="1:60" s="17" customFormat="1" ht="19.5" customHeight="1" x14ac:dyDescent="0.35">
      <c r="A716" s="41">
        <f t="shared" si="636"/>
        <v>45441</v>
      </c>
      <c r="B716" s="37" t="str">
        <f>B715</f>
        <v>Yaka İç Dikiş</v>
      </c>
      <c r="C716" s="66">
        <f>C540</f>
        <v>0</v>
      </c>
      <c r="D716" s="67">
        <f>D715</f>
        <v>200</v>
      </c>
      <c r="E716" s="57"/>
      <c r="F716" s="52"/>
      <c r="G716" s="52"/>
      <c r="H716" s="58"/>
      <c r="I716" s="57"/>
      <c r="J716" s="52"/>
      <c r="K716" s="52"/>
      <c r="L716" s="58"/>
      <c r="M716" s="57"/>
      <c r="N716" s="52"/>
      <c r="O716" s="52"/>
      <c r="P716" s="58"/>
      <c r="Q716" s="57"/>
      <c r="R716" s="52"/>
      <c r="S716" s="52"/>
      <c r="T716" s="52"/>
      <c r="U716" s="58"/>
      <c r="V716" s="57"/>
      <c r="W716" s="52"/>
      <c r="X716" s="52"/>
      <c r="Y716" s="58"/>
      <c r="Z716" s="57"/>
      <c r="AA716" s="52"/>
      <c r="AB716" s="52"/>
      <c r="AC716" s="58"/>
      <c r="AD716" s="57"/>
      <c r="AE716" s="52"/>
      <c r="AF716" s="52"/>
      <c r="AG716" s="58"/>
      <c r="AH716" s="57"/>
      <c r="AI716" s="52"/>
      <c r="AJ716" s="52"/>
      <c r="AK716" s="58"/>
      <c r="AL716" s="57"/>
      <c r="AM716" s="52"/>
      <c r="AN716" s="52"/>
      <c r="AO716" s="58"/>
      <c r="AP716" s="57"/>
      <c r="AQ716" s="52"/>
      <c r="AR716" s="52"/>
      <c r="AS716" s="58"/>
      <c r="AT716" s="57"/>
      <c r="AU716" s="52"/>
      <c r="AV716" s="52"/>
      <c r="AW716" s="58"/>
      <c r="AX716" s="33">
        <f>SUM(E716:AW716)</f>
        <v>0</v>
      </c>
      <c r="AY716" s="31">
        <f>IFERROR(AVERAGEIF(E716:AW716,"&lt;&gt;0",(E716:AW716)),)</f>
        <v>0</v>
      </c>
      <c r="AZ716" s="30">
        <f>IFERROR(AY716/D716,0)</f>
        <v>0</v>
      </c>
      <c r="BA716" s="34"/>
      <c r="BB716" s="34"/>
      <c r="BC716" s="34"/>
      <c r="BD716" s="76"/>
      <c r="BE716" s="34"/>
      <c r="BF716" s="34"/>
      <c r="BG716" s="34"/>
      <c r="BH716" s="34"/>
    </row>
    <row r="717" spans="1:60" s="17" customFormat="1" ht="19.5" customHeight="1" thickBot="1" x14ac:dyDescent="0.4">
      <c r="A717" s="41">
        <f t="shared" si="636"/>
        <v>45441</v>
      </c>
      <c r="B717" s="37" t="str">
        <f>B716</f>
        <v>Yaka İç Dikiş</v>
      </c>
      <c r="C717" s="66">
        <f>C541</f>
        <v>0</v>
      </c>
      <c r="D717" s="67">
        <f>D716</f>
        <v>200</v>
      </c>
      <c r="E717" s="64"/>
      <c r="F717" s="61"/>
      <c r="G717" s="61"/>
      <c r="H717" s="62"/>
      <c r="I717" s="64"/>
      <c r="J717" s="61"/>
      <c r="K717" s="61"/>
      <c r="L717" s="62"/>
      <c r="M717" s="64"/>
      <c r="N717" s="61"/>
      <c r="O717" s="61"/>
      <c r="P717" s="62"/>
      <c r="Q717" s="64"/>
      <c r="R717" s="61"/>
      <c r="S717" s="61"/>
      <c r="T717" s="61"/>
      <c r="U717" s="62"/>
      <c r="V717" s="64"/>
      <c r="W717" s="61"/>
      <c r="X717" s="61"/>
      <c r="Y717" s="62"/>
      <c r="Z717" s="59"/>
      <c r="AA717" s="60"/>
      <c r="AB717" s="61"/>
      <c r="AC717" s="62"/>
      <c r="AD717" s="59"/>
      <c r="AE717" s="60"/>
      <c r="AF717" s="61"/>
      <c r="AG717" s="62"/>
      <c r="AH717" s="59"/>
      <c r="AI717" s="60"/>
      <c r="AJ717" s="61"/>
      <c r="AK717" s="62"/>
      <c r="AL717" s="59"/>
      <c r="AM717" s="60"/>
      <c r="AN717" s="61"/>
      <c r="AO717" s="62"/>
      <c r="AP717" s="59"/>
      <c r="AQ717" s="60"/>
      <c r="AR717" s="61"/>
      <c r="AS717" s="62"/>
      <c r="AT717" s="59"/>
      <c r="AU717" s="60"/>
      <c r="AV717" s="61"/>
      <c r="AW717" s="62"/>
      <c r="AX717" s="43">
        <f>SUM(E717:AW717)</f>
        <v>0</v>
      </c>
      <c r="AY717" s="44">
        <f>IFERROR(AVERAGEIF(E717:AW717,"&lt;&gt;0",(E717:AW717)),)</f>
        <v>0</v>
      </c>
      <c r="AZ717" s="45">
        <f>IFERROR(AY717/D717,0)</f>
        <v>0</v>
      </c>
      <c r="BA717" s="34"/>
      <c r="BB717" s="34"/>
      <c r="BC717" s="34"/>
      <c r="BD717" s="76"/>
      <c r="BE717" s="34"/>
      <c r="BF717" s="34"/>
      <c r="BG717" s="34"/>
      <c r="BH717" s="34"/>
    </row>
    <row r="718" spans="1:60" s="17" customFormat="1" ht="19.5" customHeight="1" thickBot="1" x14ac:dyDescent="0.45">
      <c r="A718" s="41">
        <f t="shared" si="636"/>
        <v>45441</v>
      </c>
      <c r="B718" s="139" t="str">
        <f>B713</f>
        <v>Yaka İç Dikiş</v>
      </c>
      <c r="C718" s="140"/>
      <c r="D718" s="40">
        <f>C710/8</f>
        <v>500</v>
      </c>
      <c r="E718" s="151">
        <f>SUM(E713:H717)</f>
        <v>710</v>
      </c>
      <c r="F718" s="152"/>
      <c r="G718" s="152"/>
      <c r="H718" s="153"/>
      <c r="I718" s="151">
        <f>SUM(I713:L717)</f>
        <v>910</v>
      </c>
      <c r="J718" s="152"/>
      <c r="K718" s="152"/>
      <c r="L718" s="153"/>
      <c r="M718" s="151">
        <f>SUM(M713:P717)</f>
        <v>680</v>
      </c>
      <c r="N718" s="152"/>
      <c r="O718" s="152"/>
      <c r="P718" s="153"/>
      <c r="Q718" s="151">
        <f>SUM(Q713:U717)</f>
        <v>0</v>
      </c>
      <c r="R718" s="152"/>
      <c r="S718" s="152"/>
      <c r="T718" s="152"/>
      <c r="U718" s="153"/>
      <c r="V718" s="151">
        <f>SUM(V713:Y717)</f>
        <v>480</v>
      </c>
      <c r="W718" s="152"/>
      <c r="X718" s="152"/>
      <c r="Y718" s="153"/>
      <c r="Z718" s="151">
        <f>SUM(Z713:AC717)</f>
        <v>120</v>
      </c>
      <c r="AA718" s="152"/>
      <c r="AB718" s="152"/>
      <c r="AC718" s="153"/>
      <c r="AD718" s="151">
        <f>SUM(AD713:AG717)</f>
        <v>0</v>
      </c>
      <c r="AE718" s="152"/>
      <c r="AF718" s="152"/>
      <c r="AG718" s="153"/>
      <c r="AH718" s="151">
        <f>SUM(AH713:AK717)</f>
        <v>0</v>
      </c>
      <c r="AI718" s="152"/>
      <c r="AJ718" s="152"/>
      <c r="AK718" s="153"/>
      <c r="AL718" s="151">
        <f>SUM(AL713:AO717)</f>
        <v>0</v>
      </c>
      <c r="AM718" s="152"/>
      <c r="AN718" s="152"/>
      <c r="AO718" s="153"/>
      <c r="AP718" s="151">
        <f>SUM(AP713:AS717)</f>
        <v>0</v>
      </c>
      <c r="AQ718" s="152"/>
      <c r="AR718" s="152"/>
      <c r="AS718" s="153"/>
      <c r="AT718" s="151">
        <f>SUM(AT713:AW717)</f>
        <v>0</v>
      </c>
      <c r="AU718" s="152"/>
      <c r="AV718" s="152"/>
      <c r="AW718" s="153"/>
      <c r="AX718" s="87">
        <f>SUM(AX713:AX717)</f>
        <v>2900</v>
      </c>
      <c r="AY718" s="88">
        <f>IFERROR(AVERAGEIF(E718:AV718,"&lt;&gt;0",(E718:AV718)),)</f>
        <v>580</v>
      </c>
      <c r="AZ718" s="46">
        <f>IFERROR(AX718/BB714,0)</f>
        <v>0.72499999999999998</v>
      </c>
      <c r="BA718" s="34"/>
      <c r="BB718" s="34"/>
      <c r="BC718" s="34"/>
      <c r="BD718" s="76"/>
      <c r="BE718" s="34"/>
      <c r="BF718" s="34"/>
      <c r="BG718" s="34"/>
      <c r="BH718" s="34"/>
    </row>
    <row r="719" spans="1:60" s="17" customFormat="1" ht="19.5" customHeight="1" thickBot="1" x14ac:dyDescent="0.4">
      <c r="A719" s="42">
        <f>A712</f>
        <v>45441</v>
      </c>
      <c r="B719" s="38" t="str">
        <f>B720</f>
        <v>Yaka Tıktık</v>
      </c>
      <c r="C719" s="39" t="s">
        <v>180</v>
      </c>
      <c r="D719" s="69" t="s">
        <v>181</v>
      </c>
      <c r="E719" s="48">
        <v>0.34375</v>
      </c>
      <c r="F719" s="49">
        <v>0.35416666666666669</v>
      </c>
      <c r="G719" s="49">
        <v>0.36458333333333331</v>
      </c>
      <c r="H719" s="50">
        <v>0.375</v>
      </c>
      <c r="I719" s="48">
        <v>0.38541666666666702</v>
      </c>
      <c r="J719" s="49">
        <v>0.39583333333333298</v>
      </c>
      <c r="K719" s="49">
        <v>0.40625</v>
      </c>
      <c r="L719" s="50">
        <v>0.41666666666666702</v>
      </c>
      <c r="M719" s="48">
        <v>0.4375</v>
      </c>
      <c r="N719" s="49">
        <v>0.44791666666666702</v>
      </c>
      <c r="O719" s="49">
        <v>0.45833333333333398</v>
      </c>
      <c r="P719" s="50">
        <v>0.46875</v>
      </c>
      <c r="Q719" s="48">
        <v>0.47916666666666702</v>
      </c>
      <c r="R719" s="49">
        <v>0.48958333333333398</v>
      </c>
      <c r="S719" s="49">
        <v>0.5</v>
      </c>
      <c r="T719" s="50">
        <v>0.51041666666666696</v>
      </c>
      <c r="U719" s="51">
        <v>0.52083333333333204</v>
      </c>
      <c r="V719" s="48">
        <v>0.5625</v>
      </c>
      <c r="W719" s="49">
        <v>0.57291666666666663</v>
      </c>
      <c r="X719" s="49">
        <v>0.58333333333333304</v>
      </c>
      <c r="Y719" s="50">
        <v>0.59375</v>
      </c>
      <c r="Z719" s="48">
        <v>0.60416666666666696</v>
      </c>
      <c r="AA719" s="49">
        <v>0.61458333333333304</v>
      </c>
      <c r="AB719" s="49">
        <v>0.625</v>
      </c>
      <c r="AC719" s="50">
        <v>0.63541666666666596</v>
      </c>
      <c r="AD719" s="48">
        <v>0.65625</v>
      </c>
      <c r="AE719" s="49">
        <v>0.66666666666666663</v>
      </c>
      <c r="AF719" s="49">
        <v>0.67708333333333304</v>
      </c>
      <c r="AG719" s="50">
        <v>0.6875</v>
      </c>
      <c r="AH719" s="48">
        <v>0.69791666666666696</v>
      </c>
      <c r="AI719" s="49">
        <v>0.70833333333333304</v>
      </c>
      <c r="AJ719" s="49">
        <v>0.71875</v>
      </c>
      <c r="AK719" s="50">
        <v>0.72916666666666696</v>
      </c>
      <c r="AL719" s="48">
        <v>0.73958333333333404</v>
      </c>
      <c r="AM719" s="49">
        <v>0.750000000000001</v>
      </c>
      <c r="AN719" s="49">
        <v>0.76041666666666796</v>
      </c>
      <c r="AO719" s="50">
        <v>0.77083333333333504</v>
      </c>
      <c r="AP719" s="48">
        <v>0.781250000000002</v>
      </c>
      <c r="AQ719" s="49">
        <v>0.79166666666666896</v>
      </c>
      <c r="AR719" s="49">
        <v>0.80208333333333603</v>
      </c>
      <c r="AS719" s="50">
        <v>0.812500000000003</v>
      </c>
      <c r="AT719" s="48">
        <v>0.82291666666666996</v>
      </c>
      <c r="AU719" s="49">
        <v>0.83333333333333703</v>
      </c>
      <c r="AV719" s="49">
        <v>0.843750000000004</v>
      </c>
      <c r="AW719" s="50">
        <v>0.85416666666666663</v>
      </c>
      <c r="AX719" s="68" t="s">
        <v>260</v>
      </c>
      <c r="AY719" s="28" t="s">
        <v>261</v>
      </c>
      <c r="AZ719" s="29" t="s">
        <v>262</v>
      </c>
      <c r="BA719" s="136" t="str">
        <f>B720</f>
        <v>Yaka Tıktık</v>
      </c>
      <c r="BB719" s="137"/>
      <c r="BC719" s="137"/>
      <c r="BD719" s="137"/>
      <c r="BE719" s="137"/>
      <c r="BF719" s="137"/>
      <c r="BG719" s="137"/>
      <c r="BH719" s="138"/>
    </row>
    <row r="720" spans="1:60" s="17" customFormat="1" ht="19.5" customHeight="1" thickBot="1" x14ac:dyDescent="0.4">
      <c r="A720" s="41">
        <f>A712</f>
        <v>45441</v>
      </c>
      <c r="B720" s="37" t="str">
        <f>B544</f>
        <v>Yaka Tıktık</v>
      </c>
      <c r="C720" s="66" t="str">
        <f>C544</f>
        <v>HAYAL ŞENER</v>
      </c>
      <c r="D720" s="70">
        <f>D544</f>
        <v>150</v>
      </c>
      <c r="E720" s="63">
        <v>125</v>
      </c>
      <c r="F720" s="55">
        <v>130</v>
      </c>
      <c r="G720" s="55">
        <v>100</v>
      </c>
      <c r="H720" s="56">
        <v>110</v>
      </c>
      <c r="I720" s="63">
        <v>80</v>
      </c>
      <c r="J720" s="55">
        <v>100</v>
      </c>
      <c r="K720" s="55">
        <v>110</v>
      </c>
      <c r="L720" s="56">
        <v>100</v>
      </c>
      <c r="M720" s="63">
        <v>130</v>
      </c>
      <c r="N720" s="55">
        <v>125</v>
      </c>
      <c r="O720" s="55">
        <v>40</v>
      </c>
      <c r="P720" s="56"/>
      <c r="Q720" s="63"/>
      <c r="R720" s="55"/>
      <c r="S720" s="55"/>
      <c r="T720" s="55"/>
      <c r="U720" s="56">
        <v>0</v>
      </c>
      <c r="V720" s="63"/>
      <c r="W720" s="55"/>
      <c r="X720" s="55"/>
      <c r="Y720" s="56"/>
      <c r="Z720" s="63"/>
      <c r="AA720" s="55"/>
      <c r="AB720" s="55"/>
      <c r="AC720" s="56"/>
      <c r="AD720" s="63"/>
      <c r="AE720" s="55"/>
      <c r="AF720" s="55"/>
      <c r="AG720" s="56"/>
      <c r="AH720" s="63">
        <v>85</v>
      </c>
      <c r="AI720" s="55">
        <v>115</v>
      </c>
      <c r="AJ720" s="55">
        <v>95</v>
      </c>
      <c r="AK720" s="56">
        <v>80</v>
      </c>
      <c r="AL720" s="63">
        <v>85</v>
      </c>
      <c r="AM720" s="55">
        <v>60</v>
      </c>
      <c r="AN720" s="55">
        <v>90</v>
      </c>
      <c r="AO720" s="56"/>
      <c r="AP720" s="63"/>
      <c r="AQ720" s="54"/>
      <c r="AR720" s="55"/>
      <c r="AS720" s="56"/>
      <c r="AT720" s="53"/>
      <c r="AU720" s="54"/>
      <c r="AV720" s="55"/>
      <c r="AW720" s="56"/>
      <c r="AX720" s="33">
        <f>SUM(E720:AW720)</f>
        <v>1760</v>
      </c>
      <c r="AY720" s="31">
        <f>IFERROR(AVERAGEIF(E720:AW720,"&lt;&gt;0",(E720:AW720)),)</f>
        <v>97.777777777777771</v>
      </c>
      <c r="AZ720" s="30">
        <f>IFERROR(AY720/D720,0)</f>
        <v>0.65185185185185179</v>
      </c>
      <c r="BA720" s="103" t="s">
        <v>182</v>
      </c>
      <c r="BB720" s="100" t="s">
        <v>183</v>
      </c>
      <c r="BC720" s="100" t="s">
        <v>184</v>
      </c>
      <c r="BD720" s="101" t="s">
        <v>185</v>
      </c>
      <c r="BE720" s="100" t="s">
        <v>186</v>
      </c>
      <c r="BF720" s="102" t="s">
        <v>187</v>
      </c>
      <c r="BG720" s="100" t="s">
        <v>188</v>
      </c>
      <c r="BH720" s="102" t="s">
        <v>189</v>
      </c>
    </row>
    <row r="721" spans="1:60" s="17" customFormat="1" ht="19.5" customHeight="1" thickBot="1" x14ac:dyDescent="0.4">
      <c r="A721" s="41">
        <f t="shared" ref="A721:B721" si="637">A720</f>
        <v>45441</v>
      </c>
      <c r="B721" s="37" t="str">
        <f t="shared" si="637"/>
        <v>Yaka Tıktık</v>
      </c>
      <c r="C721" s="66">
        <f>C545</f>
        <v>0</v>
      </c>
      <c r="D721" s="67">
        <f>D720</f>
        <v>150</v>
      </c>
      <c r="E721" s="57"/>
      <c r="F721" s="52"/>
      <c r="G721" s="52"/>
      <c r="H721" s="58"/>
      <c r="I721" s="57"/>
      <c r="J721" s="52"/>
      <c r="K721" s="52"/>
      <c r="L721" s="58"/>
      <c r="M721" s="57"/>
      <c r="N721" s="52"/>
      <c r="O721" s="52"/>
      <c r="P721" s="58"/>
      <c r="Q721" s="57"/>
      <c r="R721" s="52"/>
      <c r="S721" s="52"/>
      <c r="T721" s="52"/>
      <c r="U721" s="58"/>
      <c r="V721" s="57"/>
      <c r="W721" s="52"/>
      <c r="X721" s="52"/>
      <c r="Y721" s="58"/>
      <c r="Z721" s="57"/>
      <c r="AA721" s="52"/>
      <c r="AB721" s="52"/>
      <c r="AC721" s="58"/>
      <c r="AD721" s="57"/>
      <c r="AE721" s="52"/>
      <c r="AF721" s="52"/>
      <c r="AG721" s="58"/>
      <c r="AH721" s="57"/>
      <c r="AI721" s="52"/>
      <c r="AJ721" s="52"/>
      <c r="AK721" s="58"/>
      <c r="AL721" s="57"/>
      <c r="AM721" s="52"/>
      <c r="AN721" s="52"/>
      <c r="AO721" s="58"/>
      <c r="AP721" s="57"/>
      <c r="AQ721" s="52"/>
      <c r="AR721" s="52"/>
      <c r="AS721" s="58"/>
      <c r="AT721" s="57"/>
      <c r="AU721" s="52"/>
      <c r="AV721" s="52"/>
      <c r="AW721" s="58"/>
      <c r="AX721" s="33">
        <f>SUM(E721:AW721)</f>
        <v>0</v>
      </c>
      <c r="AY721" s="31">
        <f>IFERROR(AVERAGEIF(E721:AW721,"&lt;&gt;0",(E721:AW721)),)</f>
        <v>0</v>
      </c>
      <c r="AZ721" s="30">
        <f>IFERROR(AY721/D721,0)</f>
        <v>0</v>
      </c>
      <c r="BA721" s="94">
        <f>AX725+BA545</f>
        <v>5770</v>
      </c>
      <c r="BB721" s="95">
        <f>(D725*8)</f>
        <v>4000</v>
      </c>
      <c r="BC721" s="96">
        <f>C709-BA721</f>
        <v>36541</v>
      </c>
      <c r="BD721" s="96">
        <f>BA714-BA721</f>
        <v>6345</v>
      </c>
      <c r="BE721" s="97">
        <f>IFERROR(BC721/E725,0)</f>
        <v>78.582795698924727</v>
      </c>
      <c r="BF721" s="98">
        <f>IFERROR(BE721/9,0)</f>
        <v>8.7314217443249689</v>
      </c>
      <c r="BG721" s="97">
        <f>IFERROR(BC721/AY725,0)</f>
        <v>103.80965909090909</v>
      </c>
      <c r="BH721" s="97">
        <f>IFERROR(BG721/9,0)</f>
        <v>11.534406565656566</v>
      </c>
    </row>
    <row r="722" spans="1:60" s="17" customFormat="1" ht="19.5" customHeight="1" x14ac:dyDescent="0.35">
      <c r="A722" s="41">
        <f t="shared" ref="A722:B722" si="638">A721</f>
        <v>45441</v>
      </c>
      <c r="B722" s="37" t="str">
        <f t="shared" si="638"/>
        <v>Yaka Tıktık</v>
      </c>
      <c r="C722" s="66">
        <f>C546</f>
        <v>0</v>
      </c>
      <c r="D722" s="67">
        <f>D721</f>
        <v>150</v>
      </c>
      <c r="E722" s="57"/>
      <c r="F722" s="52"/>
      <c r="G722" s="52"/>
      <c r="H722" s="58"/>
      <c r="I722" s="57"/>
      <c r="J722" s="52"/>
      <c r="K722" s="52"/>
      <c r="L722" s="58"/>
      <c r="M722" s="57"/>
      <c r="N722" s="52"/>
      <c r="O722" s="52"/>
      <c r="P722" s="58"/>
      <c r="Q722" s="57"/>
      <c r="R722" s="52"/>
      <c r="S722" s="52"/>
      <c r="T722" s="52"/>
      <c r="U722" s="58"/>
      <c r="V722" s="57"/>
      <c r="W722" s="52"/>
      <c r="X722" s="52"/>
      <c r="Y722" s="58"/>
      <c r="Z722" s="57"/>
      <c r="AA722" s="52"/>
      <c r="AB722" s="52"/>
      <c r="AC722" s="58"/>
      <c r="AD722" s="57"/>
      <c r="AE722" s="52"/>
      <c r="AF722" s="52"/>
      <c r="AG722" s="58"/>
      <c r="AH722" s="57"/>
      <c r="AI722" s="52"/>
      <c r="AJ722" s="52"/>
      <c r="AK722" s="58"/>
      <c r="AL722" s="57"/>
      <c r="AM722" s="52"/>
      <c r="AN722" s="52"/>
      <c r="AO722" s="58"/>
      <c r="AP722" s="57"/>
      <c r="AQ722" s="52"/>
      <c r="AR722" s="52"/>
      <c r="AS722" s="58"/>
      <c r="AT722" s="57"/>
      <c r="AU722" s="52"/>
      <c r="AV722" s="52"/>
      <c r="AW722" s="58"/>
      <c r="AX722" s="33">
        <f>SUM(E722:AW722)</f>
        <v>0</v>
      </c>
      <c r="AY722" s="31">
        <f>IFERROR(AVERAGEIF(E722:AW722,"&lt;&gt;0",(E722:AW722)),)</f>
        <v>0</v>
      </c>
      <c r="AZ722" s="30">
        <f>IFERROR(AY722/D722,0)</f>
        <v>0</v>
      </c>
      <c r="BA722" s="34"/>
      <c r="BB722" s="34"/>
      <c r="BC722" s="34"/>
      <c r="BD722" s="76"/>
      <c r="BE722" s="34"/>
      <c r="BF722" s="34"/>
      <c r="BG722" s="34"/>
      <c r="BH722" s="34"/>
    </row>
    <row r="723" spans="1:60" s="17" customFormat="1" ht="19.5" customHeight="1" x14ac:dyDescent="0.35">
      <c r="A723" s="41">
        <f t="shared" ref="A723:B723" si="639">A722</f>
        <v>45441</v>
      </c>
      <c r="B723" s="37" t="str">
        <f t="shared" si="639"/>
        <v>Yaka Tıktık</v>
      </c>
      <c r="C723" s="66">
        <f>C547</f>
        <v>0</v>
      </c>
      <c r="D723" s="67">
        <f>D722</f>
        <v>150</v>
      </c>
      <c r="E723" s="57"/>
      <c r="F723" s="52"/>
      <c r="G723" s="52"/>
      <c r="H723" s="58"/>
      <c r="I723" s="57"/>
      <c r="J723" s="52"/>
      <c r="K723" s="52"/>
      <c r="L723" s="58"/>
      <c r="M723" s="57"/>
      <c r="N723" s="52"/>
      <c r="O723" s="52"/>
      <c r="P723" s="58"/>
      <c r="Q723" s="57"/>
      <c r="R723" s="52"/>
      <c r="S723" s="52"/>
      <c r="T723" s="52"/>
      <c r="U723" s="58"/>
      <c r="V723" s="57"/>
      <c r="W723" s="52"/>
      <c r="X723" s="52"/>
      <c r="Y723" s="58"/>
      <c r="Z723" s="57"/>
      <c r="AA723" s="52"/>
      <c r="AB723" s="52"/>
      <c r="AC723" s="58"/>
      <c r="AD723" s="57"/>
      <c r="AE723" s="52"/>
      <c r="AF723" s="52"/>
      <c r="AG723" s="58"/>
      <c r="AH723" s="57"/>
      <c r="AI723" s="52"/>
      <c r="AJ723" s="52"/>
      <c r="AK723" s="58"/>
      <c r="AL723" s="57"/>
      <c r="AM723" s="52"/>
      <c r="AN723" s="52"/>
      <c r="AO723" s="58"/>
      <c r="AP723" s="57"/>
      <c r="AQ723" s="52"/>
      <c r="AR723" s="52"/>
      <c r="AS723" s="58"/>
      <c r="AT723" s="57"/>
      <c r="AU723" s="52"/>
      <c r="AV723" s="52"/>
      <c r="AW723" s="58"/>
      <c r="AX723" s="33">
        <f>SUM(E723:AW723)</f>
        <v>0</v>
      </c>
      <c r="AY723" s="31">
        <f>IFERROR(AVERAGEIF(E723:AW723,"&lt;&gt;0",(E723:AW723)),)</f>
        <v>0</v>
      </c>
      <c r="AZ723" s="30">
        <f>IFERROR(AY723/D723,0)</f>
        <v>0</v>
      </c>
      <c r="BA723" s="34"/>
      <c r="BB723" s="34"/>
      <c r="BC723" s="34"/>
      <c r="BD723" s="76"/>
      <c r="BE723" s="34"/>
      <c r="BF723" s="34"/>
      <c r="BG723" s="34"/>
      <c r="BH723" s="34"/>
    </row>
    <row r="724" spans="1:60" s="17" customFormat="1" ht="19.5" customHeight="1" thickBot="1" x14ac:dyDescent="0.4">
      <c r="A724" s="41">
        <f t="shared" ref="A724:B724" si="640">A723</f>
        <v>45441</v>
      </c>
      <c r="B724" s="37" t="str">
        <f t="shared" si="640"/>
        <v>Yaka Tıktık</v>
      </c>
      <c r="C724" s="66">
        <f>C548</f>
        <v>0</v>
      </c>
      <c r="D724" s="67">
        <f>D723</f>
        <v>150</v>
      </c>
      <c r="E724" s="64"/>
      <c r="F724" s="61"/>
      <c r="G724" s="61"/>
      <c r="H724" s="62"/>
      <c r="I724" s="64"/>
      <c r="J724" s="61"/>
      <c r="K724" s="61"/>
      <c r="L724" s="62"/>
      <c r="M724" s="64"/>
      <c r="N724" s="61"/>
      <c r="O724" s="61"/>
      <c r="P724" s="62"/>
      <c r="Q724" s="64"/>
      <c r="R724" s="61"/>
      <c r="S724" s="61"/>
      <c r="T724" s="61"/>
      <c r="U724" s="62"/>
      <c r="V724" s="64"/>
      <c r="W724" s="61"/>
      <c r="X724" s="61"/>
      <c r="Y724" s="62"/>
      <c r="Z724" s="59"/>
      <c r="AA724" s="60"/>
      <c r="AB724" s="61"/>
      <c r="AC724" s="62"/>
      <c r="AD724" s="59"/>
      <c r="AE724" s="60"/>
      <c r="AF724" s="61"/>
      <c r="AG724" s="62"/>
      <c r="AH724" s="59"/>
      <c r="AI724" s="60"/>
      <c r="AJ724" s="61"/>
      <c r="AK724" s="62"/>
      <c r="AL724" s="59"/>
      <c r="AM724" s="60"/>
      <c r="AN724" s="61"/>
      <c r="AO724" s="62"/>
      <c r="AP724" s="59"/>
      <c r="AQ724" s="60"/>
      <c r="AR724" s="61"/>
      <c r="AS724" s="62"/>
      <c r="AT724" s="59"/>
      <c r="AU724" s="60"/>
      <c r="AV724" s="61"/>
      <c r="AW724" s="62"/>
      <c r="AX724" s="43">
        <f>SUM(E724:AW724)</f>
        <v>0</v>
      </c>
      <c r="AY724" s="44">
        <f>IFERROR(AVERAGEIF(E724:AW724,"&lt;&gt;0",(E724:AW724)),)</f>
        <v>0</v>
      </c>
      <c r="AZ724" s="45">
        <f>IFERROR(AY724/D724,0)</f>
        <v>0</v>
      </c>
      <c r="BA724" s="34"/>
      <c r="BB724" s="34"/>
      <c r="BC724" s="34"/>
      <c r="BD724" s="76"/>
      <c r="BE724" s="34"/>
      <c r="BF724" s="34"/>
      <c r="BG724" s="34"/>
      <c r="BH724" s="34"/>
    </row>
    <row r="725" spans="1:60" s="17" customFormat="1" ht="19.5" customHeight="1" thickBot="1" x14ac:dyDescent="0.45">
      <c r="A725" s="41">
        <f>A724</f>
        <v>45441</v>
      </c>
      <c r="B725" s="139" t="str">
        <f>B720</f>
        <v>Yaka Tıktık</v>
      </c>
      <c r="C725" s="140"/>
      <c r="D725" s="40">
        <f>C710/8</f>
        <v>500</v>
      </c>
      <c r="E725" s="151">
        <f>SUM(E720:H724)</f>
        <v>465</v>
      </c>
      <c r="F725" s="152"/>
      <c r="G725" s="152"/>
      <c r="H725" s="153"/>
      <c r="I725" s="151">
        <f>SUM(I720:L724)</f>
        <v>390</v>
      </c>
      <c r="J725" s="152"/>
      <c r="K725" s="152"/>
      <c r="L725" s="153"/>
      <c r="M725" s="151">
        <f>SUM(M720:P724)</f>
        <v>295</v>
      </c>
      <c r="N725" s="152"/>
      <c r="O725" s="152"/>
      <c r="P725" s="153"/>
      <c r="Q725" s="151">
        <f>SUM(Q720:U724)</f>
        <v>0</v>
      </c>
      <c r="R725" s="152"/>
      <c r="S725" s="152"/>
      <c r="T725" s="152"/>
      <c r="U725" s="153"/>
      <c r="V725" s="151">
        <f>SUM(V720:Y724)</f>
        <v>0</v>
      </c>
      <c r="W725" s="152"/>
      <c r="X725" s="152"/>
      <c r="Y725" s="153"/>
      <c r="Z725" s="151">
        <f>SUM(Z720:AC724)</f>
        <v>0</v>
      </c>
      <c r="AA725" s="152"/>
      <c r="AB725" s="152"/>
      <c r="AC725" s="153"/>
      <c r="AD725" s="151">
        <f>SUM(AD720:AG724)</f>
        <v>0</v>
      </c>
      <c r="AE725" s="152"/>
      <c r="AF725" s="152"/>
      <c r="AG725" s="153"/>
      <c r="AH725" s="151">
        <f>SUM(AH720:AK724)</f>
        <v>375</v>
      </c>
      <c r="AI725" s="152"/>
      <c r="AJ725" s="152"/>
      <c r="AK725" s="153"/>
      <c r="AL725" s="151">
        <f>SUM(AL720:AO724)</f>
        <v>235</v>
      </c>
      <c r="AM725" s="152"/>
      <c r="AN725" s="152"/>
      <c r="AO725" s="153"/>
      <c r="AP725" s="151">
        <f>SUM(AP720:AS724)</f>
        <v>0</v>
      </c>
      <c r="AQ725" s="152"/>
      <c r="AR725" s="152"/>
      <c r="AS725" s="153"/>
      <c r="AT725" s="151">
        <f>SUM(AT720:AW724)</f>
        <v>0</v>
      </c>
      <c r="AU725" s="152"/>
      <c r="AV725" s="152"/>
      <c r="AW725" s="153"/>
      <c r="AX725" s="87">
        <f>SUM(AX720:AX724)</f>
        <v>1760</v>
      </c>
      <c r="AY725" s="88">
        <f>IFERROR(AVERAGEIF(E725:AV725,"&lt;&gt;0",(E725:AV725)),)</f>
        <v>352</v>
      </c>
      <c r="AZ725" s="46">
        <f>IFERROR(AX725/BB721,0)</f>
        <v>0.44</v>
      </c>
      <c r="BA725" s="34"/>
      <c r="BB725" s="34"/>
      <c r="BC725" s="34"/>
      <c r="BD725" s="76"/>
      <c r="BE725" s="34"/>
      <c r="BF725" s="34"/>
      <c r="BG725" s="34"/>
      <c r="BH725" s="34"/>
    </row>
    <row r="726" spans="1:60" s="17" customFormat="1" ht="19.5" customHeight="1" thickBot="1" x14ac:dyDescent="0.4">
      <c r="A726" s="42">
        <f>A712</f>
        <v>45441</v>
      </c>
      <c r="B726" s="38" t="str">
        <f>B727</f>
        <v>Etiket Hazırlama</v>
      </c>
      <c r="C726" s="39" t="s">
        <v>180</v>
      </c>
      <c r="D726" s="69" t="s">
        <v>181</v>
      </c>
      <c r="E726" s="48">
        <v>0.34375</v>
      </c>
      <c r="F726" s="49">
        <v>0.35416666666666669</v>
      </c>
      <c r="G726" s="49">
        <v>0.36458333333333331</v>
      </c>
      <c r="H726" s="50">
        <v>0.375</v>
      </c>
      <c r="I726" s="48">
        <v>0.38541666666666702</v>
      </c>
      <c r="J726" s="49">
        <v>0.39583333333333298</v>
      </c>
      <c r="K726" s="49">
        <v>0.40625</v>
      </c>
      <c r="L726" s="50">
        <v>0.41666666666666702</v>
      </c>
      <c r="M726" s="48">
        <v>0.4375</v>
      </c>
      <c r="N726" s="49">
        <v>0.44791666666666702</v>
      </c>
      <c r="O726" s="49">
        <v>0.45833333333333398</v>
      </c>
      <c r="P726" s="50">
        <v>0.46875</v>
      </c>
      <c r="Q726" s="48">
        <v>0.47916666666666702</v>
      </c>
      <c r="R726" s="49">
        <v>0.48958333333333398</v>
      </c>
      <c r="S726" s="49">
        <v>0.5</v>
      </c>
      <c r="T726" s="50">
        <v>0.51041666666666696</v>
      </c>
      <c r="U726" s="51">
        <v>0.52083333333333204</v>
      </c>
      <c r="V726" s="48">
        <v>0.5625</v>
      </c>
      <c r="W726" s="49">
        <v>0.57291666666666663</v>
      </c>
      <c r="X726" s="49">
        <v>0.58333333333333304</v>
      </c>
      <c r="Y726" s="50">
        <v>0.59375</v>
      </c>
      <c r="Z726" s="48">
        <v>0.60416666666666696</v>
      </c>
      <c r="AA726" s="49">
        <v>0.61458333333333304</v>
      </c>
      <c r="AB726" s="49">
        <v>0.625</v>
      </c>
      <c r="AC726" s="50">
        <v>0.63541666666666596</v>
      </c>
      <c r="AD726" s="48">
        <v>0.65625</v>
      </c>
      <c r="AE726" s="49">
        <v>0.66666666666666663</v>
      </c>
      <c r="AF726" s="49">
        <v>0.67708333333333304</v>
      </c>
      <c r="AG726" s="50">
        <v>0.6875</v>
      </c>
      <c r="AH726" s="48">
        <v>0.69791666666666696</v>
      </c>
      <c r="AI726" s="49">
        <v>0.70833333333333304</v>
      </c>
      <c r="AJ726" s="49">
        <v>0.71875</v>
      </c>
      <c r="AK726" s="50">
        <v>0.72916666666666696</v>
      </c>
      <c r="AL726" s="48">
        <v>0.73958333333333404</v>
      </c>
      <c r="AM726" s="49">
        <v>0.750000000000001</v>
      </c>
      <c r="AN726" s="49">
        <v>0.76041666666666796</v>
      </c>
      <c r="AO726" s="50">
        <v>0.77083333333333504</v>
      </c>
      <c r="AP726" s="48">
        <v>0.781250000000002</v>
      </c>
      <c r="AQ726" s="49">
        <v>0.79166666666666896</v>
      </c>
      <c r="AR726" s="49">
        <v>0.80208333333333603</v>
      </c>
      <c r="AS726" s="50">
        <v>0.812500000000003</v>
      </c>
      <c r="AT726" s="48">
        <v>0.82291666666666996</v>
      </c>
      <c r="AU726" s="49">
        <v>0.83333333333333703</v>
      </c>
      <c r="AV726" s="49">
        <v>0.843750000000004</v>
      </c>
      <c r="AW726" s="50">
        <v>0.85416666666666663</v>
      </c>
      <c r="AX726" s="68" t="s">
        <v>260</v>
      </c>
      <c r="AY726" s="28" t="s">
        <v>261</v>
      </c>
      <c r="AZ726" s="29" t="s">
        <v>262</v>
      </c>
      <c r="BA726" s="136" t="str">
        <f>B727</f>
        <v>Etiket Hazırlama</v>
      </c>
      <c r="BB726" s="137"/>
      <c r="BC726" s="137"/>
      <c r="BD726" s="137"/>
      <c r="BE726" s="137"/>
      <c r="BF726" s="137"/>
      <c r="BG726" s="137"/>
      <c r="BH726" s="138"/>
    </row>
    <row r="727" spans="1:60" s="17" customFormat="1" ht="19.5" customHeight="1" thickBot="1" x14ac:dyDescent="0.4">
      <c r="A727" s="41">
        <f t="shared" ref="A727:A732" si="641">A726</f>
        <v>45441</v>
      </c>
      <c r="B727" s="37" t="str">
        <f>B551</f>
        <v>Etiket Hazırlama</v>
      </c>
      <c r="C727" s="66" t="str">
        <f>C551</f>
        <v>EMİNE PİŞKİN</v>
      </c>
      <c r="D727" s="70">
        <f>D551</f>
        <v>120</v>
      </c>
      <c r="E727" s="63">
        <v>100</v>
      </c>
      <c r="F727" s="55">
        <v>100</v>
      </c>
      <c r="G727" s="55">
        <v>90</v>
      </c>
      <c r="H727" s="56">
        <v>100</v>
      </c>
      <c r="I727" s="63">
        <v>90</v>
      </c>
      <c r="J727" s="55">
        <v>110</v>
      </c>
      <c r="K727" s="55">
        <v>100</v>
      </c>
      <c r="L727" s="56">
        <v>90</v>
      </c>
      <c r="M727" s="63">
        <v>100</v>
      </c>
      <c r="N727" s="55">
        <v>110</v>
      </c>
      <c r="O727" s="55">
        <v>95</v>
      </c>
      <c r="P727" s="56">
        <v>100</v>
      </c>
      <c r="Q727" s="63">
        <v>100</v>
      </c>
      <c r="R727" s="55">
        <v>75</v>
      </c>
      <c r="S727" s="55">
        <v>100</v>
      </c>
      <c r="T727" s="55">
        <v>110</v>
      </c>
      <c r="U727" s="56">
        <v>90</v>
      </c>
      <c r="V727" s="63">
        <v>100</v>
      </c>
      <c r="W727" s="55">
        <v>30</v>
      </c>
      <c r="X727" s="55"/>
      <c r="Y727" s="56"/>
      <c r="Z727" s="63"/>
      <c r="AA727" s="55"/>
      <c r="AB727" s="55"/>
      <c r="AC727" s="56">
        <v>0</v>
      </c>
      <c r="AD727" s="63"/>
      <c r="AE727" s="55"/>
      <c r="AF727" s="55"/>
      <c r="AG727" s="56"/>
      <c r="AH727" s="63">
        <v>95</v>
      </c>
      <c r="AI727" s="55">
        <v>100</v>
      </c>
      <c r="AJ727" s="55">
        <v>100</v>
      </c>
      <c r="AK727" s="56">
        <v>0</v>
      </c>
      <c r="AL727" s="63">
        <v>90</v>
      </c>
      <c r="AM727" s="55">
        <v>100</v>
      </c>
      <c r="AN727" s="55">
        <v>115</v>
      </c>
      <c r="AO727" s="56"/>
      <c r="AP727" s="63"/>
      <c r="AQ727" s="54"/>
      <c r="AR727" s="55"/>
      <c r="AS727" s="56"/>
      <c r="AT727" s="53"/>
      <c r="AU727" s="54"/>
      <c r="AV727" s="55"/>
      <c r="AW727" s="56"/>
      <c r="AX727" s="33">
        <f>SUM(E727:AW727)</f>
        <v>2390</v>
      </c>
      <c r="AY727" s="31">
        <f>IFERROR(AVERAGEIF(E727:AW727,"&lt;&gt;0",(E727:AW727)),)</f>
        <v>95.6</v>
      </c>
      <c r="AZ727" s="30">
        <f>IFERROR(AY727/D727,0)</f>
        <v>0.79666666666666663</v>
      </c>
      <c r="BA727" s="103" t="s">
        <v>182</v>
      </c>
      <c r="BB727" s="100" t="s">
        <v>183</v>
      </c>
      <c r="BC727" s="100" t="s">
        <v>184</v>
      </c>
      <c r="BD727" s="101" t="s">
        <v>185</v>
      </c>
      <c r="BE727" s="100" t="s">
        <v>186</v>
      </c>
      <c r="BF727" s="102" t="s">
        <v>187</v>
      </c>
      <c r="BG727" s="100" t="s">
        <v>188</v>
      </c>
      <c r="BH727" s="102" t="s">
        <v>189</v>
      </c>
    </row>
    <row r="728" spans="1:60" s="17" customFormat="1" ht="19.5" customHeight="1" thickBot="1" x14ac:dyDescent="0.4">
      <c r="A728" s="41">
        <f t="shared" si="641"/>
        <v>45441</v>
      </c>
      <c r="B728" s="37" t="str">
        <f>B727</f>
        <v>Etiket Hazırlama</v>
      </c>
      <c r="C728" s="66">
        <f>C552</f>
        <v>0</v>
      </c>
      <c r="D728" s="67">
        <f>D727</f>
        <v>120</v>
      </c>
      <c r="E728" s="57"/>
      <c r="F728" s="52"/>
      <c r="G728" s="52"/>
      <c r="H728" s="58"/>
      <c r="I728" s="57"/>
      <c r="J728" s="52"/>
      <c r="K728" s="52"/>
      <c r="L728" s="58"/>
      <c r="M728" s="57"/>
      <c r="N728" s="52"/>
      <c r="O728" s="52"/>
      <c r="P728" s="58"/>
      <c r="Q728" s="57"/>
      <c r="R728" s="52"/>
      <c r="S728" s="52"/>
      <c r="T728" s="52"/>
      <c r="U728" s="58"/>
      <c r="V728" s="57"/>
      <c r="W728" s="52"/>
      <c r="X728" s="52"/>
      <c r="Y728" s="58"/>
      <c r="Z728" s="57"/>
      <c r="AA728" s="52"/>
      <c r="AB728" s="52"/>
      <c r="AC728" s="58"/>
      <c r="AD728" s="57"/>
      <c r="AE728" s="52"/>
      <c r="AF728" s="52"/>
      <c r="AG728" s="58"/>
      <c r="AH728" s="57"/>
      <c r="AI728" s="52"/>
      <c r="AJ728" s="52"/>
      <c r="AK728" s="58"/>
      <c r="AL728" s="57"/>
      <c r="AM728" s="52"/>
      <c r="AN728" s="52"/>
      <c r="AO728" s="58"/>
      <c r="AP728" s="57"/>
      <c r="AQ728" s="52"/>
      <c r="AR728" s="52"/>
      <c r="AS728" s="58"/>
      <c r="AT728" s="57"/>
      <c r="AU728" s="52"/>
      <c r="AV728" s="52"/>
      <c r="AW728" s="58"/>
      <c r="AX728" s="33">
        <f>SUM(E728:AW728)</f>
        <v>0</v>
      </c>
      <c r="AY728" s="31">
        <f>IFERROR(AVERAGEIF(E728:AW728,"&lt;&gt;0",(E728:AW728)),)</f>
        <v>0</v>
      </c>
      <c r="AZ728" s="30">
        <f>IFERROR(AY728/D728,0)</f>
        <v>0</v>
      </c>
      <c r="BA728" s="94">
        <f>AX732+BA552</f>
        <v>8350</v>
      </c>
      <c r="BB728" s="95">
        <f>(D732*8)</f>
        <v>4000</v>
      </c>
      <c r="BC728" s="96">
        <f>C709-BA728</f>
        <v>33961</v>
      </c>
      <c r="BD728" s="96">
        <f>BC728</f>
        <v>33961</v>
      </c>
      <c r="BE728" s="97">
        <f>IFERROR(BC728/E732,0)</f>
        <v>27.476537216828479</v>
      </c>
      <c r="BF728" s="98">
        <f>IFERROR(BE728/9,0)</f>
        <v>3.0529485796476088</v>
      </c>
      <c r="BG728" s="97">
        <f>IFERROR(BC728/AY732,0)</f>
        <v>73.463226205191589</v>
      </c>
      <c r="BH728" s="97">
        <f>IFERROR(BG728/9,0)</f>
        <v>8.1625806894657327</v>
      </c>
    </row>
    <row r="729" spans="1:60" s="17" customFormat="1" ht="19.5" customHeight="1" x14ac:dyDescent="0.35">
      <c r="A729" s="41">
        <f t="shared" si="641"/>
        <v>45441</v>
      </c>
      <c r="B729" s="37" t="str">
        <f>B728</f>
        <v>Etiket Hazırlama</v>
      </c>
      <c r="C729" s="66">
        <f>C553</f>
        <v>0</v>
      </c>
      <c r="D729" s="67">
        <f>D728</f>
        <v>120</v>
      </c>
      <c r="E729" s="57"/>
      <c r="F729" s="52"/>
      <c r="G729" s="52"/>
      <c r="H729" s="58"/>
      <c r="I729" s="57"/>
      <c r="J729" s="52"/>
      <c r="K729" s="52"/>
      <c r="L729" s="58"/>
      <c r="M729" s="57"/>
      <c r="N729" s="52"/>
      <c r="O729" s="52"/>
      <c r="P729" s="58"/>
      <c r="Q729" s="57"/>
      <c r="R729" s="52"/>
      <c r="S729" s="52"/>
      <c r="T729" s="52"/>
      <c r="U729" s="58"/>
      <c r="V729" s="57"/>
      <c r="W729" s="52"/>
      <c r="X729" s="52"/>
      <c r="Y729" s="58"/>
      <c r="Z729" s="57"/>
      <c r="AA729" s="52"/>
      <c r="AB729" s="52"/>
      <c r="AC729" s="58"/>
      <c r="AD729" s="57"/>
      <c r="AE729" s="52"/>
      <c r="AF729" s="52"/>
      <c r="AG729" s="58"/>
      <c r="AH729" s="57"/>
      <c r="AI729" s="52"/>
      <c r="AJ729" s="52"/>
      <c r="AK729" s="58"/>
      <c r="AL729" s="57"/>
      <c r="AM729" s="52"/>
      <c r="AN729" s="52"/>
      <c r="AO729" s="58"/>
      <c r="AP729" s="57"/>
      <c r="AQ729" s="52"/>
      <c r="AR729" s="52"/>
      <c r="AS729" s="58"/>
      <c r="AT729" s="57"/>
      <c r="AU729" s="52"/>
      <c r="AV729" s="52"/>
      <c r="AW729" s="58"/>
      <c r="AX729" s="33">
        <f>SUM(E729:AW729)</f>
        <v>0</v>
      </c>
      <c r="AY729" s="31">
        <f>IFERROR(AVERAGEIF(E729:AW729,"&lt;&gt;0",(E729:AW729)),)</f>
        <v>0</v>
      </c>
      <c r="AZ729" s="30">
        <f>IFERROR(AY729/D729,0)</f>
        <v>0</v>
      </c>
      <c r="BA729" s="34"/>
      <c r="BB729" s="34"/>
      <c r="BC729" s="34"/>
      <c r="BD729" s="76"/>
      <c r="BE729" s="34"/>
      <c r="BF729" s="34"/>
      <c r="BG729" s="34"/>
      <c r="BH729" s="34"/>
    </row>
    <row r="730" spans="1:60" s="17" customFormat="1" ht="19.5" customHeight="1" x14ac:dyDescent="0.35">
      <c r="A730" s="41">
        <f t="shared" si="641"/>
        <v>45441</v>
      </c>
      <c r="B730" s="37" t="str">
        <f>B729</f>
        <v>Etiket Hazırlama</v>
      </c>
      <c r="C730" s="66">
        <f>C554</f>
        <v>0</v>
      </c>
      <c r="D730" s="67">
        <f>D729</f>
        <v>120</v>
      </c>
      <c r="E730" s="57">
        <v>846</v>
      </c>
      <c r="F730" s="52"/>
      <c r="G730" s="52"/>
      <c r="H730" s="58"/>
      <c r="I730" s="57"/>
      <c r="J730" s="52"/>
      <c r="K730" s="52"/>
      <c r="L730" s="58"/>
      <c r="M730" s="57"/>
      <c r="N730" s="52"/>
      <c r="O730" s="52"/>
      <c r="P730" s="58"/>
      <c r="Q730" s="57"/>
      <c r="R730" s="52"/>
      <c r="S730" s="52"/>
      <c r="T730" s="52"/>
      <c r="U730" s="58"/>
      <c r="V730" s="57"/>
      <c r="W730" s="52"/>
      <c r="X730" s="52"/>
      <c r="Y730" s="58"/>
      <c r="Z730" s="57"/>
      <c r="AA730" s="52"/>
      <c r="AB730" s="52"/>
      <c r="AC730" s="58"/>
      <c r="AD730" s="57"/>
      <c r="AE730" s="52"/>
      <c r="AF730" s="52"/>
      <c r="AG730" s="58"/>
      <c r="AH730" s="57"/>
      <c r="AI730" s="52"/>
      <c r="AJ730" s="52"/>
      <c r="AK730" s="58"/>
      <c r="AL730" s="57"/>
      <c r="AM730" s="52"/>
      <c r="AN730" s="52"/>
      <c r="AO730" s="58"/>
      <c r="AP730" s="57"/>
      <c r="AQ730" s="52"/>
      <c r="AR730" s="52"/>
      <c r="AS730" s="58"/>
      <c r="AT730" s="57"/>
      <c r="AU730" s="52"/>
      <c r="AV730" s="52"/>
      <c r="AW730" s="58"/>
      <c r="AX730" s="33">
        <f>SUM(E730:AW730)</f>
        <v>846</v>
      </c>
      <c r="AY730" s="31">
        <f>IFERROR(AVERAGEIF(E730:AW730,"&lt;&gt;0",(E730:AW730)),)</f>
        <v>846</v>
      </c>
      <c r="AZ730" s="30">
        <f>IFERROR(AY730/D730,0)</f>
        <v>7.05</v>
      </c>
      <c r="BA730" s="34"/>
      <c r="BB730" s="34"/>
      <c r="BC730" s="34"/>
      <c r="BD730" s="76"/>
      <c r="BE730" s="34"/>
      <c r="BF730" s="34"/>
      <c r="BG730" s="34"/>
      <c r="BH730" s="34"/>
    </row>
    <row r="731" spans="1:60" s="17" customFormat="1" ht="19.5" customHeight="1" thickBot="1" x14ac:dyDescent="0.4">
      <c r="A731" s="41">
        <f t="shared" si="641"/>
        <v>45441</v>
      </c>
      <c r="B731" s="37" t="str">
        <f>B730</f>
        <v>Etiket Hazırlama</v>
      </c>
      <c r="C731" s="66">
        <f>C555</f>
        <v>0</v>
      </c>
      <c r="D731" s="67">
        <f>D730</f>
        <v>120</v>
      </c>
      <c r="E731" s="64"/>
      <c r="F731" s="61"/>
      <c r="G731" s="61"/>
      <c r="H731" s="62"/>
      <c r="I731" s="64"/>
      <c r="J731" s="61"/>
      <c r="K731" s="61"/>
      <c r="L731" s="62"/>
      <c r="M731" s="64"/>
      <c r="N731" s="61"/>
      <c r="O731" s="61"/>
      <c r="P731" s="62"/>
      <c r="Q731" s="64"/>
      <c r="R731" s="61"/>
      <c r="S731" s="61"/>
      <c r="T731" s="61"/>
      <c r="U731" s="62"/>
      <c r="V731" s="64"/>
      <c r="W731" s="61"/>
      <c r="X731" s="61"/>
      <c r="Y731" s="62"/>
      <c r="Z731" s="59"/>
      <c r="AA731" s="60"/>
      <c r="AB731" s="61"/>
      <c r="AC731" s="62"/>
      <c r="AD731" s="59"/>
      <c r="AE731" s="60"/>
      <c r="AF731" s="61"/>
      <c r="AG731" s="62"/>
      <c r="AH731" s="59"/>
      <c r="AI731" s="60"/>
      <c r="AJ731" s="61"/>
      <c r="AK731" s="62"/>
      <c r="AL731" s="59"/>
      <c r="AM731" s="60"/>
      <c r="AN731" s="61"/>
      <c r="AO731" s="62"/>
      <c r="AP731" s="59"/>
      <c r="AQ731" s="60"/>
      <c r="AR731" s="61"/>
      <c r="AS731" s="62"/>
      <c r="AT731" s="59"/>
      <c r="AU731" s="60"/>
      <c r="AV731" s="61"/>
      <c r="AW731" s="62"/>
      <c r="AX731" s="43">
        <f>SUM(E731:AW731)</f>
        <v>0</v>
      </c>
      <c r="AY731" s="44">
        <f>IFERROR(AVERAGEIF(E731:AW731,"&lt;&gt;0",(E731:AW731)),)</f>
        <v>0</v>
      </c>
      <c r="AZ731" s="45">
        <f>IFERROR(AY731/D731,0)</f>
        <v>0</v>
      </c>
      <c r="BA731" s="34"/>
      <c r="BB731" s="34"/>
      <c r="BC731" s="34"/>
      <c r="BD731" s="76"/>
      <c r="BE731" s="34"/>
      <c r="BF731" s="34"/>
      <c r="BG731" s="34"/>
      <c r="BH731" s="34"/>
    </row>
    <row r="732" spans="1:60" s="17" customFormat="1" ht="19.5" customHeight="1" thickBot="1" x14ac:dyDescent="0.45">
      <c r="A732" s="41">
        <f t="shared" si="641"/>
        <v>45441</v>
      </c>
      <c r="B732" s="139" t="str">
        <f>B727</f>
        <v>Etiket Hazırlama</v>
      </c>
      <c r="C732" s="140"/>
      <c r="D732" s="40">
        <f>C710/8</f>
        <v>500</v>
      </c>
      <c r="E732" s="151">
        <f>SUM(E727:H731)</f>
        <v>1236</v>
      </c>
      <c r="F732" s="152"/>
      <c r="G732" s="152"/>
      <c r="H732" s="153"/>
      <c r="I732" s="151">
        <f>SUM(I727:L731)</f>
        <v>390</v>
      </c>
      <c r="J732" s="152"/>
      <c r="K732" s="152"/>
      <c r="L732" s="153"/>
      <c r="M732" s="151">
        <f>SUM(M727:P731)</f>
        <v>405</v>
      </c>
      <c r="N732" s="152"/>
      <c r="O732" s="152"/>
      <c r="P732" s="153"/>
      <c r="Q732" s="151">
        <f>SUM(Q727:U731)</f>
        <v>475</v>
      </c>
      <c r="R732" s="152"/>
      <c r="S732" s="152"/>
      <c r="T732" s="152"/>
      <c r="U732" s="153"/>
      <c r="V732" s="151">
        <f>SUM(V727:Y731)</f>
        <v>130</v>
      </c>
      <c r="W732" s="152"/>
      <c r="X732" s="152"/>
      <c r="Y732" s="153"/>
      <c r="Z732" s="151">
        <f>SUM(Z727:AC731)</f>
        <v>0</v>
      </c>
      <c r="AA732" s="152"/>
      <c r="AB732" s="152"/>
      <c r="AC732" s="153"/>
      <c r="AD732" s="151">
        <f>SUM(AD727:AG731)</f>
        <v>0</v>
      </c>
      <c r="AE732" s="152"/>
      <c r="AF732" s="152"/>
      <c r="AG732" s="153"/>
      <c r="AH732" s="151">
        <f>SUM(AH727:AK731)</f>
        <v>295</v>
      </c>
      <c r="AI732" s="152"/>
      <c r="AJ732" s="152"/>
      <c r="AK732" s="153"/>
      <c r="AL732" s="151">
        <f>SUM(AL727:AO731)</f>
        <v>305</v>
      </c>
      <c r="AM732" s="152"/>
      <c r="AN732" s="152"/>
      <c r="AO732" s="153"/>
      <c r="AP732" s="151">
        <f>SUM(AP727:AS731)</f>
        <v>0</v>
      </c>
      <c r="AQ732" s="152"/>
      <c r="AR732" s="152"/>
      <c r="AS732" s="153"/>
      <c r="AT732" s="151">
        <f>SUM(AT727:AW731)</f>
        <v>0</v>
      </c>
      <c r="AU732" s="152"/>
      <c r="AV732" s="152"/>
      <c r="AW732" s="153"/>
      <c r="AX732" s="87">
        <f>SUM(AX727:AX731)</f>
        <v>3236</v>
      </c>
      <c r="AY732" s="88">
        <f>IFERROR(AVERAGEIF(E732:AV732,"&lt;&gt;0",(E732:AV732)),)</f>
        <v>462.28571428571428</v>
      </c>
      <c r="AZ732" s="46">
        <f>IFERROR(AX732/BB728,0)</f>
        <v>0.80900000000000005</v>
      </c>
      <c r="BA732" s="34"/>
      <c r="BB732" s="34"/>
      <c r="BC732" s="34"/>
      <c r="BD732" s="76"/>
      <c r="BE732" s="34"/>
      <c r="BF732" s="34"/>
      <c r="BG732" s="34"/>
      <c r="BH732" s="34"/>
    </row>
    <row r="733" spans="1:60" s="17" customFormat="1" ht="19.5" customHeight="1" thickBot="1" x14ac:dyDescent="0.4">
      <c r="A733" s="42">
        <f>A712</f>
        <v>45441</v>
      </c>
      <c r="B733" s="38" t="str">
        <f>B734</f>
        <v>Tela Yapıştırma</v>
      </c>
      <c r="C733" s="39" t="s">
        <v>180</v>
      </c>
      <c r="D733" s="69" t="s">
        <v>181</v>
      </c>
      <c r="E733" s="48">
        <v>0.34375</v>
      </c>
      <c r="F733" s="49">
        <v>0.35416666666666669</v>
      </c>
      <c r="G733" s="49">
        <v>0.36458333333333331</v>
      </c>
      <c r="H733" s="50">
        <v>0.375</v>
      </c>
      <c r="I733" s="48">
        <v>0.38541666666666702</v>
      </c>
      <c r="J733" s="49">
        <v>0.39583333333333298</v>
      </c>
      <c r="K733" s="49">
        <v>0.40625</v>
      </c>
      <c r="L733" s="50">
        <v>0.41666666666666702</v>
      </c>
      <c r="M733" s="48">
        <v>0.4375</v>
      </c>
      <c r="N733" s="49">
        <v>0.44791666666666702</v>
      </c>
      <c r="O733" s="49">
        <v>0.45833333333333398</v>
      </c>
      <c r="P733" s="50">
        <v>0.46875</v>
      </c>
      <c r="Q733" s="48">
        <v>0.47916666666666702</v>
      </c>
      <c r="R733" s="49">
        <v>0.48958333333333398</v>
      </c>
      <c r="S733" s="49">
        <v>0.5</v>
      </c>
      <c r="T733" s="50">
        <v>0.51041666666666696</v>
      </c>
      <c r="U733" s="51">
        <v>0.52083333333333204</v>
      </c>
      <c r="V733" s="48">
        <v>0.5625</v>
      </c>
      <c r="W733" s="49">
        <v>0.57291666666666663</v>
      </c>
      <c r="X733" s="49">
        <v>0.58333333333333304</v>
      </c>
      <c r="Y733" s="50">
        <v>0.59375</v>
      </c>
      <c r="Z733" s="48">
        <v>0.60416666666666696</v>
      </c>
      <c r="AA733" s="49">
        <v>0.61458333333333304</v>
      </c>
      <c r="AB733" s="49">
        <v>0.625</v>
      </c>
      <c r="AC733" s="50">
        <v>0.63541666666666596</v>
      </c>
      <c r="AD733" s="48">
        <v>0.65625</v>
      </c>
      <c r="AE733" s="49">
        <v>0.66666666666666663</v>
      </c>
      <c r="AF733" s="49">
        <v>0.67708333333333304</v>
      </c>
      <c r="AG733" s="50">
        <v>0.6875</v>
      </c>
      <c r="AH733" s="48">
        <v>0.69791666666666696</v>
      </c>
      <c r="AI733" s="49">
        <v>0.70833333333333304</v>
      </c>
      <c r="AJ733" s="49">
        <v>0.71875</v>
      </c>
      <c r="AK733" s="50">
        <v>0.72916666666666696</v>
      </c>
      <c r="AL733" s="48">
        <v>0.73958333333333404</v>
      </c>
      <c r="AM733" s="49">
        <v>0.750000000000001</v>
      </c>
      <c r="AN733" s="49">
        <v>0.76041666666666796</v>
      </c>
      <c r="AO733" s="50">
        <v>0.77083333333333504</v>
      </c>
      <c r="AP733" s="48">
        <v>0.781250000000002</v>
      </c>
      <c r="AQ733" s="49">
        <v>0.79166666666666896</v>
      </c>
      <c r="AR733" s="49">
        <v>0.80208333333333603</v>
      </c>
      <c r="AS733" s="50">
        <v>0.812500000000003</v>
      </c>
      <c r="AT733" s="48">
        <v>0.82291666666666996</v>
      </c>
      <c r="AU733" s="49">
        <v>0.83333333333333703</v>
      </c>
      <c r="AV733" s="49">
        <v>0.843750000000004</v>
      </c>
      <c r="AW733" s="50">
        <v>0.85416666666666663</v>
      </c>
      <c r="AX733" s="68" t="s">
        <v>260</v>
      </c>
      <c r="AY733" s="28" t="s">
        <v>261</v>
      </c>
      <c r="AZ733" s="29" t="s">
        <v>262</v>
      </c>
      <c r="BA733" s="136" t="str">
        <f>B734</f>
        <v>Tela Yapıştırma</v>
      </c>
      <c r="BB733" s="137"/>
      <c r="BC733" s="137"/>
      <c r="BD733" s="137"/>
      <c r="BE733" s="137"/>
      <c r="BF733" s="137"/>
      <c r="BG733" s="137"/>
      <c r="BH733" s="138"/>
    </row>
    <row r="734" spans="1:60" s="17" customFormat="1" ht="19.5" customHeight="1" thickBot="1" x14ac:dyDescent="0.4">
      <c r="A734" s="41">
        <f>A726</f>
        <v>45441</v>
      </c>
      <c r="B734" s="37" t="str">
        <f>B558</f>
        <v>Tela Yapıştırma</v>
      </c>
      <c r="C734" s="66" t="str">
        <f>C558</f>
        <v>AYŞE ADADA</v>
      </c>
      <c r="D734" s="70">
        <f>D558</f>
        <v>200</v>
      </c>
      <c r="E734" s="63"/>
      <c r="F734" s="55"/>
      <c r="G734" s="55"/>
      <c r="H734" s="56"/>
      <c r="I734" s="63"/>
      <c r="J734" s="55"/>
      <c r="K734" s="55"/>
      <c r="L734" s="56"/>
      <c r="M734" s="63"/>
      <c r="N734" s="55"/>
      <c r="O734" s="55"/>
      <c r="P734" s="56"/>
      <c r="Q734" s="63"/>
      <c r="R734" s="55"/>
      <c r="S734" s="55"/>
      <c r="T734" s="55"/>
      <c r="U734" s="56"/>
      <c r="V734" s="63"/>
      <c r="W734" s="55"/>
      <c r="X734" s="55"/>
      <c r="Y734" s="56"/>
      <c r="Z734" s="63"/>
      <c r="AA734" s="55"/>
      <c r="AB734" s="55"/>
      <c r="AC734" s="56"/>
      <c r="AD734" s="63"/>
      <c r="AE734" s="55"/>
      <c r="AF734" s="55"/>
      <c r="AG734" s="56"/>
      <c r="AH734" s="63"/>
      <c r="AI734" s="55"/>
      <c r="AJ734" s="55"/>
      <c r="AK734" s="56"/>
      <c r="AL734" s="63"/>
      <c r="AM734" s="55"/>
      <c r="AN734" s="55"/>
      <c r="AO734" s="56"/>
      <c r="AP734" s="63"/>
      <c r="AQ734" s="54"/>
      <c r="AR734" s="55"/>
      <c r="AS734" s="56"/>
      <c r="AT734" s="53"/>
      <c r="AU734" s="54"/>
      <c r="AV734" s="55"/>
      <c r="AW734" s="56"/>
      <c r="AX734" s="33">
        <f>SUM(E734:AW734)</f>
        <v>0</v>
      </c>
      <c r="AY734" s="31">
        <f>IFERROR(AVERAGEIF(E734:AW734,"&lt;&gt;0",(E734:AW734)),)</f>
        <v>0</v>
      </c>
      <c r="AZ734" s="30">
        <f>IFERROR(AY734/D734,0)</f>
        <v>0</v>
      </c>
      <c r="BA734" s="103" t="s">
        <v>182</v>
      </c>
      <c r="BB734" s="100" t="s">
        <v>183</v>
      </c>
      <c r="BC734" s="100" t="s">
        <v>184</v>
      </c>
      <c r="BD734" s="101" t="s">
        <v>185</v>
      </c>
      <c r="BE734" s="100" t="s">
        <v>186</v>
      </c>
      <c r="BF734" s="102" t="s">
        <v>187</v>
      </c>
      <c r="BG734" s="100" t="s">
        <v>188</v>
      </c>
      <c r="BH734" s="102" t="s">
        <v>189</v>
      </c>
    </row>
    <row r="735" spans="1:60" s="17" customFormat="1" ht="19.5" customHeight="1" thickBot="1" x14ac:dyDescent="0.4">
      <c r="A735" s="41">
        <f t="shared" ref="A735:B735" si="642">A734</f>
        <v>45441</v>
      </c>
      <c r="B735" s="37" t="str">
        <f t="shared" si="642"/>
        <v>Tela Yapıştırma</v>
      </c>
      <c r="C735" s="66">
        <f>C559</f>
        <v>0</v>
      </c>
      <c r="D735" s="67">
        <f>D734</f>
        <v>200</v>
      </c>
      <c r="E735" s="57"/>
      <c r="F735" s="52"/>
      <c r="G735" s="52"/>
      <c r="H735" s="58"/>
      <c r="I735" s="57"/>
      <c r="J735" s="52"/>
      <c r="K735" s="52"/>
      <c r="L735" s="58"/>
      <c r="M735" s="57"/>
      <c r="N735" s="52"/>
      <c r="O735" s="52"/>
      <c r="P735" s="58"/>
      <c r="Q735" s="57"/>
      <c r="R735" s="52"/>
      <c r="S735" s="52"/>
      <c r="T735" s="52"/>
      <c r="U735" s="58"/>
      <c r="V735" s="57"/>
      <c r="W735" s="52"/>
      <c r="X735" s="52"/>
      <c r="Y735" s="58"/>
      <c r="Z735" s="57"/>
      <c r="AA735" s="52"/>
      <c r="AB735" s="52"/>
      <c r="AC735" s="58"/>
      <c r="AD735" s="57"/>
      <c r="AE735" s="52"/>
      <c r="AF735" s="52"/>
      <c r="AG735" s="58"/>
      <c r="AH735" s="57"/>
      <c r="AI735" s="52"/>
      <c r="AJ735" s="52"/>
      <c r="AK735" s="58"/>
      <c r="AL735" s="57"/>
      <c r="AM735" s="52"/>
      <c r="AN735" s="52"/>
      <c r="AO735" s="58"/>
      <c r="AP735" s="57"/>
      <c r="AQ735" s="52"/>
      <c r="AR735" s="52"/>
      <c r="AS735" s="58"/>
      <c r="AT735" s="57"/>
      <c r="AU735" s="52"/>
      <c r="AV735" s="52"/>
      <c r="AW735" s="58"/>
      <c r="AX735" s="33">
        <f>SUM(E735:AW735)</f>
        <v>0</v>
      </c>
      <c r="AY735" s="31">
        <f>IFERROR(AVERAGEIF(E735:AW735,"&lt;&gt;0",(E735:AW735)),)</f>
        <v>0</v>
      </c>
      <c r="AZ735" s="30">
        <f>IFERROR(AY735/D735,0)</f>
        <v>0</v>
      </c>
      <c r="BA735" s="94">
        <f>AX739+BA559</f>
        <v>0</v>
      </c>
      <c r="BB735" s="95">
        <f>(D739*8)</f>
        <v>4000</v>
      </c>
      <c r="BC735" s="96">
        <f>C709-BA735</f>
        <v>42311</v>
      </c>
      <c r="BD735" s="96">
        <f>BC735</f>
        <v>42311</v>
      </c>
      <c r="BE735" s="97">
        <f>IFERROR(BC735/E739,0)</f>
        <v>0</v>
      </c>
      <c r="BF735" s="98">
        <f>IFERROR(BE735/9,0)</f>
        <v>0</v>
      </c>
      <c r="BG735" s="97">
        <f>IFERROR(BC735/AY739,0)</f>
        <v>0</v>
      </c>
      <c r="BH735" s="97">
        <f>IFERROR(BG735/9,0)</f>
        <v>0</v>
      </c>
    </row>
    <row r="736" spans="1:60" s="17" customFormat="1" ht="19.5" customHeight="1" x14ac:dyDescent="0.35">
      <c r="A736" s="41">
        <f t="shared" ref="A736:B736" si="643">A735</f>
        <v>45441</v>
      </c>
      <c r="B736" s="37" t="str">
        <f t="shared" si="643"/>
        <v>Tela Yapıştırma</v>
      </c>
      <c r="C736" s="66">
        <f>C560</f>
        <v>0</v>
      </c>
      <c r="D736" s="67">
        <f>D735</f>
        <v>200</v>
      </c>
      <c r="E736" s="57"/>
      <c r="F736" s="52"/>
      <c r="G736" s="52"/>
      <c r="H736" s="58"/>
      <c r="I736" s="57"/>
      <c r="J736" s="52"/>
      <c r="K736" s="52"/>
      <c r="L736" s="58"/>
      <c r="M736" s="57"/>
      <c r="N736" s="52"/>
      <c r="O736" s="52"/>
      <c r="P736" s="58"/>
      <c r="Q736" s="57"/>
      <c r="R736" s="52"/>
      <c r="S736" s="52"/>
      <c r="T736" s="52"/>
      <c r="U736" s="58"/>
      <c r="V736" s="57"/>
      <c r="W736" s="52"/>
      <c r="X736" s="52"/>
      <c r="Y736" s="58"/>
      <c r="Z736" s="57"/>
      <c r="AA736" s="52"/>
      <c r="AB736" s="52"/>
      <c r="AC736" s="58"/>
      <c r="AD736" s="57"/>
      <c r="AE736" s="52"/>
      <c r="AF736" s="52"/>
      <c r="AG736" s="58"/>
      <c r="AH736" s="57"/>
      <c r="AI736" s="52"/>
      <c r="AJ736" s="52"/>
      <c r="AK736" s="58"/>
      <c r="AL736" s="57"/>
      <c r="AM736" s="52"/>
      <c r="AN736" s="52"/>
      <c r="AO736" s="58"/>
      <c r="AP736" s="57"/>
      <c r="AQ736" s="52"/>
      <c r="AR736" s="52"/>
      <c r="AS736" s="58"/>
      <c r="AT736" s="57"/>
      <c r="AU736" s="52"/>
      <c r="AV736" s="52"/>
      <c r="AW736" s="58"/>
      <c r="AX736" s="33">
        <f>SUM(E736:AW736)</f>
        <v>0</v>
      </c>
      <c r="AY736" s="31">
        <f>IFERROR(AVERAGEIF(E736:AW736,"&lt;&gt;0",(E736:AW736)),)</f>
        <v>0</v>
      </c>
      <c r="AZ736" s="30">
        <f>IFERROR(AY736/D736,0)</f>
        <v>0</v>
      </c>
      <c r="BA736" s="34"/>
      <c r="BB736" s="34"/>
      <c r="BC736" s="34"/>
      <c r="BD736" s="76"/>
      <c r="BE736" s="34"/>
      <c r="BF736" s="34"/>
      <c r="BG736" s="34"/>
      <c r="BH736" s="34"/>
    </row>
    <row r="737" spans="1:60" s="17" customFormat="1" ht="19.5" customHeight="1" x14ac:dyDescent="0.35">
      <c r="A737" s="41">
        <f t="shared" ref="A737:B737" si="644">A736</f>
        <v>45441</v>
      </c>
      <c r="B737" s="37" t="str">
        <f t="shared" si="644"/>
        <v>Tela Yapıştırma</v>
      </c>
      <c r="C737" s="66">
        <f>C561</f>
        <v>0</v>
      </c>
      <c r="D737" s="67">
        <f>D736</f>
        <v>200</v>
      </c>
      <c r="E737" s="57"/>
      <c r="F737" s="52"/>
      <c r="G737" s="52"/>
      <c r="H737" s="58"/>
      <c r="I737" s="57"/>
      <c r="J737" s="52"/>
      <c r="K737" s="52"/>
      <c r="L737" s="58"/>
      <c r="M737" s="57"/>
      <c r="N737" s="52"/>
      <c r="O737" s="52"/>
      <c r="P737" s="58"/>
      <c r="Q737" s="57"/>
      <c r="R737" s="52"/>
      <c r="S737" s="52"/>
      <c r="T737" s="52"/>
      <c r="U737" s="58"/>
      <c r="V737" s="57"/>
      <c r="W737" s="52"/>
      <c r="X737" s="52"/>
      <c r="Y737" s="58"/>
      <c r="Z737" s="57"/>
      <c r="AA737" s="52"/>
      <c r="AB737" s="52"/>
      <c r="AC737" s="58"/>
      <c r="AD737" s="57"/>
      <c r="AE737" s="52"/>
      <c r="AF737" s="52"/>
      <c r="AG737" s="58"/>
      <c r="AH737" s="57"/>
      <c r="AI737" s="52"/>
      <c r="AJ737" s="52"/>
      <c r="AK737" s="58"/>
      <c r="AL737" s="57"/>
      <c r="AM737" s="52"/>
      <c r="AN737" s="52"/>
      <c r="AO737" s="58"/>
      <c r="AP737" s="57"/>
      <c r="AQ737" s="52"/>
      <c r="AR737" s="52"/>
      <c r="AS737" s="58"/>
      <c r="AT737" s="57"/>
      <c r="AU737" s="52"/>
      <c r="AV737" s="52"/>
      <c r="AW737" s="58"/>
      <c r="AX737" s="33">
        <f>SUM(E737:AW737)</f>
        <v>0</v>
      </c>
      <c r="AY737" s="31">
        <f>IFERROR(AVERAGEIF(E737:AW737,"&lt;&gt;0",(E737:AW737)),)</f>
        <v>0</v>
      </c>
      <c r="AZ737" s="30">
        <f>IFERROR(AY737/D737,0)</f>
        <v>0</v>
      </c>
      <c r="BA737" s="34"/>
      <c r="BB737" s="34"/>
      <c r="BC737" s="34"/>
      <c r="BD737" s="76"/>
      <c r="BE737" s="34"/>
      <c r="BF737" s="34"/>
      <c r="BG737" s="34"/>
      <c r="BH737" s="34"/>
    </row>
    <row r="738" spans="1:60" s="17" customFormat="1" ht="19.5" customHeight="1" thickBot="1" x14ac:dyDescent="0.4">
      <c r="A738" s="41">
        <f t="shared" ref="A738:B738" si="645">A737</f>
        <v>45441</v>
      </c>
      <c r="B738" s="37" t="str">
        <f t="shared" si="645"/>
        <v>Tela Yapıştırma</v>
      </c>
      <c r="C738" s="66">
        <f>C562</f>
        <v>0</v>
      </c>
      <c r="D738" s="67">
        <f>D737</f>
        <v>200</v>
      </c>
      <c r="E738" s="64"/>
      <c r="F738" s="61"/>
      <c r="G738" s="61"/>
      <c r="H738" s="62"/>
      <c r="I738" s="64"/>
      <c r="J738" s="61"/>
      <c r="K738" s="61"/>
      <c r="L738" s="62"/>
      <c r="M738" s="64"/>
      <c r="N738" s="61"/>
      <c r="O738" s="61"/>
      <c r="P738" s="62"/>
      <c r="Q738" s="64"/>
      <c r="R738" s="61"/>
      <c r="S738" s="61"/>
      <c r="T738" s="61"/>
      <c r="U738" s="62"/>
      <c r="V738" s="64"/>
      <c r="W738" s="61"/>
      <c r="X738" s="61"/>
      <c r="Y738" s="62"/>
      <c r="Z738" s="59"/>
      <c r="AA738" s="60"/>
      <c r="AB738" s="61"/>
      <c r="AC738" s="62"/>
      <c r="AD738" s="59"/>
      <c r="AE738" s="60"/>
      <c r="AF738" s="61"/>
      <c r="AG738" s="62"/>
      <c r="AH738" s="59"/>
      <c r="AI738" s="60"/>
      <c r="AJ738" s="61"/>
      <c r="AK738" s="62"/>
      <c r="AL738" s="59"/>
      <c r="AM738" s="60"/>
      <c r="AN738" s="61"/>
      <c r="AO738" s="62"/>
      <c r="AP738" s="59"/>
      <c r="AQ738" s="60"/>
      <c r="AR738" s="61"/>
      <c r="AS738" s="62"/>
      <c r="AT738" s="59"/>
      <c r="AU738" s="60"/>
      <c r="AV738" s="61"/>
      <c r="AW738" s="62"/>
      <c r="AX738" s="43">
        <f>SUM(E738:AW738)</f>
        <v>0</v>
      </c>
      <c r="AY738" s="44">
        <f>IFERROR(AVERAGEIF(E738:AW738,"&lt;&gt;0",(E738:AW738)),)</f>
        <v>0</v>
      </c>
      <c r="AZ738" s="45">
        <f>IFERROR(AY738/D738,0)</f>
        <v>0</v>
      </c>
      <c r="BA738" s="34"/>
      <c r="BB738" s="34"/>
      <c r="BC738" s="34"/>
      <c r="BD738" s="76"/>
      <c r="BE738" s="34"/>
      <c r="BF738" s="34"/>
      <c r="BG738" s="34"/>
      <c r="BH738" s="34"/>
    </row>
    <row r="739" spans="1:60" s="17" customFormat="1" ht="19.5" customHeight="1" thickBot="1" x14ac:dyDescent="0.45">
      <c r="A739" s="41">
        <f>A738</f>
        <v>45441</v>
      </c>
      <c r="B739" s="139" t="str">
        <f>B734</f>
        <v>Tela Yapıştırma</v>
      </c>
      <c r="C739" s="140"/>
      <c r="D739" s="40">
        <f>C710/8</f>
        <v>500</v>
      </c>
      <c r="E739" s="151">
        <f>SUM(E734:H738)</f>
        <v>0</v>
      </c>
      <c r="F739" s="152"/>
      <c r="G739" s="152"/>
      <c r="H739" s="153"/>
      <c r="I739" s="151">
        <f>SUM(I734:L738)</f>
        <v>0</v>
      </c>
      <c r="J739" s="152"/>
      <c r="K739" s="152"/>
      <c r="L739" s="153"/>
      <c r="M739" s="151">
        <f>SUM(M734:P738)</f>
        <v>0</v>
      </c>
      <c r="N739" s="152"/>
      <c r="O739" s="152"/>
      <c r="P739" s="153"/>
      <c r="Q739" s="151">
        <f>SUM(Q734:U738)</f>
        <v>0</v>
      </c>
      <c r="R739" s="152"/>
      <c r="S739" s="152"/>
      <c r="T739" s="152"/>
      <c r="U739" s="153"/>
      <c r="V739" s="151">
        <f>SUM(V734:Y738)</f>
        <v>0</v>
      </c>
      <c r="W739" s="152"/>
      <c r="X739" s="152"/>
      <c r="Y739" s="153"/>
      <c r="Z739" s="151">
        <f>SUM(Z734:AC738)</f>
        <v>0</v>
      </c>
      <c r="AA739" s="152"/>
      <c r="AB739" s="152"/>
      <c r="AC739" s="153"/>
      <c r="AD739" s="151">
        <f>SUM(AD734:AG738)</f>
        <v>0</v>
      </c>
      <c r="AE739" s="152"/>
      <c r="AF739" s="152"/>
      <c r="AG739" s="153"/>
      <c r="AH739" s="151">
        <f>SUM(AH734:AK738)</f>
        <v>0</v>
      </c>
      <c r="AI739" s="152"/>
      <c r="AJ739" s="152"/>
      <c r="AK739" s="153"/>
      <c r="AL739" s="151">
        <f>SUM(AL734:AO738)</f>
        <v>0</v>
      </c>
      <c r="AM739" s="152"/>
      <c r="AN739" s="152"/>
      <c r="AO739" s="153"/>
      <c r="AP739" s="151">
        <f>SUM(AP734:AS738)</f>
        <v>0</v>
      </c>
      <c r="AQ739" s="152"/>
      <c r="AR739" s="152"/>
      <c r="AS739" s="153"/>
      <c r="AT739" s="151">
        <f>SUM(AT734:AW738)</f>
        <v>0</v>
      </c>
      <c r="AU739" s="152"/>
      <c r="AV739" s="152"/>
      <c r="AW739" s="153"/>
      <c r="AX739" s="87">
        <f>SUM(AX734:AX738)</f>
        <v>0</v>
      </c>
      <c r="AY739" s="88">
        <f>IFERROR(AVERAGEIF(E739:AV739,"&lt;&gt;0",(E739:AV739)),)</f>
        <v>0</v>
      </c>
      <c r="AZ739" s="46">
        <f>IFERROR(AX739/BB735,0)</f>
        <v>0</v>
      </c>
      <c r="BA739" s="34"/>
      <c r="BB739" s="34"/>
      <c r="BC739" s="34"/>
      <c r="BD739" s="76"/>
      <c r="BE739" s="34"/>
      <c r="BF739" s="34"/>
      <c r="BG739" s="34"/>
      <c r="BH739" s="34"/>
    </row>
    <row r="740" spans="1:60" s="17" customFormat="1" ht="19.5" customHeight="1" thickBot="1" x14ac:dyDescent="0.4">
      <c r="A740" s="42">
        <f>A726</f>
        <v>45441</v>
      </c>
      <c r="B740" s="38">
        <f>B741</f>
        <v>0</v>
      </c>
      <c r="C740" s="39" t="s">
        <v>180</v>
      </c>
      <c r="D740" s="69" t="s">
        <v>181</v>
      </c>
      <c r="E740" s="48">
        <v>0.34375</v>
      </c>
      <c r="F740" s="49">
        <v>0.35416666666666669</v>
      </c>
      <c r="G740" s="49">
        <v>0.36458333333333331</v>
      </c>
      <c r="H740" s="50">
        <v>0.375</v>
      </c>
      <c r="I740" s="48">
        <v>0.38541666666666702</v>
      </c>
      <c r="J740" s="49">
        <v>0.39583333333333298</v>
      </c>
      <c r="K740" s="49">
        <v>0.40625</v>
      </c>
      <c r="L740" s="50">
        <v>0.41666666666666702</v>
      </c>
      <c r="M740" s="48">
        <v>0.4375</v>
      </c>
      <c r="N740" s="49">
        <v>0.44791666666666702</v>
      </c>
      <c r="O740" s="49">
        <v>0.45833333333333398</v>
      </c>
      <c r="P740" s="50">
        <v>0.46875</v>
      </c>
      <c r="Q740" s="48">
        <v>0.47916666666666702</v>
      </c>
      <c r="R740" s="49">
        <v>0.48958333333333398</v>
      </c>
      <c r="S740" s="49">
        <v>0.5</v>
      </c>
      <c r="T740" s="50">
        <v>0.51041666666666696</v>
      </c>
      <c r="U740" s="51">
        <v>0.52083333333333204</v>
      </c>
      <c r="V740" s="48">
        <v>0.5625</v>
      </c>
      <c r="W740" s="49">
        <v>0.57291666666666663</v>
      </c>
      <c r="X740" s="49">
        <v>0.58333333333333304</v>
      </c>
      <c r="Y740" s="50">
        <v>0.59375</v>
      </c>
      <c r="Z740" s="48">
        <v>0.60416666666666696</v>
      </c>
      <c r="AA740" s="49">
        <v>0.61458333333333304</v>
      </c>
      <c r="AB740" s="49">
        <v>0.625</v>
      </c>
      <c r="AC740" s="50">
        <v>0.63541666666666596</v>
      </c>
      <c r="AD740" s="48">
        <v>0.65625</v>
      </c>
      <c r="AE740" s="49">
        <v>0.66666666666666663</v>
      </c>
      <c r="AF740" s="49">
        <v>0.67708333333333304</v>
      </c>
      <c r="AG740" s="50">
        <v>0.6875</v>
      </c>
      <c r="AH740" s="48">
        <v>0.69791666666666696</v>
      </c>
      <c r="AI740" s="49">
        <v>0.70833333333333304</v>
      </c>
      <c r="AJ740" s="49">
        <v>0.71875</v>
      </c>
      <c r="AK740" s="50">
        <v>0.72916666666666696</v>
      </c>
      <c r="AL740" s="48">
        <v>0.73958333333333404</v>
      </c>
      <c r="AM740" s="49">
        <v>0.750000000000001</v>
      </c>
      <c r="AN740" s="49">
        <v>0.76041666666666796</v>
      </c>
      <c r="AO740" s="50">
        <v>0.77083333333333504</v>
      </c>
      <c r="AP740" s="48">
        <v>0.781250000000002</v>
      </c>
      <c r="AQ740" s="49">
        <v>0.79166666666666896</v>
      </c>
      <c r="AR740" s="49">
        <v>0.80208333333333603</v>
      </c>
      <c r="AS740" s="50">
        <v>0.812500000000003</v>
      </c>
      <c r="AT740" s="48">
        <v>0.82291666666666996</v>
      </c>
      <c r="AU740" s="49">
        <v>0.83333333333333703</v>
      </c>
      <c r="AV740" s="49">
        <v>0.843750000000004</v>
      </c>
      <c r="AW740" s="50">
        <v>0.85416666666666663</v>
      </c>
      <c r="AX740" s="68" t="s">
        <v>260</v>
      </c>
      <c r="AY740" s="28" t="s">
        <v>261</v>
      </c>
      <c r="AZ740" s="29" t="s">
        <v>262</v>
      </c>
      <c r="BA740" s="136">
        <f>B741</f>
        <v>0</v>
      </c>
      <c r="BB740" s="137"/>
      <c r="BC740" s="137"/>
      <c r="BD740" s="137"/>
      <c r="BE740" s="137"/>
      <c r="BF740" s="137"/>
      <c r="BG740" s="137"/>
      <c r="BH740" s="138"/>
    </row>
    <row r="741" spans="1:60" s="17" customFormat="1" ht="19.5" customHeight="1" thickBot="1" x14ac:dyDescent="0.4">
      <c r="A741" s="41">
        <f>A733</f>
        <v>45441</v>
      </c>
      <c r="B741" s="37">
        <f>B565</f>
        <v>0</v>
      </c>
      <c r="C741" s="66">
        <f>C565</f>
        <v>0</v>
      </c>
      <c r="D741" s="70">
        <f>D565</f>
        <v>200</v>
      </c>
      <c r="E741" s="63"/>
      <c r="F741" s="55"/>
      <c r="G741" s="55"/>
      <c r="H741" s="56"/>
      <c r="I741" s="63"/>
      <c r="J741" s="55"/>
      <c r="K741" s="55"/>
      <c r="L741" s="56"/>
      <c r="M741" s="63"/>
      <c r="N741" s="55"/>
      <c r="O741" s="55"/>
      <c r="P741" s="56"/>
      <c r="Q741" s="63"/>
      <c r="R741" s="55"/>
      <c r="S741" s="55"/>
      <c r="T741" s="55"/>
      <c r="U741" s="56"/>
      <c r="V741" s="63"/>
      <c r="W741" s="55"/>
      <c r="X741" s="55"/>
      <c r="Y741" s="56"/>
      <c r="Z741" s="63"/>
      <c r="AA741" s="55"/>
      <c r="AB741" s="55"/>
      <c r="AC741" s="56"/>
      <c r="AD741" s="63"/>
      <c r="AE741" s="55"/>
      <c r="AF741" s="55"/>
      <c r="AG741" s="56"/>
      <c r="AH741" s="63"/>
      <c r="AI741" s="55"/>
      <c r="AJ741" s="55"/>
      <c r="AK741" s="56"/>
      <c r="AL741" s="63"/>
      <c r="AM741" s="55"/>
      <c r="AN741" s="55"/>
      <c r="AO741" s="56"/>
      <c r="AP741" s="63"/>
      <c r="AQ741" s="54"/>
      <c r="AR741" s="55"/>
      <c r="AS741" s="56"/>
      <c r="AT741" s="53"/>
      <c r="AU741" s="54"/>
      <c r="AV741" s="55"/>
      <c r="AW741" s="56"/>
      <c r="AX741" s="33">
        <f>SUM(E741:AW741)</f>
        <v>0</v>
      </c>
      <c r="AY741" s="31">
        <f>IFERROR(AVERAGEIF(E741:AW741,"&lt;&gt;0",(E741:AW741)),)</f>
        <v>0</v>
      </c>
      <c r="AZ741" s="30">
        <f>IFERROR(AY741/D741,0)</f>
        <v>0</v>
      </c>
      <c r="BA741" s="103" t="s">
        <v>182</v>
      </c>
      <c r="BB741" s="100" t="s">
        <v>183</v>
      </c>
      <c r="BC741" s="100" t="s">
        <v>184</v>
      </c>
      <c r="BD741" s="101" t="s">
        <v>185</v>
      </c>
      <c r="BE741" s="100" t="s">
        <v>186</v>
      </c>
      <c r="BF741" s="102" t="s">
        <v>187</v>
      </c>
      <c r="BG741" s="100" t="s">
        <v>188</v>
      </c>
      <c r="BH741" s="102" t="s">
        <v>189</v>
      </c>
    </row>
    <row r="742" spans="1:60" s="17" customFormat="1" ht="19.5" customHeight="1" thickBot="1" x14ac:dyDescent="0.4">
      <c r="A742" s="41">
        <f t="shared" ref="A742:B742" si="646">A741</f>
        <v>45441</v>
      </c>
      <c r="B742" s="37">
        <f t="shared" si="646"/>
        <v>0</v>
      </c>
      <c r="C742" s="66">
        <f>C566</f>
        <v>0</v>
      </c>
      <c r="D742" s="67">
        <f>D741</f>
        <v>200</v>
      </c>
      <c r="E742" s="57"/>
      <c r="F742" s="52"/>
      <c r="G742" s="52"/>
      <c r="H742" s="58"/>
      <c r="I742" s="57"/>
      <c r="J742" s="52"/>
      <c r="K742" s="52"/>
      <c r="L742" s="58"/>
      <c r="M742" s="57"/>
      <c r="N742" s="52"/>
      <c r="O742" s="52"/>
      <c r="P742" s="58"/>
      <c r="Q742" s="57"/>
      <c r="R742" s="52"/>
      <c r="S742" s="52"/>
      <c r="T742" s="52"/>
      <c r="U742" s="58"/>
      <c r="V742" s="57"/>
      <c r="W742" s="52"/>
      <c r="X742" s="52"/>
      <c r="Y742" s="58"/>
      <c r="Z742" s="57"/>
      <c r="AA742" s="52"/>
      <c r="AB742" s="52"/>
      <c r="AC742" s="58"/>
      <c r="AD742" s="57"/>
      <c r="AE742" s="52"/>
      <c r="AF742" s="52"/>
      <c r="AG742" s="58"/>
      <c r="AH742" s="57"/>
      <c r="AI742" s="52"/>
      <c r="AJ742" s="52"/>
      <c r="AK742" s="58"/>
      <c r="AL742" s="57"/>
      <c r="AM742" s="52"/>
      <c r="AN742" s="52"/>
      <c r="AO742" s="58"/>
      <c r="AP742" s="57"/>
      <c r="AQ742" s="52"/>
      <c r="AR742" s="52"/>
      <c r="AS742" s="58"/>
      <c r="AT742" s="57"/>
      <c r="AU742" s="52"/>
      <c r="AV742" s="52"/>
      <c r="AW742" s="58"/>
      <c r="AX742" s="33">
        <f>SUM(E742:AW742)</f>
        <v>0</v>
      </c>
      <c r="AY742" s="31">
        <f>IFERROR(AVERAGEIF(E742:AW742,"&lt;&gt;0",(E742:AW742)),)</f>
        <v>0</v>
      </c>
      <c r="AZ742" s="30">
        <f>IFERROR(AY742/D742,0)</f>
        <v>0</v>
      </c>
      <c r="BA742" s="94">
        <f>AX746+BA566</f>
        <v>0</v>
      </c>
      <c r="BB742" s="95">
        <f>(D746*8)</f>
        <v>4000</v>
      </c>
      <c r="BC742" s="96">
        <f>C709-BA742</f>
        <v>42311</v>
      </c>
      <c r="BD742" s="96">
        <f>BA735-BA742</f>
        <v>0</v>
      </c>
      <c r="BE742" s="97">
        <f>IFERROR(BC742/E746,0)</f>
        <v>0</v>
      </c>
      <c r="BF742" s="98">
        <f>IFERROR(BE742/9,0)</f>
        <v>0</v>
      </c>
      <c r="BG742" s="97">
        <f>IFERROR(BC742/AY746,0)</f>
        <v>0</v>
      </c>
      <c r="BH742" s="97">
        <f>IFERROR(BG742/9,0)</f>
        <v>0</v>
      </c>
    </row>
    <row r="743" spans="1:60" s="17" customFormat="1" ht="19.5" customHeight="1" x14ac:dyDescent="0.35">
      <c r="A743" s="41">
        <f t="shared" ref="A743:B743" si="647">A742</f>
        <v>45441</v>
      </c>
      <c r="B743" s="37">
        <f t="shared" si="647"/>
        <v>0</v>
      </c>
      <c r="C743" s="66">
        <f>C567</f>
        <v>0</v>
      </c>
      <c r="D743" s="67">
        <f>D742</f>
        <v>200</v>
      </c>
      <c r="E743" s="57"/>
      <c r="F743" s="52"/>
      <c r="G743" s="52"/>
      <c r="H743" s="58"/>
      <c r="I743" s="57"/>
      <c r="J743" s="52"/>
      <c r="K743" s="52"/>
      <c r="L743" s="58"/>
      <c r="M743" s="57"/>
      <c r="N743" s="52"/>
      <c r="O743" s="52"/>
      <c r="P743" s="58"/>
      <c r="Q743" s="57"/>
      <c r="R743" s="52"/>
      <c r="S743" s="52"/>
      <c r="T743" s="52"/>
      <c r="U743" s="58"/>
      <c r="V743" s="57"/>
      <c r="W743" s="52"/>
      <c r="X743" s="52"/>
      <c r="Y743" s="58"/>
      <c r="Z743" s="57"/>
      <c r="AA743" s="52"/>
      <c r="AB743" s="52"/>
      <c r="AC743" s="58"/>
      <c r="AD743" s="57"/>
      <c r="AE743" s="52"/>
      <c r="AF743" s="52"/>
      <c r="AG743" s="58"/>
      <c r="AH743" s="57"/>
      <c r="AI743" s="52"/>
      <c r="AJ743" s="52"/>
      <c r="AK743" s="58"/>
      <c r="AL743" s="57"/>
      <c r="AM743" s="52"/>
      <c r="AN743" s="52"/>
      <c r="AO743" s="58"/>
      <c r="AP743" s="57"/>
      <c r="AQ743" s="52"/>
      <c r="AR743" s="52"/>
      <c r="AS743" s="58"/>
      <c r="AT743" s="57"/>
      <c r="AU743" s="52"/>
      <c r="AV743" s="52"/>
      <c r="AW743" s="58"/>
      <c r="AX743" s="33">
        <f>SUM(E743:AW743)</f>
        <v>0</v>
      </c>
      <c r="AY743" s="31">
        <f>IFERROR(AVERAGEIF(E743:AW743,"&lt;&gt;0",(E743:AW743)),)</f>
        <v>0</v>
      </c>
      <c r="AZ743" s="30">
        <f>IFERROR(AY743/D743,0)</f>
        <v>0</v>
      </c>
      <c r="BA743" s="34"/>
      <c r="BB743" s="34"/>
      <c r="BC743" s="34"/>
      <c r="BD743" s="76"/>
      <c r="BE743" s="34"/>
      <c r="BF743" s="34"/>
      <c r="BG743" s="34"/>
      <c r="BH743" s="34"/>
    </row>
    <row r="744" spans="1:60" s="17" customFormat="1" ht="19.5" customHeight="1" x14ac:dyDescent="0.35">
      <c r="A744" s="41">
        <f t="shared" ref="A744:B744" si="648">A743</f>
        <v>45441</v>
      </c>
      <c r="B744" s="37">
        <f t="shared" si="648"/>
        <v>0</v>
      </c>
      <c r="C744" s="66">
        <f>C568</f>
        <v>0</v>
      </c>
      <c r="D744" s="67">
        <f>D743</f>
        <v>200</v>
      </c>
      <c r="E744" s="57"/>
      <c r="F744" s="52"/>
      <c r="G744" s="52"/>
      <c r="H744" s="58"/>
      <c r="I744" s="57"/>
      <c r="J744" s="52"/>
      <c r="K744" s="52"/>
      <c r="L744" s="58"/>
      <c r="M744" s="57"/>
      <c r="N744" s="52"/>
      <c r="O744" s="52"/>
      <c r="P744" s="58"/>
      <c r="Q744" s="57"/>
      <c r="R744" s="52"/>
      <c r="S744" s="52"/>
      <c r="T744" s="52"/>
      <c r="U744" s="58"/>
      <c r="V744" s="57"/>
      <c r="W744" s="52"/>
      <c r="X744" s="52"/>
      <c r="Y744" s="58"/>
      <c r="Z744" s="57"/>
      <c r="AA744" s="52"/>
      <c r="AB744" s="52"/>
      <c r="AC744" s="58"/>
      <c r="AD744" s="57"/>
      <c r="AE744" s="52"/>
      <c r="AF744" s="52"/>
      <c r="AG744" s="58"/>
      <c r="AH744" s="57"/>
      <c r="AI744" s="52"/>
      <c r="AJ744" s="52"/>
      <c r="AK744" s="58"/>
      <c r="AL744" s="57"/>
      <c r="AM744" s="52"/>
      <c r="AN744" s="52"/>
      <c r="AO744" s="58"/>
      <c r="AP744" s="57"/>
      <c r="AQ744" s="52"/>
      <c r="AR744" s="52"/>
      <c r="AS744" s="58"/>
      <c r="AT744" s="57"/>
      <c r="AU744" s="52"/>
      <c r="AV744" s="52"/>
      <c r="AW744" s="58"/>
      <c r="AX744" s="33">
        <f>SUM(E744:AW744)</f>
        <v>0</v>
      </c>
      <c r="AY744" s="31">
        <f>IFERROR(AVERAGEIF(E744:AW744,"&lt;&gt;0",(E744:AW744)),)</f>
        <v>0</v>
      </c>
      <c r="AZ744" s="30">
        <f>IFERROR(AY744/D744,0)</f>
        <v>0</v>
      </c>
      <c r="BA744" s="34"/>
      <c r="BB744" s="34"/>
      <c r="BC744" s="34"/>
      <c r="BD744" s="76"/>
      <c r="BE744" s="34"/>
      <c r="BF744" s="34"/>
      <c r="BG744" s="34"/>
      <c r="BH744" s="34"/>
    </row>
    <row r="745" spans="1:60" s="17" customFormat="1" ht="19.5" customHeight="1" thickBot="1" x14ac:dyDescent="0.4">
      <c r="A745" s="41">
        <f t="shared" ref="A745:B745" si="649">A744</f>
        <v>45441</v>
      </c>
      <c r="B745" s="37">
        <f t="shared" si="649"/>
        <v>0</v>
      </c>
      <c r="C745" s="66">
        <f>C569</f>
        <v>0</v>
      </c>
      <c r="D745" s="67">
        <f>D744</f>
        <v>200</v>
      </c>
      <c r="E745" s="64"/>
      <c r="F745" s="61"/>
      <c r="G745" s="61"/>
      <c r="H745" s="62"/>
      <c r="I745" s="64"/>
      <c r="J745" s="61"/>
      <c r="K745" s="61"/>
      <c r="L745" s="62"/>
      <c r="M745" s="64"/>
      <c r="N745" s="61"/>
      <c r="O745" s="61"/>
      <c r="P745" s="62"/>
      <c r="Q745" s="64"/>
      <c r="R745" s="61"/>
      <c r="S745" s="61"/>
      <c r="T745" s="61"/>
      <c r="U745" s="62"/>
      <c r="V745" s="64"/>
      <c r="W745" s="61"/>
      <c r="X745" s="61"/>
      <c r="Y745" s="62"/>
      <c r="Z745" s="59"/>
      <c r="AA745" s="60"/>
      <c r="AB745" s="61"/>
      <c r="AC745" s="62"/>
      <c r="AD745" s="59"/>
      <c r="AE745" s="60"/>
      <c r="AF745" s="61"/>
      <c r="AG745" s="62"/>
      <c r="AH745" s="59"/>
      <c r="AI745" s="60"/>
      <c r="AJ745" s="61"/>
      <c r="AK745" s="62"/>
      <c r="AL745" s="59"/>
      <c r="AM745" s="60"/>
      <c r="AN745" s="61"/>
      <c r="AO745" s="62"/>
      <c r="AP745" s="59"/>
      <c r="AQ745" s="60"/>
      <c r="AR745" s="61"/>
      <c r="AS745" s="62"/>
      <c r="AT745" s="59"/>
      <c r="AU745" s="60"/>
      <c r="AV745" s="61"/>
      <c r="AW745" s="62"/>
      <c r="AX745" s="43">
        <f>SUM(E745:AW745)</f>
        <v>0</v>
      </c>
      <c r="AY745" s="44">
        <f>IFERROR(AVERAGEIF(E745:AW745,"&lt;&gt;0",(E745:AW745)),)</f>
        <v>0</v>
      </c>
      <c r="AZ745" s="45">
        <f>IFERROR(AY745/D745,0)</f>
        <v>0</v>
      </c>
      <c r="BA745" s="34"/>
      <c r="BB745" s="34"/>
      <c r="BC745" s="34"/>
      <c r="BD745" s="76"/>
      <c r="BE745" s="34"/>
      <c r="BF745" s="34"/>
      <c r="BG745" s="34"/>
      <c r="BH745" s="34"/>
    </row>
    <row r="746" spans="1:60" s="17" customFormat="1" ht="19.5" customHeight="1" thickBot="1" x14ac:dyDescent="0.45">
      <c r="A746" s="41">
        <f>A745</f>
        <v>45441</v>
      </c>
      <c r="B746" s="139">
        <f>B741</f>
        <v>0</v>
      </c>
      <c r="C746" s="140"/>
      <c r="D746" s="40">
        <f>C710/8</f>
        <v>500</v>
      </c>
      <c r="E746" s="151">
        <f>SUM(E741:H745)</f>
        <v>0</v>
      </c>
      <c r="F746" s="152"/>
      <c r="G746" s="152"/>
      <c r="H746" s="153"/>
      <c r="I746" s="151">
        <f>SUM(I741:L745)</f>
        <v>0</v>
      </c>
      <c r="J746" s="152"/>
      <c r="K746" s="152"/>
      <c r="L746" s="153"/>
      <c r="M746" s="151">
        <f>SUM(M741:P745)</f>
        <v>0</v>
      </c>
      <c r="N746" s="152"/>
      <c r="O746" s="152"/>
      <c r="P746" s="153"/>
      <c r="Q746" s="151">
        <f>SUM(Q741:U745)</f>
        <v>0</v>
      </c>
      <c r="R746" s="152"/>
      <c r="S746" s="152"/>
      <c r="T746" s="152"/>
      <c r="U746" s="153"/>
      <c r="V746" s="151">
        <f>SUM(V741:Y745)</f>
        <v>0</v>
      </c>
      <c r="W746" s="152"/>
      <c r="X746" s="152"/>
      <c r="Y746" s="153"/>
      <c r="Z746" s="151">
        <f>SUM(Z741:AC745)</f>
        <v>0</v>
      </c>
      <c r="AA746" s="152"/>
      <c r="AB746" s="152"/>
      <c r="AC746" s="153"/>
      <c r="AD746" s="151">
        <f>SUM(AD741:AG745)</f>
        <v>0</v>
      </c>
      <c r="AE746" s="152"/>
      <c r="AF746" s="152"/>
      <c r="AG746" s="153"/>
      <c r="AH746" s="151">
        <f>SUM(AH741:AK745)</f>
        <v>0</v>
      </c>
      <c r="AI746" s="152"/>
      <c r="AJ746" s="152"/>
      <c r="AK746" s="153"/>
      <c r="AL746" s="151">
        <f>SUM(AL741:AO745)</f>
        <v>0</v>
      </c>
      <c r="AM746" s="152"/>
      <c r="AN746" s="152"/>
      <c r="AO746" s="153"/>
      <c r="AP746" s="151">
        <f>SUM(AP741:AS745)</f>
        <v>0</v>
      </c>
      <c r="AQ746" s="152"/>
      <c r="AR746" s="152"/>
      <c r="AS746" s="153"/>
      <c r="AT746" s="151">
        <f>SUM(AT741:AW745)</f>
        <v>0</v>
      </c>
      <c r="AU746" s="152"/>
      <c r="AV746" s="152"/>
      <c r="AW746" s="153"/>
      <c r="AX746" s="87">
        <f>SUM(AX741:AX745)</f>
        <v>0</v>
      </c>
      <c r="AY746" s="88">
        <f>IFERROR(AVERAGEIF(E746:AV746,"&lt;&gt;0",(E746:AV746)),)</f>
        <v>0</v>
      </c>
      <c r="AZ746" s="46">
        <f>IFERROR(AX746/BB742,0)</f>
        <v>0</v>
      </c>
      <c r="BA746" s="34"/>
      <c r="BB746" s="34"/>
      <c r="BC746" s="34"/>
      <c r="BD746" s="76"/>
      <c r="BE746" s="34"/>
      <c r="BF746" s="34"/>
      <c r="BG746" s="34"/>
      <c r="BH746" s="34"/>
    </row>
    <row r="747" spans="1:60" s="17" customFormat="1" ht="19.5" customHeight="1" thickBot="1" x14ac:dyDescent="0.4">
      <c r="A747" s="42">
        <f>A740</f>
        <v>45441</v>
      </c>
      <c r="B747" s="38" t="str">
        <f>B748</f>
        <v>BANT GİRİŞ</v>
      </c>
      <c r="C747" s="39" t="s">
        <v>180</v>
      </c>
      <c r="D747" s="69" t="s">
        <v>181</v>
      </c>
      <c r="E747" s="48">
        <v>0.34375</v>
      </c>
      <c r="F747" s="49">
        <v>0.35416666666666669</v>
      </c>
      <c r="G747" s="49">
        <v>0.36458333333333331</v>
      </c>
      <c r="H747" s="50">
        <v>0.375</v>
      </c>
      <c r="I747" s="48">
        <v>0.38541666666666702</v>
      </c>
      <c r="J747" s="49">
        <v>0.39583333333333298</v>
      </c>
      <c r="K747" s="49">
        <v>0.40625</v>
      </c>
      <c r="L747" s="50">
        <v>0.41666666666666702</v>
      </c>
      <c r="M747" s="48">
        <v>0.4375</v>
      </c>
      <c r="N747" s="49">
        <v>0.44791666666666702</v>
      </c>
      <c r="O747" s="49">
        <v>0.45833333333333398</v>
      </c>
      <c r="P747" s="50">
        <v>0.46875</v>
      </c>
      <c r="Q747" s="48">
        <v>0.47916666666666702</v>
      </c>
      <c r="R747" s="49">
        <v>0.48958333333333398</v>
      </c>
      <c r="S747" s="49">
        <v>0.5</v>
      </c>
      <c r="T747" s="50">
        <v>0.51041666666666696</v>
      </c>
      <c r="U747" s="51">
        <v>0.52083333333333204</v>
      </c>
      <c r="V747" s="48">
        <v>0.5625</v>
      </c>
      <c r="W747" s="49">
        <v>0.57291666666666663</v>
      </c>
      <c r="X747" s="49">
        <v>0.58333333333333304</v>
      </c>
      <c r="Y747" s="50">
        <v>0.59375</v>
      </c>
      <c r="Z747" s="48">
        <v>0.60416666666666696</v>
      </c>
      <c r="AA747" s="49">
        <v>0.61458333333333304</v>
      </c>
      <c r="AB747" s="49">
        <v>0.625</v>
      </c>
      <c r="AC747" s="50">
        <v>0.63541666666666596</v>
      </c>
      <c r="AD747" s="48">
        <v>0.65625</v>
      </c>
      <c r="AE747" s="49">
        <v>0.66666666666666663</v>
      </c>
      <c r="AF747" s="49">
        <v>0.67708333333333304</v>
      </c>
      <c r="AG747" s="50">
        <v>0.6875</v>
      </c>
      <c r="AH747" s="48">
        <v>0.69791666666666696</v>
      </c>
      <c r="AI747" s="49">
        <v>0.70833333333333304</v>
      </c>
      <c r="AJ747" s="49">
        <v>0.71875</v>
      </c>
      <c r="AK747" s="50">
        <v>0.72916666666666696</v>
      </c>
      <c r="AL747" s="48">
        <v>0.73958333333333404</v>
      </c>
      <c r="AM747" s="49">
        <v>0.750000000000001</v>
      </c>
      <c r="AN747" s="49">
        <v>0.76041666666666796</v>
      </c>
      <c r="AO747" s="50">
        <v>0.77083333333333504</v>
      </c>
      <c r="AP747" s="48">
        <v>0.781250000000002</v>
      </c>
      <c r="AQ747" s="49">
        <v>0.79166666666666896</v>
      </c>
      <c r="AR747" s="49">
        <v>0.80208333333333603</v>
      </c>
      <c r="AS747" s="50">
        <v>0.812500000000003</v>
      </c>
      <c r="AT747" s="48">
        <v>0.82291666666666996</v>
      </c>
      <c r="AU747" s="49">
        <v>0.83333333333333703</v>
      </c>
      <c r="AV747" s="49">
        <v>0.843750000000004</v>
      </c>
      <c r="AW747" s="50">
        <v>0.85416666666666663</v>
      </c>
      <c r="AX747" s="68" t="s">
        <v>260</v>
      </c>
      <c r="AY747" s="28" t="s">
        <v>261</v>
      </c>
      <c r="AZ747" s="29" t="s">
        <v>262</v>
      </c>
      <c r="BA747" s="136" t="str">
        <f>B748</f>
        <v>BANT GİRİŞ</v>
      </c>
      <c r="BB747" s="137"/>
      <c r="BC747" s="137"/>
      <c r="BD747" s="137"/>
      <c r="BE747" s="137"/>
      <c r="BF747" s="137"/>
      <c r="BG747" s="137"/>
      <c r="BH747" s="138"/>
    </row>
    <row r="748" spans="1:60" s="17" customFormat="1" ht="19.5" customHeight="1" thickBot="1" x14ac:dyDescent="0.4">
      <c r="A748" s="41">
        <f t="shared" ref="A748" si="650">A747</f>
        <v>45441</v>
      </c>
      <c r="B748" s="37" t="str">
        <f>B572</f>
        <v>BANT GİRİŞ</v>
      </c>
      <c r="C748" s="65" t="str">
        <f>C572</f>
        <v>XS</v>
      </c>
      <c r="D748" s="70">
        <f>D572</f>
        <v>120</v>
      </c>
      <c r="E748" s="63"/>
      <c r="F748" s="55"/>
      <c r="G748" s="55"/>
      <c r="H748" s="56"/>
      <c r="I748" s="63"/>
      <c r="J748" s="55"/>
      <c r="K748" s="55"/>
      <c r="L748" s="56"/>
      <c r="M748" s="63"/>
      <c r="N748" s="55"/>
      <c r="O748" s="55"/>
      <c r="P748" s="56"/>
      <c r="Q748" s="63"/>
      <c r="R748" s="55"/>
      <c r="S748" s="55"/>
      <c r="T748" s="55"/>
      <c r="U748" s="56"/>
      <c r="V748" s="63"/>
      <c r="W748" s="55"/>
      <c r="X748" s="55"/>
      <c r="Y748" s="56"/>
      <c r="Z748" s="63"/>
      <c r="AA748" s="55"/>
      <c r="AB748" s="55"/>
      <c r="AC748" s="56"/>
      <c r="AD748" s="63"/>
      <c r="AE748" s="55"/>
      <c r="AF748" s="55"/>
      <c r="AG748" s="56"/>
      <c r="AH748" s="63"/>
      <c r="AI748" s="55"/>
      <c r="AJ748" s="55"/>
      <c r="AK748" s="56"/>
      <c r="AL748" s="63"/>
      <c r="AM748" s="55"/>
      <c r="AN748" s="55"/>
      <c r="AO748" s="56"/>
      <c r="AP748" s="63"/>
      <c r="AQ748" s="54"/>
      <c r="AR748" s="55"/>
      <c r="AS748" s="56"/>
      <c r="AT748" s="53"/>
      <c r="AU748" s="54"/>
      <c r="AV748" s="55"/>
      <c r="AW748" s="56"/>
      <c r="AX748" s="33">
        <f>SUM(E748:AW748)</f>
        <v>0</v>
      </c>
      <c r="AY748" s="31">
        <f>IFERROR(AVERAGEIF(E748:AW748,"&lt;&gt;0",(E748:AW748)),)</f>
        <v>0</v>
      </c>
      <c r="AZ748" s="30">
        <f>IFERROR(AY748/D748,0)</f>
        <v>0</v>
      </c>
      <c r="BA748" s="19"/>
      <c r="BB748" s="19" t="str">
        <f t="shared" ref="BB748" si="651">BA710</f>
        <v>XS</v>
      </c>
      <c r="BC748" s="19" t="str">
        <f t="shared" ref="BC748" si="652">BB710</f>
        <v>S</v>
      </c>
      <c r="BD748" s="19" t="str">
        <f t="shared" ref="BD748" si="653">BC710</f>
        <v>M</v>
      </c>
      <c r="BE748" s="19" t="str">
        <f t="shared" ref="BE748" si="654">BD710</f>
        <v>L</v>
      </c>
      <c r="BF748" s="19" t="str">
        <f t="shared" ref="BF748" si="655">BE710</f>
        <v>XL</v>
      </c>
      <c r="BG748" s="19" t="str">
        <f t="shared" ref="BG748" si="656">BF710</f>
        <v>XXL</v>
      </c>
      <c r="BH748" s="19" t="s">
        <v>190</v>
      </c>
    </row>
    <row r="749" spans="1:60" s="17" customFormat="1" ht="19.5" customHeight="1" thickBot="1" x14ac:dyDescent="0.4">
      <c r="A749" s="41">
        <f t="shared" ref="A749:B749" si="657">A748</f>
        <v>45441</v>
      </c>
      <c r="B749" s="37" t="str">
        <f t="shared" si="657"/>
        <v>BANT GİRİŞ</v>
      </c>
      <c r="C749" s="65" t="str">
        <f t="shared" ref="C749:C754" si="658">C573</f>
        <v>S</v>
      </c>
      <c r="D749" s="67">
        <f t="shared" ref="D749:D754" si="659">D748</f>
        <v>120</v>
      </c>
      <c r="E749" s="57"/>
      <c r="F749" s="52"/>
      <c r="G749" s="52"/>
      <c r="H749" s="58"/>
      <c r="I749" s="57"/>
      <c r="J749" s="52"/>
      <c r="K749" s="52"/>
      <c r="L749" s="58"/>
      <c r="M749" s="57"/>
      <c r="N749" s="52"/>
      <c r="O749" s="52"/>
      <c r="P749" s="58"/>
      <c r="Q749" s="57"/>
      <c r="R749" s="52"/>
      <c r="S749" s="52"/>
      <c r="T749" s="52"/>
      <c r="U749" s="58"/>
      <c r="V749" s="57"/>
      <c r="W749" s="52"/>
      <c r="X749" s="52"/>
      <c r="Y749" s="58"/>
      <c r="Z749" s="57"/>
      <c r="AA749" s="52"/>
      <c r="AB749" s="52"/>
      <c r="AC749" s="58"/>
      <c r="AD749" s="57"/>
      <c r="AE749" s="52"/>
      <c r="AF749" s="52"/>
      <c r="AG749" s="58"/>
      <c r="AH749" s="57"/>
      <c r="AI749" s="52"/>
      <c r="AJ749" s="52"/>
      <c r="AK749" s="58"/>
      <c r="AL749" s="57"/>
      <c r="AM749" s="52"/>
      <c r="AN749" s="52"/>
      <c r="AO749" s="58"/>
      <c r="AP749" s="57"/>
      <c r="AQ749" s="52"/>
      <c r="AR749" s="52"/>
      <c r="AS749" s="58"/>
      <c r="AT749" s="57"/>
      <c r="AU749" s="52"/>
      <c r="AV749" s="52"/>
      <c r="AW749" s="58"/>
      <c r="AX749" s="33">
        <f t="shared" ref="AX749:AX754" si="660">SUM(E749:AW749)</f>
        <v>0</v>
      </c>
      <c r="AY749" s="31">
        <f t="shared" ref="AY749:AY754" si="661">IFERROR(AVERAGEIF(E749:AW749,"&lt;&gt;0",(E749:AW749)),)</f>
        <v>0</v>
      </c>
      <c r="AZ749" s="30">
        <f t="shared" ref="AZ749:AZ754" si="662">IFERROR(AY749/D749,0)</f>
        <v>0</v>
      </c>
      <c r="BA749" s="94" t="s">
        <v>192</v>
      </c>
      <c r="BB749" s="96">
        <f>SUMIF(C748:C754,BB748,AX748:AX754)+BB573</f>
        <v>0</v>
      </c>
      <c r="BC749" s="96">
        <f>SUMIF(C748:C754,BC748,AX748:AX754)+BC573</f>
        <v>0</v>
      </c>
      <c r="BD749" s="96">
        <f>SUMIF(C748:C754,BD748,AX748:AX754)+BD573</f>
        <v>0</v>
      </c>
      <c r="BE749" s="96">
        <f>SUMIF(C748:C754,BE748,AX748:AX754)+BE573</f>
        <v>0</v>
      </c>
      <c r="BF749" s="96">
        <f>SUMIF(C748:C754,BF748,AX748:AX754)+BF573</f>
        <v>0</v>
      </c>
      <c r="BG749" s="96"/>
      <c r="BH749" s="99">
        <f>SUM(BB749:BG749)</f>
        <v>0</v>
      </c>
    </row>
    <row r="750" spans="1:60" s="17" customFormat="1" ht="19.5" customHeight="1" thickBot="1" x14ac:dyDescent="0.4">
      <c r="A750" s="41">
        <f t="shared" ref="A750:B750" si="663">A749</f>
        <v>45441</v>
      </c>
      <c r="B750" s="37" t="str">
        <f t="shared" si="663"/>
        <v>BANT GİRİŞ</v>
      </c>
      <c r="C750" s="65" t="str">
        <f t="shared" si="658"/>
        <v>M</v>
      </c>
      <c r="D750" s="67">
        <f t="shared" si="659"/>
        <v>120</v>
      </c>
      <c r="E750" s="57"/>
      <c r="F750" s="52"/>
      <c r="G750" s="52"/>
      <c r="H750" s="58"/>
      <c r="I750" s="57"/>
      <c r="J750" s="52"/>
      <c r="K750" s="52"/>
      <c r="L750" s="58"/>
      <c r="M750" s="57"/>
      <c r="N750" s="52"/>
      <c r="O750" s="52"/>
      <c r="P750" s="58"/>
      <c r="Q750" s="57"/>
      <c r="R750" s="52"/>
      <c r="S750" s="52"/>
      <c r="T750" s="52"/>
      <c r="U750" s="58"/>
      <c r="V750" s="57"/>
      <c r="W750" s="52"/>
      <c r="X750" s="52"/>
      <c r="Y750" s="58"/>
      <c r="Z750" s="57"/>
      <c r="AA750" s="52"/>
      <c r="AB750" s="52"/>
      <c r="AC750" s="58"/>
      <c r="AD750" s="57"/>
      <c r="AE750" s="52"/>
      <c r="AF750" s="52"/>
      <c r="AG750" s="58"/>
      <c r="AH750" s="57"/>
      <c r="AI750" s="52"/>
      <c r="AJ750" s="52"/>
      <c r="AK750" s="58"/>
      <c r="AL750" s="57"/>
      <c r="AM750" s="52"/>
      <c r="AN750" s="52"/>
      <c r="AO750" s="58"/>
      <c r="AP750" s="57"/>
      <c r="AQ750" s="52"/>
      <c r="AR750" s="52"/>
      <c r="AS750" s="58"/>
      <c r="AT750" s="57"/>
      <c r="AU750" s="52"/>
      <c r="AV750" s="52"/>
      <c r="AW750" s="58"/>
      <c r="AX750" s="33">
        <f t="shared" si="660"/>
        <v>0</v>
      </c>
      <c r="AY750" s="31">
        <f t="shared" si="661"/>
        <v>0</v>
      </c>
      <c r="AZ750" s="30">
        <f t="shared" si="662"/>
        <v>0</v>
      </c>
      <c r="BA750" s="94" t="s">
        <v>193</v>
      </c>
      <c r="BB750" s="96">
        <f>BA711-BB749</f>
        <v>492</v>
      </c>
      <c r="BC750" s="96">
        <f>BB711-BC749</f>
        <v>11438</v>
      </c>
      <c r="BD750" s="96">
        <f>BC711-BD749</f>
        <v>13689</v>
      </c>
      <c r="BE750" s="96">
        <f>BD711-BE749</f>
        <v>9760</v>
      </c>
      <c r="BF750" s="96">
        <f>BE711-BF749</f>
        <v>4794</v>
      </c>
      <c r="BG750" s="96"/>
      <c r="BH750" s="96">
        <f>SUM(BB750:BG750)</f>
        <v>40173</v>
      </c>
    </row>
    <row r="751" spans="1:60" s="17" customFormat="1" ht="19.5" customHeight="1" x14ac:dyDescent="0.35">
      <c r="A751" s="41">
        <f t="shared" ref="A751:B752" si="664">A750</f>
        <v>45441</v>
      </c>
      <c r="B751" s="37" t="str">
        <f t="shared" si="664"/>
        <v>BANT GİRİŞ</v>
      </c>
      <c r="C751" s="65" t="str">
        <f t="shared" si="658"/>
        <v>L</v>
      </c>
      <c r="D751" s="67">
        <f t="shared" si="659"/>
        <v>120</v>
      </c>
      <c r="E751" s="57"/>
      <c r="F751" s="52"/>
      <c r="G751" s="52"/>
      <c r="H751" s="58"/>
      <c r="I751" s="57"/>
      <c r="J751" s="52"/>
      <c r="K751" s="52"/>
      <c r="L751" s="58"/>
      <c r="M751" s="57"/>
      <c r="N751" s="52"/>
      <c r="O751" s="52"/>
      <c r="P751" s="58"/>
      <c r="Q751" s="57"/>
      <c r="R751" s="52"/>
      <c r="S751" s="52"/>
      <c r="T751" s="52"/>
      <c r="U751" s="58"/>
      <c r="V751" s="57"/>
      <c r="W751" s="52"/>
      <c r="X751" s="52"/>
      <c r="Y751" s="58"/>
      <c r="Z751" s="57"/>
      <c r="AA751" s="52"/>
      <c r="AB751" s="52"/>
      <c r="AC751" s="58"/>
      <c r="AD751" s="57"/>
      <c r="AE751" s="52"/>
      <c r="AF751" s="52"/>
      <c r="AG751" s="58"/>
      <c r="AH751" s="57"/>
      <c r="AI751" s="52"/>
      <c r="AJ751" s="52"/>
      <c r="AK751" s="58"/>
      <c r="AL751" s="57"/>
      <c r="AM751" s="52"/>
      <c r="AN751" s="52"/>
      <c r="AO751" s="58"/>
      <c r="AP751" s="57"/>
      <c r="AQ751" s="52"/>
      <c r="AR751" s="52"/>
      <c r="AS751" s="58"/>
      <c r="AT751" s="57"/>
      <c r="AU751" s="52"/>
      <c r="AV751" s="52"/>
      <c r="AW751" s="58"/>
      <c r="AX751" s="33">
        <f t="shared" si="660"/>
        <v>0</v>
      </c>
      <c r="AY751" s="31">
        <f t="shared" si="661"/>
        <v>0</v>
      </c>
      <c r="AZ751" s="30">
        <f t="shared" si="662"/>
        <v>0</v>
      </c>
      <c r="BA751" s="34"/>
      <c r="BB751" s="34"/>
      <c r="BC751" s="34"/>
      <c r="BD751" s="76"/>
      <c r="BE751" s="34"/>
      <c r="BF751" s="34"/>
      <c r="BG751" s="34"/>
      <c r="BH751" s="34"/>
    </row>
    <row r="752" spans="1:60" s="17" customFormat="1" ht="19.5" customHeight="1" x14ac:dyDescent="0.35">
      <c r="A752" s="41">
        <f>A749</f>
        <v>45441</v>
      </c>
      <c r="B752" s="37" t="str">
        <f t="shared" si="664"/>
        <v>BANT GİRİŞ</v>
      </c>
      <c r="C752" s="65" t="str">
        <f t="shared" si="658"/>
        <v>XXL</v>
      </c>
      <c r="D752" s="67">
        <f t="shared" si="659"/>
        <v>120</v>
      </c>
      <c r="E752" s="57"/>
      <c r="F752" s="52"/>
      <c r="G752" s="52"/>
      <c r="H752" s="58"/>
      <c r="I752" s="57"/>
      <c r="J752" s="52"/>
      <c r="K752" s="52"/>
      <c r="L752" s="58"/>
      <c r="M752" s="57"/>
      <c r="N752" s="52"/>
      <c r="O752" s="52"/>
      <c r="P752" s="58"/>
      <c r="Q752" s="57"/>
      <c r="R752" s="52"/>
      <c r="S752" s="52"/>
      <c r="T752" s="52"/>
      <c r="U752" s="58"/>
      <c r="V752" s="57"/>
      <c r="W752" s="52"/>
      <c r="X752" s="52"/>
      <c r="Y752" s="58"/>
      <c r="Z752" s="57"/>
      <c r="AA752" s="52"/>
      <c r="AB752" s="52"/>
      <c r="AC752" s="58"/>
      <c r="AD752" s="57"/>
      <c r="AE752" s="52"/>
      <c r="AF752" s="52"/>
      <c r="AG752" s="58"/>
      <c r="AH752" s="57"/>
      <c r="AI752" s="52"/>
      <c r="AJ752" s="52"/>
      <c r="AK752" s="58"/>
      <c r="AL752" s="57"/>
      <c r="AM752" s="52"/>
      <c r="AN752" s="52"/>
      <c r="AO752" s="58"/>
      <c r="AP752" s="57"/>
      <c r="AQ752" s="52"/>
      <c r="AR752" s="52"/>
      <c r="AS752" s="58"/>
      <c r="AT752" s="57"/>
      <c r="AU752" s="52"/>
      <c r="AV752" s="52"/>
      <c r="AW752" s="58"/>
      <c r="AX752" s="33">
        <f t="shared" si="660"/>
        <v>0</v>
      </c>
      <c r="AY752" s="31">
        <f t="shared" si="661"/>
        <v>0</v>
      </c>
      <c r="AZ752" s="30">
        <f t="shared" si="662"/>
        <v>0</v>
      </c>
      <c r="BA752" s="34"/>
      <c r="BB752" s="34"/>
      <c r="BC752" s="34"/>
      <c r="BD752" s="76"/>
      <c r="BE752" s="34"/>
      <c r="BF752" s="34"/>
      <c r="BG752" s="34"/>
      <c r="BH752" s="34"/>
    </row>
    <row r="753" spans="1:60" s="17" customFormat="1" ht="19.5" customHeight="1" x14ac:dyDescent="0.35">
      <c r="A753" s="41">
        <f t="shared" ref="A753:B753" si="665">A752</f>
        <v>45441</v>
      </c>
      <c r="B753" s="37" t="str">
        <f t="shared" si="665"/>
        <v>BANT GİRİŞ</v>
      </c>
      <c r="C753" s="65">
        <f t="shared" si="658"/>
        <v>0</v>
      </c>
      <c r="D753" s="67">
        <f t="shared" si="659"/>
        <v>120</v>
      </c>
      <c r="E753" s="57"/>
      <c r="F753" s="52"/>
      <c r="G753" s="52"/>
      <c r="H753" s="58"/>
      <c r="I753" s="57"/>
      <c r="J753" s="52"/>
      <c r="K753" s="52"/>
      <c r="L753" s="58"/>
      <c r="M753" s="57"/>
      <c r="N753" s="52"/>
      <c r="O753" s="52"/>
      <c r="P753" s="58"/>
      <c r="Q753" s="57"/>
      <c r="R753" s="52"/>
      <c r="S753" s="52"/>
      <c r="T753" s="52"/>
      <c r="U753" s="58"/>
      <c r="V753" s="57"/>
      <c r="W753" s="52"/>
      <c r="X753" s="52"/>
      <c r="Y753" s="58"/>
      <c r="Z753" s="57"/>
      <c r="AA753" s="52"/>
      <c r="AB753" s="52"/>
      <c r="AC753" s="58"/>
      <c r="AD753" s="57"/>
      <c r="AE753" s="52"/>
      <c r="AF753" s="52"/>
      <c r="AG753" s="58"/>
      <c r="AH753" s="57"/>
      <c r="AI753" s="52"/>
      <c r="AJ753" s="52"/>
      <c r="AK753" s="58"/>
      <c r="AL753" s="57"/>
      <c r="AM753" s="52"/>
      <c r="AN753" s="52"/>
      <c r="AO753" s="58"/>
      <c r="AP753" s="57"/>
      <c r="AQ753" s="52"/>
      <c r="AR753" s="52"/>
      <c r="AS753" s="58"/>
      <c r="AT753" s="57"/>
      <c r="AU753" s="52"/>
      <c r="AV753" s="52"/>
      <c r="AW753" s="58"/>
      <c r="AX753" s="33">
        <f t="shared" si="660"/>
        <v>0</v>
      </c>
      <c r="AY753" s="31">
        <f t="shared" si="661"/>
        <v>0</v>
      </c>
      <c r="AZ753" s="30">
        <f t="shared" si="662"/>
        <v>0</v>
      </c>
      <c r="BA753" s="34"/>
      <c r="BB753" s="34"/>
      <c r="BC753" s="34"/>
      <c r="BD753" s="76"/>
      <c r="BE753" s="34"/>
      <c r="BF753" s="34"/>
      <c r="BG753" s="34"/>
      <c r="BH753" s="34"/>
    </row>
    <row r="754" spans="1:60" s="17" customFormat="1" ht="19.5" customHeight="1" thickBot="1" x14ac:dyDescent="0.4">
      <c r="A754" s="41">
        <f t="shared" ref="A754:B755" si="666">A753</f>
        <v>45441</v>
      </c>
      <c r="B754" s="37" t="str">
        <f t="shared" si="666"/>
        <v>BANT GİRİŞ</v>
      </c>
      <c r="C754" s="65">
        <f t="shared" si="658"/>
        <v>0</v>
      </c>
      <c r="D754" s="67">
        <f t="shared" si="659"/>
        <v>120</v>
      </c>
      <c r="E754" s="59"/>
      <c r="F754" s="60"/>
      <c r="G754" s="61"/>
      <c r="H754" s="62"/>
      <c r="I754" s="59"/>
      <c r="J754" s="60"/>
      <c r="K754" s="61"/>
      <c r="L754" s="62"/>
      <c r="M754" s="59"/>
      <c r="N754" s="60"/>
      <c r="O754" s="61"/>
      <c r="P754" s="62"/>
      <c r="Q754" s="64"/>
      <c r="R754" s="61"/>
      <c r="S754" s="61"/>
      <c r="T754" s="61"/>
      <c r="U754" s="62"/>
      <c r="V754" s="59"/>
      <c r="W754" s="60"/>
      <c r="X754" s="61"/>
      <c r="Y754" s="62"/>
      <c r="Z754" s="59"/>
      <c r="AA754" s="60"/>
      <c r="AB754" s="61"/>
      <c r="AC754" s="62"/>
      <c r="AD754" s="59"/>
      <c r="AE754" s="60"/>
      <c r="AF754" s="61"/>
      <c r="AG754" s="62"/>
      <c r="AH754" s="59"/>
      <c r="AI754" s="60"/>
      <c r="AJ754" s="61"/>
      <c r="AK754" s="62"/>
      <c r="AL754" s="59"/>
      <c r="AM754" s="60"/>
      <c r="AN754" s="61"/>
      <c r="AO754" s="62"/>
      <c r="AP754" s="59"/>
      <c r="AQ754" s="60"/>
      <c r="AR754" s="61"/>
      <c r="AS754" s="62"/>
      <c r="AT754" s="59"/>
      <c r="AU754" s="60"/>
      <c r="AV754" s="61"/>
      <c r="AW754" s="62"/>
      <c r="AX754" s="33">
        <f t="shared" si="660"/>
        <v>0</v>
      </c>
      <c r="AY754" s="31">
        <f t="shared" si="661"/>
        <v>0</v>
      </c>
      <c r="AZ754" s="30">
        <f t="shared" si="662"/>
        <v>0</v>
      </c>
      <c r="BA754" s="34"/>
      <c r="BB754" s="34"/>
      <c r="BC754" s="34"/>
      <c r="BD754" s="76"/>
      <c r="BE754" s="34"/>
      <c r="BF754" s="34"/>
      <c r="BG754" s="34"/>
      <c r="BH754" s="34"/>
    </row>
    <row r="755" spans="1:60" s="17" customFormat="1" ht="19.5" customHeight="1" thickBot="1" x14ac:dyDescent="0.45">
      <c r="A755" s="41">
        <f t="shared" si="666"/>
        <v>45441</v>
      </c>
      <c r="B755" s="139" t="str">
        <f>B748</f>
        <v>BANT GİRİŞ</v>
      </c>
      <c r="C755" s="140"/>
      <c r="D755" s="40">
        <f>C710/8</f>
        <v>500</v>
      </c>
      <c r="E755" s="147">
        <f>SUM(E748:H754)</f>
        <v>0</v>
      </c>
      <c r="F755" s="148"/>
      <c r="G755" s="148"/>
      <c r="H755" s="149"/>
      <c r="I755" s="147">
        <f>SUM(I748:L754)</f>
        <v>0</v>
      </c>
      <c r="J755" s="148"/>
      <c r="K755" s="148"/>
      <c r="L755" s="149"/>
      <c r="M755" s="147">
        <f>SUM(M748:P754)</f>
        <v>0</v>
      </c>
      <c r="N755" s="148"/>
      <c r="O755" s="148"/>
      <c r="P755" s="149"/>
      <c r="Q755" s="147">
        <f>SUM(Q748:U754)</f>
        <v>0</v>
      </c>
      <c r="R755" s="148"/>
      <c r="S755" s="148"/>
      <c r="T755" s="148"/>
      <c r="U755" s="149"/>
      <c r="V755" s="147">
        <f>SUM(V748:Y754)</f>
        <v>0</v>
      </c>
      <c r="W755" s="148"/>
      <c r="X755" s="148"/>
      <c r="Y755" s="149"/>
      <c r="Z755" s="147">
        <f>SUM(Z748:AC754)</f>
        <v>0</v>
      </c>
      <c r="AA755" s="148"/>
      <c r="AB755" s="148"/>
      <c r="AC755" s="149"/>
      <c r="AD755" s="147">
        <f>SUM(AD748:AG754)</f>
        <v>0</v>
      </c>
      <c r="AE755" s="148"/>
      <c r="AF755" s="148"/>
      <c r="AG755" s="149"/>
      <c r="AH755" s="147">
        <f>SUM(AH748:AK754)</f>
        <v>0</v>
      </c>
      <c r="AI755" s="148"/>
      <c r="AJ755" s="148"/>
      <c r="AK755" s="149"/>
      <c r="AL755" s="147">
        <f>SUM(AL748:AO754)</f>
        <v>0</v>
      </c>
      <c r="AM755" s="148"/>
      <c r="AN755" s="148"/>
      <c r="AO755" s="149"/>
      <c r="AP755" s="147">
        <f>SUM(AP748:AS754)</f>
        <v>0</v>
      </c>
      <c r="AQ755" s="148"/>
      <c r="AR755" s="148"/>
      <c r="AS755" s="149"/>
      <c r="AT755" s="147">
        <f>SUM(AT748:AW754)</f>
        <v>0</v>
      </c>
      <c r="AU755" s="148"/>
      <c r="AV755" s="148"/>
      <c r="AW755" s="149"/>
      <c r="AX755" s="87">
        <f>SUM(AX748:AX754)</f>
        <v>0</v>
      </c>
      <c r="AY755" s="88">
        <f>IFERROR(AVERAGEIF(E755:AV755,"&lt;&gt;0",(E755:AV755)),)</f>
        <v>0</v>
      </c>
      <c r="AZ755" s="46">
        <f>IFERROR(AX755/BB749,0)</f>
        <v>0</v>
      </c>
      <c r="BA755" s="34"/>
      <c r="BB755" s="34"/>
      <c r="BC755" s="34"/>
      <c r="BD755" s="76"/>
      <c r="BE755" s="34"/>
      <c r="BF755" s="34"/>
      <c r="BG755" s="34"/>
      <c r="BH755" s="34"/>
    </row>
    <row r="756" spans="1:60" s="17" customFormat="1" ht="19.5" customHeight="1" thickBot="1" x14ac:dyDescent="0.4">
      <c r="A756" s="42">
        <f>A747</f>
        <v>45441</v>
      </c>
      <c r="B756" s="38" t="str">
        <f>B757</f>
        <v>Omuz Çatma</v>
      </c>
      <c r="C756" s="39" t="s">
        <v>180</v>
      </c>
      <c r="D756" s="69" t="s">
        <v>181</v>
      </c>
      <c r="E756" s="48">
        <v>0.34375</v>
      </c>
      <c r="F756" s="49">
        <v>0.35416666666666669</v>
      </c>
      <c r="G756" s="49">
        <v>0.36458333333333331</v>
      </c>
      <c r="H756" s="50">
        <v>0.375</v>
      </c>
      <c r="I756" s="48">
        <v>0.38541666666666702</v>
      </c>
      <c r="J756" s="49">
        <v>0.39583333333333298</v>
      </c>
      <c r="K756" s="49">
        <v>0.40625</v>
      </c>
      <c r="L756" s="50">
        <v>0.41666666666666702</v>
      </c>
      <c r="M756" s="48">
        <v>0.4375</v>
      </c>
      <c r="N756" s="49">
        <v>0.44791666666666702</v>
      </c>
      <c r="O756" s="49">
        <v>0.45833333333333398</v>
      </c>
      <c r="P756" s="50">
        <v>0.46875</v>
      </c>
      <c r="Q756" s="48">
        <v>0.47916666666666702</v>
      </c>
      <c r="R756" s="49">
        <v>0.48958333333333398</v>
      </c>
      <c r="S756" s="49">
        <v>0.5</v>
      </c>
      <c r="T756" s="50">
        <v>0.51041666666666696</v>
      </c>
      <c r="U756" s="51">
        <v>0.52083333333333204</v>
      </c>
      <c r="V756" s="48">
        <v>0.5625</v>
      </c>
      <c r="W756" s="49">
        <v>0.57291666666666663</v>
      </c>
      <c r="X756" s="49">
        <v>0.58333333333333304</v>
      </c>
      <c r="Y756" s="50">
        <v>0.59375</v>
      </c>
      <c r="Z756" s="48">
        <v>0.60416666666666696</v>
      </c>
      <c r="AA756" s="49">
        <v>0.61458333333333304</v>
      </c>
      <c r="AB756" s="49">
        <v>0.625</v>
      </c>
      <c r="AC756" s="50">
        <v>0.63541666666666596</v>
      </c>
      <c r="AD756" s="48">
        <v>0.65625</v>
      </c>
      <c r="AE756" s="49">
        <v>0.66666666666666663</v>
      </c>
      <c r="AF756" s="49">
        <v>0.67708333333333304</v>
      </c>
      <c r="AG756" s="50">
        <v>0.6875</v>
      </c>
      <c r="AH756" s="48">
        <v>0.69791666666666696</v>
      </c>
      <c r="AI756" s="49">
        <v>0.70833333333333304</v>
      </c>
      <c r="AJ756" s="49">
        <v>0.71875</v>
      </c>
      <c r="AK756" s="50">
        <v>0.72916666666666696</v>
      </c>
      <c r="AL756" s="48">
        <v>0.73958333333333404</v>
      </c>
      <c r="AM756" s="49">
        <v>0.750000000000001</v>
      </c>
      <c r="AN756" s="49">
        <v>0.76041666666666796</v>
      </c>
      <c r="AO756" s="50">
        <v>0.77083333333333504</v>
      </c>
      <c r="AP756" s="48">
        <v>0.781250000000002</v>
      </c>
      <c r="AQ756" s="49">
        <v>0.79166666666666896</v>
      </c>
      <c r="AR756" s="49">
        <v>0.80208333333333603</v>
      </c>
      <c r="AS756" s="50">
        <v>0.812500000000003</v>
      </c>
      <c r="AT756" s="48">
        <v>0.82291666666666996</v>
      </c>
      <c r="AU756" s="49">
        <v>0.83333333333333703</v>
      </c>
      <c r="AV756" s="49">
        <v>0.843750000000004</v>
      </c>
      <c r="AW756" s="50">
        <v>0.85416666666666663</v>
      </c>
      <c r="AX756" s="68" t="s">
        <v>260</v>
      </c>
      <c r="AY756" s="28" t="s">
        <v>261</v>
      </c>
      <c r="AZ756" s="29" t="s">
        <v>262</v>
      </c>
      <c r="BA756" s="136" t="str">
        <f>B757</f>
        <v>Omuz Çatma</v>
      </c>
      <c r="BB756" s="137"/>
      <c r="BC756" s="137"/>
      <c r="BD756" s="137"/>
      <c r="BE756" s="137"/>
      <c r="BF756" s="137"/>
      <c r="BG756" s="137"/>
      <c r="BH756" s="138"/>
    </row>
    <row r="757" spans="1:60" s="17" customFormat="1" ht="19.5" customHeight="1" thickBot="1" x14ac:dyDescent="0.4">
      <c r="A757" s="41">
        <f t="shared" ref="A757" si="667">A756</f>
        <v>45441</v>
      </c>
      <c r="B757" s="37" t="str">
        <f>B581</f>
        <v>Omuz Çatma</v>
      </c>
      <c r="C757" s="65" t="str">
        <f>C581</f>
        <v>SELDA TAŞ</v>
      </c>
      <c r="D757" s="70">
        <f>D581</f>
        <v>60</v>
      </c>
      <c r="E757" s="63">
        <v>40</v>
      </c>
      <c r="F757" s="55">
        <v>45</v>
      </c>
      <c r="G757" s="55">
        <v>55</v>
      </c>
      <c r="H757" s="56">
        <v>60</v>
      </c>
      <c r="I757" s="63">
        <v>60</v>
      </c>
      <c r="J757" s="55">
        <v>55</v>
      </c>
      <c r="K757" s="55">
        <v>40</v>
      </c>
      <c r="L757" s="56">
        <v>55</v>
      </c>
      <c r="M757" s="63">
        <v>50</v>
      </c>
      <c r="N757" s="55">
        <v>60</v>
      </c>
      <c r="O757" s="55">
        <v>55</v>
      </c>
      <c r="P757" s="56">
        <v>50</v>
      </c>
      <c r="Q757" s="63">
        <v>45</v>
      </c>
      <c r="R757" s="55">
        <v>40</v>
      </c>
      <c r="S757" s="55">
        <v>40</v>
      </c>
      <c r="T757" s="55">
        <v>55</v>
      </c>
      <c r="U757" s="56">
        <v>55</v>
      </c>
      <c r="V757" s="63">
        <v>40</v>
      </c>
      <c r="W757" s="55">
        <v>50</v>
      </c>
      <c r="X757" s="55">
        <v>45</v>
      </c>
      <c r="Y757" s="56">
        <v>55</v>
      </c>
      <c r="Z757" s="63">
        <v>55</v>
      </c>
      <c r="AA757" s="55">
        <v>50</v>
      </c>
      <c r="AB757" s="55">
        <v>45</v>
      </c>
      <c r="AC757" s="56">
        <v>60</v>
      </c>
      <c r="AD757" s="63">
        <v>50</v>
      </c>
      <c r="AE757" s="55">
        <v>35</v>
      </c>
      <c r="AF757" s="55"/>
      <c r="AG757" s="56"/>
      <c r="AH757" s="63"/>
      <c r="AI757" s="55"/>
      <c r="AJ757" s="55"/>
      <c r="AK757" s="56"/>
      <c r="AL757" s="63"/>
      <c r="AM757" s="55"/>
      <c r="AN757" s="55">
        <v>0</v>
      </c>
      <c r="AO757" s="56"/>
      <c r="AP757" s="63"/>
      <c r="AQ757" s="54"/>
      <c r="AR757" s="55"/>
      <c r="AS757" s="56"/>
      <c r="AT757" s="53"/>
      <c r="AU757" s="54"/>
      <c r="AV757" s="55"/>
      <c r="AW757" s="56"/>
      <c r="AX757" s="33">
        <f>SUM(E757:AW757)</f>
        <v>1345</v>
      </c>
      <c r="AY757" s="31">
        <f>IFERROR(AVERAGEIF(E757:AW757,"&lt;&gt;0",(E757:AW757)),)</f>
        <v>49.814814814814817</v>
      </c>
      <c r="AZ757" s="30">
        <f>IFERROR(AY757/D757,0)</f>
        <v>0.83024691358024694</v>
      </c>
      <c r="BA757" s="103" t="s">
        <v>182</v>
      </c>
      <c r="BB757" s="100" t="s">
        <v>183</v>
      </c>
      <c r="BC757" s="100" t="s">
        <v>184</v>
      </c>
      <c r="BD757" s="101" t="s">
        <v>185</v>
      </c>
      <c r="BE757" s="100" t="s">
        <v>186</v>
      </c>
      <c r="BF757" s="102" t="s">
        <v>187</v>
      </c>
      <c r="BG757" s="100" t="s">
        <v>188</v>
      </c>
      <c r="BH757" s="102" t="s">
        <v>189</v>
      </c>
    </row>
    <row r="758" spans="1:60" s="17" customFormat="1" ht="19.5" customHeight="1" thickBot="1" x14ac:dyDescent="0.4">
      <c r="A758" s="41">
        <f t="shared" ref="A758:B758" si="668">A757</f>
        <v>45441</v>
      </c>
      <c r="B758" s="37" t="str">
        <f t="shared" si="668"/>
        <v>Omuz Çatma</v>
      </c>
      <c r="C758" s="65" t="str">
        <f t="shared" ref="C758:C763" si="669">C582</f>
        <v>FATMA BALCI</v>
      </c>
      <c r="D758" s="67">
        <f t="shared" ref="D758:D763" si="670">D757</f>
        <v>60</v>
      </c>
      <c r="E758" s="57">
        <v>40</v>
      </c>
      <c r="F758" s="52">
        <v>40</v>
      </c>
      <c r="G758" s="52">
        <v>40</v>
      </c>
      <c r="H758" s="58">
        <v>23</v>
      </c>
      <c r="I758" s="57">
        <v>40</v>
      </c>
      <c r="J758" s="52">
        <v>20</v>
      </c>
      <c r="K758" s="52">
        <v>45</v>
      </c>
      <c r="L758" s="58">
        <v>40</v>
      </c>
      <c r="M758" s="57">
        <v>40</v>
      </c>
      <c r="N758" s="52">
        <v>42</v>
      </c>
      <c r="O758" s="52">
        <v>45</v>
      </c>
      <c r="P758" s="58">
        <v>45</v>
      </c>
      <c r="Q758" s="57">
        <v>35</v>
      </c>
      <c r="R758" s="52">
        <v>35</v>
      </c>
      <c r="S758" s="52">
        <v>20</v>
      </c>
      <c r="T758" s="52">
        <v>35</v>
      </c>
      <c r="U758" s="58">
        <v>35</v>
      </c>
      <c r="V758" s="57">
        <v>40</v>
      </c>
      <c r="W758" s="52"/>
      <c r="X758" s="52"/>
      <c r="Y758" s="58"/>
      <c r="Z758" s="57"/>
      <c r="AA758" s="52"/>
      <c r="AB758" s="52"/>
      <c r="AC758" s="58">
        <v>0</v>
      </c>
      <c r="AD758" s="57"/>
      <c r="AE758" s="52"/>
      <c r="AF758" s="52"/>
      <c r="AG758" s="58"/>
      <c r="AH758" s="57"/>
      <c r="AI758" s="52"/>
      <c r="AJ758" s="52"/>
      <c r="AK758" s="58"/>
      <c r="AL758" s="57"/>
      <c r="AM758" s="52"/>
      <c r="AN758" s="52">
        <v>0</v>
      </c>
      <c r="AO758" s="58"/>
      <c r="AP758" s="57"/>
      <c r="AQ758" s="52"/>
      <c r="AR758" s="52"/>
      <c r="AS758" s="58"/>
      <c r="AT758" s="57"/>
      <c r="AU758" s="52"/>
      <c r="AV758" s="52"/>
      <c r="AW758" s="58"/>
      <c r="AX758" s="33">
        <f t="shared" ref="AX758:AX763" si="671">SUM(E758:AW758)</f>
        <v>660</v>
      </c>
      <c r="AY758" s="31">
        <f t="shared" ref="AY758:AY763" si="672">IFERROR(AVERAGEIF(E758:AW758,"&lt;&gt;0",(E758:AW758)),)</f>
        <v>36.666666666666664</v>
      </c>
      <c r="AZ758" s="30">
        <f t="shared" ref="AZ758:AZ763" si="673">IFERROR(AY758/D758,0)</f>
        <v>0.61111111111111105</v>
      </c>
      <c r="BA758" s="94">
        <f>AX764+BA582</f>
        <v>8147</v>
      </c>
      <c r="BB758" s="95">
        <f>(D764*8)</f>
        <v>4000</v>
      </c>
      <c r="BC758" s="96">
        <f>C709-BA758</f>
        <v>34164</v>
      </c>
      <c r="BD758" s="96">
        <f>BH750-BA758</f>
        <v>32026</v>
      </c>
      <c r="BE758" s="97">
        <f>IFERROR(BC758/E764,0)</f>
        <v>80.765957446808514</v>
      </c>
      <c r="BF758" s="98">
        <f>IFERROR(BE758/9,0)</f>
        <v>8.9739952718676133</v>
      </c>
      <c r="BG758" s="97">
        <f>IFERROR(BC758/AY764,0)</f>
        <v>111.52557127312296</v>
      </c>
      <c r="BH758" s="97">
        <f>IFERROR(BG758/9,0)</f>
        <v>12.391730141458106</v>
      </c>
    </row>
    <row r="759" spans="1:60" s="17" customFormat="1" ht="19.5" customHeight="1" x14ac:dyDescent="0.35">
      <c r="A759" s="41">
        <f t="shared" ref="A759:B759" si="674">A758</f>
        <v>45441</v>
      </c>
      <c r="B759" s="37" t="str">
        <f t="shared" si="674"/>
        <v>Omuz Çatma</v>
      </c>
      <c r="C759" s="65" t="str">
        <f t="shared" si="669"/>
        <v>AYŞE ALTUN</v>
      </c>
      <c r="D759" s="67">
        <f t="shared" si="670"/>
        <v>60</v>
      </c>
      <c r="E759" s="57">
        <v>20</v>
      </c>
      <c r="F759" s="52">
        <v>20</v>
      </c>
      <c r="G759" s="52">
        <v>20</v>
      </c>
      <c r="H759" s="58">
        <v>20</v>
      </c>
      <c r="I759" s="57">
        <v>20</v>
      </c>
      <c r="J759" s="52">
        <v>20</v>
      </c>
      <c r="K759" s="52">
        <v>25</v>
      </c>
      <c r="L759" s="58">
        <v>22</v>
      </c>
      <c r="M759" s="57">
        <v>20</v>
      </c>
      <c r="N759" s="52">
        <v>25</v>
      </c>
      <c r="O759" s="52">
        <v>20</v>
      </c>
      <c r="P759" s="58">
        <v>25</v>
      </c>
      <c r="Q759" s="57">
        <v>25</v>
      </c>
      <c r="R759" s="52">
        <v>15</v>
      </c>
      <c r="S759" s="52">
        <v>20</v>
      </c>
      <c r="T759" s="52">
        <v>20</v>
      </c>
      <c r="U759" s="58">
        <v>20</v>
      </c>
      <c r="V759" s="57">
        <v>20</v>
      </c>
      <c r="W759" s="52">
        <v>23</v>
      </c>
      <c r="X759" s="52">
        <v>20</v>
      </c>
      <c r="Y759" s="58">
        <v>20</v>
      </c>
      <c r="Z759" s="57">
        <v>20</v>
      </c>
      <c r="AA759" s="52">
        <v>20</v>
      </c>
      <c r="AB759" s="52">
        <v>20</v>
      </c>
      <c r="AC759" s="58">
        <v>20</v>
      </c>
      <c r="AD759" s="57">
        <v>25</v>
      </c>
      <c r="AE759" s="52">
        <v>20</v>
      </c>
      <c r="AF759" s="52">
        <v>20</v>
      </c>
      <c r="AG759" s="58">
        <v>20</v>
      </c>
      <c r="AH759" s="57">
        <v>20</v>
      </c>
      <c r="AI759" s="52">
        <v>20</v>
      </c>
      <c r="AJ759" s="52">
        <v>20</v>
      </c>
      <c r="AK759" s="58">
        <v>25</v>
      </c>
      <c r="AL759" s="57">
        <v>22</v>
      </c>
      <c r="AM759" s="52">
        <v>20</v>
      </c>
      <c r="AN759" s="52">
        <v>20</v>
      </c>
      <c r="AO759" s="58"/>
      <c r="AP759" s="57"/>
      <c r="AQ759" s="52"/>
      <c r="AR759" s="52"/>
      <c r="AS759" s="58"/>
      <c r="AT759" s="57"/>
      <c r="AU759" s="52"/>
      <c r="AV759" s="52"/>
      <c r="AW759" s="58"/>
      <c r="AX759" s="33">
        <f t="shared" si="671"/>
        <v>752</v>
      </c>
      <c r="AY759" s="31">
        <f t="shared" si="672"/>
        <v>20.888888888888889</v>
      </c>
      <c r="AZ759" s="30">
        <f t="shared" si="673"/>
        <v>0.34814814814814815</v>
      </c>
      <c r="BA759" s="34"/>
      <c r="BB759" s="34"/>
      <c r="BC759" s="34"/>
      <c r="BD759" s="76"/>
      <c r="BE759" s="34"/>
      <c r="BF759" s="34"/>
      <c r="BG759" s="34"/>
      <c r="BH759" s="34"/>
    </row>
    <row r="760" spans="1:60" s="17" customFormat="1" ht="19.5" customHeight="1" x14ac:dyDescent="0.35">
      <c r="A760" s="41">
        <f t="shared" ref="A760:B763" si="675">A759</f>
        <v>45441</v>
      </c>
      <c r="B760" s="37" t="str">
        <f t="shared" si="675"/>
        <v>Omuz Çatma</v>
      </c>
      <c r="C760" s="65">
        <f t="shared" si="669"/>
        <v>0</v>
      </c>
      <c r="D760" s="67">
        <f t="shared" si="670"/>
        <v>60</v>
      </c>
      <c r="E760" s="57"/>
      <c r="F760" s="52"/>
      <c r="G760" s="52"/>
      <c r="H760" s="58"/>
      <c r="I760" s="57"/>
      <c r="J760" s="52"/>
      <c r="K760" s="52"/>
      <c r="L760" s="58"/>
      <c r="M760" s="57"/>
      <c r="N760" s="52"/>
      <c r="O760" s="52"/>
      <c r="P760" s="58"/>
      <c r="Q760" s="57"/>
      <c r="R760" s="52"/>
      <c r="S760" s="52"/>
      <c r="T760" s="52"/>
      <c r="U760" s="58"/>
      <c r="V760" s="57"/>
      <c r="W760" s="52"/>
      <c r="X760" s="52"/>
      <c r="Y760" s="58"/>
      <c r="Z760" s="57"/>
      <c r="AA760" s="52"/>
      <c r="AB760" s="52"/>
      <c r="AC760" s="58"/>
      <c r="AD760" s="57"/>
      <c r="AE760" s="52"/>
      <c r="AF760" s="52"/>
      <c r="AG760" s="58"/>
      <c r="AH760" s="57"/>
      <c r="AI760" s="52"/>
      <c r="AJ760" s="52"/>
      <c r="AK760" s="58"/>
      <c r="AL760" s="57"/>
      <c r="AM760" s="52"/>
      <c r="AN760" s="52"/>
      <c r="AO760" s="58"/>
      <c r="AP760" s="57"/>
      <c r="AQ760" s="52"/>
      <c r="AR760" s="52"/>
      <c r="AS760" s="58"/>
      <c r="AT760" s="57"/>
      <c r="AU760" s="52"/>
      <c r="AV760" s="52"/>
      <c r="AW760" s="58"/>
      <c r="AX760" s="33">
        <f t="shared" si="671"/>
        <v>0</v>
      </c>
      <c r="AY760" s="31">
        <f t="shared" si="672"/>
        <v>0</v>
      </c>
      <c r="AZ760" s="30">
        <f t="shared" si="673"/>
        <v>0</v>
      </c>
      <c r="BA760" s="34"/>
      <c r="BB760" s="34"/>
      <c r="BC760" s="34"/>
      <c r="BD760" s="76"/>
      <c r="BE760" s="34"/>
      <c r="BF760" s="34"/>
      <c r="BG760" s="34"/>
      <c r="BH760" s="34"/>
    </row>
    <row r="761" spans="1:60" s="17" customFormat="1" ht="19.5" customHeight="1" x14ac:dyDescent="0.35">
      <c r="A761" s="41">
        <f>A758</f>
        <v>45441</v>
      </c>
      <c r="B761" s="37" t="str">
        <f t="shared" si="675"/>
        <v>Omuz Çatma</v>
      </c>
      <c r="C761" s="65">
        <f t="shared" si="669"/>
        <v>0</v>
      </c>
      <c r="D761" s="67">
        <f t="shared" si="670"/>
        <v>60</v>
      </c>
      <c r="E761" s="57"/>
      <c r="F761" s="52"/>
      <c r="G761" s="52"/>
      <c r="H761" s="58"/>
      <c r="I761" s="57"/>
      <c r="J761" s="52"/>
      <c r="K761" s="52"/>
      <c r="L761" s="58"/>
      <c r="M761" s="57"/>
      <c r="N761" s="52"/>
      <c r="O761" s="52"/>
      <c r="P761" s="58"/>
      <c r="Q761" s="57"/>
      <c r="R761" s="52"/>
      <c r="S761" s="52"/>
      <c r="T761" s="52"/>
      <c r="U761" s="58"/>
      <c r="V761" s="57"/>
      <c r="W761" s="52"/>
      <c r="X761" s="52"/>
      <c r="Y761" s="58"/>
      <c r="Z761" s="57"/>
      <c r="AA761" s="52"/>
      <c r="AB761" s="52"/>
      <c r="AC761" s="58"/>
      <c r="AD761" s="57"/>
      <c r="AE761" s="52"/>
      <c r="AF761" s="52"/>
      <c r="AG761" s="58"/>
      <c r="AH761" s="57"/>
      <c r="AI761" s="52"/>
      <c r="AJ761" s="52"/>
      <c r="AK761" s="58"/>
      <c r="AL761" s="57"/>
      <c r="AM761" s="52"/>
      <c r="AN761" s="52"/>
      <c r="AO761" s="58"/>
      <c r="AP761" s="57"/>
      <c r="AQ761" s="52"/>
      <c r="AR761" s="52"/>
      <c r="AS761" s="58"/>
      <c r="AT761" s="57"/>
      <c r="AU761" s="52"/>
      <c r="AV761" s="52"/>
      <c r="AW761" s="58"/>
      <c r="AX761" s="33">
        <f t="shared" si="671"/>
        <v>0</v>
      </c>
      <c r="AY761" s="31">
        <f t="shared" si="672"/>
        <v>0</v>
      </c>
      <c r="AZ761" s="30">
        <f t="shared" si="673"/>
        <v>0</v>
      </c>
      <c r="BA761" s="34"/>
      <c r="BB761" s="34"/>
      <c r="BC761" s="34"/>
      <c r="BD761" s="76"/>
      <c r="BE761" s="34"/>
      <c r="BF761" s="34"/>
      <c r="BG761" s="34"/>
      <c r="BH761" s="34"/>
    </row>
    <row r="762" spans="1:60" s="17" customFormat="1" ht="19.5" customHeight="1" x14ac:dyDescent="0.35">
      <c r="A762" s="41">
        <f>A761</f>
        <v>45441</v>
      </c>
      <c r="B762" s="37" t="str">
        <f t="shared" si="675"/>
        <v>Omuz Çatma</v>
      </c>
      <c r="C762" s="65">
        <f t="shared" si="669"/>
        <v>0</v>
      </c>
      <c r="D762" s="67">
        <f t="shared" si="670"/>
        <v>60</v>
      </c>
      <c r="E762" s="57"/>
      <c r="F762" s="52"/>
      <c r="G762" s="52"/>
      <c r="H762" s="58"/>
      <c r="I762" s="57"/>
      <c r="J762" s="52"/>
      <c r="K762" s="52"/>
      <c r="L762" s="58"/>
      <c r="M762" s="57"/>
      <c r="N762" s="52"/>
      <c r="O762" s="52"/>
      <c r="P762" s="58"/>
      <c r="Q762" s="57"/>
      <c r="R762" s="52"/>
      <c r="S762" s="52"/>
      <c r="T762" s="52"/>
      <c r="U762" s="58"/>
      <c r="V762" s="57"/>
      <c r="W762" s="52"/>
      <c r="X762" s="52"/>
      <c r="Y762" s="58"/>
      <c r="Z762" s="57"/>
      <c r="AA762" s="52"/>
      <c r="AB762" s="52"/>
      <c r="AC762" s="58"/>
      <c r="AD762" s="57"/>
      <c r="AE762" s="52"/>
      <c r="AF762" s="52"/>
      <c r="AG762" s="58"/>
      <c r="AH762" s="57"/>
      <c r="AI762" s="52"/>
      <c r="AJ762" s="52"/>
      <c r="AK762" s="58"/>
      <c r="AL762" s="57"/>
      <c r="AM762" s="52"/>
      <c r="AN762" s="52"/>
      <c r="AO762" s="58"/>
      <c r="AP762" s="57"/>
      <c r="AQ762" s="52"/>
      <c r="AR762" s="52"/>
      <c r="AS762" s="58"/>
      <c r="AT762" s="57"/>
      <c r="AU762" s="52"/>
      <c r="AV762" s="52"/>
      <c r="AW762" s="58"/>
      <c r="AX762" s="33">
        <f t="shared" si="671"/>
        <v>0</v>
      </c>
      <c r="AY762" s="31">
        <f t="shared" si="672"/>
        <v>0</v>
      </c>
      <c r="AZ762" s="30">
        <f t="shared" si="673"/>
        <v>0</v>
      </c>
      <c r="BA762" s="34"/>
      <c r="BB762" s="34"/>
      <c r="BC762" s="34"/>
      <c r="BD762" s="76"/>
      <c r="BE762" s="34"/>
      <c r="BF762" s="34"/>
      <c r="BG762" s="34"/>
      <c r="BH762" s="34"/>
    </row>
    <row r="763" spans="1:60" s="17" customFormat="1" ht="19.5" customHeight="1" thickBot="1" x14ac:dyDescent="0.4">
      <c r="A763" s="41">
        <f>A762</f>
        <v>45441</v>
      </c>
      <c r="B763" s="37" t="str">
        <f t="shared" si="675"/>
        <v>Omuz Çatma</v>
      </c>
      <c r="C763" s="65">
        <f t="shared" si="669"/>
        <v>0</v>
      </c>
      <c r="D763" s="67">
        <f t="shared" si="670"/>
        <v>60</v>
      </c>
      <c r="E763" s="59"/>
      <c r="F763" s="60"/>
      <c r="G763" s="61"/>
      <c r="H763" s="62"/>
      <c r="I763" s="59"/>
      <c r="J763" s="60"/>
      <c r="K763" s="61"/>
      <c r="L763" s="62"/>
      <c r="M763" s="59"/>
      <c r="N763" s="60"/>
      <c r="O763" s="61"/>
      <c r="P763" s="62"/>
      <c r="Q763" s="64"/>
      <c r="R763" s="61"/>
      <c r="S763" s="61"/>
      <c r="T763" s="61"/>
      <c r="U763" s="62"/>
      <c r="V763" s="59"/>
      <c r="W763" s="60"/>
      <c r="X763" s="61"/>
      <c r="Y763" s="62"/>
      <c r="Z763" s="59"/>
      <c r="AA763" s="60"/>
      <c r="AB763" s="61"/>
      <c r="AC763" s="62"/>
      <c r="AD763" s="59"/>
      <c r="AE763" s="60"/>
      <c r="AF763" s="61"/>
      <c r="AG763" s="62"/>
      <c r="AH763" s="59"/>
      <c r="AI763" s="60"/>
      <c r="AJ763" s="61"/>
      <c r="AK763" s="62"/>
      <c r="AL763" s="59"/>
      <c r="AM763" s="60"/>
      <c r="AN763" s="61"/>
      <c r="AO763" s="62"/>
      <c r="AP763" s="59"/>
      <c r="AQ763" s="60"/>
      <c r="AR763" s="61"/>
      <c r="AS763" s="62"/>
      <c r="AT763" s="59"/>
      <c r="AU763" s="60"/>
      <c r="AV763" s="61"/>
      <c r="AW763" s="62"/>
      <c r="AX763" s="33">
        <f t="shared" si="671"/>
        <v>0</v>
      </c>
      <c r="AY763" s="31">
        <f t="shared" si="672"/>
        <v>0</v>
      </c>
      <c r="AZ763" s="30">
        <f t="shared" si="673"/>
        <v>0</v>
      </c>
      <c r="BA763" s="34"/>
      <c r="BB763" s="34"/>
      <c r="BC763" s="34"/>
      <c r="BD763" s="76"/>
      <c r="BE763" s="34"/>
      <c r="BF763" s="34"/>
      <c r="BG763" s="34"/>
      <c r="BH763" s="34"/>
    </row>
    <row r="764" spans="1:60" s="17" customFormat="1" ht="19.5" customHeight="1" thickBot="1" x14ac:dyDescent="0.45">
      <c r="A764" s="41">
        <f>A763</f>
        <v>45441</v>
      </c>
      <c r="B764" s="139" t="str">
        <f>B757</f>
        <v>Omuz Çatma</v>
      </c>
      <c r="C764" s="140"/>
      <c r="D764" s="40">
        <f>C710/8</f>
        <v>500</v>
      </c>
      <c r="E764" s="147">
        <f>SUM(E757:H763)</f>
        <v>423</v>
      </c>
      <c r="F764" s="148"/>
      <c r="G764" s="148"/>
      <c r="H764" s="149"/>
      <c r="I764" s="147">
        <f>SUM(I757:L763)</f>
        <v>442</v>
      </c>
      <c r="J764" s="148"/>
      <c r="K764" s="148"/>
      <c r="L764" s="149"/>
      <c r="M764" s="147">
        <f>SUM(M757:P763)</f>
        <v>477</v>
      </c>
      <c r="N764" s="148"/>
      <c r="O764" s="148"/>
      <c r="P764" s="149"/>
      <c r="Q764" s="147">
        <f>SUM(Q757:U763)</f>
        <v>495</v>
      </c>
      <c r="R764" s="148"/>
      <c r="S764" s="148"/>
      <c r="T764" s="148"/>
      <c r="U764" s="149"/>
      <c r="V764" s="147">
        <f>SUM(V757:Y763)</f>
        <v>313</v>
      </c>
      <c r="W764" s="148"/>
      <c r="X764" s="148"/>
      <c r="Y764" s="149"/>
      <c r="Z764" s="147">
        <f>SUM(Z757:AC763)</f>
        <v>290</v>
      </c>
      <c r="AA764" s="148"/>
      <c r="AB764" s="148"/>
      <c r="AC764" s="149"/>
      <c r="AD764" s="147">
        <f>SUM(AD757:AG763)</f>
        <v>170</v>
      </c>
      <c r="AE764" s="148"/>
      <c r="AF764" s="148"/>
      <c r="AG764" s="149"/>
      <c r="AH764" s="147">
        <f>SUM(AH757:AK763)</f>
        <v>85</v>
      </c>
      <c r="AI764" s="148"/>
      <c r="AJ764" s="148"/>
      <c r="AK764" s="149"/>
      <c r="AL764" s="147">
        <f>SUM(AL757:AO763)</f>
        <v>62</v>
      </c>
      <c r="AM764" s="148"/>
      <c r="AN764" s="148"/>
      <c r="AO764" s="149"/>
      <c r="AP764" s="147">
        <f>SUM(AP757:AS763)</f>
        <v>0</v>
      </c>
      <c r="AQ764" s="148"/>
      <c r="AR764" s="148"/>
      <c r="AS764" s="149"/>
      <c r="AT764" s="147">
        <f>SUM(AT757:AW763)</f>
        <v>0</v>
      </c>
      <c r="AU764" s="148"/>
      <c r="AV764" s="148"/>
      <c r="AW764" s="149"/>
      <c r="AX764" s="87">
        <f>SUM(AX757:AX763)</f>
        <v>2757</v>
      </c>
      <c r="AY764" s="88">
        <f>IFERROR(AVERAGEIF(E764:AV764,"&lt;&gt;0",(E764:AV764)),)</f>
        <v>306.33333333333331</v>
      </c>
      <c r="AZ764" s="46">
        <f>IFERROR(AX764/BB758,0)</f>
        <v>0.68925000000000003</v>
      </c>
      <c r="BA764" s="34"/>
      <c r="BB764" s="34"/>
      <c r="BC764" s="34"/>
      <c r="BD764" s="76"/>
      <c r="BE764" s="34"/>
      <c r="BF764" s="34"/>
      <c r="BG764" s="34"/>
      <c r="BH764" s="34"/>
    </row>
    <row r="765" spans="1:60" s="17" customFormat="1" ht="19.5" customHeight="1" thickBot="1" x14ac:dyDescent="0.4">
      <c r="A765" s="42">
        <f>A756</f>
        <v>45441</v>
      </c>
      <c r="B765" s="38" t="str">
        <f>B766</f>
        <v>Yaka Takma</v>
      </c>
      <c r="C765" s="39" t="s">
        <v>180</v>
      </c>
      <c r="D765" s="69" t="s">
        <v>181</v>
      </c>
      <c r="E765" s="48">
        <v>0.34375</v>
      </c>
      <c r="F765" s="49">
        <v>0.35416666666666669</v>
      </c>
      <c r="G765" s="49">
        <v>0.36458333333333331</v>
      </c>
      <c r="H765" s="50">
        <v>0.375</v>
      </c>
      <c r="I765" s="48">
        <v>0.38541666666666702</v>
      </c>
      <c r="J765" s="49">
        <v>0.39583333333333298</v>
      </c>
      <c r="K765" s="49">
        <v>0.40625</v>
      </c>
      <c r="L765" s="50">
        <v>0.41666666666666702</v>
      </c>
      <c r="M765" s="48">
        <v>0.4375</v>
      </c>
      <c r="N765" s="49">
        <v>0.44791666666666702</v>
      </c>
      <c r="O765" s="49">
        <v>0.45833333333333398</v>
      </c>
      <c r="P765" s="50">
        <v>0.46875</v>
      </c>
      <c r="Q765" s="48">
        <v>0.47916666666666702</v>
      </c>
      <c r="R765" s="49">
        <v>0.48958333333333398</v>
      </c>
      <c r="S765" s="49">
        <v>0.5</v>
      </c>
      <c r="T765" s="50">
        <v>0.51041666666666696</v>
      </c>
      <c r="U765" s="51">
        <v>0.52083333333333204</v>
      </c>
      <c r="V765" s="48">
        <v>0.5625</v>
      </c>
      <c r="W765" s="49">
        <v>0.57291666666666663</v>
      </c>
      <c r="X765" s="49">
        <v>0.58333333333333304</v>
      </c>
      <c r="Y765" s="50">
        <v>0.59375</v>
      </c>
      <c r="Z765" s="48">
        <v>0.60416666666666696</v>
      </c>
      <c r="AA765" s="49">
        <v>0.61458333333333304</v>
      </c>
      <c r="AB765" s="49">
        <v>0.625</v>
      </c>
      <c r="AC765" s="50">
        <v>0.63541666666666596</v>
      </c>
      <c r="AD765" s="48">
        <v>0.65625</v>
      </c>
      <c r="AE765" s="49">
        <v>0.66666666666666663</v>
      </c>
      <c r="AF765" s="49">
        <v>0.67708333333333304</v>
      </c>
      <c r="AG765" s="50">
        <v>0.6875</v>
      </c>
      <c r="AH765" s="48">
        <v>0.69791666666666696</v>
      </c>
      <c r="AI765" s="49">
        <v>0.70833333333333304</v>
      </c>
      <c r="AJ765" s="49">
        <v>0.71875</v>
      </c>
      <c r="AK765" s="50">
        <v>0.72916666666666696</v>
      </c>
      <c r="AL765" s="48">
        <v>0.73958333333333404</v>
      </c>
      <c r="AM765" s="49">
        <v>0.750000000000001</v>
      </c>
      <c r="AN765" s="49">
        <v>0.76041666666666796</v>
      </c>
      <c r="AO765" s="50">
        <v>0.77083333333333504</v>
      </c>
      <c r="AP765" s="48">
        <v>0.781250000000002</v>
      </c>
      <c r="AQ765" s="49">
        <v>0.79166666666666896</v>
      </c>
      <c r="AR765" s="49">
        <v>0.80208333333333603</v>
      </c>
      <c r="AS765" s="50">
        <v>0.812500000000003</v>
      </c>
      <c r="AT765" s="48">
        <v>0.82291666666666996</v>
      </c>
      <c r="AU765" s="49">
        <v>0.83333333333333703</v>
      </c>
      <c r="AV765" s="49">
        <v>0.843750000000004</v>
      </c>
      <c r="AW765" s="50">
        <v>0.85416666666666663</v>
      </c>
      <c r="AX765" s="68" t="s">
        <v>260</v>
      </c>
      <c r="AY765" s="28" t="s">
        <v>261</v>
      </c>
      <c r="AZ765" s="29" t="s">
        <v>262</v>
      </c>
      <c r="BA765" s="136" t="str">
        <f>B766</f>
        <v>Yaka Takma</v>
      </c>
      <c r="BB765" s="137"/>
      <c r="BC765" s="137"/>
      <c r="BD765" s="137"/>
      <c r="BE765" s="137"/>
      <c r="BF765" s="137"/>
      <c r="BG765" s="137"/>
      <c r="BH765" s="138"/>
    </row>
    <row r="766" spans="1:60" s="17" customFormat="1" ht="19.5" customHeight="1" thickBot="1" x14ac:dyDescent="0.4">
      <c r="A766" s="41">
        <f>A765</f>
        <v>45441</v>
      </c>
      <c r="B766" s="37" t="str">
        <f>B590</f>
        <v>Yaka Takma</v>
      </c>
      <c r="C766" s="65" t="str">
        <f>C590</f>
        <v>FATMA KIZILTAN</v>
      </c>
      <c r="D766" s="70">
        <f>D590</f>
        <v>70</v>
      </c>
      <c r="E766" s="53">
        <v>60</v>
      </c>
      <c r="F766" s="54">
        <v>55</v>
      </c>
      <c r="G766" s="55">
        <v>50</v>
      </c>
      <c r="H766" s="56">
        <v>60</v>
      </c>
      <c r="I766" s="118">
        <v>15</v>
      </c>
      <c r="J766" s="54">
        <v>55</v>
      </c>
      <c r="K766" s="55">
        <v>55</v>
      </c>
      <c r="L766" s="56">
        <v>50</v>
      </c>
      <c r="M766" s="53">
        <v>55</v>
      </c>
      <c r="N766" s="54">
        <v>60</v>
      </c>
      <c r="O766" s="55">
        <v>55</v>
      </c>
      <c r="P766" s="56">
        <v>60</v>
      </c>
      <c r="Q766" s="63">
        <v>60</v>
      </c>
      <c r="R766" s="55">
        <v>50</v>
      </c>
      <c r="S766" s="55">
        <v>65</v>
      </c>
      <c r="T766" s="55">
        <v>60</v>
      </c>
      <c r="U766" s="56">
        <v>60</v>
      </c>
      <c r="V766" s="53">
        <v>50</v>
      </c>
      <c r="W766" s="54">
        <v>55</v>
      </c>
      <c r="X766" s="55">
        <v>50</v>
      </c>
      <c r="Y766" s="56">
        <v>50</v>
      </c>
      <c r="Z766" s="53">
        <v>50</v>
      </c>
      <c r="AA766" s="54">
        <v>50</v>
      </c>
      <c r="AB766" s="55">
        <v>45</v>
      </c>
      <c r="AC766" s="56">
        <v>55</v>
      </c>
      <c r="AD766" s="53">
        <v>50</v>
      </c>
      <c r="AE766" s="54">
        <v>60</v>
      </c>
      <c r="AF766" s="55">
        <v>60</v>
      </c>
      <c r="AG766" s="56">
        <v>60</v>
      </c>
      <c r="AH766" s="53">
        <v>50</v>
      </c>
      <c r="AI766" s="54">
        <v>56</v>
      </c>
      <c r="AJ766" s="55">
        <v>45</v>
      </c>
      <c r="AK766" s="56">
        <v>55</v>
      </c>
      <c r="AL766" s="53">
        <v>45</v>
      </c>
      <c r="AM766" s="54">
        <v>50</v>
      </c>
      <c r="AN766" s="55">
        <v>40</v>
      </c>
      <c r="AO766" s="56"/>
      <c r="AP766" s="53"/>
      <c r="AQ766" s="54"/>
      <c r="AR766" s="55"/>
      <c r="AS766" s="56"/>
      <c r="AT766" s="53"/>
      <c r="AU766" s="54"/>
      <c r="AV766" s="55"/>
      <c r="AW766" s="56"/>
      <c r="AX766" s="33">
        <f>SUM(E766:AW766)</f>
        <v>1901</v>
      </c>
      <c r="AY766" s="31">
        <f>IFERROR(AVERAGEIF(E766:AW766,"&lt;&gt;0",(E766:AW766)),)</f>
        <v>52.805555555555557</v>
      </c>
      <c r="AZ766" s="30">
        <f>IFERROR(AY766/D766,0)</f>
        <v>0.75436507936507935</v>
      </c>
      <c r="BA766" s="103" t="s">
        <v>182</v>
      </c>
      <c r="BB766" s="100" t="s">
        <v>183</v>
      </c>
      <c r="BC766" s="100" t="s">
        <v>184</v>
      </c>
      <c r="BD766" s="101" t="s">
        <v>185</v>
      </c>
      <c r="BE766" s="100" t="s">
        <v>186</v>
      </c>
      <c r="BF766" s="102" t="s">
        <v>187</v>
      </c>
      <c r="BG766" s="100" t="s">
        <v>188</v>
      </c>
      <c r="BH766" s="102" t="s">
        <v>189</v>
      </c>
    </row>
    <row r="767" spans="1:60" s="17" customFormat="1" ht="19.5" customHeight="1" thickBot="1" x14ac:dyDescent="0.4">
      <c r="A767" s="41">
        <f>A766</f>
        <v>45441</v>
      </c>
      <c r="B767" s="37" t="str">
        <f t="shared" ref="B767:B772" si="676">B766</f>
        <v>Yaka Takma</v>
      </c>
      <c r="C767" s="65" t="str">
        <f t="shared" ref="C767:C772" si="677">C591</f>
        <v>AYŞENUR YETER</v>
      </c>
      <c r="D767" s="67">
        <f t="shared" ref="D767:D772" si="678">D766</f>
        <v>70</v>
      </c>
      <c r="E767" s="57">
        <v>60</v>
      </c>
      <c r="F767" s="52">
        <v>60</v>
      </c>
      <c r="G767" s="52">
        <v>60</v>
      </c>
      <c r="H767" s="58">
        <v>60</v>
      </c>
      <c r="I767" s="57">
        <v>60</v>
      </c>
      <c r="J767" s="52">
        <v>60</v>
      </c>
      <c r="K767" s="52">
        <v>60</v>
      </c>
      <c r="L767" s="58">
        <v>30</v>
      </c>
      <c r="M767" s="57">
        <v>55</v>
      </c>
      <c r="N767" s="52">
        <v>70</v>
      </c>
      <c r="O767" s="52">
        <v>44</v>
      </c>
      <c r="P767" s="58">
        <v>65</v>
      </c>
      <c r="Q767" s="57">
        <v>65</v>
      </c>
      <c r="R767" s="52">
        <v>30</v>
      </c>
      <c r="S767" s="52">
        <v>70</v>
      </c>
      <c r="T767" s="52">
        <v>65</v>
      </c>
      <c r="U767" s="58">
        <v>50</v>
      </c>
      <c r="V767" s="57">
        <v>60</v>
      </c>
      <c r="W767" s="52">
        <v>60</v>
      </c>
      <c r="X767" s="52">
        <v>60</v>
      </c>
      <c r="Y767" s="58">
        <v>60</v>
      </c>
      <c r="Z767" s="57">
        <v>60</v>
      </c>
      <c r="AA767" s="52"/>
      <c r="AB767" s="52"/>
      <c r="AC767" s="58">
        <v>0</v>
      </c>
      <c r="AD767" s="57"/>
      <c r="AE767" s="52"/>
      <c r="AF767" s="52"/>
      <c r="AG767" s="58"/>
      <c r="AH767" s="57"/>
      <c r="AI767" s="52"/>
      <c r="AJ767" s="52"/>
      <c r="AK767" s="58"/>
      <c r="AL767" s="57"/>
      <c r="AM767" s="52"/>
      <c r="AN767" s="52"/>
      <c r="AO767" s="58"/>
      <c r="AP767" s="57"/>
      <c r="AQ767" s="52"/>
      <c r="AR767" s="52"/>
      <c r="AS767" s="58"/>
      <c r="AT767" s="57"/>
      <c r="AU767" s="52"/>
      <c r="AV767" s="52"/>
      <c r="AW767" s="58"/>
      <c r="AX767" s="33">
        <f t="shared" ref="AX767:AX772" si="679">SUM(E767:AW767)</f>
        <v>1264</v>
      </c>
      <c r="AY767" s="31">
        <f t="shared" ref="AY767:AY772" si="680">IFERROR(AVERAGEIF(E767:AW767,"&lt;&gt;0",(E767:AW767)),)</f>
        <v>57.454545454545453</v>
      </c>
      <c r="AZ767" s="30">
        <f t="shared" ref="AZ767:AZ772" si="681">IFERROR(AY767/D767,0)</f>
        <v>0.82077922077922072</v>
      </c>
      <c r="BA767" s="94">
        <f>AX773+BA591</f>
        <v>7747</v>
      </c>
      <c r="BB767" s="95">
        <f>(D773*8)</f>
        <v>4000</v>
      </c>
      <c r="BC767" s="96">
        <f>C709-BA767</f>
        <v>34564</v>
      </c>
      <c r="BD767" s="96">
        <f>BA758-BA767</f>
        <v>400</v>
      </c>
      <c r="BE767" s="97">
        <f>IFERROR(BC767/E773,0)</f>
        <v>74.331182795698922</v>
      </c>
      <c r="BF767" s="98">
        <f>IFERROR(BE767/9,0)</f>
        <v>8.259020310633213</v>
      </c>
      <c r="BG767" s="97">
        <f>IFERROR(BC767/AY773,0)</f>
        <v>98.286255924170604</v>
      </c>
      <c r="BH767" s="97">
        <f>IFERROR(BG767/9,0)</f>
        <v>10.920695102685622</v>
      </c>
    </row>
    <row r="768" spans="1:60" s="17" customFormat="1" ht="19.5" customHeight="1" x14ac:dyDescent="0.35">
      <c r="A768" s="41">
        <f>A767</f>
        <v>45441</v>
      </c>
      <c r="B768" s="37" t="str">
        <f t="shared" si="676"/>
        <v>Yaka Takma</v>
      </c>
      <c r="C768" s="65">
        <f t="shared" si="677"/>
        <v>0</v>
      </c>
      <c r="D768" s="67">
        <f t="shared" si="678"/>
        <v>70</v>
      </c>
      <c r="E768" s="57"/>
      <c r="F768" s="52"/>
      <c r="G768" s="52"/>
      <c r="H768" s="58"/>
      <c r="I768" s="57"/>
      <c r="J768" s="52"/>
      <c r="K768" s="52"/>
      <c r="L768" s="58"/>
      <c r="M768" s="57"/>
      <c r="N768" s="52"/>
      <c r="O768" s="52"/>
      <c r="P768" s="58"/>
      <c r="Q768" s="57"/>
      <c r="R768" s="52"/>
      <c r="S768" s="52"/>
      <c r="T768" s="52"/>
      <c r="U768" s="58"/>
      <c r="V768" s="57"/>
      <c r="W768" s="52"/>
      <c r="X768" s="52"/>
      <c r="Y768" s="58"/>
      <c r="Z768" s="57"/>
      <c r="AA768" s="52"/>
      <c r="AB768" s="52"/>
      <c r="AC768" s="58"/>
      <c r="AD768" s="57"/>
      <c r="AE768" s="52"/>
      <c r="AF768" s="52"/>
      <c r="AG768" s="58"/>
      <c r="AH768" s="57"/>
      <c r="AI768" s="52"/>
      <c r="AJ768" s="52"/>
      <c r="AK768" s="58"/>
      <c r="AL768" s="57"/>
      <c r="AM768" s="52"/>
      <c r="AN768" s="52"/>
      <c r="AO768" s="58"/>
      <c r="AP768" s="57"/>
      <c r="AQ768" s="52"/>
      <c r="AR768" s="52"/>
      <c r="AS768" s="58"/>
      <c r="AT768" s="57"/>
      <c r="AU768" s="52"/>
      <c r="AV768" s="52"/>
      <c r="AW768" s="58"/>
      <c r="AX768" s="33">
        <f t="shared" si="679"/>
        <v>0</v>
      </c>
      <c r="AY768" s="31">
        <f t="shared" si="680"/>
        <v>0</v>
      </c>
      <c r="AZ768" s="30">
        <f t="shared" si="681"/>
        <v>0</v>
      </c>
      <c r="BA768" s="34"/>
      <c r="BB768" s="34"/>
      <c r="BC768" s="34"/>
      <c r="BD768" s="76"/>
      <c r="BE768" s="34"/>
      <c r="BF768" s="34"/>
      <c r="BG768" s="34"/>
      <c r="BH768" s="34"/>
    </row>
    <row r="769" spans="1:60" s="17" customFormat="1" ht="19.5" customHeight="1" x14ac:dyDescent="0.35">
      <c r="A769" s="41">
        <f>A768</f>
        <v>45441</v>
      </c>
      <c r="B769" s="37" t="str">
        <f t="shared" si="676"/>
        <v>Yaka Takma</v>
      </c>
      <c r="C769" s="65">
        <f t="shared" si="677"/>
        <v>0</v>
      </c>
      <c r="D769" s="67">
        <f t="shared" si="678"/>
        <v>70</v>
      </c>
      <c r="E769" s="57"/>
      <c r="F769" s="52"/>
      <c r="G769" s="52"/>
      <c r="H769" s="58"/>
      <c r="I769" s="57"/>
      <c r="J769" s="52"/>
      <c r="K769" s="52"/>
      <c r="L769" s="58"/>
      <c r="M769" s="57"/>
      <c r="N769" s="52"/>
      <c r="O769" s="52"/>
      <c r="P769" s="58"/>
      <c r="Q769" s="57"/>
      <c r="R769" s="52"/>
      <c r="S769" s="52"/>
      <c r="T769" s="52"/>
      <c r="U769" s="58"/>
      <c r="V769" s="57"/>
      <c r="W769" s="52"/>
      <c r="X769" s="52"/>
      <c r="Y769" s="58"/>
      <c r="Z769" s="57"/>
      <c r="AA769" s="52"/>
      <c r="AB769" s="52"/>
      <c r="AC769" s="58"/>
      <c r="AD769" s="57"/>
      <c r="AE769" s="52"/>
      <c r="AF769" s="52"/>
      <c r="AG769" s="58"/>
      <c r="AH769" s="57"/>
      <c r="AI769" s="52"/>
      <c r="AJ769" s="52"/>
      <c r="AK769" s="58"/>
      <c r="AL769" s="57"/>
      <c r="AM769" s="52"/>
      <c r="AN769" s="52"/>
      <c r="AO769" s="58"/>
      <c r="AP769" s="57"/>
      <c r="AQ769" s="52"/>
      <c r="AR769" s="52"/>
      <c r="AS769" s="58"/>
      <c r="AT769" s="57"/>
      <c r="AU769" s="52"/>
      <c r="AV769" s="52"/>
      <c r="AW769" s="58"/>
      <c r="AX769" s="33">
        <f t="shared" si="679"/>
        <v>0</v>
      </c>
      <c r="AY769" s="31">
        <f t="shared" si="680"/>
        <v>0</v>
      </c>
      <c r="AZ769" s="30">
        <f t="shared" si="681"/>
        <v>0</v>
      </c>
      <c r="BA769" s="34"/>
      <c r="BB769" s="34"/>
      <c r="BC769" s="34"/>
      <c r="BD769" s="76"/>
      <c r="BE769" s="34"/>
      <c r="BF769" s="34"/>
      <c r="BG769" s="34"/>
      <c r="BH769" s="34"/>
    </row>
    <row r="770" spans="1:60" s="17" customFormat="1" ht="19.5" customHeight="1" x14ac:dyDescent="0.35">
      <c r="A770" s="41">
        <f>A767</f>
        <v>45441</v>
      </c>
      <c r="B770" s="37" t="str">
        <f t="shared" si="676"/>
        <v>Yaka Takma</v>
      </c>
      <c r="C770" s="65">
        <f t="shared" si="677"/>
        <v>0</v>
      </c>
      <c r="D770" s="67">
        <f t="shared" si="678"/>
        <v>70</v>
      </c>
      <c r="E770" s="57"/>
      <c r="F770" s="52"/>
      <c r="G770" s="52"/>
      <c r="H770" s="58"/>
      <c r="I770" s="57"/>
      <c r="J770" s="52"/>
      <c r="K770" s="52"/>
      <c r="L770" s="58"/>
      <c r="M770" s="57"/>
      <c r="N770" s="52"/>
      <c r="O770" s="52"/>
      <c r="P770" s="58"/>
      <c r="Q770" s="57"/>
      <c r="R770" s="52"/>
      <c r="S770" s="52"/>
      <c r="T770" s="52"/>
      <c r="U770" s="58"/>
      <c r="V770" s="57"/>
      <c r="W770" s="52"/>
      <c r="X770" s="52"/>
      <c r="Y770" s="58"/>
      <c r="Z770" s="57"/>
      <c r="AA770" s="52"/>
      <c r="AB770" s="52"/>
      <c r="AC770" s="58"/>
      <c r="AD770" s="57"/>
      <c r="AE770" s="52"/>
      <c r="AF770" s="52"/>
      <c r="AG770" s="58"/>
      <c r="AH770" s="57"/>
      <c r="AI770" s="52"/>
      <c r="AJ770" s="52"/>
      <c r="AK770" s="58"/>
      <c r="AL770" s="57"/>
      <c r="AM770" s="52"/>
      <c r="AN770" s="52"/>
      <c r="AO770" s="58"/>
      <c r="AP770" s="57"/>
      <c r="AQ770" s="52"/>
      <c r="AR770" s="52"/>
      <c r="AS770" s="58"/>
      <c r="AT770" s="57"/>
      <c r="AU770" s="52"/>
      <c r="AV770" s="52"/>
      <c r="AW770" s="58"/>
      <c r="AX770" s="33">
        <f t="shared" si="679"/>
        <v>0</v>
      </c>
      <c r="AY770" s="31">
        <f t="shared" si="680"/>
        <v>0</v>
      </c>
      <c r="AZ770" s="30">
        <f t="shared" si="681"/>
        <v>0</v>
      </c>
      <c r="BA770" s="34"/>
      <c r="BB770" s="34"/>
      <c r="BC770" s="34"/>
      <c r="BD770" s="76"/>
      <c r="BE770" s="34"/>
      <c r="BF770" s="34"/>
      <c r="BG770" s="34"/>
      <c r="BH770" s="34"/>
    </row>
    <row r="771" spans="1:60" s="17" customFormat="1" ht="19.5" customHeight="1" x14ac:dyDescent="0.35">
      <c r="A771" s="41">
        <f t="shared" ref="A771:A775" si="682">A770</f>
        <v>45441</v>
      </c>
      <c r="B771" s="37" t="str">
        <f t="shared" si="676"/>
        <v>Yaka Takma</v>
      </c>
      <c r="C771" s="65">
        <f t="shared" si="677"/>
        <v>0</v>
      </c>
      <c r="D771" s="67">
        <f t="shared" si="678"/>
        <v>70</v>
      </c>
      <c r="E771" s="57"/>
      <c r="F771" s="52"/>
      <c r="G771" s="52"/>
      <c r="H771" s="58"/>
      <c r="I771" s="57"/>
      <c r="J771" s="52"/>
      <c r="K771" s="52"/>
      <c r="L771" s="58"/>
      <c r="M771" s="57"/>
      <c r="N771" s="52"/>
      <c r="O771" s="52"/>
      <c r="P771" s="58"/>
      <c r="Q771" s="57"/>
      <c r="R771" s="52"/>
      <c r="S771" s="52"/>
      <c r="T771" s="52"/>
      <c r="U771" s="58"/>
      <c r="V771" s="57"/>
      <c r="W771" s="52"/>
      <c r="X771" s="52"/>
      <c r="Y771" s="58"/>
      <c r="Z771" s="57"/>
      <c r="AA771" s="52"/>
      <c r="AB771" s="52"/>
      <c r="AC771" s="58"/>
      <c r="AD771" s="57"/>
      <c r="AE771" s="52"/>
      <c r="AF771" s="52"/>
      <c r="AG771" s="58"/>
      <c r="AH771" s="57"/>
      <c r="AI771" s="52"/>
      <c r="AJ771" s="52"/>
      <c r="AK771" s="58"/>
      <c r="AL771" s="57"/>
      <c r="AM771" s="52"/>
      <c r="AN771" s="52"/>
      <c r="AO771" s="58"/>
      <c r="AP771" s="57"/>
      <c r="AQ771" s="52"/>
      <c r="AR771" s="52"/>
      <c r="AS771" s="58"/>
      <c r="AT771" s="57"/>
      <c r="AU771" s="52"/>
      <c r="AV771" s="52"/>
      <c r="AW771" s="58"/>
      <c r="AX771" s="33">
        <f t="shared" si="679"/>
        <v>0</v>
      </c>
      <c r="AY771" s="31">
        <f t="shared" si="680"/>
        <v>0</v>
      </c>
      <c r="AZ771" s="30">
        <f t="shared" si="681"/>
        <v>0</v>
      </c>
      <c r="BA771" s="34"/>
      <c r="BB771" s="34"/>
      <c r="BC771" s="34"/>
      <c r="BD771" s="76"/>
      <c r="BE771" s="34"/>
      <c r="BF771" s="34"/>
      <c r="BG771" s="34"/>
      <c r="BH771" s="34"/>
    </row>
    <row r="772" spans="1:60" s="17" customFormat="1" ht="19.5" customHeight="1" thickBot="1" x14ac:dyDescent="0.4">
      <c r="A772" s="41">
        <f t="shared" si="682"/>
        <v>45441</v>
      </c>
      <c r="B772" s="37" t="str">
        <f t="shared" si="676"/>
        <v>Yaka Takma</v>
      </c>
      <c r="C772" s="65">
        <f t="shared" si="677"/>
        <v>0</v>
      </c>
      <c r="D772" s="67">
        <f t="shared" si="678"/>
        <v>70</v>
      </c>
      <c r="E772" s="59"/>
      <c r="F772" s="60"/>
      <c r="G772" s="61"/>
      <c r="H772" s="62"/>
      <c r="I772" s="59"/>
      <c r="J772" s="60"/>
      <c r="K772" s="61"/>
      <c r="L772" s="62"/>
      <c r="M772" s="59"/>
      <c r="N772" s="60"/>
      <c r="O772" s="61"/>
      <c r="P772" s="62"/>
      <c r="Q772" s="64"/>
      <c r="R772" s="61"/>
      <c r="S772" s="61"/>
      <c r="T772" s="61"/>
      <c r="U772" s="62"/>
      <c r="V772" s="59"/>
      <c r="W772" s="60"/>
      <c r="X772" s="61"/>
      <c r="Y772" s="62"/>
      <c r="Z772" s="59"/>
      <c r="AA772" s="60"/>
      <c r="AB772" s="61"/>
      <c r="AC772" s="62"/>
      <c r="AD772" s="59"/>
      <c r="AE772" s="60"/>
      <c r="AF772" s="61"/>
      <c r="AG772" s="62"/>
      <c r="AH772" s="59"/>
      <c r="AI772" s="60"/>
      <c r="AJ772" s="61"/>
      <c r="AK772" s="62"/>
      <c r="AL772" s="59"/>
      <c r="AM772" s="60"/>
      <c r="AN772" s="61"/>
      <c r="AO772" s="62"/>
      <c r="AP772" s="59"/>
      <c r="AQ772" s="60"/>
      <c r="AR772" s="61"/>
      <c r="AS772" s="62"/>
      <c r="AT772" s="59"/>
      <c r="AU772" s="60"/>
      <c r="AV772" s="61"/>
      <c r="AW772" s="62"/>
      <c r="AX772" s="33">
        <f t="shared" si="679"/>
        <v>0</v>
      </c>
      <c r="AY772" s="31">
        <f t="shared" si="680"/>
        <v>0</v>
      </c>
      <c r="AZ772" s="30">
        <f t="shared" si="681"/>
        <v>0</v>
      </c>
      <c r="BA772" s="34"/>
      <c r="BB772" s="34"/>
      <c r="BC772" s="34"/>
      <c r="BD772" s="76"/>
      <c r="BE772" s="34"/>
      <c r="BF772" s="34"/>
      <c r="BG772" s="34"/>
      <c r="BH772" s="34"/>
    </row>
    <row r="773" spans="1:60" s="17" customFormat="1" ht="19.5" customHeight="1" thickBot="1" x14ac:dyDescent="0.45">
      <c r="A773" s="41">
        <f t="shared" si="682"/>
        <v>45441</v>
      </c>
      <c r="B773" s="139" t="str">
        <f>B766</f>
        <v>Yaka Takma</v>
      </c>
      <c r="C773" s="140"/>
      <c r="D773" s="40">
        <f>C710/8</f>
        <v>500</v>
      </c>
      <c r="E773" s="147">
        <f>SUM(E766:H772)</f>
        <v>465</v>
      </c>
      <c r="F773" s="148"/>
      <c r="G773" s="148"/>
      <c r="H773" s="149"/>
      <c r="I773" s="147">
        <f>SUM(I766:L772)</f>
        <v>385</v>
      </c>
      <c r="J773" s="148"/>
      <c r="K773" s="148"/>
      <c r="L773" s="149"/>
      <c r="M773" s="147">
        <f>SUM(M766:P772)</f>
        <v>464</v>
      </c>
      <c r="N773" s="148"/>
      <c r="O773" s="148"/>
      <c r="P773" s="149"/>
      <c r="Q773" s="147">
        <f>SUM(Q766:U772)</f>
        <v>575</v>
      </c>
      <c r="R773" s="148"/>
      <c r="S773" s="148"/>
      <c r="T773" s="148"/>
      <c r="U773" s="149"/>
      <c r="V773" s="147">
        <f>SUM(V766:Y772)</f>
        <v>445</v>
      </c>
      <c r="W773" s="148"/>
      <c r="X773" s="148"/>
      <c r="Y773" s="149"/>
      <c r="Z773" s="147">
        <f>SUM(Z766:AC772)</f>
        <v>260</v>
      </c>
      <c r="AA773" s="148"/>
      <c r="AB773" s="148"/>
      <c r="AC773" s="149"/>
      <c r="AD773" s="147">
        <f>SUM(AD766:AG772)</f>
        <v>230</v>
      </c>
      <c r="AE773" s="148"/>
      <c r="AF773" s="148"/>
      <c r="AG773" s="149"/>
      <c r="AH773" s="147">
        <f>SUM(AH766:AK772)</f>
        <v>206</v>
      </c>
      <c r="AI773" s="148"/>
      <c r="AJ773" s="148"/>
      <c r="AK773" s="149"/>
      <c r="AL773" s="147">
        <f>SUM(AL766:AO772)</f>
        <v>135</v>
      </c>
      <c r="AM773" s="148"/>
      <c r="AN773" s="148"/>
      <c r="AO773" s="149"/>
      <c r="AP773" s="147">
        <f>SUM(AP766:AS772)</f>
        <v>0</v>
      </c>
      <c r="AQ773" s="148"/>
      <c r="AR773" s="148"/>
      <c r="AS773" s="149"/>
      <c r="AT773" s="147">
        <f>SUM(AT766:AW772)</f>
        <v>0</v>
      </c>
      <c r="AU773" s="148"/>
      <c r="AV773" s="148"/>
      <c r="AW773" s="149"/>
      <c r="AX773" s="87">
        <f>SUM(AX766:AX772)</f>
        <v>3165</v>
      </c>
      <c r="AY773" s="88">
        <f>IFERROR(AVERAGEIF(E773:AV773,"&lt;&gt;0",(E773:AV773)),)</f>
        <v>351.66666666666669</v>
      </c>
      <c r="AZ773" s="46">
        <f>IFERROR(AX773/BB767,0)</f>
        <v>0.79125000000000001</v>
      </c>
      <c r="BA773" s="34"/>
      <c r="BB773" s="34"/>
      <c r="BC773" s="34"/>
      <c r="BD773" s="76"/>
      <c r="BE773" s="34"/>
      <c r="BF773" s="34"/>
      <c r="BG773" s="34"/>
      <c r="BH773" s="34"/>
    </row>
    <row r="774" spans="1:60" s="17" customFormat="1" ht="19.5" customHeight="1" thickBot="1" x14ac:dyDescent="0.4">
      <c r="A774" s="42">
        <f t="shared" si="682"/>
        <v>45441</v>
      </c>
      <c r="B774" s="38" t="str">
        <f>B775</f>
        <v>Ense Biye</v>
      </c>
      <c r="C774" s="39" t="s">
        <v>180</v>
      </c>
      <c r="D774" s="69" t="s">
        <v>181</v>
      </c>
      <c r="E774" s="48">
        <v>0.34375</v>
      </c>
      <c r="F774" s="49">
        <v>0.35416666666666669</v>
      </c>
      <c r="G774" s="49">
        <v>0.36458333333333331</v>
      </c>
      <c r="H774" s="50">
        <v>0.375</v>
      </c>
      <c r="I774" s="48">
        <v>0.38541666666666702</v>
      </c>
      <c r="J774" s="49">
        <v>0.39583333333333298</v>
      </c>
      <c r="K774" s="49">
        <v>0.40625</v>
      </c>
      <c r="L774" s="50">
        <v>0.41666666666666702</v>
      </c>
      <c r="M774" s="48">
        <v>0.4375</v>
      </c>
      <c r="N774" s="49">
        <v>0.44791666666666702</v>
      </c>
      <c r="O774" s="49">
        <v>0.45833333333333398</v>
      </c>
      <c r="P774" s="50">
        <v>0.46875</v>
      </c>
      <c r="Q774" s="48">
        <v>0.47916666666666702</v>
      </c>
      <c r="R774" s="49">
        <v>0.48958333333333398</v>
      </c>
      <c r="S774" s="49">
        <v>0.5</v>
      </c>
      <c r="T774" s="50">
        <v>0.51041666666666696</v>
      </c>
      <c r="U774" s="51">
        <v>0.52083333333333204</v>
      </c>
      <c r="V774" s="48">
        <v>0.5625</v>
      </c>
      <c r="W774" s="49">
        <v>0.57291666666666663</v>
      </c>
      <c r="X774" s="49">
        <v>0.58333333333333304</v>
      </c>
      <c r="Y774" s="50">
        <v>0.59375</v>
      </c>
      <c r="Z774" s="48">
        <v>0.60416666666666696</v>
      </c>
      <c r="AA774" s="49">
        <v>0.61458333333333304</v>
      </c>
      <c r="AB774" s="49">
        <v>0.625</v>
      </c>
      <c r="AC774" s="50">
        <v>0.63541666666666596</v>
      </c>
      <c r="AD774" s="48">
        <v>0.65625</v>
      </c>
      <c r="AE774" s="49">
        <v>0.66666666666666663</v>
      </c>
      <c r="AF774" s="49">
        <v>0.67708333333333304</v>
      </c>
      <c r="AG774" s="50">
        <v>0.6875</v>
      </c>
      <c r="AH774" s="48">
        <v>0.69791666666666696</v>
      </c>
      <c r="AI774" s="49">
        <v>0.70833333333333304</v>
      </c>
      <c r="AJ774" s="49">
        <v>0.71875</v>
      </c>
      <c r="AK774" s="50">
        <v>0.72916666666666696</v>
      </c>
      <c r="AL774" s="48">
        <v>0.73958333333333404</v>
      </c>
      <c r="AM774" s="49">
        <v>0.750000000000001</v>
      </c>
      <c r="AN774" s="49">
        <v>0.76041666666666796</v>
      </c>
      <c r="AO774" s="50">
        <v>0.77083333333333504</v>
      </c>
      <c r="AP774" s="48">
        <v>0.781250000000002</v>
      </c>
      <c r="AQ774" s="49">
        <v>0.79166666666666896</v>
      </c>
      <c r="AR774" s="49">
        <v>0.80208333333333603</v>
      </c>
      <c r="AS774" s="50">
        <v>0.812500000000003</v>
      </c>
      <c r="AT774" s="48">
        <v>0.82291666666666996</v>
      </c>
      <c r="AU774" s="49">
        <v>0.83333333333333703</v>
      </c>
      <c r="AV774" s="49">
        <v>0.843750000000004</v>
      </c>
      <c r="AW774" s="50">
        <v>0.85416666666666663</v>
      </c>
      <c r="AX774" s="68" t="s">
        <v>260</v>
      </c>
      <c r="AY774" s="28" t="s">
        <v>261</v>
      </c>
      <c r="AZ774" s="29" t="s">
        <v>262</v>
      </c>
      <c r="BA774" s="136" t="str">
        <f>B775</f>
        <v>Ense Biye</v>
      </c>
      <c r="BB774" s="137"/>
      <c r="BC774" s="137"/>
      <c r="BD774" s="137"/>
      <c r="BE774" s="137"/>
      <c r="BF774" s="137"/>
      <c r="BG774" s="137"/>
      <c r="BH774" s="138"/>
    </row>
    <row r="775" spans="1:60" s="17" customFormat="1" ht="19.5" customHeight="1" thickBot="1" x14ac:dyDescent="0.4">
      <c r="A775" s="41">
        <f t="shared" si="682"/>
        <v>45441</v>
      </c>
      <c r="B775" s="37" t="str">
        <f>B599</f>
        <v>Ense Biye</v>
      </c>
      <c r="C775" s="65" t="str">
        <f>C599</f>
        <v>FADİME SAATÇİ</v>
      </c>
      <c r="D775" s="70">
        <f>D599</f>
        <v>100</v>
      </c>
      <c r="E775" s="63">
        <v>85</v>
      </c>
      <c r="F775" s="55">
        <v>100</v>
      </c>
      <c r="G775" s="55">
        <v>90</v>
      </c>
      <c r="H775" s="56">
        <v>90</v>
      </c>
      <c r="I775" s="63">
        <v>80</v>
      </c>
      <c r="J775" s="55">
        <v>80</v>
      </c>
      <c r="K775" s="55">
        <v>100</v>
      </c>
      <c r="L775" s="56">
        <v>55</v>
      </c>
      <c r="M775" s="63">
        <v>80</v>
      </c>
      <c r="N775" s="55">
        <v>95</v>
      </c>
      <c r="O775" s="55">
        <v>80</v>
      </c>
      <c r="P775" s="56">
        <v>100</v>
      </c>
      <c r="Q775" s="63">
        <v>100</v>
      </c>
      <c r="R775" s="55">
        <v>55</v>
      </c>
      <c r="S775" s="55">
        <v>95</v>
      </c>
      <c r="T775" s="55">
        <v>100</v>
      </c>
      <c r="U775" s="56">
        <v>90</v>
      </c>
      <c r="V775" s="63">
        <v>90</v>
      </c>
      <c r="W775" s="55">
        <v>65</v>
      </c>
      <c r="X775" s="55">
        <v>70</v>
      </c>
      <c r="Y775" s="56">
        <v>90</v>
      </c>
      <c r="Z775" s="63">
        <v>75</v>
      </c>
      <c r="AA775" s="55">
        <v>70</v>
      </c>
      <c r="AB775" s="55">
        <v>70</v>
      </c>
      <c r="AC775" s="56">
        <v>65</v>
      </c>
      <c r="AD775" s="63"/>
      <c r="AE775" s="55"/>
      <c r="AF775" s="55"/>
      <c r="AG775" s="56"/>
      <c r="AH775" s="63"/>
      <c r="AI775" s="55"/>
      <c r="AJ775" s="55"/>
      <c r="AK775" s="56"/>
      <c r="AL775" s="63"/>
      <c r="AM775" s="55"/>
      <c r="AN775" s="55"/>
      <c r="AO775" s="56"/>
      <c r="AP775" s="53"/>
      <c r="AQ775" s="54"/>
      <c r="AR775" s="55"/>
      <c r="AS775" s="56"/>
      <c r="AT775" s="53"/>
      <c r="AU775" s="54"/>
      <c r="AV775" s="55"/>
      <c r="AW775" s="56"/>
      <c r="AX775" s="33">
        <f>SUM(E775:AW775)</f>
        <v>2070</v>
      </c>
      <c r="AY775" s="31">
        <f>IFERROR(AVERAGEIF(E775:AW775,"&lt;&gt;0",(E775:AW775)),)</f>
        <v>82.8</v>
      </c>
      <c r="AZ775" s="30">
        <f>IFERROR(AY775/D775,0)</f>
        <v>0.82799999999999996</v>
      </c>
      <c r="BA775" s="103" t="s">
        <v>182</v>
      </c>
      <c r="BB775" s="100" t="s">
        <v>183</v>
      </c>
      <c r="BC775" s="100" t="s">
        <v>184</v>
      </c>
      <c r="BD775" s="101" t="s">
        <v>185</v>
      </c>
      <c r="BE775" s="100" t="s">
        <v>186</v>
      </c>
      <c r="BF775" s="102" t="s">
        <v>187</v>
      </c>
      <c r="BG775" s="100" t="s">
        <v>188</v>
      </c>
      <c r="BH775" s="102" t="s">
        <v>189</v>
      </c>
    </row>
    <row r="776" spans="1:60" s="17" customFormat="1" ht="19.5" customHeight="1" thickBot="1" x14ac:dyDescent="0.4">
      <c r="A776" s="41">
        <f t="shared" ref="A776:B776" si="683">A775</f>
        <v>45441</v>
      </c>
      <c r="B776" s="37" t="str">
        <f t="shared" si="683"/>
        <v>Ense Biye</v>
      </c>
      <c r="C776" s="65" t="str">
        <f t="shared" ref="C776:C781" si="684">C600</f>
        <v>ŞEFİKA KESKİN</v>
      </c>
      <c r="D776" s="67">
        <f t="shared" ref="D776:D781" si="685">D775</f>
        <v>100</v>
      </c>
      <c r="E776" s="57">
        <v>0</v>
      </c>
      <c r="F776" s="52">
        <v>75</v>
      </c>
      <c r="G776" s="52">
        <v>85</v>
      </c>
      <c r="H776" s="58">
        <v>85</v>
      </c>
      <c r="I776" s="5">
        <v>58</v>
      </c>
      <c r="J776" s="52">
        <v>75</v>
      </c>
      <c r="K776" s="52">
        <v>80</v>
      </c>
      <c r="L776" s="58">
        <v>95</v>
      </c>
      <c r="M776" s="57"/>
      <c r="N776" s="52"/>
      <c r="O776" s="52"/>
      <c r="P776" s="58"/>
      <c r="Q776" s="57"/>
      <c r="R776" s="52"/>
      <c r="S776" s="52"/>
      <c r="T776" s="52"/>
      <c r="U776" s="58">
        <v>0</v>
      </c>
      <c r="V776" s="57"/>
      <c r="W776" s="52"/>
      <c r="X776" s="52"/>
      <c r="Y776" s="58"/>
      <c r="Z776" s="57"/>
      <c r="AA776" s="52">
        <v>95</v>
      </c>
      <c r="AB776" s="52">
        <v>85</v>
      </c>
      <c r="AC776" s="58">
        <v>85</v>
      </c>
      <c r="AD776" s="57">
        <v>25</v>
      </c>
      <c r="AE776" s="52">
        <v>90</v>
      </c>
      <c r="AF776" s="52">
        <v>66</v>
      </c>
      <c r="AG776" s="58"/>
      <c r="AH776" s="57"/>
      <c r="AI776" s="52"/>
      <c r="AJ776" s="52">
        <v>70</v>
      </c>
      <c r="AK776" s="58">
        <v>80</v>
      </c>
      <c r="AL776" s="57"/>
      <c r="AM776" s="52"/>
      <c r="AN776" s="52">
        <v>87</v>
      </c>
      <c r="AO776" s="58"/>
      <c r="AP776" s="57"/>
      <c r="AQ776" s="52"/>
      <c r="AR776" s="52"/>
      <c r="AS776" s="58"/>
      <c r="AT776" s="57"/>
      <c r="AU776" s="52"/>
      <c r="AV776" s="52"/>
      <c r="AW776" s="58"/>
      <c r="AX776" s="33">
        <f t="shared" ref="AX776:AX781" si="686">SUM(E776:AW776)</f>
        <v>1236</v>
      </c>
      <c r="AY776" s="31">
        <f t="shared" ref="AY776:AY781" si="687">IFERROR(AVERAGEIF(E776:AW776,"&lt;&gt;0",(E776:AW776)),)</f>
        <v>77.25</v>
      </c>
      <c r="AZ776" s="30">
        <f t="shared" ref="AZ776:AZ781" si="688">IFERROR(AY776/D776,0)</f>
        <v>0.77249999999999996</v>
      </c>
      <c r="BA776" s="94">
        <f>AX782+BA600</f>
        <v>7443</v>
      </c>
      <c r="BB776" s="95">
        <f>(D782*8)</f>
        <v>4000</v>
      </c>
      <c r="BC776" s="96">
        <f>C709-BA776</f>
        <v>34868</v>
      </c>
      <c r="BD776" s="96">
        <f>BA767-BA776</f>
        <v>304</v>
      </c>
      <c r="BE776" s="97">
        <f>IFERROR(BC776/E782,0)</f>
        <v>57.160655737704921</v>
      </c>
      <c r="BF776" s="98">
        <f>IFERROR(BE776/9,0)</f>
        <v>6.351183970856102</v>
      </c>
      <c r="BG776" s="97">
        <f>IFERROR(BC776/AY782,0)</f>
        <v>94.921960072595283</v>
      </c>
      <c r="BH776" s="97">
        <f>IFERROR(BG776/9,0)</f>
        <v>10.546884452510588</v>
      </c>
    </row>
    <row r="777" spans="1:60" s="17" customFormat="1" ht="19.5" customHeight="1" x14ac:dyDescent="0.35">
      <c r="A777" s="41">
        <f t="shared" ref="A777:B777" si="689">A776</f>
        <v>45441</v>
      </c>
      <c r="B777" s="37" t="str">
        <f t="shared" si="689"/>
        <v>Ense Biye</v>
      </c>
      <c r="C777" s="65">
        <f t="shared" si="684"/>
        <v>0</v>
      </c>
      <c r="D777" s="67">
        <f t="shared" si="685"/>
        <v>100</v>
      </c>
      <c r="E777" s="57"/>
      <c r="F777" s="52"/>
      <c r="G777" s="52"/>
      <c r="H777" s="58"/>
      <c r="I777" s="57"/>
      <c r="J777" s="52"/>
      <c r="K777" s="52"/>
      <c r="L777" s="58"/>
      <c r="M777" s="57"/>
      <c r="N777" s="52"/>
      <c r="O777" s="52"/>
      <c r="P777" s="58"/>
      <c r="Q777" s="57"/>
      <c r="R777" s="52"/>
      <c r="S777" s="52"/>
      <c r="T777" s="52"/>
      <c r="U777" s="58"/>
      <c r="V777" s="57"/>
      <c r="W777" s="52"/>
      <c r="X777" s="52"/>
      <c r="Y777" s="58"/>
      <c r="Z777" s="57"/>
      <c r="AA777" s="52"/>
      <c r="AB777" s="52"/>
      <c r="AC777" s="58"/>
      <c r="AD777" s="57"/>
      <c r="AE777" s="52"/>
      <c r="AF777" s="52"/>
      <c r="AG777" s="58"/>
      <c r="AH777" s="57"/>
      <c r="AI777" s="52"/>
      <c r="AJ777" s="52"/>
      <c r="AK777" s="58"/>
      <c r="AL777" s="57"/>
      <c r="AM777" s="52"/>
      <c r="AN777" s="52"/>
      <c r="AO777" s="58"/>
      <c r="AP777" s="57"/>
      <c r="AQ777" s="52"/>
      <c r="AR777" s="52"/>
      <c r="AS777" s="58"/>
      <c r="AT777" s="57"/>
      <c r="AU777" s="52"/>
      <c r="AV777" s="52"/>
      <c r="AW777" s="58"/>
      <c r="AX777" s="33">
        <f t="shared" si="686"/>
        <v>0</v>
      </c>
      <c r="AY777" s="31">
        <f t="shared" si="687"/>
        <v>0</v>
      </c>
      <c r="AZ777" s="30">
        <f t="shared" si="688"/>
        <v>0</v>
      </c>
      <c r="BA777" s="34"/>
      <c r="BB777" s="34"/>
      <c r="BC777" s="34"/>
      <c r="BD777" s="76"/>
      <c r="BE777" s="34"/>
      <c r="BF777" s="34"/>
      <c r="BG777" s="34"/>
      <c r="BH777" s="34"/>
    </row>
    <row r="778" spans="1:60" s="17" customFormat="1" ht="19.5" customHeight="1" x14ac:dyDescent="0.35">
      <c r="A778" s="41">
        <f t="shared" ref="A778:B781" si="690">A777</f>
        <v>45441</v>
      </c>
      <c r="B778" s="37" t="str">
        <f t="shared" si="690"/>
        <v>Ense Biye</v>
      </c>
      <c r="C778" s="65">
        <f t="shared" si="684"/>
        <v>0</v>
      </c>
      <c r="D778" s="67">
        <f t="shared" si="685"/>
        <v>100</v>
      </c>
      <c r="E778" s="57"/>
      <c r="F778" s="52"/>
      <c r="G778" s="52"/>
      <c r="H778" s="58"/>
      <c r="I778" s="57"/>
      <c r="J778" s="52"/>
      <c r="K778" s="52"/>
      <c r="L778" s="58"/>
      <c r="M778" s="57"/>
      <c r="N778" s="52"/>
      <c r="O778" s="52"/>
      <c r="P778" s="58"/>
      <c r="Q778" s="57"/>
      <c r="R778" s="52"/>
      <c r="S778" s="52"/>
      <c r="T778" s="52"/>
      <c r="U778" s="58"/>
      <c r="V778" s="57"/>
      <c r="W778" s="52"/>
      <c r="X778" s="52"/>
      <c r="Y778" s="58"/>
      <c r="Z778" s="57"/>
      <c r="AA778" s="52"/>
      <c r="AB778" s="52"/>
      <c r="AC778" s="58"/>
      <c r="AD778" s="57"/>
      <c r="AE778" s="52"/>
      <c r="AF778" s="52"/>
      <c r="AG778" s="58"/>
      <c r="AH778" s="57"/>
      <c r="AI778" s="52"/>
      <c r="AJ778" s="52"/>
      <c r="AK778" s="58"/>
      <c r="AL778" s="57"/>
      <c r="AM778" s="52"/>
      <c r="AN778" s="52"/>
      <c r="AO778" s="58"/>
      <c r="AP778" s="57"/>
      <c r="AQ778" s="52"/>
      <c r="AR778" s="52"/>
      <c r="AS778" s="58"/>
      <c r="AT778" s="57"/>
      <c r="AU778" s="52"/>
      <c r="AV778" s="52"/>
      <c r="AW778" s="58"/>
      <c r="AX778" s="33">
        <f t="shared" si="686"/>
        <v>0</v>
      </c>
      <c r="AY778" s="31">
        <f t="shared" si="687"/>
        <v>0</v>
      </c>
      <c r="AZ778" s="30">
        <f t="shared" si="688"/>
        <v>0</v>
      </c>
      <c r="BA778" s="34"/>
      <c r="BB778" s="34"/>
      <c r="BC778" s="34"/>
      <c r="BD778" s="76"/>
      <c r="BE778" s="34"/>
      <c r="BF778" s="34"/>
      <c r="BG778" s="34"/>
      <c r="BH778" s="34"/>
    </row>
    <row r="779" spans="1:60" s="17" customFormat="1" ht="19.5" customHeight="1" x14ac:dyDescent="0.35">
      <c r="A779" s="41">
        <f>A776</f>
        <v>45441</v>
      </c>
      <c r="B779" s="37" t="str">
        <f t="shared" si="690"/>
        <v>Ense Biye</v>
      </c>
      <c r="C779" s="65">
        <f t="shared" si="684"/>
        <v>0</v>
      </c>
      <c r="D779" s="67">
        <f t="shared" si="685"/>
        <v>100</v>
      </c>
      <c r="E779" s="57"/>
      <c r="F779" s="52"/>
      <c r="G779" s="52"/>
      <c r="H779" s="58"/>
      <c r="I779" s="57"/>
      <c r="J779" s="52"/>
      <c r="K779" s="52"/>
      <c r="L779" s="58"/>
      <c r="M779" s="57"/>
      <c r="N779" s="52"/>
      <c r="O779" s="52"/>
      <c r="P779" s="58"/>
      <c r="Q779" s="57"/>
      <c r="R779" s="52"/>
      <c r="S779" s="52"/>
      <c r="T779" s="52"/>
      <c r="U779" s="58"/>
      <c r="V779" s="57"/>
      <c r="W779" s="52"/>
      <c r="X779" s="52"/>
      <c r="Y779" s="58"/>
      <c r="Z779" s="57"/>
      <c r="AA779" s="52"/>
      <c r="AB779" s="52"/>
      <c r="AC779" s="58"/>
      <c r="AD779" s="57"/>
      <c r="AE779" s="52"/>
      <c r="AF779" s="52"/>
      <c r="AG779" s="58"/>
      <c r="AH779" s="57"/>
      <c r="AI779" s="52"/>
      <c r="AJ779" s="52"/>
      <c r="AK779" s="58"/>
      <c r="AL779" s="57"/>
      <c r="AM779" s="52"/>
      <c r="AN779" s="52"/>
      <c r="AO779" s="58"/>
      <c r="AP779" s="57"/>
      <c r="AQ779" s="52"/>
      <c r="AR779" s="52"/>
      <c r="AS779" s="58"/>
      <c r="AT779" s="57"/>
      <c r="AU779" s="52"/>
      <c r="AV779" s="52"/>
      <c r="AW779" s="58"/>
      <c r="AX779" s="33">
        <f t="shared" si="686"/>
        <v>0</v>
      </c>
      <c r="AY779" s="31">
        <f t="shared" si="687"/>
        <v>0</v>
      </c>
      <c r="AZ779" s="30">
        <f t="shared" si="688"/>
        <v>0</v>
      </c>
      <c r="BA779" s="34"/>
      <c r="BB779" s="34"/>
      <c r="BC779" s="34"/>
      <c r="BD779" s="76"/>
      <c r="BE779" s="34"/>
      <c r="BF779" s="34"/>
      <c r="BG779" s="34"/>
      <c r="BH779" s="34"/>
    </row>
    <row r="780" spans="1:60" s="17" customFormat="1" ht="19.5" customHeight="1" x14ac:dyDescent="0.35">
      <c r="A780" s="41">
        <f>A779</f>
        <v>45441</v>
      </c>
      <c r="B780" s="37" t="str">
        <f t="shared" si="690"/>
        <v>Ense Biye</v>
      </c>
      <c r="C780" s="65">
        <f t="shared" si="684"/>
        <v>0</v>
      </c>
      <c r="D780" s="67">
        <f t="shared" si="685"/>
        <v>100</v>
      </c>
      <c r="E780" s="57"/>
      <c r="F780" s="52"/>
      <c r="G780" s="52"/>
      <c r="H780" s="58"/>
      <c r="I780" s="57"/>
      <c r="J780" s="52"/>
      <c r="K780" s="52"/>
      <c r="L780" s="58"/>
      <c r="M780" s="57"/>
      <c r="N780" s="52"/>
      <c r="O780" s="52"/>
      <c r="P780" s="58"/>
      <c r="Q780" s="57"/>
      <c r="R780" s="52"/>
      <c r="S780" s="52"/>
      <c r="T780" s="52"/>
      <c r="U780" s="58"/>
      <c r="V780" s="57"/>
      <c r="W780" s="52"/>
      <c r="X780" s="52"/>
      <c r="Y780" s="58"/>
      <c r="Z780" s="57"/>
      <c r="AA780" s="52"/>
      <c r="AB780" s="52"/>
      <c r="AC780" s="58"/>
      <c r="AD780" s="57"/>
      <c r="AE780" s="52"/>
      <c r="AF780" s="52"/>
      <c r="AG780" s="58"/>
      <c r="AH780" s="57"/>
      <c r="AI780" s="52"/>
      <c r="AJ780" s="52"/>
      <c r="AK780" s="58"/>
      <c r="AL780" s="57"/>
      <c r="AM780" s="52"/>
      <c r="AN780" s="52"/>
      <c r="AO780" s="58"/>
      <c r="AP780" s="57"/>
      <c r="AQ780" s="52"/>
      <c r="AR780" s="52"/>
      <c r="AS780" s="58"/>
      <c r="AT780" s="57"/>
      <c r="AU780" s="52"/>
      <c r="AV780" s="52"/>
      <c r="AW780" s="58"/>
      <c r="AX780" s="33">
        <f t="shared" si="686"/>
        <v>0</v>
      </c>
      <c r="AY780" s="31">
        <f t="shared" si="687"/>
        <v>0</v>
      </c>
      <c r="AZ780" s="30">
        <f t="shared" si="688"/>
        <v>0</v>
      </c>
      <c r="BA780" s="34"/>
      <c r="BB780" s="34"/>
      <c r="BC780" s="34"/>
      <c r="BD780" s="76"/>
      <c r="BE780" s="34"/>
      <c r="BF780" s="34"/>
      <c r="BG780" s="34"/>
      <c r="BH780" s="34"/>
    </row>
    <row r="781" spans="1:60" s="17" customFormat="1" ht="19.5" customHeight="1" thickBot="1" x14ac:dyDescent="0.4">
      <c r="A781" s="41">
        <f>A780</f>
        <v>45441</v>
      </c>
      <c r="B781" s="37" t="str">
        <f t="shared" si="690"/>
        <v>Ense Biye</v>
      </c>
      <c r="C781" s="65">
        <f t="shared" si="684"/>
        <v>0</v>
      </c>
      <c r="D781" s="67">
        <f t="shared" si="685"/>
        <v>100</v>
      </c>
      <c r="E781" s="59"/>
      <c r="F781" s="60"/>
      <c r="G781" s="61"/>
      <c r="H781" s="62"/>
      <c r="I781" s="59"/>
      <c r="J781" s="60"/>
      <c r="K781" s="61"/>
      <c r="L781" s="62"/>
      <c r="M781" s="59"/>
      <c r="N781" s="60"/>
      <c r="O781" s="61"/>
      <c r="P781" s="62"/>
      <c r="Q781" s="64"/>
      <c r="R781" s="61"/>
      <c r="S781" s="61"/>
      <c r="T781" s="61"/>
      <c r="U781" s="62"/>
      <c r="V781" s="59"/>
      <c r="W781" s="60"/>
      <c r="X781" s="61"/>
      <c r="Y781" s="62"/>
      <c r="Z781" s="59"/>
      <c r="AA781" s="60"/>
      <c r="AB781" s="61"/>
      <c r="AC781" s="62"/>
      <c r="AD781" s="59"/>
      <c r="AE781" s="60"/>
      <c r="AF781" s="61"/>
      <c r="AG781" s="62"/>
      <c r="AH781" s="59"/>
      <c r="AI781" s="60"/>
      <c r="AJ781" s="61"/>
      <c r="AK781" s="62"/>
      <c r="AL781" s="59"/>
      <c r="AM781" s="60"/>
      <c r="AN781" s="61"/>
      <c r="AO781" s="62"/>
      <c r="AP781" s="59"/>
      <c r="AQ781" s="60"/>
      <c r="AR781" s="61"/>
      <c r="AS781" s="62"/>
      <c r="AT781" s="59"/>
      <c r="AU781" s="60"/>
      <c r="AV781" s="61"/>
      <c r="AW781" s="62"/>
      <c r="AX781" s="33">
        <f t="shared" si="686"/>
        <v>0</v>
      </c>
      <c r="AY781" s="31">
        <f t="shared" si="687"/>
        <v>0</v>
      </c>
      <c r="AZ781" s="30">
        <f t="shared" si="688"/>
        <v>0</v>
      </c>
      <c r="BA781" s="34"/>
      <c r="BB781" s="34"/>
      <c r="BC781" s="34"/>
      <c r="BD781" s="76"/>
      <c r="BE781" s="34"/>
      <c r="BF781" s="34"/>
      <c r="BG781" s="34"/>
      <c r="BH781" s="34"/>
    </row>
    <row r="782" spans="1:60" s="17" customFormat="1" ht="19.5" customHeight="1" thickBot="1" x14ac:dyDescent="0.45">
      <c r="A782" s="41">
        <f>A781</f>
        <v>45441</v>
      </c>
      <c r="B782" s="139" t="str">
        <f>B775</f>
        <v>Ense Biye</v>
      </c>
      <c r="C782" s="140"/>
      <c r="D782" s="40">
        <f>C710/8</f>
        <v>500</v>
      </c>
      <c r="E782" s="147">
        <f>SUM(E775:H781)</f>
        <v>610</v>
      </c>
      <c r="F782" s="148"/>
      <c r="G782" s="148"/>
      <c r="H782" s="149"/>
      <c r="I782" s="147">
        <f>SUM(I775:L781)</f>
        <v>623</v>
      </c>
      <c r="J782" s="148"/>
      <c r="K782" s="148"/>
      <c r="L782" s="149"/>
      <c r="M782" s="147">
        <f>SUM(M775:P781)</f>
        <v>355</v>
      </c>
      <c r="N782" s="148"/>
      <c r="O782" s="148"/>
      <c r="P782" s="149"/>
      <c r="Q782" s="147">
        <f>SUM(Q775:U781)</f>
        <v>440</v>
      </c>
      <c r="R782" s="148"/>
      <c r="S782" s="148"/>
      <c r="T782" s="148"/>
      <c r="U782" s="149"/>
      <c r="V782" s="147">
        <f>SUM(V775:Y781)</f>
        <v>315</v>
      </c>
      <c r="W782" s="148"/>
      <c r="X782" s="148"/>
      <c r="Y782" s="149"/>
      <c r="Z782" s="147">
        <f>SUM(Z775:AC781)</f>
        <v>545</v>
      </c>
      <c r="AA782" s="148"/>
      <c r="AB782" s="148"/>
      <c r="AC782" s="149"/>
      <c r="AD782" s="147">
        <f>SUM(AD775:AG781)</f>
        <v>181</v>
      </c>
      <c r="AE782" s="148"/>
      <c r="AF782" s="148"/>
      <c r="AG782" s="149"/>
      <c r="AH782" s="147">
        <f>SUM(AH775:AK781)</f>
        <v>150</v>
      </c>
      <c r="AI782" s="148"/>
      <c r="AJ782" s="148"/>
      <c r="AK782" s="149"/>
      <c r="AL782" s="147">
        <f>SUM(AL775:AO781)</f>
        <v>87</v>
      </c>
      <c r="AM782" s="148"/>
      <c r="AN782" s="148"/>
      <c r="AO782" s="149"/>
      <c r="AP782" s="147">
        <f>SUM(AP775:AS781)</f>
        <v>0</v>
      </c>
      <c r="AQ782" s="148"/>
      <c r="AR782" s="148"/>
      <c r="AS782" s="149"/>
      <c r="AT782" s="147">
        <f>SUM(AT775:AW781)</f>
        <v>0</v>
      </c>
      <c r="AU782" s="148"/>
      <c r="AV782" s="148"/>
      <c r="AW782" s="149"/>
      <c r="AX782" s="87">
        <f>SUM(AX775:AX781)</f>
        <v>3306</v>
      </c>
      <c r="AY782" s="88">
        <f>IFERROR(AVERAGEIF(E782:AV782,"&lt;&gt;0",(E782:AV782)),)</f>
        <v>367.33333333333331</v>
      </c>
      <c r="AZ782" s="46">
        <f>IFERROR(AX782/BB776,0)</f>
        <v>0.82650000000000001</v>
      </c>
      <c r="BA782" s="34"/>
      <c r="BB782" s="34"/>
      <c r="BC782" s="34"/>
      <c r="BD782" s="76"/>
      <c r="BE782" s="34"/>
      <c r="BF782" s="34"/>
      <c r="BG782" s="34"/>
      <c r="BH782" s="34"/>
    </row>
    <row r="783" spans="1:60" s="17" customFormat="1" ht="19.5" customHeight="1" thickBot="1" x14ac:dyDescent="0.4">
      <c r="A783" s="42">
        <f>A773</f>
        <v>45441</v>
      </c>
      <c r="B783" s="38" t="str">
        <f>B784</f>
        <v>Yaka Basma 1 Et.(Beden)</v>
      </c>
      <c r="C783" s="39" t="s">
        <v>180</v>
      </c>
      <c r="D783" s="69" t="s">
        <v>181</v>
      </c>
      <c r="E783" s="48">
        <v>0.34375</v>
      </c>
      <c r="F783" s="49">
        <v>0.35416666666666669</v>
      </c>
      <c r="G783" s="49">
        <v>0.36458333333333331</v>
      </c>
      <c r="H783" s="50">
        <v>0.375</v>
      </c>
      <c r="I783" s="48">
        <v>0.38541666666666702</v>
      </c>
      <c r="J783" s="49">
        <v>0.39583333333333298</v>
      </c>
      <c r="K783" s="49">
        <v>0.40625</v>
      </c>
      <c r="L783" s="50">
        <v>0.41666666666666702</v>
      </c>
      <c r="M783" s="48">
        <v>0.4375</v>
      </c>
      <c r="N783" s="49">
        <v>0.44791666666666702</v>
      </c>
      <c r="O783" s="49">
        <v>0.45833333333333398</v>
      </c>
      <c r="P783" s="50">
        <v>0.46875</v>
      </c>
      <c r="Q783" s="48">
        <v>0.47916666666666702</v>
      </c>
      <c r="R783" s="49">
        <v>0.48958333333333398</v>
      </c>
      <c r="S783" s="49">
        <v>0.5</v>
      </c>
      <c r="T783" s="50">
        <v>0.51041666666666696</v>
      </c>
      <c r="U783" s="51">
        <v>0.52083333333333204</v>
      </c>
      <c r="V783" s="48">
        <v>0.5625</v>
      </c>
      <c r="W783" s="49">
        <v>0.57291666666666663</v>
      </c>
      <c r="X783" s="49">
        <v>0.58333333333333304</v>
      </c>
      <c r="Y783" s="50">
        <v>0.59375</v>
      </c>
      <c r="Z783" s="48">
        <v>0.60416666666666696</v>
      </c>
      <c r="AA783" s="49">
        <v>0.61458333333333304</v>
      </c>
      <c r="AB783" s="49">
        <v>0.625</v>
      </c>
      <c r="AC783" s="50">
        <v>0.63541666666666596</v>
      </c>
      <c r="AD783" s="48">
        <v>0.65625</v>
      </c>
      <c r="AE783" s="49">
        <v>0.66666666666666663</v>
      </c>
      <c r="AF783" s="49">
        <v>0.67708333333333304</v>
      </c>
      <c r="AG783" s="50">
        <v>0.6875</v>
      </c>
      <c r="AH783" s="48">
        <v>0.69791666666666696</v>
      </c>
      <c r="AI783" s="49">
        <v>0.70833333333333304</v>
      </c>
      <c r="AJ783" s="49">
        <v>0.71875</v>
      </c>
      <c r="AK783" s="50">
        <v>0.72916666666666696</v>
      </c>
      <c r="AL783" s="48">
        <v>0.73958333333333404</v>
      </c>
      <c r="AM783" s="49">
        <v>0.750000000000001</v>
      </c>
      <c r="AN783" s="49">
        <v>0.76041666666666796</v>
      </c>
      <c r="AO783" s="50">
        <v>0.77083333333333504</v>
      </c>
      <c r="AP783" s="48">
        <v>0.781250000000002</v>
      </c>
      <c r="AQ783" s="49">
        <v>0.79166666666666896</v>
      </c>
      <c r="AR783" s="49">
        <v>0.80208333333333603</v>
      </c>
      <c r="AS783" s="50">
        <v>0.812500000000003</v>
      </c>
      <c r="AT783" s="48">
        <v>0.82291666666666996</v>
      </c>
      <c r="AU783" s="49">
        <v>0.83333333333333703</v>
      </c>
      <c r="AV783" s="49">
        <v>0.843750000000004</v>
      </c>
      <c r="AW783" s="50">
        <v>0.85416666666666663</v>
      </c>
      <c r="AX783" s="68" t="s">
        <v>260</v>
      </c>
      <c r="AY783" s="28" t="s">
        <v>261</v>
      </c>
      <c r="AZ783" s="29" t="s">
        <v>262</v>
      </c>
      <c r="BA783" s="136" t="str">
        <f>B784</f>
        <v>Yaka Basma 1 Et.(Beden)</v>
      </c>
      <c r="BB783" s="137"/>
      <c r="BC783" s="137"/>
      <c r="BD783" s="137"/>
      <c r="BE783" s="137"/>
      <c r="BF783" s="137"/>
      <c r="BG783" s="137"/>
      <c r="BH783" s="138"/>
    </row>
    <row r="784" spans="1:60" s="17" customFormat="1" ht="19.5" customHeight="1" thickBot="1" x14ac:dyDescent="0.4">
      <c r="A784" s="41">
        <f t="shared" ref="A784" si="691">A783</f>
        <v>45441</v>
      </c>
      <c r="B784" s="37" t="str">
        <f>B608</f>
        <v>Yaka Basma 1 Et.(Beden)</v>
      </c>
      <c r="C784" s="65" t="s">
        <v>212</v>
      </c>
      <c r="D784" s="70">
        <f>D608</f>
        <v>60</v>
      </c>
      <c r="E784" s="63">
        <v>50</v>
      </c>
      <c r="F784" s="55">
        <v>50</v>
      </c>
      <c r="G784" s="55">
        <v>50</v>
      </c>
      <c r="H784" s="56">
        <v>30</v>
      </c>
      <c r="I784" s="63">
        <v>30</v>
      </c>
      <c r="J784" s="55">
        <v>40</v>
      </c>
      <c r="K784" s="55">
        <v>45</v>
      </c>
      <c r="L784" s="56">
        <v>50</v>
      </c>
      <c r="M784" s="63">
        <v>20</v>
      </c>
      <c r="N784" s="55">
        <v>50</v>
      </c>
      <c r="O784" s="55">
        <v>43</v>
      </c>
      <c r="P784" s="56">
        <v>50</v>
      </c>
      <c r="Q784" s="63">
        <v>0</v>
      </c>
      <c r="R784" s="55">
        <v>50</v>
      </c>
      <c r="S784" s="55">
        <v>50</v>
      </c>
      <c r="T784" s="55">
        <v>46</v>
      </c>
      <c r="U784" s="56">
        <v>45</v>
      </c>
      <c r="V784" s="63">
        <v>35</v>
      </c>
      <c r="W784" s="55">
        <v>40</v>
      </c>
      <c r="X784" s="55">
        <v>47</v>
      </c>
      <c r="Y784" s="56">
        <v>38</v>
      </c>
      <c r="Z784" s="63">
        <v>27</v>
      </c>
      <c r="AA784" s="55">
        <v>40</v>
      </c>
      <c r="AB784" s="3">
        <v>20</v>
      </c>
      <c r="AC784" s="4">
        <v>0</v>
      </c>
      <c r="AD784" s="63">
        <v>47</v>
      </c>
      <c r="AE784" s="55">
        <v>48</v>
      </c>
      <c r="AF784" s="55">
        <v>50</v>
      </c>
      <c r="AG784" s="56">
        <v>52</v>
      </c>
      <c r="AH784" s="63">
        <v>30</v>
      </c>
      <c r="AI784" s="55">
        <v>40</v>
      </c>
      <c r="AJ784" s="55">
        <v>0</v>
      </c>
      <c r="AK784" s="56"/>
      <c r="AL784" s="63"/>
      <c r="AM784" s="55"/>
      <c r="AN784" s="55"/>
      <c r="AO784" s="56"/>
      <c r="AP784" s="63"/>
      <c r="AQ784" s="55"/>
      <c r="AR784" s="55"/>
      <c r="AS784" s="56"/>
      <c r="AT784" s="53"/>
      <c r="AU784" s="54"/>
      <c r="AV784" s="55"/>
      <c r="AW784" s="56"/>
      <c r="AX784" s="33">
        <f>SUM(E784:AW784)</f>
        <v>1213</v>
      </c>
      <c r="AY784" s="31">
        <f>IFERROR(AVERAGEIF(E784:AW784,"&lt;&gt;0",(E784:AW784)),)</f>
        <v>41.827586206896555</v>
      </c>
      <c r="AZ784" s="30">
        <f>IFERROR(AY784/D784,0)</f>
        <v>0.69712643678160924</v>
      </c>
      <c r="BA784" s="103" t="s">
        <v>182</v>
      </c>
      <c r="BB784" s="100" t="s">
        <v>183</v>
      </c>
      <c r="BC784" s="100" t="s">
        <v>184</v>
      </c>
      <c r="BD784" s="101" t="s">
        <v>185</v>
      </c>
      <c r="BE784" s="100" t="s">
        <v>186</v>
      </c>
      <c r="BF784" s="102" t="s">
        <v>187</v>
      </c>
      <c r="BG784" s="100" t="s">
        <v>188</v>
      </c>
      <c r="BH784" s="102" t="s">
        <v>189</v>
      </c>
    </row>
    <row r="785" spans="1:60" s="17" customFormat="1" ht="19.5" customHeight="1" thickBot="1" x14ac:dyDescent="0.4">
      <c r="A785" s="41">
        <f t="shared" ref="A785:B785" si="692">A784</f>
        <v>45441</v>
      </c>
      <c r="B785" s="37" t="str">
        <f t="shared" si="692"/>
        <v>Yaka Basma 1 Et.(Beden)</v>
      </c>
      <c r="C785" s="65" t="s">
        <v>90</v>
      </c>
      <c r="D785" s="67">
        <f t="shared" ref="D785:D790" si="693">D784</f>
        <v>60</v>
      </c>
      <c r="E785" s="57">
        <v>60</v>
      </c>
      <c r="F785" s="52">
        <v>60</v>
      </c>
      <c r="G785" s="52">
        <v>60</v>
      </c>
      <c r="H785" s="58">
        <v>55</v>
      </c>
      <c r="I785" s="57">
        <v>50</v>
      </c>
      <c r="J785" s="52">
        <v>60</v>
      </c>
      <c r="K785" s="52">
        <v>60</v>
      </c>
      <c r="L785" s="58">
        <v>60</v>
      </c>
      <c r="M785" s="57">
        <v>55</v>
      </c>
      <c r="N785" s="52">
        <v>55</v>
      </c>
      <c r="O785" s="52">
        <v>50</v>
      </c>
      <c r="P785" s="58">
        <v>35</v>
      </c>
      <c r="Q785" s="57">
        <v>50</v>
      </c>
      <c r="R785" s="52">
        <v>50</v>
      </c>
      <c r="S785" s="52">
        <v>55</v>
      </c>
      <c r="T785" s="52">
        <v>37</v>
      </c>
      <c r="U785" s="58">
        <v>55</v>
      </c>
      <c r="V785" s="57">
        <v>56</v>
      </c>
      <c r="W785" s="52">
        <v>57</v>
      </c>
      <c r="X785" s="52">
        <v>51</v>
      </c>
      <c r="Y785" s="58">
        <v>50</v>
      </c>
      <c r="Z785" s="57">
        <v>35</v>
      </c>
      <c r="AA785" s="52">
        <v>47</v>
      </c>
      <c r="AB785" s="52">
        <v>51</v>
      </c>
      <c r="AC785" s="58">
        <v>45</v>
      </c>
      <c r="AD785" s="57">
        <v>53</v>
      </c>
      <c r="AE785" s="52"/>
      <c r="AF785" s="52">
        <v>35</v>
      </c>
      <c r="AG785" s="58">
        <v>50</v>
      </c>
      <c r="AH785" s="57">
        <v>55</v>
      </c>
      <c r="AI785" s="52">
        <v>50</v>
      </c>
      <c r="AJ785" s="52">
        <v>45</v>
      </c>
      <c r="AK785" s="58">
        <v>32</v>
      </c>
      <c r="AL785" s="57">
        <v>81</v>
      </c>
      <c r="AM785" s="52"/>
      <c r="AN785" s="52"/>
      <c r="AO785" s="58"/>
      <c r="AP785" s="57"/>
      <c r="AQ785" s="52"/>
      <c r="AR785" s="52"/>
      <c r="AS785" s="58"/>
      <c r="AT785" s="57"/>
      <c r="AU785" s="52"/>
      <c r="AV785" s="52"/>
      <c r="AW785" s="58"/>
      <c r="AX785" s="33">
        <f t="shared" ref="AX785:AX790" si="694">SUM(E785:AW785)</f>
        <v>1700</v>
      </c>
      <c r="AY785" s="31">
        <f t="shared" ref="AY785:AY790" si="695">IFERROR(AVERAGEIF(E785:AW785,"&lt;&gt;0",(E785:AW785)),)</f>
        <v>51.515151515151516</v>
      </c>
      <c r="AZ785" s="30">
        <f t="shared" ref="AZ785:AZ790" si="696">IFERROR(AY785/D785,0)</f>
        <v>0.85858585858585856</v>
      </c>
      <c r="BA785" s="94">
        <f>AX791+BA609</f>
        <v>7164</v>
      </c>
      <c r="BB785" s="95">
        <f>(D791*8)</f>
        <v>4000</v>
      </c>
      <c r="BC785" s="96">
        <f>C709-BA785</f>
        <v>35147</v>
      </c>
      <c r="BD785" s="96">
        <f>BA776-BA785</f>
        <v>279</v>
      </c>
      <c r="BE785" s="97">
        <f>IFERROR(BC785/E791,0)</f>
        <v>76.908096280087534</v>
      </c>
      <c r="BF785" s="98">
        <f>IFERROR(BE785/9,0)</f>
        <v>8.5453440311208375</v>
      </c>
      <c r="BG785" s="97">
        <f>IFERROR(BC785/AY791,0)</f>
        <v>100.19733924611974</v>
      </c>
      <c r="BH785" s="97">
        <f>IFERROR(BG785/9,0)</f>
        <v>11.133037694013304</v>
      </c>
    </row>
    <row r="786" spans="1:60" s="17" customFormat="1" ht="19.5" customHeight="1" x14ac:dyDescent="0.35">
      <c r="A786" s="41">
        <f t="shared" ref="A786:B786" si="697">A785</f>
        <v>45441</v>
      </c>
      <c r="B786" s="37" t="str">
        <f t="shared" si="697"/>
        <v>Yaka Basma 1 Et.(Beden)</v>
      </c>
      <c r="C786" s="65" t="s">
        <v>102</v>
      </c>
      <c r="D786" s="67">
        <f t="shared" si="693"/>
        <v>60</v>
      </c>
      <c r="E786" s="57">
        <v>42</v>
      </c>
      <c r="F786" s="52"/>
      <c r="G786" s="52"/>
      <c r="H786" s="58"/>
      <c r="I786" s="57"/>
      <c r="J786" s="52"/>
      <c r="K786" s="52"/>
      <c r="L786" s="58"/>
      <c r="M786" s="57">
        <v>50</v>
      </c>
      <c r="N786" s="52">
        <v>46</v>
      </c>
      <c r="O786" s="52">
        <v>45</v>
      </c>
      <c r="P786" s="58">
        <v>50</v>
      </c>
      <c r="Q786" s="57">
        <v>11</v>
      </c>
      <c r="R786" s="52"/>
      <c r="S786" s="52"/>
      <c r="T786" s="6"/>
      <c r="U786" s="7">
        <v>0</v>
      </c>
      <c r="V786" s="57"/>
      <c r="W786" s="52"/>
      <c r="X786" s="52"/>
      <c r="Y786" s="58"/>
      <c r="Z786" s="57"/>
      <c r="AA786" s="52"/>
      <c r="AB786" s="52"/>
      <c r="AC786" s="58">
        <v>0</v>
      </c>
      <c r="AD786" s="57"/>
      <c r="AE786" s="52"/>
      <c r="AF786" s="52"/>
      <c r="AG786" s="58"/>
      <c r="AH786" s="57"/>
      <c r="AI786" s="52"/>
      <c r="AJ786" s="52"/>
      <c r="AK786" s="58"/>
      <c r="AL786" s="57"/>
      <c r="AM786" s="52"/>
      <c r="AN786" s="52"/>
      <c r="AO786" s="58"/>
      <c r="AP786" s="57"/>
      <c r="AQ786" s="52"/>
      <c r="AR786" s="52"/>
      <c r="AS786" s="58"/>
      <c r="AT786" s="57"/>
      <c r="AU786" s="52"/>
      <c r="AV786" s="52"/>
      <c r="AW786" s="58"/>
      <c r="AX786" s="33">
        <f t="shared" si="694"/>
        <v>244</v>
      </c>
      <c r="AY786" s="31">
        <f t="shared" si="695"/>
        <v>40.666666666666664</v>
      </c>
      <c r="AZ786" s="30">
        <f t="shared" si="696"/>
        <v>0.6777777777777777</v>
      </c>
      <c r="BA786" s="34"/>
      <c r="BB786" s="34"/>
      <c r="BC786" s="34"/>
      <c r="BD786" s="76"/>
      <c r="BE786" s="34"/>
      <c r="BF786" s="34"/>
      <c r="BG786" s="34"/>
      <c r="BH786" s="34"/>
    </row>
    <row r="787" spans="1:60" s="17" customFormat="1" ht="19.5" customHeight="1" x14ac:dyDescent="0.35">
      <c r="A787" s="41">
        <f t="shared" ref="A787:B788" si="698">A786</f>
        <v>45441</v>
      </c>
      <c r="B787" s="37" t="str">
        <f t="shared" si="698"/>
        <v>Yaka Basma 1 Et.(Beden)</v>
      </c>
      <c r="C787" s="65">
        <f t="shared" ref="C787:C790" si="699">C611</f>
        <v>0</v>
      </c>
      <c r="D787" s="67">
        <f t="shared" si="693"/>
        <v>60</v>
      </c>
      <c r="E787" s="57"/>
      <c r="F787" s="52"/>
      <c r="G787" s="52"/>
      <c r="H787" s="58"/>
      <c r="I787" s="57"/>
      <c r="J787" s="52"/>
      <c r="K787" s="52"/>
      <c r="L787" s="58"/>
      <c r="M787" s="57"/>
      <c r="N787" s="52"/>
      <c r="O787" s="52"/>
      <c r="P787" s="58"/>
      <c r="Q787" s="57"/>
      <c r="R787" s="52"/>
      <c r="S787" s="52"/>
      <c r="T787" s="52"/>
      <c r="U787" s="58"/>
      <c r="V787" s="57"/>
      <c r="W787" s="52"/>
      <c r="X787" s="52"/>
      <c r="Y787" s="58"/>
      <c r="Z787" s="57"/>
      <c r="AA787" s="52"/>
      <c r="AB787" s="52"/>
      <c r="AC787" s="58"/>
      <c r="AD787" s="57"/>
      <c r="AE787" s="52"/>
      <c r="AF787" s="52"/>
      <c r="AG787" s="58"/>
      <c r="AH787" s="57"/>
      <c r="AI787" s="52"/>
      <c r="AJ787" s="52"/>
      <c r="AK787" s="58"/>
      <c r="AL787" s="57"/>
      <c r="AM787" s="52"/>
      <c r="AN787" s="52"/>
      <c r="AO787" s="58"/>
      <c r="AP787" s="57"/>
      <c r="AQ787" s="52"/>
      <c r="AR787" s="52"/>
      <c r="AS787" s="58"/>
      <c r="AT787" s="57"/>
      <c r="AU787" s="52"/>
      <c r="AV787" s="52"/>
      <c r="AW787" s="58"/>
      <c r="AX787" s="33">
        <f t="shared" si="694"/>
        <v>0</v>
      </c>
      <c r="AY787" s="31">
        <f t="shared" si="695"/>
        <v>0</v>
      </c>
      <c r="AZ787" s="30">
        <f t="shared" si="696"/>
        <v>0</v>
      </c>
      <c r="BA787" s="34"/>
      <c r="BB787" s="34"/>
      <c r="BC787" s="34"/>
      <c r="BD787" s="76"/>
      <c r="BE787" s="34"/>
      <c r="BF787" s="34"/>
      <c r="BG787" s="34"/>
      <c r="BH787" s="34"/>
    </row>
    <row r="788" spans="1:60" s="17" customFormat="1" ht="19.5" customHeight="1" x14ac:dyDescent="0.35">
      <c r="A788" s="41">
        <f>A785</f>
        <v>45441</v>
      </c>
      <c r="B788" s="37" t="str">
        <f t="shared" si="698"/>
        <v>Yaka Basma 1 Et.(Beden)</v>
      </c>
      <c r="C788" s="65">
        <f t="shared" si="699"/>
        <v>0</v>
      </c>
      <c r="D788" s="67">
        <f t="shared" si="693"/>
        <v>60</v>
      </c>
      <c r="E788" s="57"/>
      <c r="F788" s="52"/>
      <c r="G788" s="52"/>
      <c r="H788" s="58"/>
      <c r="I788" s="57"/>
      <c r="J788" s="52"/>
      <c r="K788" s="52"/>
      <c r="L788" s="58"/>
      <c r="M788" s="57"/>
      <c r="N788" s="52"/>
      <c r="O788" s="52"/>
      <c r="P788" s="58"/>
      <c r="Q788" s="57"/>
      <c r="R788" s="52"/>
      <c r="S788" s="52"/>
      <c r="T788" s="52"/>
      <c r="U788" s="58"/>
      <c r="V788" s="57"/>
      <c r="W788" s="52"/>
      <c r="X788" s="52"/>
      <c r="Y788" s="58"/>
      <c r="Z788" s="57"/>
      <c r="AA788" s="52"/>
      <c r="AB788" s="52"/>
      <c r="AC788" s="58"/>
      <c r="AD788" s="57"/>
      <c r="AE788" s="52"/>
      <c r="AF788" s="52"/>
      <c r="AG788" s="58"/>
      <c r="AH788" s="57"/>
      <c r="AI788" s="52"/>
      <c r="AJ788" s="52"/>
      <c r="AK788" s="58"/>
      <c r="AL788" s="57"/>
      <c r="AM788" s="52"/>
      <c r="AN788" s="52"/>
      <c r="AO788" s="58"/>
      <c r="AP788" s="57"/>
      <c r="AQ788" s="52"/>
      <c r="AR788" s="52"/>
      <c r="AS788" s="58"/>
      <c r="AT788" s="57"/>
      <c r="AU788" s="52"/>
      <c r="AV788" s="52"/>
      <c r="AW788" s="58"/>
      <c r="AX788" s="33">
        <f t="shared" si="694"/>
        <v>0</v>
      </c>
      <c r="AY788" s="31">
        <f t="shared" si="695"/>
        <v>0</v>
      </c>
      <c r="AZ788" s="30">
        <f t="shared" si="696"/>
        <v>0</v>
      </c>
      <c r="BA788" s="34"/>
      <c r="BB788" s="34"/>
      <c r="BC788" s="34"/>
      <c r="BD788" s="76"/>
      <c r="BE788" s="34"/>
      <c r="BF788" s="34"/>
      <c r="BG788" s="34"/>
      <c r="BH788" s="34"/>
    </row>
    <row r="789" spans="1:60" s="17" customFormat="1" ht="19.5" customHeight="1" x14ac:dyDescent="0.35">
      <c r="A789" s="41">
        <f t="shared" ref="A789:B789" si="700">A788</f>
        <v>45441</v>
      </c>
      <c r="B789" s="37" t="str">
        <f t="shared" si="700"/>
        <v>Yaka Basma 1 Et.(Beden)</v>
      </c>
      <c r="C789" s="65">
        <f t="shared" si="699"/>
        <v>0</v>
      </c>
      <c r="D789" s="67">
        <f t="shared" si="693"/>
        <v>60</v>
      </c>
      <c r="E789" s="57"/>
      <c r="F789" s="52"/>
      <c r="G789" s="52"/>
      <c r="H789" s="58"/>
      <c r="I789" s="57"/>
      <c r="J789" s="52"/>
      <c r="K789" s="52"/>
      <c r="L789" s="58"/>
      <c r="M789" s="57"/>
      <c r="N789" s="52"/>
      <c r="O789" s="52"/>
      <c r="P789" s="58"/>
      <c r="Q789" s="57"/>
      <c r="R789" s="52"/>
      <c r="S789" s="52"/>
      <c r="T789" s="52"/>
      <c r="U789" s="58"/>
      <c r="V789" s="57"/>
      <c r="W789" s="52"/>
      <c r="X789" s="52"/>
      <c r="Y789" s="58"/>
      <c r="Z789" s="57"/>
      <c r="AA789" s="52"/>
      <c r="AB789" s="52"/>
      <c r="AC789" s="58"/>
      <c r="AD789" s="57"/>
      <c r="AE789" s="52"/>
      <c r="AF789" s="52"/>
      <c r="AG789" s="58"/>
      <c r="AH789" s="57"/>
      <c r="AI789" s="52"/>
      <c r="AJ789" s="52"/>
      <c r="AK789" s="58"/>
      <c r="AL789" s="57"/>
      <c r="AM789" s="52"/>
      <c r="AN789" s="52"/>
      <c r="AO789" s="58"/>
      <c r="AP789" s="57"/>
      <c r="AQ789" s="52"/>
      <c r="AR789" s="52"/>
      <c r="AS789" s="58"/>
      <c r="AT789" s="57"/>
      <c r="AU789" s="52"/>
      <c r="AV789" s="52"/>
      <c r="AW789" s="58"/>
      <c r="AX789" s="33">
        <f t="shared" si="694"/>
        <v>0</v>
      </c>
      <c r="AY789" s="31">
        <f t="shared" si="695"/>
        <v>0</v>
      </c>
      <c r="AZ789" s="30">
        <f t="shared" si="696"/>
        <v>0</v>
      </c>
      <c r="BA789" s="34"/>
      <c r="BB789" s="34"/>
      <c r="BC789" s="34"/>
      <c r="BD789" s="76"/>
      <c r="BE789" s="34"/>
      <c r="BF789" s="34"/>
      <c r="BG789" s="34"/>
      <c r="BH789" s="34"/>
    </row>
    <row r="790" spans="1:60" s="17" customFormat="1" ht="19.5" customHeight="1" thickBot="1" x14ac:dyDescent="0.4">
      <c r="A790" s="41">
        <f t="shared" ref="A790:B791" si="701">A789</f>
        <v>45441</v>
      </c>
      <c r="B790" s="37" t="str">
        <f t="shared" si="701"/>
        <v>Yaka Basma 1 Et.(Beden)</v>
      </c>
      <c r="C790" s="65">
        <f t="shared" si="699"/>
        <v>0</v>
      </c>
      <c r="D790" s="67">
        <f t="shared" si="693"/>
        <v>60</v>
      </c>
      <c r="E790" s="59"/>
      <c r="F790" s="60"/>
      <c r="G790" s="61"/>
      <c r="H790" s="62"/>
      <c r="I790" s="59"/>
      <c r="J790" s="60"/>
      <c r="K790" s="61"/>
      <c r="L790" s="62"/>
      <c r="M790" s="59"/>
      <c r="N790" s="60"/>
      <c r="O790" s="61"/>
      <c r="P790" s="62"/>
      <c r="Q790" s="64"/>
      <c r="R790" s="61"/>
      <c r="S790" s="61"/>
      <c r="T790" s="61"/>
      <c r="U790" s="62"/>
      <c r="V790" s="59"/>
      <c r="W790" s="60"/>
      <c r="X790" s="61"/>
      <c r="Y790" s="62"/>
      <c r="Z790" s="59"/>
      <c r="AA790" s="60"/>
      <c r="AB790" s="61"/>
      <c r="AC790" s="62"/>
      <c r="AD790" s="59"/>
      <c r="AE790" s="60"/>
      <c r="AF790" s="61"/>
      <c r="AG790" s="62"/>
      <c r="AH790" s="59"/>
      <c r="AI790" s="60"/>
      <c r="AJ790" s="61"/>
      <c r="AK790" s="62"/>
      <c r="AL790" s="59"/>
      <c r="AM790" s="60"/>
      <c r="AN790" s="61"/>
      <c r="AO790" s="62"/>
      <c r="AP790" s="59"/>
      <c r="AQ790" s="60"/>
      <c r="AR790" s="61"/>
      <c r="AS790" s="62"/>
      <c r="AT790" s="59"/>
      <c r="AU790" s="60"/>
      <c r="AV790" s="61"/>
      <c r="AW790" s="62"/>
      <c r="AX790" s="33">
        <f t="shared" si="694"/>
        <v>0</v>
      </c>
      <c r="AY790" s="31">
        <f t="shared" si="695"/>
        <v>0</v>
      </c>
      <c r="AZ790" s="30">
        <f t="shared" si="696"/>
        <v>0</v>
      </c>
      <c r="BA790" s="34"/>
      <c r="BB790" s="34"/>
      <c r="BC790" s="34"/>
      <c r="BD790" s="76"/>
      <c r="BE790" s="34"/>
      <c r="BF790" s="34"/>
      <c r="BG790" s="34"/>
      <c r="BH790" s="34"/>
    </row>
    <row r="791" spans="1:60" s="17" customFormat="1" ht="19.5" customHeight="1" thickBot="1" x14ac:dyDescent="0.45">
      <c r="A791" s="41">
        <f t="shared" si="701"/>
        <v>45441</v>
      </c>
      <c r="B791" s="139" t="str">
        <f>B784</f>
        <v>Yaka Basma 1 Et.(Beden)</v>
      </c>
      <c r="C791" s="140"/>
      <c r="D791" s="40">
        <f>C710/8</f>
        <v>500</v>
      </c>
      <c r="E791" s="147">
        <f>SUM(E784:H790)</f>
        <v>457</v>
      </c>
      <c r="F791" s="148"/>
      <c r="G791" s="148"/>
      <c r="H791" s="149"/>
      <c r="I791" s="147">
        <f>SUM(I784:L790)</f>
        <v>395</v>
      </c>
      <c r="J791" s="148"/>
      <c r="K791" s="148"/>
      <c r="L791" s="149"/>
      <c r="M791" s="147">
        <f>SUM(M784:P790)</f>
        <v>549</v>
      </c>
      <c r="N791" s="148"/>
      <c r="O791" s="148"/>
      <c r="P791" s="149"/>
      <c r="Q791" s="147">
        <f>SUM(Q784:U790)</f>
        <v>449</v>
      </c>
      <c r="R791" s="148"/>
      <c r="S791" s="148"/>
      <c r="T791" s="148"/>
      <c r="U791" s="149"/>
      <c r="V791" s="147">
        <f>SUM(V784:Y790)</f>
        <v>374</v>
      </c>
      <c r="W791" s="148"/>
      <c r="X791" s="148"/>
      <c r="Y791" s="149"/>
      <c r="Z791" s="147">
        <f>SUM(Z784:AC790)</f>
        <v>265</v>
      </c>
      <c r="AA791" s="148"/>
      <c r="AB791" s="148"/>
      <c r="AC791" s="149"/>
      <c r="AD791" s="147">
        <f>SUM(AD784:AG790)</f>
        <v>335</v>
      </c>
      <c r="AE791" s="148"/>
      <c r="AF791" s="148"/>
      <c r="AG791" s="149"/>
      <c r="AH791" s="147">
        <f>SUM(AH784:AK790)</f>
        <v>252</v>
      </c>
      <c r="AI791" s="148"/>
      <c r="AJ791" s="148"/>
      <c r="AK791" s="149"/>
      <c r="AL791" s="147">
        <f>SUM(AL784:AO790)</f>
        <v>81</v>
      </c>
      <c r="AM791" s="148"/>
      <c r="AN791" s="148"/>
      <c r="AO791" s="149"/>
      <c r="AP791" s="147">
        <f>SUM(AP784:AS790)</f>
        <v>0</v>
      </c>
      <c r="AQ791" s="148"/>
      <c r="AR791" s="148"/>
      <c r="AS791" s="149"/>
      <c r="AT791" s="147">
        <f>SUM(AT784:AW790)</f>
        <v>0</v>
      </c>
      <c r="AU791" s="148"/>
      <c r="AV791" s="148"/>
      <c r="AW791" s="149"/>
      <c r="AX791" s="87">
        <f>SUM(AX784:AX790)</f>
        <v>3157</v>
      </c>
      <c r="AY791" s="88">
        <f>IFERROR(AVERAGEIF(E791:AV791,"&lt;&gt;0",(E791:AV791)),)</f>
        <v>350.77777777777777</v>
      </c>
      <c r="AZ791" s="46">
        <f>IFERROR(AX791/BB785,0)</f>
        <v>0.78925000000000001</v>
      </c>
      <c r="BA791" s="34"/>
      <c r="BB791" s="34"/>
      <c r="BC791" s="34"/>
      <c r="BD791" s="76"/>
      <c r="BE791" s="34"/>
      <c r="BF791" s="34"/>
      <c r="BG791" s="34"/>
      <c r="BH791" s="34"/>
    </row>
    <row r="792" spans="1:60" s="17" customFormat="1" ht="19.5" customHeight="1" thickBot="1" x14ac:dyDescent="0.4">
      <c r="A792" s="42">
        <f>A783</f>
        <v>45441</v>
      </c>
      <c r="B792" s="38" t="str">
        <f>B793</f>
        <v>Yaka Çıma</v>
      </c>
      <c r="C792" s="39" t="s">
        <v>180</v>
      </c>
      <c r="D792" s="69" t="s">
        <v>181</v>
      </c>
      <c r="E792" s="48">
        <v>0.34375</v>
      </c>
      <c r="F792" s="49">
        <v>0.35416666666666669</v>
      </c>
      <c r="G792" s="49">
        <v>0.36458333333333331</v>
      </c>
      <c r="H792" s="50">
        <v>0.375</v>
      </c>
      <c r="I792" s="48">
        <v>0.38541666666666702</v>
      </c>
      <c r="J792" s="49">
        <v>0.39583333333333298</v>
      </c>
      <c r="K792" s="49">
        <v>0.40625</v>
      </c>
      <c r="L792" s="50">
        <v>0.41666666666666702</v>
      </c>
      <c r="M792" s="48">
        <v>0.4375</v>
      </c>
      <c r="N792" s="49">
        <v>0.44791666666666702</v>
      </c>
      <c r="O792" s="49">
        <v>0.45833333333333398</v>
      </c>
      <c r="P792" s="50">
        <v>0.46875</v>
      </c>
      <c r="Q792" s="48">
        <v>0.47916666666666702</v>
      </c>
      <c r="R792" s="49">
        <v>0.48958333333333398</v>
      </c>
      <c r="S792" s="49">
        <v>0.5</v>
      </c>
      <c r="T792" s="50">
        <v>0.51041666666666696</v>
      </c>
      <c r="U792" s="51">
        <v>0.52083333333333204</v>
      </c>
      <c r="V792" s="48">
        <v>0.5625</v>
      </c>
      <c r="W792" s="49">
        <v>0.57291666666666663</v>
      </c>
      <c r="X792" s="49">
        <v>0.58333333333333304</v>
      </c>
      <c r="Y792" s="50">
        <v>0.59375</v>
      </c>
      <c r="Z792" s="48">
        <v>0.60416666666666696</v>
      </c>
      <c r="AA792" s="49">
        <v>0.61458333333333304</v>
      </c>
      <c r="AB792" s="49">
        <v>0.625</v>
      </c>
      <c r="AC792" s="50">
        <v>0.63541666666666596</v>
      </c>
      <c r="AD792" s="48">
        <v>0.65625</v>
      </c>
      <c r="AE792" s="49">
        <v>0.66666666666666663</v>
      </c>
      <c r="AF792" s="49">
        <v>0.67708333333333304</v>
      </c>
      <c r="AG792" s="50">
        <v>0.6875</v>
      </c>
      <c r="AH792" s="48">
        <v>0.69791666666666696</v>
      </c>
      <c r="AI792" s="49">
        <v>0.70833333333333304</v>
      </c>
      <c r="AJ792" s="49">
        <v>0.71875</v>
      </c>
      <c r="AK792" s="50">
        <v>0.72916666666666696</v>
      </c>
      <c r="AL792" s="48">
        <v>0.73958333333333404</v>
      </c>
      <c r="AM792" s="49">
        <v>0.750000000000001</v>
      </c>
      <c r="AN792" s="49">
        <v>0.76041666666666796</v>
      </c>
      <c r="AO792" s="50">
        <v>0.77083333333333504</v>
      </c>
      <c r="AP792" s="48">
        <v>0.781250000000002</v>
      </c>
      <c r="AQ792" s="49">
        <v>0.79166666666666896</v>
      </c>
      <c r="AR792" s="49">
        <v>0.80208333333333603</v>
      </c>
      <c r="AS792" s="50">
        <v>0.812500000000003</v>
      </c>
      <c r="AT792" s="48">
        <v>0.82291666666666996</v>
      </c>
      <c r="AU792" s="49">
        <v>0.83333333333333703</v>
      </c>
      <c r="AV792" s="49">
        <v>0.843750000000004</v>
      </c>
      <c r="AW792" s="50">
        <v>0.85416666666666663</v>
      </c>
      <c r="AX792" s="68" t="s">
        <v>260</v>
      </c>
      <c r="AY792" s="28" t="s">
        <v>261</v>
      </c>
      <c r="AZ792" s="29" t="s">
        <v>262</v>
      </c>
      <c r="BA792" s="136" t="str">
        <f>B793</f>
        <v>Yaka Çıma</v>
      </c>
      <c r="BB792" s="137"/>
      <c r="BC792" s="137"/>
      <c r="BD792" s="137"/>
      <c r="BE792" s="137"/>
      <c r="BF792" s="137"/>
      <c r="BG792" s="137"/>
      <c r="BH792" s="138"/>
    </row>
    <row r="793" spans="1:60" s="17" customFormat="1" ht="19.5" customHeight="1" thickBot="1" x14ac:dyDescent="0.4">
      <c r="A793" s="41">
        <f t="shared" ref="A793" si="702">A792</f>
        <v>45441</v>
      </c>
      <c r="B793" s="37" t="str">
        <f>B617</f>
        <v>Yaka Çıma</v>
      </c>
      <c r="C793" s="65" t="str">
        <f>C617</f>
        <v>KADER ÖNLÜ</v>
      </c>
      <c r="D793" s="70">
        <f>D617</f>
        <v>120</v>
      </c>
      <c r="E793" s="63">
        <v>100</v>
      </c>
      <c r="F793" s="55">
        <v>120</v>
      </c>
      <c r="G793" s="55">
        <v>110</v>
      </c>
      <c r="H793" s="56">
        <v>120</v>
      </c>
      <c r="I793" s="63">
        <v>100</v>
      </c>
      <c r="J793" s="55">
        <v>110</v>
      </c>
      <c r="K793" s="55">
        <v>100</v>
      </c>
      <c r="L793" s="56">
        <v>110</v>
      </c>
      <c r="M793" s="63">
        <v>110</v>
      </c>
      <c r="N793" s="55">
        <v>110</v>
      </c>
      <c r="O793" s="55">
        <v>45</v>
      </c>
      <c r="P793" s="56">
        <v>100</v>
      </c>
      <c r="Q793" s="63">
        <v>100</v>
      </c>
      <c r="R793" s="55">
        <v>100</v>
      </c>
      <c r="S793" s="55">
        <v>80</v>
      </c>
      <c r="T793" s="55">
        <v>100</v>
      </c>
      <c r="U793" s="56">
        <v>100</v>
      </c>
      <c r="V793" s="63">
        <v>100</v>
      </c>
      <c r="W793" s="55">
        <v>110</v>
      </c>
      <c r="X793" s="55">
        <v>110</v>
      </c>
      <c r="Y793" s="56">
        <v>75</v>
      </c>
      <c r="Z793" s="63">
        <v>110</v>
      </c>
      <c r="AA793" s="55">
        <v>100</v>
      </c>
      <c r="AB793" s="55">
        <v>0</v>
      </c>
      <c r="AC793" s="56">
        <v>110</v>
      </c>
      <c r="AD793" s="63">
        <v>90</v>
      </c>
      <c r="AE793" s="55">
        <v>85</v>
      </c>
      <c r="AF793" s="55">
        <v>35</v>
      </c>
      <c r="AG793" s="56">
        <v>0</v>
      </c>
      <c r="AH793" s="63">
        <v>0</v>
      </c>
      <c r="AI793" s="55">
        <v>110</v>
      </c>
      <c r="AJ793" s="55">
        <v>0</v>
      </c>
      <c r="AK793" s="56">
        <v>96</v>
      </c>
      <c r="AL793" s="63">
        <v>100</v>
      </c>
      <c r="AM793" s="55">
        <v>100</v>
      </c>
      <c r="AN793" s="55">
        <v>75</v>
      </c>
      <c r="AO793" s="56"/>
      <c r="AP793" s="63"/>
      <c r="AQ793" s="55"/>
      <c r="AR793" s="55"/>
      <c r="AS793" s="56"/>
      <c r="AT793" s="53"/>
      <c r="AU793" s="54"/>
      <c r="AV793" s="55"/>
      <c r="AW793" s="56"/>
      <c r="AX793" s="33">
        <f>SUM(E793:AW793)</f>
        <v>3121</v>
      </c>
      <c r="AY793" s="31">
        <f>IFERROR(AVERAGEIF(E793:AW793,"&lt;&gt;0",(E793:AW793)),)</f>
        <v>97.53125</v>
      </c>
      <c r="AZ793" s="30">
        <f>IFERROR(AY793/D793,0)</f>
        <v>0.81276041666666665</v>
      </c>
      <c r="BA793" s="103" t="s">
        <v>182</v>
      </c>
      <c r="BB793" s="100" t="s">
        <v>183</v>
      </c>
      <c r="BC793" s="100" t="s">
        <v>184</v>
      </c>
      <c r="BD793" s="101" t="s">
        <v>185</v>
      </c>
      <c r="BE793" s="100" t="s">
        <v>186</v>
      </c>
      <c r="BF793" s="102" t="s">
        <v>187</v>
      </c>
      <c r="BG793" s="100" t="s">
        <v>188</v>
      </c>
      <c r="BH793" s="102" t="s">
        <v>189</v>
      </c>
    </row>
    <row r="794" spans="1:60" s="17" customFormat="1" ht="19.5" customHeight="1" thickBot="1" x14ac:dyDescent="0.4">
      <c r="A794" s="41">
        <f t="shared" ref="A794:B794" si="703">A793</f>
        <v>45441</v>
      </c>
      <c r="B794" s="37" t="str">
        <f t="shared" si="703"/>
        <v>Yaka Çıma</v>
      </c>
      <c r="C794" s="65" t="str">
        <f t="shared" ref="C794:C799" si="704">C618</f>
        <v>ÖZLEM KAHRAMAN</v>
      </c>
      <c r="D794" s="67">
        <f t="shared" ref="D794:D799" si="705">D793</f>
        <v>120</v>
      </c>
      <c r="E794" s="57"/>
      <c r="F794" s="52"/>
      <c r="G794" s="52"/>
      <c r="H794" s="58"/>
      <c r="I794" s="57"/>
      <c r="J794" s="52"/>
      <c r="K794" s="52"/>
      <c r="L794" s="58"/>
      <c r="M794" s="57"/>
      <c r="N794" s="52"/>
      <c r="O794" s="52"/>
      <c r="P794" s="58"/>
      <c r="Q794" s="57"/>
      <c r="R794" s="52"/>
      <c r="S794" s="52"/>
      <c r="T794" s="52"/>
      <c r="U794" s="58"/>
      <c r="V794" s="57"/>
      <c r="W794" s="52"/>
      <c r="X794" s="52"/>
      <c r="Y794" s="58"/>
      <c r="Z794" s="57"/>
      <c r="AA794" s="52"/>
      <c r="AB794" s="52"/>
      <c r="AC794" s="58"/>
      <c r="AD794" s="57"/>
      <c r="AE794" s="52"/>
      <c r="AF794" s="52"/>
      <c r="AG794" s="58"/>
      <c r="AH794" s="57"/>
      <c r="AI794" s="52"/>
      <c r="AJ794" s="52"/>
      <c r="AK794" s="58"/>
      <c r="AL794" s="57"/>
      <c r="AM794" s="52"/>
      <c r="AN794" s="52"/>
      <c r="AO794" s="58"/>
      <c r="AP794" s="57"/>
      <c r="AQ794" s="52"/>
      <c r="AR794" s="52"/>
      <c r="AS794" s="58"/>
      <c r="AT794" s="57"/>
      <c r="AU794" s="52"/>
      <c r="AV794" s="52"/>
      <c r="AW794" s="58"/>
      <c r="AX794" s="33">
        <f t="shared" ref="AX794:AX799" si="706">SUM(E794:AW794)</f>
        <v>0</v>
      </c>
      <c r="AY794" s="31">
        <f t="shared" ref="AY794:AY799" si="707">IFERROR(AVERAGEIF(E794:AW794,"&lt;&gt;0",(E794:AW794)),)</f>
        <v>0</v>
      </c>
      <c r="AZ794" s="30">
        <f t="shared" ref="AZ794:AZ799" si="708">IFERROR(AY794/D794,0)</f>
        <v>0</v>
      </c>
      <c r="BA794" s="94">
        <f>AX800+BA618</f>
        <v>6974</v>
      </c>
      <c r="BB794" s="95">
        <f>(D800*8)</f>
        <v>4000</v>
      </c>
      <c r="BC794" s="96">
        <f>C709-BA794</f>
        <v>35337</v>
      </c>
      <c r="BD794" s="96">
        <f>BA785-BA794</f>
        <v>190</v>
      </c>
      <c r="BE794" s="97">
        <f>IFERROR(BC794/E800,0)</f>
        <v>78.526666666666671</v>
      </c>
      <c r="BF794" s="98">
        <f>IFERROR(BE794/9,0)</f>
        <v>8.725185185185186</v>
      </c>
      <c r="BG794" s="97">
        <f>IFERROR(BC794/AY800,0)</f>
        <v>101.90099327138738</v>
      </c>
      <c r="BH794" s="97">
        <f>IFERROR(BG794/9,0)</f>
        <v>11.322332585709709</v>
      </c>
    </row>
    <row r="795" spans="1:60" s="17" customFormat="1" ht="19.5" customHeight="1" x14ac:dyDescent="0.35">
      <c r="A795" s="41">
        <f t="shared" ref="A795:B795" si="709">A794</f>
        <v>45441</v>
      </c>
      <c r="B795" s="37" t="str">
        <f t="shared" si="709"/>
        <v>Yaka Çıma</v>
      </c>
      <c r="C795" s="65">
        <f t="shared" si="704"/>
        <v>0</v>
      </c>
      <c r="D795" s="67">
        <f t="shared" si="705"/>
        <v>120</v>
      </c>
      <c r="E795" s="57"/>
      <c r="F795" s="52"/>
      <c r="G795" s="52"/>
      <c r="H795" s="58"/>
      <c r="I795" s="57"/>
      <c r="J795" s="52"/>
      <c r="K795" s="52"/>
      <c r="L795" s="58"/>
      <c r="M795" s="57"/>
      <c r="N795" s="52"/>
      <c r="O795" s="52"/>
      <c r="P795" s="58"/>
      <c r="Q795" s="57"/>
      <c r="R795" s="52"/>
      <c r="S795" s="52"/>
      <c r="T795" s="52"/>
      <c r="U795" s="58"/>
      <c r="V795" s="57"/>
      <c r="W795" s="52"/>
      <c r="X795" s="52"/>
      <c r="Y795" s="58"/>
      <c r="Z795" s="57"/>
      <c r="AA795" s="52"/>
      <c r="AB795" s="52"/>
      <c r="AC795" s="58"/>
      <c r="AD795" s="57"/>
      <c r="AE795" s="52"/>
      <c r="AF795" s="52"/>
      <c r="AG795" s="58"/>
      <c r="AH795" s="57"/>
      <c r="AI795" s="52"/>
      <c r="AJ795" s="52"/>
      <c r="AK795" s="58"/>
      <c r="AL795" s="57"/>
      <c r="AM795" s="52"/>
      <c r="AN795" s="52"/>
      <c r="AO795" s="58"/>
      <c r="AP795" s="57"/>
      <c r="AQ795" s="52"/>
      <c r="AR795" s="52"/>
      <c r="AS795" s="58"/>
      <c r="AT795" s="57"/>
      <c r="AU795" s="52"/>
      <c r="AV795" s="52"/>
      <c r="AW795" s="58"/>
      <c r="AX795" s="33">
        <f t="shared" si="706"/>
        <v>0</v>
      </c>
      <c r="AY795" s="31">
        <f t="shared" si="707"/>
        <v>0</v>
      </c>
      <c r="AZ795" s="30">
        <f t="shared" si="708"/>
        <v>0</v>
      </c>
      <c r="BA795" s="34"/>
      <c r="BB795" s="34"/>
      <c r="BC795" s="34"/>
      <c r="BD795" s="76"/>
      <c r="BE795" s="34"/>
      <c r="BF795" s="34"/>
      <c r="BG795" s="34"/>
      <c r="BH795" s="34"/>
    </row>
    <row r="796" spans="1:60" s="17" customFormat="1" ht="19.5" customHeight="1" x14ac:dyDescent="0.35">
      <c r="A796" s="41">
        <f t="shared" ref="A796:B797" si="710">A795</f>
        <v>45441</v>
      </c>
      <c r="B796" s="37" t="str">
        <f t="shared" si="710"/>
        <v>Yaka Çıma</v>
      </c>
      <c r="C796" s="65">
        <f t="shared" si="704"/>
        <v>0</v>
      </c>
      <c r="D796" s="67">
        <f t="shared" si="705"/>
        <v>120</v>
      </c>
      <c r="E796" s="57"/>
      <c r="F796" s="52"/>
      <c r="G796" s="52"/>
      <c r="H796" s="58"/>
      <c r="I796" s="57"/>
      <c r="J796" s="52"/>
      <c r="K796" s="52"/>
      <c r="L796" s="58"/>
      <c r="M796" s="57"/>
      <c r="N796" s="52"/>
      <c r="O796" s="52"/>
      <c r="P796" s="58"/>
      <c r="Q796" s="57"/>
      <c r="R796" s="52"/>
      <c r="S796" s="52"/>
      <c r="T796" s="52"/>
      <c r="U796" s="58"/>
      <c r="V796" s="57"/>
      <c r="W796" s="52"/>
      <c r="X796" s="52"/>
      <c r="Y796" s="58"/>
      <c r="Z796" s="57"/>
      <c r="AA796" s="52"/>
      <c r="AB796" s="52"/>
      <c r="AC796" s="58"/>
      <c r="AD796" s="57"/>
      <c r="AE796" s="52"/>
      <c r="AF796" s="52"/>
      <c r="AG796" s="58"/>
      <c r="AH796" s="57"/>
      <c r="AI796" s="52"/>
      <c r="AJ796" s="52"/>
      <c r="AK796" s="58"/>
      <c r="AL796" s="57"/>
      <c r="AM796" s="52"/>
      <c r="AN796" s="52"/>
      <c r="AO796" s="58"/>
      <c r="AP796" s="57"/>
      <c r="AQ796" s="52"/>
      <c r="AR796" s="52"/>
      <c r="AS796" s="58"/>
      <c r="AT796" s="57"/>
      <c r="AU796" s="52"/>
      <c r="AV796" s="52"/>
      <c r="AW796" s="58"/>
      <c r="AX796" s="33">
        <f t="shared" si="706"/>
        <v>0</v>
      </c>
      <c r="AY796" s="31">
        <f t="shared" si="707"/>
        <v>0</v>
      </c>
      <c r="AZ796" s="30">
        <f t="shared" si="708"/>
        <v>0</v>
      </c>
      <c r="BA796" s="34"/>
      <c r="BB796" s="34"/>
      <c r="BC796" s="34"/>
      <c r="BD796" s="76"/>
      <c r="BE796" s="34"/>
      <c r="BF796" s="34"/>
      <c r="BG796" s="34"/>
      <c r="BH796" s="34"/>
    </row>
    <row r="797" spans="1:60" s="17" customFormat="1" ht="19.5" customHeight="1" x14ac:dyDescent="0.35">
      <c r="A797" s="41">
        <f>A794</f>
        <v>45441</v>
      </c>
      <c r="B797" s="37" t="str">
        <f t="shared" si="710"/>
        <v>Yaka Çıma</v>
      </c>
      <c r="C797" s="65">
        <f t="shared" si="704"/>
        <v>0</v>
      </c>
      <c r="D797" s="67">
        <f t="shared" si="705"/>
        <v>120</v>
      </c>
      <c r="E797" s="57"/>
      <c r="F797" s="52"/>
      <c r="G797" s="52"/>
      <c r="H797" s="58"/>
      <c r="I797" s="57"/>
      <c r="J797" s="52"/>
      <c r="K797" s="52"/>
      <c r="L797" s="58"/>
      <c r="M797" s="57"/>
      <c r="N797" s="52"/>
      <c r="O797" s="52"/>
      <c r="P797" s="58"/>
      <c r="Q797" s="57"/>
      <c r="R797" s="52"/>
      <c r="S797" s="52"/>
      <c r="T797" s="52"/>
      <c r="U797" s="58"/>
      <c r="V797" s="57"/>
      <c r="W797" s="52"/>
      <c r="X797" s="52"/>
      <c r="Y797" s="58"/>
      <c r="Z797" s="57"/>
      <c r="AA797" s="52"/>
      <c r="AB797" s="52"/>
      <c r="AC797" s="58"/>
      <c r="AD797" s="57"/>
      <c r="AE797" s="52"/>
      <c r="AF797" s="52"/>
      <c r="AG797" s="58"/>
      <c r="AH797" s="57"/>
      <c r="AI797" s="52"/>
      <c r="AJ797" s="52"/>
      <c r="AK797" s="58"/>
      <c r="AL797" s="57"/>
      <c r="AM797" s="52"/>
      <c r="AN797" s="52"/>
      <c r="AO797" s="58"/>
      <c r="AP797" s="57"/>
      <c r="AQ797" s="52"/>
      <c r="AR797" s="52"/>
      <c r="AS797" s="58"/>
      <c r="AT797" s="57"/>
      <c r="AU797" s="52"/>
      <c r="AV797" s="52"/>
      <c r="AW797" s="58"/>
      <c r="AX797" s="33">
        <f t="shared" si="706"/>
        <v>0</v>
      </c>
      <c r="AY797" s="31">
        <f t="shared" si="707"/>
        <v>0</v>
      </c>
      <c r="AZ797" s="30">
        <f t="shared" si="708"/>
        <v>0</v>
      </c>
      <c r="BA797" s="34"/>
      <c r="BB797" s="34"/>
      <c r="BC797" s="34"/>
      <c r="BD797" s="76"/>
      <c r="BE797" s="34"/>
      <c r="BF797" s="34"/>
      <c r="BG797" s="34"/>
      <c r="BH797" s="34"/>
    </row>
    <row r="798" spans="1:60" s="17" customFormat="1" ht="19.5" customHeight="1" x14ac:dyDescent="0.35">
      <c r="A798" s="41">
        <f t="shared" ref="A798:B798" si="711">A797</f>
        <v>45441</v>
      </c>
      <c r="B798" s="37" t="str">
        <f t="shared" si="711"/>
        <v>Yaka Çıma</v>
      </c>
      <c r="C798" s="65">
        <f t="shared" si="704"/>
        <v>0</v>
      </c>
      <c r="D798" s="67">
        <f t="shared" si="705"/>
        <v>120</v>
      </c>
      <c r="E798" s="57"/>
      <c r="F798" s="52"/>
      <c r="G798" s="52"/>
      <c r="H798" s="58"/>
      <c r="I798" s="57"/>
      <c r="J798" s="52"/>
      <c r="K798" s="52"/>
      <c r="L798" s="58"/>
      <c r="M798" s="57"/>
      <c r="N798" s="52"/>
      <c r="O798" s="52"/>
      <c r="P798" s="58"/>
      <c r="Q798" s="57"/>
      <c r="R798" s="52"/>
      <c r="S798" s="52"/>
      <c r="T798" s="52"/>
      <c r="U798" s="58"/>
      <c r="V798" s="57"/>
      <c r="W798" s="52"/>
      <c r="X798" s="52"/>
      <c r="Y798" s="58"/>
      <c r="Z798" s="57"/>
      <c r="AA798" s="52"/>
      <c r="AB798" s="52"/>
      <c r="AC798" s="58"/>
      <c r="AD798" s="57"/>
      <c r="AE798" s="52"/>
      <c r="AF798" s="52"/>
      <c r="AG798" s="58"/>
      <c r="AH798" s="57"/>
      <c r="AI798" s="52"/>
      <c r="AJ798" s="52"/>
      <c r="AK798" s="58"/>
      <c r="AL798" s="57"/>
      <c r="AM798" s="52"/>
      <c r="AN798" s="52"/>
      <c r="AO798" s="58"/>
      <c r="AP798" s="57"/>
      <c r="AQ798" s="52"/>
      <c r="AR798" s="52"/>
      <c r="AS798" s="58"/>
      <c r="AT798" s="57"/>
      <c r="AU798" s="52"/>
      <c r="AV798" s="52"/>
      <c r="AW798" s="58"/>
      <c r="AX798" s="33">
        <f t="shared" si="706"/>
        <v>0</v>
      </c>
      <c r="AY798" s="31">
        <f t="shared" si="707"/>
        <v>0</v>
      </c>
      <c r="AZ798" s="30">
        <f t="shared" si="708"/>
        <v>0</v>
      </c>
      <c r="BA798" s="34"/>
      <c r="BB798" s="34"/>
      <c r="BC798" s="34"/>
      <c r="BD798" s="76"/>
      <c r="BE798" s="34"/>
      <c r="BF798" s="34"/>
      <c r="BG798" s="34"/>
      <c r="BH798" s="34"/>
    </row>
    <row r="799" spans="1:60" s="17" customFormat="1" ht="19.5" customHeight="1" thickBot="1" x14ac:dyDescent="0.4">
      <c r="A799" s="41">
        <f t="shared" ref="A799:B800" si="712">A798</f>
        <v>45441</v>
      </c>
      <c r="B799" s="37" t="str">
        <f t="shared" si="712"/>
        <v>Yaka Çıma</v>
      </c>
      <c r="C799" s="65">
        <f t="shared" si="704"/>
        <v>0</v>
      </c>
      <c r="D799" s="67">
        <f t="shared" si="705"/>
        <v>120</v>
      </c>
      <c r="E799" s="59"/>
      <c r="F799" s="60"/>
      <c r="G799" s="61"/>
      <c r="H799" s="62"/>
      <c r="I799" s="59"/>
      <c r="J799" s="60"/>
      <c r="K799" s="61"/>
      <c r="L799" s="62"/>
      <c r="M799" s="59"/>
      <c r="N799" s="60"/>
      <c r="O799" s="61"/>
      <c r="P799" s="62"/>
      <c r="Q799" s="64"/>
      <c r="R799" s="61"/>
      <c r="S799" s="61"/>
      <c r="T799" s="61"/>
      <c r="U799" s="62"/>
      <c r="V799" s="59"/>
      <c r="W799" s="60"/>
      <c r="X799" s="61"/>
      <c r="Y799" s="62"/>
      <c r="Z799" s="59"/>
      <c r="AA799" s="60"/>
      <c r="AB799" s="61"/>
      <c r="AC799" s="62"/>
      <c r="AD799" s="59"/>
      <c r="AE799" s="60"/>
      <c r="AF799" s="61"/>
      <c r="AG799" s="62"/>
      <c r="AH799" s="59"/>
      <c r="AI799" s="60"/>
      <c r="AJ799" s="61"/>
      <c r="AK799" s="62"/>
      <c r="AL799" s="59"/>
      <c r="AM799" s="60"/>
      <c r="AN799" s="61"/>
      <c r="AO799" s="62"/>
      <c r="AP799" s="59"/>
      <c r="AQ799" s="60"/>
      <c r="AR799" s="61"/>
      <c r="AS799" s="62"/>
      <c r="AT799" s="59"/>
      <c r="AU799" s="60"/>
      <c r="AV799" s="61"/>
      <c r="AW799" s="62"/>
      <c r="AX799" s="33">
        <f t="shared" si="706"/>
        <v>0</v>
      </c>
      <c r="AY799" s="31">
        <f t="shared" si="707"/>
        <v>0</v>
      </c>
      <c r="AZ799" s="30">
        <f t="shared" si="708"/>
        <v>0</v>
      </c>
      <c r="BA799" s="34"/>
      <c r="BB799" s="34"/>
      <c r="BC799" s="34"/>
      <c r="BD799" s="76"/>
      <c r="BE799" s="34"/>
      <c r="BF799" s="34"/>
      <c r="BG799" s="34"/>
      <c r="BH799" s="34"/>
    </row>
    <row r="800" spans="1:60" s="17" customFormat="1" ht="19.5" customHeight="1" thickBot="1" x14ac:dyDescent="0.45">
      <c r="A800" s="41">
        <f t="shared" si="712"/>
        <v>45441</v>
      </c>
      <c r="B800" s="139" t="str">
        <f>B793</f>
        <v>Yaka Çıma</v>
      </c>
      <c r="C800" s="140"/>
      <c r="D800" s="40">
        <f>C710/8</f>
        <v>500</v>
      </c>
      <c r="E800" s="147">
        <f>SUM(E793:H799)</f>
        <v>450</v>
      </c>
      <c r="F800" s="148"/>
      <c r="G800" s="148"/>
      <c r="H800" s="149"/>
      <c r="I800" s="147">
        <f>SUM(I793:L799)</f>
        <v>420</v>
      </c>
      <c r="J800" s="148"/>
      <c r="K800" s="148"/>
      <c r="L800" s="149"/>
      <c r="M800" s="147">
        <f>SUM(M793:P799)</f>
        <v>365</v>
      </c>
      <c r="N800" s="148"/>
      <c r="O800" s="148"/>
      <c r="P800" s="149"/>
      <c r="Q800" s="147">
        <f>SUM(Q793:U799)</f>
        <v>480</v>
      </c>
      <c r="R800" s="148"/>
      <c r="S800" s="148"/>
      <c r="T800" s="148"/>
      <c r="U800" s="149"/>
      <c r="V800" s="147">
        <f>SUM(V793:Y799)</f>
        <v>395</v>
      </c>
      <c r="W800" s="148"/>
      <c r="X800" s="148"/>
      <c r="Y800" s="149"/>
      <c r="Z800" s="147">
        <f>SUM(Z793:AC799)</f>
        <v>320</v>
      </c>
      <c r="AA800" s="148"/>
      <c r="AB800" s="148"/>
      <c r="AC800" s="149"/>
      <c r="AD800" s="147">
        <f>SUM(AD793:AG799)</f>
        <v>210</v>
      </c>
      <c r="AE800" s="148"/>
      <c r="AF800" s="148"/>
      <c r="AG800" s="149"/>
      <c r="AH800" s="147">
        <f>SUM(AH793:AK799)</f>
        <v>206</v>
      </c>
      <c r="AI800" s="148"/>
      <c r="AJ800" s="148"/>
      <c r="AK800" s="149"/>
      <c r="AL800" s="147">
        <f>SUM(AL793:AO799)</f>
        <v>275</v>
      </c>
      <c r="AM800" s="148"/>
      <c r="AN800" s="148"/>
      <c r="AO800" s="149"/>
      <c r="AP800" s="147">
        <f>SUM(AP793:AS799)</f>
        <v>0</v>
      </c>
      <c r="AQ800" s="148"/>
      <c r="AR800" s="148"/>
      <c r="AS800" s="149"/>
      <c r="AT800" s="147">
        <f>SUM(AT793:AW799)</f>
        <v>0</v>
      </c>
      <c r="AU800" s="148"/>
      <c r="AV800" s="148"/>
      <c r="AW800" s="149"/>
      <c r="AX800" s="87">
        <f>SUM(AX793:AX799)</f>
        <v>3121</v>
      </c>
      <c r="AY800" s="88">
        <f>IFERROR(AVERAGEIF(E800:AV800,"&lt;&gt;0",(E800:AV800)),)</f>
        <v>346.77777777777777</v>
      </c>
      <c r="AZ800" s="46">
        <f>IFERROR(AX800/BB794,0)</f>
        <v>0.78025</v>
      </c>
      <c r="BA800" s="34"/>
      <c r="BB800" s="34"/>
      <c r="BC800" s="34"/>
      <c r="BD800" s="76"/>
      <c r="BE800" s="34"/>
      <c r="BF800" s="34"/>
      <c r="BG800" s="34"/>
      <c r="BH800" s="34"/>
    </row>
    <row r="801" spans="1:60" s="17" customFormat="1" ht="19.5" customHeight="1" thickBot="1" x14ac:dyDescent="0.4">
      <c r="A801" s="42">
        <f>A783</f>
        <v>45441</v>
      </c>
      <c r="B801" s="38" t="str">
        <f>B802</f>
        <v>Kol Takma</v>
      </c>
      <c r="C801" s="39" t="s">
        <v>180</v>
      </c>
      <c r="D801" s="69" t="s">
        <v>181</v>
      </c>
      <c r="E801" s="48">
        <v>0.34375</v>
      </c>
      <c r="F801" s="49">
        <v>0.35416666666666669</v>
      </c>
      <c r="G801" s="49">
        <v>0.36458333333333331</v>
      </c>
      <c r="H801" s="50">
        <v>0.375</v>
      </c>
      <c r="I801" s="48">
        <v>0.38541666666666702</v>
      </c>
      <c r="J801" s="49">
        <v>0.39583333333333298</v>
      </c>
      <c r="K801" s="49">
        <v>0.40625</v>
      </c>
      <c r="L801" s="50">
        <v>0.41666666666666702</v>
      </c>
      <c r="M801" s="48">
        <v>0.4375</v>
      </c>
      <c r="N801" s="49">
        <v>0.44791666666666702</v>
      </c>
      <c r="O801" s="49">
        <v>0.45833333333333398</v>
      </c>
      <c r="P801" s="50">
        <v>0.46875</v>
      </c>
      <c r="Q801" s="48">
        <v>0.47916666666666702</v>
      </c>
      <c r="R801" s="49">
        <v>0.48958333333333398</v>
      </c>
      <c r="S801" s="49">
        <v>0.5</v>
      </c>
      <c r="T801" s="50">
        <v>0.51041666666666696</v>
      </c>
      <c r="U801" s="51">
        <v>0.52083333333333204</v>
      </c>
      <c r="V801" s="48">
        <v>0.5625</v>
      </c>
      <c r="W801" s="49">
        <v>0.57291666666666663</v>
      </c>
      <c r="X801" s="49">
        <v>0.58333333333333304</v>
      </c>
      <c r="Y801" s="50">
        <v>0.59375</v>
      </c>
      <c r="Z801" s="48">
        <v>0.60416666666666696</v>
      </c>
      <c r="AA801" s="49">
        <v>0.61458333333333304</v>
      </c>
      <c r="AB801" s="49">
        <v>0.625</v>
      </c>
      <c r="AC801" s="50">
        <v>0.63541666666666596</v>
      </c>
      <c r="AD801" s="48">
        <v>0.65625</v>
      </c>
      <c r="AE801" s="49">
        <v>0.66666666666666663</v>
      </c>
      <c r="AF801" s="49">
        <v>0.67708333333333304</v>
      </c>
      <c r="AG801" s="50">
        <v>0.6875</v>
      </c>
      <c r="AH801" s="48">
        <v>0.69791666666666696</v>
      </c>
      <c r="AI801" s="49">
        <v>0.70833333333333304</v>
      </c>
      <c r="AJ801" s="49">
        <v>0.71875</v>
      </c>
      <c r="AK801" s="50">
        <v>0.72916666666666696</v>
      </c>
      <c r="AL801" s="48">
        <v>0.73958333333333404</v>
      </c>
      <c r="AM801" s="49">
        <v>0.750000000000001</v>
      </c>
      <c r="AN801" s="49">
        <v>0.76041666666666796</v>
      </c>
      <c r="AO801" s="50">
        <v>0.77083333333333504</v>
      </c>
      <c r="AP801" s="48">
        <v>0.781250000000002</v>
      </c>
      <c r="AQ801" s="49">
        <v>0.79166666666666896</v>
      </c>
      <c r="AR801" s="49">
        <v>0.80208333333333603</v>
      </c>
      <c r="AS801" s="50">
        <v>0.812500000000003</v>
      </c>
      <c r="AT801" s="48">
        <v>0.82291666666666996</v>
      </c>
      <c r="AU801" s="49">
        <v>0.83333333333333703</v>
      </c>
      <c r="AV801" s="49">
        <v>0.843750000000004</v>
      </c>
      <c r="AW801" s="50">
        <v>0.85416666666666663</v>
      </c>
      <c r="AX801" s="68" t="s">
        <v>260</v>
      </c>
      <c r="AY801" s="28" t="s">
        <v>261</v>
      </c>
      <c r="AZ801" s="29" t="s">
        <v>262</v>
      </c>
      <c r="BA801" s="136" t="str">
        <f>B802</f>
        <v>Kol Takma</v>
      </c>
      <c r="BB801" s="137"/>
      <c r="BC801" s="137"/>
      <c r="BD801" s="137"/>
      <c r="BE801" s="137"/>
      <c r="BF801" s="137"/>
      <c r="BG801" s="137"/>
      <c r="BH801" s="138"/>
    </row>
    <row r="802" spans="1:60" s="17" customFormat="1" ht="19.5" customHeight="1" thickBot="1" x14ac:dyDescent="0.4">
      <c r="A802" s="41">
        <f t="shared" ref="A802" si="713">A801</f>
        <v>45441</v>
      </c>
      <c r="B802" s="37" t="str">
        <f>B626</f>
        <v>Kol Takma</v>
      </c>
      <c r="C802" s="65" t="str">
        <f>C626</f>
        <v>EBRU CANSU</v>
      </c>
      <c r="D802" s="70">
        <f>D626</f>
        <v>35</v>
      </c>
      <c r="E802" s="63">
        <v>35</v>
      </c>
      <c r="F802" s="55">
        <v>35</v>
      </c>
      <c r="G802" s="55">
        <v>35</v>
      </c>
      <c r="H802" s="56">
        <v>32</v>
      </c>
      <c r="I802" s="63">
        <v>40</v>
      </c>
      <c r="J802" s="55">
        <v>40</v>
      </c>
      <c r="K802" s="55">
        <v>20</v>
      </c>
      <c r="L802" s="56">
        <v>25</v>
      </c>
      <c r="M802" s="63">
        <v>35</v>
      </c>
      <c r="N802" s="55">
        <v>31</v>
      </c>
      <c r="O802" s="55">
        <v>30</v>
      </c>
      <c r="P802" s="56">
        <v>30</v>
      </c>
      <c r="Q802" s="63">
        <v>15</v>
      </c>
      <c r="R802" s="55">
        <v>25</v>
      </c>
      <c r="S802" s="55">
        <v>33</v>
      </c>
      <c r="T802" s="55">
        <v>13</v>
      </c>
      <c r="U802" s="56">
        <v>20</v>
      </c>
      <c r="V802" s="63">
        <v>30</v>
      </c>
      <c r="W802" s="55">
        <v>30</v>
      </c>
      <c r="X802" s="55">
        <v>26</v>
      </c>
      <c r="Y802" s="56">
        <v>35</v>
      </c>
      <c r="Z802" s="63">
        <v>40</v>
      </c>
      <c r="AA802" s="55">
        <v>30</v>
      </c>
      <c r="AB802" s="55">
        <v>16</v>
      </c>
      <c r="AC802" s="56">
        <v>32</v>
      </c>
      <c r="AD802" s="63">
        <v>42</v>
      </c>
      <c r="AE802" s="55">
        <v>45</v>
      </c>
      <c r="AF802" s="55">
        <v>40</v>
      </c>
      <c r="AG802" s="56"/>
      <c r="AH802" s="63"/>
      <c r="AI802" s="55"/>
      <c r="AJ802" s="55"/>
      <c r="AK802" s="56"/>
      <c r="AL802" s="63"/>
      <c r="AM802" s="55"/>
      <c r="AN802" s="55"/>
      <c r="AO802" s="56"/>
      <c r="AP802" s="63"/>
      <c r="AQ802" s="55"/>
      <c r="AR802" s="55"/>
      <c r="AS802" s="56"/>
      <c r="AT802" s="53"/>
      <c r="AU802" s="54"/>
      <c r="AV802" s="55"/>
      <c r="AW802" s="56"/>
      <c r="AX802" s="33">
        <f>SUM(E802:AW802)</f>
        <v>860</v>
      </c>
      <c r="AY802" s="31">
        <f>IFERROR(AVERAGEIF(E802:AW802,"&lt;&gt;0",(E802:AW802)),)</f>
        <v>30.714285714285715</v>
      </c>
      <c r="AZ802" s="30">
        <f>IFERROR(AY802/D802,0)</f>
        <v>0.87755102040816324</v>
      </c>
      <c r="BA802" s="103" t="s">
        <v>182</v>
      </c>
      <c r="BB802" s="100" t="s">
        <v>183</v>
      </c>
      <c r="BC802" s="100" t="s">
        <v>184</v>
      </c>
      <c r="BD802" s="101" t="s">
        <v>185</v>
      </c>
      <c r="BE802" s="100" t="s">
        <v>186</v>
      </c>
      <c r="BF802" s="102" t="s">
        <v>187</v>
      </c>
      <c r="BG802" s="100" t="s">
        <v>188</v>
      </c>
      <c r="BH802" s="102" t="s">
        <v>189</v>
      </c>
    </row>
    <row r="803" spans="1:60" s="17" customFormat="1" ht="19.5" customHeight="1" thickBot="1" x14ac:dyDescent="0.4">
      <c r="A803" s="41">
        <f t="shared" ref="A803:B803" si="714">A802</f>
        <v>45441</v>
      </c>
      <c r="B803" s="37" t="str">
        <f t="shared" si="714"/>
        <v>Kol Takma</v>
      </c>
      <c r="C803" s="65" t="str">
        <f t="shared" ref="C803:C808" si="715">C627</f>
        <v>GÜLER SAĞCAN</v>
      </c>
      <c r="D803" s="67">
        <f t="shared" ref="D803:D808" si="716">D802</f>
        <v>35</v>
      </c>
      <c r="E803" s="57">
        <v>32</v>
      </c>
      <c r="F803" s="52">
        <v>33</v>
      </c>
      <c r="G803" s="52">
        <v>31</v>
      </c>
      <c r="H803" s="58">
        <v>26</v>
      </c>
      <c r="I803" s="57">
        <v>30</v>
      </c>
      <c r="J803" s="52">
        <v>30</v>
      </c>
      <c r="K803" s="52">
        <v>30</v>
      </c>
      <c r="L803" s="58">
        <v>30</v>
      </c>
      <c r="M803" s="57">
        <v>33</v>
      </c>
      <c r="N803" s="52">
        <v>30</v>
      </c>
      <c r="O803" s="52">
        <v>27</v>
      </c>
      <c r="P803" s="58">
        <v>25</v>
      </c>
      <c r="Q803" s="57">
        <v>28</v>
      </c>
      <c r="R803" s="52">
        <v>25</v>
      </c>
      <c r="S803" s="52">
        <v>27</v>
      </c>
      <c r="T803" s="52">
        <v>11</v>
      </c>
      <c r="U803" s="58">
        <v>16</v>
      </c>
      <c r="V803" s="57">
        <v>30</v>
      </c>
      <c r="W803" s="52">
        <v>30</v>
      </c>
      <c r="X803" s="52">
        <v>30</v>
      </c>
      <c r="Y803" s="58">
        <v>30</v>
      </c>
      <c r="Z803" s="57">
        <v>31</v>
      </c>
      <c r="AA803" s="52">
        <v>30</v>
      </c>
      <c r="AB803" s="52">
        <v>30</v>
      </c>
      <c r="AC803" s="58">
        <v>31</v>
      </c>
      <c r="AD803" s="57">
        <v>33</v>
      </c>
      <c r="AE803" s="52">
        <v>32</v>
      </c>
      <c r="AF803" s="52">
        <v>32</v>
      </c>
      <c r="AG803" s="58">
        <v>30</v>
      </c>
      <c r="AH803" s="57">
        <v>27</v>
      </c>
      <c r="AI803" s="52">
        <v>25</v>
      </c>
      <c r="AJ803" s="52">
        <v>26</v>
      </c>
      <c r="AK803" s="58">
        <v>30</v>
      </c>
      <c r="AL803" s="57">
        <v>30</v>
      </c>
      <c r="AM803" s="52">
        <v>13</v>
      </c>
      <c r="AN803" s="52">
        <v>28</v>
      </c>
      <c r="AO803" s="58"/>
      <c r="AP803" s="57"/>
      <c r="AQ803" s="52"/>
      <c r="AR803" s="52"/>
      <c r="AS803" s="58"/>
      <c r="AT803" s="57"/>
      <c r="AU803" s="52"/>
      <c r="AV803" s="52"/>
      <c r="AW803" s="58"/>
      <c r="AX803" s="33">
        <f t="shared" ref="AX803:AX808" si="717">SUM(E803:AW803)</f>
        <v>1012</v>
      </c>
      <c r="AY803" s="31">
        <f t="shared" ref="AY803:AY808" si="718">IFERROR(AVERAGEIF(E803:AW803,"&lt;&gt;0",(E803:AW803)),)</f>
        <v>28.111111111111111</v>
      </c>
      <c r="AZ803" s="30">
        <f t="shared" ref="AZ803:AZ808" si="719">IFERROR(AY803/D803,0)</f>
        <v>0.80317460317460321</v>
      </c>
      <c r="BA803" s="94">
        <f>AX809+BA627</f>
        <v>6622</v>
      </c>
      <c r="BB803" s="95">
        <f>(D809*8)</f>
        <v>4000</v>
      </c>
      <c r="BC803" s="96">
        <f>C709-BA803</f>
        <v>35689</v>
      </c>
      <c r="BD803" s="96">
        <f>BA794-BA803</f>
        <v>352</v>
      </c>
      <c r="BE803" s="97">
        <f>IFERROR(BC803/E809,0)</f>
        <v>70.531620553359687</v>
      </c>
      <c r="BF803" s="98">
        <f>IFERROR(BE803/9,0)</f>
        <v>7.8368467281510767</v>
      </c>
      <c r="BG803" s="97">
        <f>IFERROR(BC803/AY809,0)</f>
        <v>89.695895001396252</v>
      </c>
      <c r="BH803" s="97">
        <f>IFERROR(BG803/9,0)</f>
        <v>9.9662105557106955</v>
      </c>
    </row>
    <row r="804" spans="1:60" s="17" customFormat="1" ht="19.5" customHeight="1" x14ac:dyDescent="0.35">
      <c r="A804" s="41">
        <f t="shared" ref="A804:B804" si="720">A803</f>
        <v>45441</v>
      </c>
      <c r="B804" s="37" t="str">
        <f t="shared" si="720"/>
        <v>Kol Takma</v>
      </c>
      <c r="C804" s="65" t="str">
        <f t="shared" si="715"/>
        <v>ÖZLEM KAHRAMAN</v>
      </c>
      <c r="D804" s="67">
        <f t="shared" si="716"/>
        <v>35</v>
      </c>
      <c r="E804" s="57">
        <v>30</v>
      </c>
      <c r="F804" s="52">
        <v>30</v>
      </c>
      <c r="G804" s="52">
        <v>30</v>
      </c>
      <c r="H804" s="58">
        <v>32</v>
      </c>
      <c r="I804" s="57">
        <v>30</v>
      </c>
      <c r="J804" s="52">
        <v>25</v>
      </c>
      <c r="K804" s="52">
        <v>25</v>
      </c>
      <c r="L804" s="58">
        <v>30</v>
      </c>
      <c r="M804" s="57">
        <v>32</v>
      </c>
      <c r="N804" s="52">
        <v>30</v>
      </c>
      <c r="O804" s="52">
        <v>30</v>
      </c>
      <c r="P804" s="58">
        <v>15</v>
      </c>
      <c r="Q804" s="57">
        <v>30</v>
      </c>
      <c r="R804" s="52">
        <v>30</v>
      </c>
      <c r="S804" s="52">
        <v>30</v>
      </c>
      <c r="T804" s="52">
        <v>30</v>
      </c>
      <c r="U804" s="58">
        <v>30</v>
      </c>
      <c r="V804" s="57">
        <v>32</v>
      </c>
      <c r="W804" s="52">
        <v>32</v>
      </c>
      <c r="X804" s="52">
        <v>32</v>
      </c>
      <c r="Y804" s="58">
        <v>32</v>
      </c>
      <c r="Z804" s="57">
        <v>30</v>
      </c>
      <c r="AA804" s="52">
        <v>30</v>
      </c>
      <c r="AB804" s="52">
        <v>30</v>
      </c>
      <c r="AC804" s="58">
        <v>35</v>
      </c>
      <c r="AD804" s="57">
        <v>35</v>
      </c>
      <c r="AE804" s="52">
        <v>35</v>
      </c>
      <c r="AF804" s="52">
        <v>15</v>
      </c>
      <c r="AG804" s="58"/>
      <c r="AH804" s="57"/>
      <c r="AI804" s="52"/>
      <c r="AJ804" s="52"/>
      <c r="AK804" s="58"/>
      <c r="AL804" s="57"/>
      <c r="AM804" s="52"/>
      <c r="AN804" s="52"/>
      <c r="AO804" s="58"/>
      <c r="AP804" s="57"/>
      <c r="AQ804" s="52"/>
      <c r="AR804" s="52"/>
      <c r="AS804" s="58"/>
      <c r="AT804" s="57"/>
      <c r="AU804" s="52"/>
      <c r="AV804" s="52"/>
      <c r="AW804" s="58"/>
      <c r="AX804" s="33">
        <f t="shared" si="717"/>
        <v>827</v>
      </c>
      <c r="AY804" s="31">
        <f t="shared" si="718"/>
        <v>29.535714285714285</v>
      </c>
      <c r="AZ804" s="30">
        <f t="shared" si="719"/>
        <v>0.84387755102040818</v>
      </c>
      <c r="BA804" s="34"/>
      <c r="BB804" s="34"/>
      <c r="BC804" s="34"/>
      <c r="BD804" s="76"/>
      <c r="BE804" s="34"/>
      <c r="BF804" s="34"/>
      <c r="BG804" s="34"/>
      <c r="BH804" s="34"/>
    </row>
    <row r="805" spans="1:60" s="17" customFormat="1" ht="19.5" customHeight="1" x14ac:dyDescent="0.35">
      <c r="A805" s="41">
        <f t="shared" ref="A805:B806" si="721">A804</f>
        <v>45441</v>
      </c>
      <c r="B805" s="37" t="str">
        <f t="shared" si="721"/>
        <v>Kol Takma</v>
      </c>
      <c r="C805" s="65" t="str">
        <f t="shared" si="715"/>
        <v>HATİCE ÖZDİL</v>
      </c>
      <c r="D805" s="67">
        <f t="shared" si="716"/>
        <v>35</v>
      </c>
      <c r="E805" s="57">
        <v>32</v>
      </c>
      <c r="F805" s="52">
        <v>30</v>
      </c>
      <c r="G805" s="52">
        <v>33</v>
      </c>
      <c r="H805" s="58">
        <v>30</v>
      </c>
      <c r="I805" s="57">
        <v>25</v>
      </c>
      <c r="J805" s="52">
        <v>16</v>
      </c>
      <c r="K805" s="52">
        <v>20</v>
      </c>
      <c r="L805" s="58">
        <v>23</v>
      </c>
      <c r="M805" s="57">
        <v>20</v>
      </c>
      <c r="N805" s="52">
        <v>25</v>
      </c>
      <c r="O805" s="52">
        <v>20</v>
      </c>
      <c r="P805" s="58">
        <v>25</v>
      </c>
      <c r="Q805" s="57">
        <v>12</v>
      </c>
      <c r="R805" s="52">
        <v>25</v>
      </c>
      <c r="S805" s="52">
        <v>25</v>
      </c>
      <c r="T805" s="52">
        <v>21</v>
      </c>
      <c r="U805" s="58">
        <v>22</v>
      </c>
      <c r="V805" s="57">
        <v>25</v>
      </c>
      <c r="W805" s="52">
        <v>25</v>
      </c>
      <c r="X805" s="52">
        <v>26</v>
      </c>
      <c r="Y805" s="58">
        <v>25</v>
      </c>
      <c r="Z805" s="57">
        <v>26</v>
      </c>
      <c r="AA805" s="52">
        <v>27</v>
      </c>
      <c r="AB805" s="52">
        <v>30</v>
      </c>
      <c r="AC805" s="58">
        <v>30</v>
      </c>
      <c r="AD805" s="57">
        <v>30</v>
      </c>
      <c r="AE805" s="52">
        <v>30</v>
      </c>
      <c r="AF805" s="52">
        <v>20</v>
      </c>
      <c r="AG805" s="58">
        <v>30</v>
      </c>
      <c r="AH805" s="57">
        <v>20</v>
      </c>
      <c r="AI805" s="52">
        <v>25</v>
      </c>
      <c r="AJ805" s="52">
        <v>20</v>
      </c>
      <c r="AK805" s="58">
        <v>20</v>
      </c>
      <c r="AL805" s="57">
        <v>22</v>
      </c>
      <c r="AM805" s="52">
        <v>25</v>
      </c>
      <c r="AN805" s="52">
        <v>22</v>
      </c>
      <c r="AO805" s="58"/>
      <c r="AP805" s="57"/>
      <c r="AQ805" s="52"/>
      <c r="AR805" s="52"/>
      <c r="AS805" s="58"/>
      <c r="AT805" s="57"/>
      <c r="AU805" s="52"/>
      <c r="AV805" s="52"/>
      <c r="AW805" s="58"/>
      <c r="AX805" s="33">
        <f t="shared" si="717"/>
        <v>882</v>
      </c>
      <c r="AY805" s="31">
        <f t="shared" si="718"/>
        <v>24.5</v>
      </c>
      <c r="AZ805" s="30">
        <f t="shared" si="719"/>
        <v>0.7</v>
      </c>
      <c r="BA805" s="34"/>
      <c r="BB805" s="34"/>
      <c r="BC805" s="34"/>
      <c r="BD805" s="76"/>
      <c r="BE805" s="34"/>
      <c r="BF805" s="34"/>
      <c r="BG805" s="34"/>
      <c r="BH805" s="34"/>
    </row>
    <row r="806" spans="1:60" s="17" customFormat="1" ht="19.5" customHeight="1" x14ac:dyDescent="0.35">
      <c r="A806" s="41">
        <f>A803</f>
        <v>45441</v>
      </c>
      <c r="B806" s="37" t="str">
        <f t="shared" si="721"/>
        <v>Kol Takma</v>
      </c>
      <c r="C806" s="65" t="str">
        <f t="shared" si="715"/>
        <v>SEVİNÇ KUNDAKÇI</v>
      </c>
      <c r="D806" s="67">
        <f t="shared" si="716"/>
        <v>35</v>
      </c>
      <c r="E806" s="57"/>
      <c r="F806" s="52"/>
      <c r="G806" s="52"/>
      <c r="H806" s="58"/>
      <c r="I806" s="57"/>
      <c r="J806" s="52"/>
      <c r="K806" s="52"/>
      <c r="L806" s="58"/>
      <c r="M806" s="57"/>
      <c r="N806" s="52"/>
      <c r="O806" s="52"/>
      <c r="P806" s="58"/>
      <c r="Q806" s="57"/>
      <c r="R806" s="52"/>
      <c r="S806" s="52"/>
      <c r="T806" s="52"/>
      <c r="U806" s="58"/>
      <c r="V806" s="57"/>
      <c r="W806" s="52"/>
      <c r="X806" s="52"/>
      <c r="Y806" s="58"/>
      <c r="Z806" s="57"/>
      <c r="AA806" s="52"/>
      <c r="AB806" s="52"/>
      <c r="AC806" s="58"/>
      <c r="AD806" s="57"/>
      <c r="AE806" s="52"/>
      <c r="AF806" s="52"/>
      <c r="AG806" s="58"/>
      <c r="AH806" s="57"/>
      <c r="AI806" s="52"/>
      <c r="AJ806" s="52"/>
      <c r="AK806" s="58"/>
      <c r="AL806" s="57"/>
      <c r="AM806" s="52"/>
      <c r="AN806" s="52"/>
      <c r="AO806" s="58"/>
      <c r="AP806" s="57"/>
      <c r="AQ806" s="52"/>
      <c r="AR806" s="52"/>
      <c r="AS806" s="58"/>
      <c r="AT806" s="57"/>
      <c r="AU806" s="52"/>
      <c r="AV806" s="52"/>
      <c r="AW806" s="58"/>
      <c r="AX806" s="33">
        <f t="shared" si="717"/>
        <v>0</v>
      </c>
      <c r="AY806" s="31">
        <f t="shared" si="718"/>
        <v>0</v>
      </c>
      <c r="AZ806" s="30">
        <f t="shared" si="719"/>
        <v>0</v>
      </c>
      <c r="BA806" s="34"/>
      <c r="BB806" s="34"/>
      <c r="BC806" s="34"/>
      <c r="BD806" s="76"/>
      <c r="BE806" s="34"/>
      <c r="BF806" s="34"/>
      <c r="BG806" s="34"/>
      <c r="BH806" s="34"/>
    </row>
    <row r="807" spans="1:60" s="17" customFormat="1" ht="19.5" customHeight="1" x14ac:dyDescent="0.35">
      <c r="A807" s="41">
        <f t="shared" ref="A807:B807" si="722">A806</f>
        <v>45441</v>
      </c>
      <c r="B807" s="37" t="str">
        <f t="shared" si="722"/>
        <v>Kol Takma</v>
      </c>
      <c r="C807" s="65">
        <f t="shared" si="715"/>
        <v>0</v>
      </c>
      <c r="D807" s="67">
        <f t="shared" si="716"/>
        <v>35</v>
      </c>
      <c r="E807" s="57"/>
      <c r="F807" s="52"/>
      <c r="G807" s="52"/>
      <c r="H807" s="58"/>
      <c r="I807" s="57"/>
      <c r="J807" s="52"/>
      <c r="K807" s="52"/>
      <c r="L807" s="58"/>
      <c r="M807" s="57"/>
      <c r="N807" s="52"/>
      <c r="O807" s="52"/>
      <c r="P807" s="58"/>
      <c r="Q807" s="57"/>
      <c r="R807" s="52"/>
      <c r="S807" s="52"/>
      <c r="T807" s="52"/>
      <c r="U807" s="58"/>
      <c r="V807" s="57"/>
      <c r="W807" s="52"/>
      <c r="X807" s="52"/>
      <c r="Y807" s="58"/>
      <c r="Z807" s="57"/>
      <c r="AA807" s="52"/>
      <c r="AB807" s="52"/>
      <c r="AC807" s="58"/>
      <c r="AD807" s="57"/>
      <c r="AE807" s="52"/>
      <c r="AF807" s="52"/>
      <c r="AG807" s="58"/>
      <c r="AH807" s="57"/>
      <c r="AI807" s="52"/>
      <c r="AJ807" s="52"/>
      <c r="AK807" s="58"/>
      <c r="AL807" s="57"/>
      <c r="AM807" s="52"/>
      <c r="AN807" s="52"/>
      <c r="AO807" s="58"/>
      <c r="AP807" s="57"/>
      <c r="AQ807" s="52"/>
      <c r="AR807" s="52"/>
      <c r="AS807" s="58"/>
      <c r="AT807" s="57"/>
      <c r="AU807" s="52"/>
      <c r="AV807" s="52"/>
      <c r="AW807" s="58"/>
      <c r="AX807" s="33">
        <f t="shared" si="717"/>
        <v>0</v>
      </c>
      <c r="AY807" s="31">
        <f t="shared" si="718"/>
        <v>0</v>
      </c>
      <c r="AZ807" s="30">
        <f t="shared" si="719"/>
        <v>0</v>
      </c>
      <c r="BA807" s="34"/>
      <c r="BB807" s="34"/>
      <c r="BC807" s="34"/>
      <c r="BD807" s="76"/>
      <c r="BE807" s="34"/>
      <c r="BF807" s="34"/>
      <c r="BG807" s="34"/>
      <c r="BH807" s="34"/>
    </row>
    <row r="808" spans="1:60" s="17" customFormat="1" ht="19.5" customHeight="1" thickBot="1" x14ac:dyDescent="0.4">
      <c r="A808" s="41">
        <f t="shared" ref="A808:B809" si="723">A807</f>
        <v>45441</v>
      </c>
      <c r="B808" s="37" t="str">
        <f t="shared" si="723"/>
        <v>Kol Takma</v>
      </c>
      <c r="C808" s="65">
        <f t="shared" si="715"/>
        <v>0</v>
      </c>
      <c r="D808" s="67">
        <f t="shared" si="716"/>
        <v>35</v>
      </c>
      <c r="E808" s="59"/>
      <c r="F808" s="60"/>
      <c r="G808" s="61"/>
      <c r="H808" s="62"/>
      <c r="I808" s="59"/>
      <c r="J808" s="60"/>
      <c r="K808" s="61"/>
      <c r="L808" s="62"/>
      <c r="M808" s="59"/>
      <c r="N808" s="60"/>
      <c r="O808" s="61"/>
      <c r="P808" s="62"/>
      <c r="Q808" s="64"/>
      <c r="R808" s="61"/>
      <c r="S808" s="61"/>
      <c r="T808" s="61"/>
      <c r="U808" s="62"/>
      <c r="V808" s="59"/>
      <c r="W808" s="60"/>
      <c r="X808" s="61"/>
      <c r="Y808" s="62"/>
      <c r="Z808" s="59"/>
      <c r="AA808" s="60"/>
      <c r="AB808" s="61"/>
      <c r="AC808" s="62"/>
      <c r="AD808" s="59"/>
      <c r="AE808" s="60"/>
      <c r="AF808" s="61"/>
      <c r="AG808" s="62"/>
      <c r="AH808" s="59"/>
      <c r="AI808" s="60"/>
      <c r="AJ808" s="61"/>
      <c r="AK808" s="62"/>
      <c r="AL808" s="59"/>
      <c r="AM808" s="60"/>
      <c r="AN808" s="61"/>
      <c r="AO808" s="62"/>
      <c r="AP808" s="59"/>
      <c r="AQ808" s="60"/>
      <c r="AR808" s="61"/>
      <c r="AS808" s="62"/>
      <c r="AT808" s="59"/>
      <c r="AU808" s="60"/>
      <c r="AV808" s="61"/>
      <c r="AW808" s="62"/>
      <c r="AX808" s="33">
        <f t="shared" si="717"/>
        <v>0</v>
      </c>
      <c r="AY808" s="31">
        <f t="shared" si="718"/>
        <v>0</v>
      </c>
      <c r="AZ808" s="30">
        <f t="shared" si="719"/>
        <v>0</v>
      </c>
      <c r="BA808" s="34"/>
      <c r="BB808" s="34"/>
      <c r="BC808" s="34"/>
      <c r="BD808" s="76"/>
      <c r="BE808" s="34"/>
      <c r="BF808" s="34"/>
      <c r="BG808" s="34"/>
      <c r="BH808" s="34"/>
    </row>
    <row r="809" spans="1:60" s="17" customFormat="1" ht="19.5" customHeight="1" thickBot="1" x14ac:dyDescent="0.45">
      <c r="A809" s="41">
        <f t="shared" si="723"/>
        <v>45441</v>
      </c>
      <c r="B809" s="139" t="str">
        <f>B802</f>
        <v>Kol Takma</v>
      </c>
      <c r="C809" s="140"/>
      <c r="D809" s="40">
        <f>C710/8</f>
        <v>500</v>
      </c>
      <c r="E809" s="147">
        <f>SUM(E802:H808)</f>
        <v>506</v>
      </c>
      <c r="F809" s="148"/>
      <c r="G809" s="148"/>
      <c r="H809" s="149"/>
      <c r="I809" s="147">
        <f>SUM(I802:L808)</f>
        <v>439</v>
      </c>
      <c r="J809" s="148"/>
      <c r="K809" s="148"/>
      <c r="L809" s="149"/>
      <c r="M809" s="147">
        <f>SUM(M802:P808)</f>
        <v>438</v>
      </c>
      <c r="N809" s="148"/>
      <c r="O809" s="148"/>
      <c r="P809" s="149"/>
      <c r="Q809" s="147">
        <f>SUM(Q802:U808)</f>
        <v>468</v>
      </c>
      <c r="R809" s="148"/>
      <c r="S809" s="148"/>
      <c r="T809" s="148"/>
      <c r="U809" s="149"/>
      <c r="V809" s="147">
        <f>SUM(V802:Y808)</f>
        <v>470</v>
      </c>
      <c r="W809" s="148"/>
      <c r="X809" s="148"/>
      <c r="Y809" s="149"/>
      <c r="Z809" s="147">
        <f>SUM(Z802:AC808)</f>
        <v>478</v>
      </c>
      <c r="AA809" s="148"/>
      <c r="AB809" s="148"/>
      <c r="AC809" s="149"/>
      <c r="AD809" s="147">
        <f>SUM(AD802:AG808)</f>
        <v>449</v>
      </c>
      <c r="AE809" s="148"/>
      <c r="AF809" s="148"/>
      <c r="AG809" s="149"/>
      <c r="AH809" s="147">
        <f>SUM(AH802:AK808)</f>
        <v>193</v>
      </c>
      <c r="AI809" s="148"/>
      <c r="AJ809" s="148"/>
      <c r="AK809" s="149"/>
      <c r="AL809" s="147">
        <f>SUM(AL802:AO808)</f>
        <v>140</v>
      </c>
      <c r="AM809" s="148"/>
      <c r="AN809" s="148"/>
      <c r="AO809" s="149"/>
      <c r="AP809" s="147">
        <f>SUM(AP802:AS808)</f>
        <v>0</v>
      </c>
      <c r="AQ809" s="148"/>
      <c r="AR809" s="148"/>
      <c r="AS809" s="149"/>
      <c r="AT809" s="147">
        <f>SUM(AT802:AW808)</f>
        <v>0</v>
      </c>
      <c r="AU809" s="148"/>
      <c r="AV809" s="148"/>
      <c r="AW809" s="149"/>
      <c r="AX809" s="87">
        <f>SUM(AX802:AX808)</f>
        <v>3581</v>
      </c>
      <c r="AY809" s="88">
        <f>IFERROR(AVERAGEIF(E809:AV809,"&lt;&gt;0",(E809:AV809)),)</f>
        <v>397.88888888888891</v>
      </c>
      <c r="AZ809" s="46">
        <f>IFERROR(AX809/BB803,0)</f>
        <v>0.89524999999999999</v>
      </c>
      <c r="BA809" s="34"/>
      <c r="BB809" s="34"/>
      <c r="BC809" s="34"/>
      <c r="BD809" s="76"/>
      <c r="BE809" s="34"/>
      <c r="BF809" s="34"/>
      <c r="BG809" s="34"/>
      <c r="BH809" s="34"/>
    </row>
    <row r="810" spans="1:60" s="17" customFormat="1" ht="19.5" customHeight="1" thickBot="1" x14ac:dyDescent="0.4">
      <c r="A810" s="42">
        <f>A801</f>
        <v>45441</v>
      </c>
      <c r="B810" s="38" t="str">
        <f>B811</f>
        <v>Yan Kapama</v>
      </c>
      <c r="C810" s="39" t="s">
        <v>180</v>
      </c>
      <c r="D810" s="69" t="s">
        <v>181</v>
      </c>
      <c r="E810" s="48">
        <v>0.34375</v>
      </c>
      <c r="F810" s="49">
        <v>0.35416666666666669</v>
      </c>
      <c r="G810" s="49">
        <v>0.36458333333333331</v>
      </c>
      <c r="H810" s="50">
        <v>0.375</v>
      </c>
      <c r="I810" s="48">
        <v>0.38541666666666702</v>
      </c>
      <c r="J810" s="49">
        <v>0.39583333333333298</v>
      </c>
      <c r="K810" s="49">
        <v>0.40625</v>
      </c>
      <c r="L810" s="50">
        <v>0.41666666666666702</v>
      </c>
      <c r="M810" s="48">
        <v>0.4375</v>
      </c>
      <c r="N810" s="49">
        <v>0.44791666666666702</v>
      </c>
      <c r="O810" s="49">
        <v>0.45833333333333398</v>
      </c>
      <c r="P810" s="50">
        <v>0.46875</v>
      </c>
      <c r="Q810" s="82">
        <v>0.47916666666666702</v>
      </c>
      <c r="R810" s="83">
        <v>0.48958333333333398</v>
      </c>
      <c r="S810" s="83">
        <v>0.5</v>
      </c>
      <c r="T810" s="84">
        <v>0.51041666666666696</v>
      </c>
      <c r="U810" s="85">
        <v>0.52083333333333204</v>
      </c>
      <c r="V810" s="48">
        <v>0.5625</v>
      </c>
      <c r="W810" s="49">
        <v>0.57291666666666663</v>
      </c>
      <c r="X810" s="49">
        <v>0.58333333333333304</v>
      </c>
      <c r="Y810" s="50">
        <v>0.59375</v>
      </c>
      <c r="Z810" s="48">
        <v>0.60416666666666696</v>
      </c>
      <c r="AA810" s="49">
        <v>0.61458333333333304</v>
      </c>
      <c r="AB810" s="49">
        <v>0.625</v>
      </c>
      <c r="AC810" s="50">
        <v>0.63541666666666596</v>
      </c>
      <c r="AD810" s="48">
        <v>0.65625</v>
      </c>
      <c r="AE810" s="49">
        <v>0.66666666666666663</v>
      </c>
      <c r="AF810" s="49">
        <v>0.67708333333333304</v>
      </c>
      <c r="AG810" s="50">
        <v>0.6875</v>
      </c>
      <c r="AH810" s="48">
        <v>0.69791666666666696</v>
      </c>
      <c r="AI810" s="49">
        <v>0.70833333333333304</v>
      </c>
      <c r="AJ810" s="49">
        <v>0.71875</v>
      </c>
      <c r="AK810" s="50">
        <v>0.72916666666666696</v>
      </c>
      <c r="AL810" s="48">
        <v>0.73958333333333404</v>
      </c>
      <c r="AM810" s="49">
        <v>0.750000000000001</v>
      </c>
      <c r="AN810" s="49">
        <v>0.76041666666666796</v>
      </c>
      <c r="AO810" s="50">
        <v>0.77083333333333504</v>
      </c>
      <c r="AP810" s="48">
        <v>0.781250000000002</v>
      </c>
      <c r="AQ810" s="49">
        <v>0.79166666666666896</v>
      </c>
      <c r="AR810" s="49">
        <v>0.80208333333333603</v>
      </c>
      <c r="AS810" s="50">
        <v>0.812500000000003</v>
      </c>
      <c r="AT810" s="48">
        <v>0.82291666666666996</v>
      </c>
      <c r="AU810" s="49">
        <v>0.83333333333333703</v>
      </c>
      <c r="AV810" s="49">
        <v>0.843750000000004</v>
      </c>
      <c r="AW810" s="50">
        <v>0.85416666666666663</v>
      </c>
      <c r="AX810" s="68" t="s">
        <v>260</v>
      </c>
      <c r="AY810" s="28" t="s">
        <v>261</v>
      </c>
      <c r="AZ810" s="29" t="s">
        <v>262</v>
      </c>
      <c r="BA810" s="136" t="str">
        <f>B811</f>
        <v>Yan Kapama</v>
      </c>
      <c r="BB810" s="137"/>
      <c r="BC810" s="137"/>
      <c r="BD810" s="137"/>
      <c r="BE810" s="137"/>
      <c r="BF810" s="137"/>
      <c r="BG810" s="137"/>
      <c r="BH810" s="138"/>
    </row>
    <row r="811" spans="1:60" s="17" customFormat="1" ht="19.5" customHeight="1" thickBot="1" x14ac:dyDescent="0.4">
      <c r="A811" s="41">
        <f t="shared" ref="A811" si="724">A810</f>
        <v>45441</v>
      </c>
      <c r="B811" s="37" t="str">
        <f>B635</f>
        <v>Yan Kapama</v>
      </c>
      <c r="C811" s="65" t="str">
        <f>C635</f>
        <v>HAVA SUBAŞI</v>
      </c>
      <c r="D811" s="70">
        <f>D635</f>
        <v>40</v>
      </c>
      <c r="E811" s="63">
        <v>40</v>
      </c>
      <c r="F811" s="55">
        <v>32</v>
      </c>
      <c r="G811" s="55">
        <v>40</v>
      </c>
      <c r="H811" s="56">
        <v>35</v>
      </c>
      <c r="I811" s="63">
        <v>33</v>
      </c>
      <c r="J811" s="55">
        <v>28</v>
      </c>
      <c r="K811" s="55">
        <v>35</v>
      </c>
      <c r="L811" s="56">
        <v>32</v>
      </c>
      <c r="M811" s="63">
        <v>27</v>
      </c>
      <c r="N811" s="55">
        <v>32</v>
      </c>
      <c r="O811" s="55">
        <v>25</v>
      </c>
      <c r="P811" s="56">
        <v>25</v>
      </c>
      <c r="Q811" s="63">
        <v>30</v>
      </c>
      <c r="R811" s="55">
        <v>30</v>
      </c>
      <c r="S811" s="55">
        <v>30</v>
      </c>
      <c r="T811" s="55">
        <v>30</v>
      </c>
      <c r="U811" s="56">
        <v>32</v>
      </c>
      <c r="V811" s="63">
        <v>30</v>
      </c>
      <c r="W811" s="55">
        <v>25</v>
      </c>
      <c r="X811" s="55">
        <v>34</v>
      </c>
      <c r="Y811" s="56">
        <v>28</v>
      </c>
      <c r="Z811" s="63">
        <v>30</v>
      </c>
      <c r="AA811" s="55">
        <v>25</v>
      </c>
      <c r="AB811" s="55">
        <v>30</v>
      </c>
      <c r="AC811" s="56">
        <v>32</v>
      </c>
      <c r="AD811" s="63">
        <v>13</v>
      </c>
      <c r="AE811" s="55"/>
      <c r="AF811" s="55"/>
      <c r="AG811" s="56"/>
      <c r="AH811" s="63"/>
      <c r="AI811" s="55"/>
      <c r="AJ811" s="55"/>
      <c r="AK811" s="56"/>
      <c r="AL811" s="53"/>
      <c r="AM811" s="54"/>
      <c r="AN811" s="55">
        <v>0</v>
      </c>
      <c r="AO811" s="56"/>
      <c r="AP811" s="53"/>
      <c r="AQ811" s="54"/>
      <c r="AR811" s="55"/>
      <c r="AS811" s="56"/>
      <c r="AT811" s="53"/>
      <c r="AU811" s="54"/>
      <c r="AV811" s="55"/>
      <c r="AW811" s="56"/>
      <c r="AX811" s="33">
        <f>SUM(E811:AW811)</f>
        <v>783</v>
      </c>
      <c r="AY811" s="31">
        <f>IFERROR(AVERAGEIF(E811:AW811,"&lt;&gt;0",(E811:AW811)),)</f>
        <v>30.115384615384617</v>
      </c>
      <c r="AZ811" s="30">
        <f>IFERROR(AY811/D811,0)</f>
        <v>0.75288461538461537</v>
      </c>
      <c r="BA811" s="103" t="s">
        <v>182</v>
      </c>
      <c r="BB811" s="100" t="s">
        <v>183</v>
      </c>
      <c r="BC811" s="100" t="s">
        <v>184</v>
      </c>
      <c r="BD811" s="101" t="s">
        <v>185</v>
      </c>
      <c r="BE811" s="100" t="s">
        <v>186</v>
      </c>
      <c r="BF811" s="102" t="s">
        <v>187</v>
      </c>
      <c r="BG811" s="100" t="s">
        <v>188</v>
      </c>
      <c r="BH811" s="102" t="s">
        <v>189</v>
      </c>
    </row>
    <row r="812" spans="1:60" s="17" customFormat="1" ht="19.5" customHeight="1" thickBot="1" x14ac:dyDescent="0.4">
      <c r="A812" s="41">
        <f t="shared" ref="A812:B812" si="725">A811</f>
        <v>45441</v>
      </c>
      <c r="B812" s="37" t="str">
        <f t="shared" si="725"/>
        <v>Yan Kapama</v>
      </c>
      <c r="C812" s="65" t="str">
        <f t="shared" ref="C812:C817" si="726">C636</f>
        <v>EMİNE GAPAYLAR</v>
      </c>
      <c r="D812" s="67">
        <f t="shared" ref="D812:D817" si="727">D811</f>
        <v>40</v>
      </c>
      <c r="E812" s="57">
        <v>30</v>
      </c>
      <c r="F812" s="52">
        <v>30</v>
      </c>
      <c r="G812" s="52">
        <v>27</v>
      </c>
      <c r="H812" s="58">
        <v>30</v>
      </c>
      <c r="I812" s="57">
        <v>28</v>
      </c>
      <c r="J812" s="52">
        <v>20</v>
      </c>
      <c r="K812" s="52">
        <v>30</v>
      </c>
      <c r="L812" s="58">
        <v>27</v>
      </c>
      <c r="M812" s="57">
        <v>30</v>
      </c>
      <c r="N812" s="52">
        <v>30</v>
      </c>
      <c r="O812" s="52">
        <v>25</v>
      </c>
      <c r="P812" s="58">
        <v>20</v>
      </c>
      <c r="Q812" s="57">
        <v>21</v>
      </c>
      <c r="R812" s="52">
        <v>23</v>
      </c>
      <c r="S812" s="52">
        <v>25</v>
      </c>
      <c r="T812" s="52">
        <v>25</v>
      </c>
      <c r="U812" s="58">
        <v>27</v>
      </c>
      <c r="V812" s="57">
        <v>28</v>
      </c>
      <c r="W812" s="52">
        <v>25</v>
      </c>
      <c r="X812" s="52">
        <v>28</v>
      </c>
      <c r="Y812" s="58">
        <v>12</v>
      </c>
      <c r="Z812" s="57">
        <v>26</v>
      </c>
      <c r="AA812" s="52">
        <v>20</v>
      </c>
      <c r="AB812" s="52">
        <v>20</v>
      </c>
      <c r="AC812" s="58">
        <v>25</v>
      </c>
      <c r="AD812" s="57">
        <v>28</v>
      </c>
      <c r="AE812" s="52">
        <v>30</v>
      </c>
      <c r="AF812" s="52">
        <v>30</v>
      </c>
      <c r="AG812" s="58">
        <v>28</v>
      </c>
      <c r="AH812" s="57">
        <v>32</v>
      </c>
      <c r="AI812" s="52">
        <v>21</v>
      </c>
      <c r="AJ812" s="52">
        <v>30</v>
      </c>
      <c r="AK812" s="58">
        <v>27</v>
      </c>
      <c r="AL812" s="57">
        <v>25</v>
      </c>
      <c r="AM812" s="52">
        <v>25</v>
      </c>
      <c r="AN812" s="52">
        <v>25</v>
      </c>
      <c r="AO812" s="58"/>
      <c r="AP812" s="57"/>
      <c r="AQ812" s="52"/>
      <c r="AR812" s="52"/>
      <c r="AS812" s="58"/>
      <c r="AT812" s="57"/>
      <c r="AU812" s="52"/>
      <c r="AV812" s="52"/>
      <c r="AW812" s="58"/>
      <c r="AX812" s="33">
        <f t="shared" ref="AX812:AX817" si="728">SUM(E812:AW812)</f>
        <v>933</v>
      </c>
      <c r="AY812" s="31">
        <f t="shared" ref="AY812:AY817" si="729">IFERROR(AVERAGEIF(E812:AW812,"&lt;&gt;0",(E812:AW812)),)</f>
        <v>25.916666666666668</v>
      </c>
      <c r="AZ812" s="30">
        <f t="shared" ref="AZ812:AZ817" si="730">IFERROR(AY812/D812,0)</f>
        <v>0.6479166666666667</v>
      </c>
      <c r="BA812" s="94">
        <f>AX818+BA636</f>
        <v>6920</v>
      </c>
      <c r="BB812" s="95">
        <f>(D818*8)</f>
        <v>4000</v>
      </c>
      <c r="BC812" s="96">
        <f>C709-BA812</f>
        <v>35391</v>
      </c>
      <c r="BD812" s="96">
        <f>BA803-BA812</f>
        <v>-298</v>
      </c>
      <c r="BE812" s="97">
        <f>IFERROR(BC812/E818,0)</f>
        <v>58.11330049261084</v>
      </c>
      <c r="BF812" s="98">
        <f>IFERROR(BE812/9,0)</f>
        <v>6.4570333880678712</v>
      </c>
      <c r="BG812" s="97">
        <f>IFERROR(BC812/AY818,0)</f>
        <v>73.850915835845115</v>
      </c>
      <c r="BH812" s="97">
        <f>IFERROR(BG812/9,0)</f>
        <v>8.2056573150939016</v>
      </c>
    </row>
    <row r="813" spans="1:60" s="17" customFormat="1" ht="19.5" customHeight="1" x14ac:dyDescent="0.35">
      <c r="A813" s="41">
        <f t="shared" ref="A813:B813" si="731">A812</f>
        <v>45441</v>
      </c>
      <c r="B813" s="37" t="str">
        <f t="shared" si="731"/>
        <v>Yan Kapama</v>
      </c>
      <c r="C813" s="65" t="str">
        <f t="shared" si="726"/>
        <v>HÜLYA KAYA</v>
      </c>
      <c r="D813" s="67">
        <f t="shared" si="727"/>
        <v>40</v>
      </c>
      <c r="E813" s="57">
        <v>30</v>
      </c>
      <c r="F813" s="52">
        <v>30</v>
      </c>
      <c r="G813" s="52">
        <v>30</v>
      </c>
      <c r="H813" s="58">
        <v>30</v>
      </c>
      <c r="I813" s="57">
        <v>30</v>
      </c>
      <c r="J813" s="52">
        <v>25</v>
      </c>
      <c r="K813" s="52">
        <v>30</v>
      </c>
      <c r="L813" s="58">
        <v>30</v>
      </c>
      <c r="M813" s="57">
        <v>30</v>
      </c>
      <c r="N813" s="52">
        <v>30</v>
      </c>
      <c r="O813" s="52">
        <v>30</v>
      </c>
      <c r="P813" s="58">
        <v>25</v>
      </c>
      <c r="Q813" s="57">
        <v>35</v>
      </c>
      <c r="R813" s="52">
        <v>35</v>
      </c>
      <c r="S813" s="52">
        <v>26</v>
      </c>
      <c r="T813" s="52">
        <v>30</v>
      </c>
      <c r="U813" s="58">
        <v>30</v>
      </c>
      <c r="V813" s="57">
        <v>30</v>
      </c>
      <c r="W813" s="52">
        <v>30</v>
      </c>
      <c r="X813" s="52">
        <v>28</v>
      </c>
      <c r="Y813" s="58">
        <v>30</v>
      </c>
      <c r="Z813" s="57">
        <v>32</v>
      </c>
      <c r="AA813" s="52">
        <v>30</v>
      </c>
      <c r="AB813" s="52">
        <v>33</v>
      </c>
      <c r="AC813" s="58">
        <v>32</v>
      </c>
      <c r="AD813" s="57">
        <v>30</v>
      </c>
      <c r="AE813" s="52">
        <v>34</v>
      </c>
      <c r="AF813" s="52">
        <v>32</v>
      </c>
      <c r="AG813" s="58">
        <v>40</v>
      </c>
      <c r="AH813" s="57">
        <v>30</v>
      </c>
      <c r="AI813" s="52">
        <v>40</v>
      </c>
      <c r="AJ813" s="52">
        <v>38</v>
      </c>
      <c r="AK813" s="58">
        <v>30</v>
      </c>
      <c r="AL813" s="57">
        <v>35</v>
      </c>
      <c r="AM813" s="52">
        <v>40</v>
      </c>
      <c r="AN813" s="52">
        <v>30</v>
      </c>
      <c r="AO813" s="58"/>
      <c r="AP813" s="57"/>
      <c r="AQ813" s="52"/>
      <c r="AR813" s="52"/>
      <c r="AS813" s="58"/>
      <c r="AT813" s="57"/>
      <c r="AU813" s="52"/>
      <c r="AV813" s="52"/>
      <c r="AW813" s="58"/>
      <c r="AX813" s="33">
        <f t="shared" si="728"/>
        <v>1130</v>
      </c>
      <c r="AY813" s="31">
        <f t="shared" si="729"/>
        <v>31.388888888888889</v>
      </c>
      <c r="AZ813" s="30">
        <f t="shared" si="730"/>
        <v>0.78472222222222221</v>
      </c>
      <c r="BA813" s="34"/>
      <c r="BB813" s="34"/>
      <c r="BC813" s="34"/>
      <c r="BD813" s="76"/>
      <c r="BE813" s="34"/>
      <c r="BF813" s="34"/>
      <c r="BG813" s="34"/>
      <c r="BH813" s="34"/>
    </row>
    <row r="814" spans="1:60" s="17" customFormat="1" ht="19.5" customHeight="1" x14ac:dyDescent="0.35">
      <c r="A814" s="41">
        <f t="shared" ref="A814:B817" si="732">A813</f>
        <v>45441</v>
      </c>
      <c r="B814" s="37" t="str">
        <f t="shared" si="732"/>
        <v>Yan Kapama</v>
      </c>
      <c r="C814" s="65" t="str">
        <f t="shared" si="726"/>
        <v>SONGÜL BARLAS</v>
      </c>
      <c r="D814" s="67">
        <f t="shared" si="727"/>
        <v>40</v>
      </c>
      <c r="E814" s="57">
        <v>35</v>
      </c>
      <c r="F814" s="52">
        <v>40</v>
      </c>
      <c r="G814" s="52">
        <v>35</v>
      </c>
      <c r="H814" s="58">
        <v>40</v>
      </c>
      <c r="I814" s="57">
        <v>30</v>
      </c>
      <c r="J814" s="52">
        <v>40</v>
      </c>
      <c r="K814" s="52">
        <v>40</v>
      </c>
      <c r="L814" s="58">
        <v>35</v>
      </c>
      <c r="M814" s="57">
        <v>40</v>
      </c>
      <c r="N814" s="52">
        <v>40</v>
      </c>
      <c r="O814" s="52">
        <v>26</v>
      </c>
      <c r="P814" s="58">
        <v>30</v>
      </c>
      <c r="Q814" s="57">
        <v>25</v>
      </c>
      <c r="R814" s="52">
        <v>35</v>
      </c>
      <c r="S814" s="52">
        <v>36</v>
      </c>
      <c r="T814" s="52">
        <v>36</v>
      </c>
      <c r="U814" s="58">
        <v>35</v>
      </c>
      <c r="V814" s="57">
        <v>40</v>
      </c>
      <c r="W814" s="52">
        <v>0</v>
      </c>
      <c r="X814" s="52">
        <v>40</v>
      </c>
      <c r="Y814" s="58">
        <v>28</v>
      </c>
      <c r="Z814" s="57">
        <v>35</v>
      </c>
      <c r="AA814" s="52">
        <v>13</v>
      </c>
      <c r="AB814" s="52">
        <v>30</v>
      </c>
      <c r="AC814" s="58">
        <v>32</v>
      </c>
      <c r="AD814" s="57">
        <v>38</v>
      </c>
      <c r="AE814" s="52">
        <v>35</v>
      </c>
      <c r="AF814" s="52">
        <v>37</v>
      </c>
      <c r="AG814" s="58">
        <v>40</v>
      </c>
      <c r="AH814" s="57">
        <v>28</v>
      </c>
      <c r="AI814" s="52">
        <v>40</v>
      </c>
      <c r="AJ814" s="52">
        <v>40</v>
      </c>
      <c r="AK814" s="58">
        <v>20</v>
      </c>
      <c r="AL814" s="57">
        <v>30</v>
      </c>
      <c r="AM814" s="52">
        <v>15</v>
      </c>
      <c r="AN814" s="52">
        <v>20</v>
      </c>
      <c r="AO814" s="58"/>
      <c r="AP814" s="57"/>
      <c r="AQ814" s="52"/>
      <c r="AR814" s="52"/>
      <c r="AS814" s="58"/>
      <c r="AT814" s="57"/>
      <c r="AU814" s="52"/>
      <c r="AV814" s="52"/>
      <c r="AW814" s="58"/>
      <c r="AX814" s="33">
        <f t="shared" si="728"/>
        <v>1159</v>
      </c>
      <c r="AY814" s="31">
        <f t="shared" si="729"/>
        <v>33.114285714285714</v>
      </c>
      <c r="AZ814" s="30">
        <f t="shared" si="730"/>
        <v>0.82785714285714285</v>
      </c>
      <c r="BA814" s="34"/>
      <c r="BB814" s="34"/>
      <c r="BC814" s="34"/>
      <c r="BD814" s="76"/>
      <c r="BE814" s="34"/>
      <c r="BF814" s="34"/>
      <c r="BG814" s="34"/>
      <c r="BH814" s="34"/>
    </row>
    <row r="815" spans="1:60" s="17" customFormat="1" ht="19.5" customHeight="1" x14ac:dyDescent="0.35">
      <c r="A815" s="41">
        <f>A812</f>
        <v>45441</v>
      </c>
      <c r="B815" s="37" t="str">
        <f t="shared" si="732"/>
        <v>Yan Kapama</v>
      </c>
      <c r="C815" s="65" t="str">
        <f t="shared" si="726"/>
        <v>EMİNE BAYRAM</v>
      </c>
      <c r="D815" s="67">
        <f t="shared" si="727"/>
        <v>40</v>
      </c>
      <c r="E815" s="57">
        <v>20</v>
      </c>
      <c r="F815" s="52">
        <v>20</v>
      </c>
      <c r="G815" s="52">
        <v>20</v>
      </c>
      <c r="H815" s="58">
        <v>15</v>
      </c>
      <c r="I815" s="57">
        <v>20</v>
      </c>
      <c r="J815" s="52">
        <v>10</v>
      </c>
      <c r="K815" s="52">
        <v>16</v>
      </c>
      <c r="L815" s="58">
        <v>20</v>
      </c>
      <c r="M815" s="57">
        <v>20</v>
      </c>
      <c r="N815" s="52">
        <v>21</v>
      </c>
      <c r="O815" s="52">
        <v>15</v>
      </c>
      <c r="P815" s="58">
        <v>20</v>
      </c>
      <c r="Q815" s="57">
        <v>15</v>
      </c>
      <c r="R815" s="52">
        <v>20</v>
      </c>
      <c r="S815" s="52">
        <v>21</v>
      </c>
      <c r="T815" s="52">
        <v>20</v>
      </c>
      <c r="U815" s="58">
        <v>15</v>
      </c>
      <c r="V815" s="57"/>
      <c r="W815" s="52"/>
      <c r="X815" s="52"/>
      <c r="Y815" s="58"/>
      <c r="Z815" s="57"/>
      <c r="AA815" s="52"/>
      <c r="AB815" s="52"/>
      <c r="AC815" s="58">
        <v>0</v>
      </c>
      <c r="AD815" s="57"/>
      <c r="AE815" s="52"/>
      <c r="AF815" s="52"/>
      <c r="AG815" s="58"/>
      <c r="AH815" s="57"/>
      <c r="AI815" s="52"/>
      <c r="AJ815" s="52"/>
      <c r="AK815" s="58"/>
      <c r="AL815" s="57"/>
      <c r="AM815" s="52"/>
      <c r="AN815" s="52"/>
      <c r="AO815" s="58"/>
      <c r="AP815" s="57"/>
      <c r="AQ815" s="52"/>
      <c r="AR815" s="52"/>
      <c r="AS815" s="58"/>
      <c r="AT815" s="57"/>
      <c r="AU815" s="52"/>
      <c r="AV815" s="52"/>
      <c r="AW815" s="58"/>
      <c r="AX815" s="33">
        <f t="shared" si="728"/>
        <v>308</v>
      </c>
      <c r="AY815" s="31">
        <f t="shared" si="729"/>
        <v>18.117647058823529</v>
      </c>
      <c r="AZ815" s="30">
        <f t="shared" si="730"/>
        <v>0.45294117647058824</v>
      </c>
      <c r="BA815" s="34"/>
      <c r="BB815" s="34"/>
      <c r="BC815" s="34"/>
      <c r="BD815" s="76"/>
      <c r="BE815" s="34"/>
      <c r="BF815" s="34"/>
      <c r="BG815" s="34"/>
      <c r="BH815" s="34"/>
    </row>
    <row r="816" spans="1:60" s="17" customFormat="1" ht="19.5" customHeight="1" x14ac:dyDescent="0.35">
      <c r="A816" s="41">
        <f>A815</f>
        <v>45441</v>
      </c>
      <c r="B816" s="37" t="str">
        <f t="shared" si="732"/>
        <v>Yan Kapama</v>
      </c>
      <c r="C816" s="65">
        <f t="shared" si="726"/>
        <v>0</v>
      </c>
      <c r="D816" s="67">
        <f t="shared" si="727"/>
        <v>40</v>
      </c>
      <c r="E816" s="57"/>
      <c r="F816" s="52"/>
      <c r="G816" s="52"/>
      <c r="H816" s="58"/>
      <c r="I816" s="57"/>
      <c r="J816" s="52"/>
      <c r="K816" s="52"/>
      <c r="L816" s="58"/>
      <c r="M816" s="57"/>
      <c r="N816" s="52"/>
      <c r="O816" s="52"/>
      <c r="P816" s="78"/>
      <c r="Q816" s="57"/>
      <c r="R816" s="52"/>
      <c r="S816" s="52"/>
      <c r="T816" s="52"/>
      <c r="U816" s="58"/>
      <c r="V816" s="80"/>
      <c r="W816" s="52"/>
      <c r="X816" s="52"/>
      <c r="Y816" s="58"/>
      <c r="Z816" s="57"/>
      <c r="AA816" s="52"/>
      <c r="AB816" s="52"/>
      <c r="AC816" s="58"/>
      <c r="AD816" s="57"/>
      <c r="AE816" s="52"/>
      <c r="AF816" s="52"/>
      <c r="AG816" s="58"/>
      <c r="AH816" s="57"/>
      <c r="AI816" s="52"/>
      <c r="AJ816" s="52"/>
      <c r="AK816" s="58"/>
      <c r="AL816" s="57"/>
      <c r="AM816" s="52"/>
      <c r="AN816" s="52"/>
      <c r="AO816" s="58"/>
      <c r="AP816" s="57"/>
      <c r="AQ816" s="52"/>
      <c r="AR816" s="52"/>
      <c r="AS816" s="58"/>
      <c r="AT816" s="57"/>
      <c r="AU816" s="52"/>
      <c r="AV816" s="52"/>
      <c r="AW816" s="58"/>
      <c r="AX816" s="33">
        <f t="shared" si="728"/>
        <v>0</v>
      </c>
      <c r="AY816" s="31">
        <f t="shared" si="729"/>
        <v>0</v>
      </c>
      <c r="AZ816" s="30">
        <f t="shared" si="730"/>
        <v>0</v>
      </c>
      <c r="BA816" s="34"/>
      <c r="BB816" s="34"/>
      <c r="BC816" s="34"/>
      <c r="BD816" s="76"/>
      <c r="BE816" s="34"/>
      <c r="BF816" s="34"/>
      <c r="BG816" s="34"/>
      <c r="BH816" s="34"/>
    </row>
    <row r="817" spans="1:60" s="17" customFormat="1" ht="19.5" customHeight="1" thickBot="1" x14ac:dyDescent="0.4">
      <c r="A817" s="41">
        <f>A816</f>
        <v>45441</v>
      </c>
      <c r="B817" s="37" t="str">
        <f t="shared" si="732"/>
        <v>Yan Kapama</v>
      </c>
      <c r="C817" s="65">
        <f t="shared" si="726"/>
        <v>0</v>
      </c>
      <c r="D817" s="67">
        <f t="shared" si="727"/>
        <v>40</v>
      </c>
      <c r="E817" s="59"/>
      <c r="F817" s="60"/>
      <c r="G817" s="61"/>
      <c r="H817" s="62"/>
      <c r="I817" s="59"/>
      <c r="J817" s="60"/>
      <c r="K817" s="61"/>
      <c r="L817" s="62"/>
      <c r="M817" s="59"/>
      <c r="N817" s="60"/>
      <c r="O817" s="61"/>
      <c r="P817" s="79"/>
      <c r="Q817" s="64"/>
      <c r="R817" s="61"/>
      <c r="S817" s="61"/>
      <c r="T817" s="61"/>
      <c r="U817" s="62"/>
      <c r="V817" s="81"/>
      <c r="W817" s="60"/>
      <c r="X817" s="61"/>
      <c r="Y817" s="62"/>
      <c r="Z817" s="59"/>
      <c r="AA817" s="60"/>
      <c r="AB817" s="61"/>
      <c r="AC817" s="62"/>
      <c r="AD817" s="59"/>
      <c r="AE817" s="60"/>
      <c r="AF817" s="61"/>
      <c r="AG817" s="62"/>
      <c r="AH817" s="59"/>
      <c r="AI817" s="60"/>
      <c r="AJ817" s="61"/>
      <c r="AK817" s="62"/>
      <c r="AL817" s="59"/>
      <c r="AM817" s="60"/>
      <c r="AN817" s="61"/>
      <c r="AO817" s="62"/>
      <c r="AP817" s="59"/>
      <c r="AQ817" s="60"/>
      <c r="AR817" s="61"/>
      <c r="AS817" s="62"/>
      <c r="AT817" s="59"/>
      <c r="AU817" s="60"/>
      <c r="AV817" s="61"/>
      <c r="AW817" s="62"/>
      <c r="AX817" s="33">
        <f t="shared" si="728"/>
        <v>0</v>
      </c>
      <c r="AY817" s="31">
        <f t="shared" si="729"/>
        <v>0</v>
      </c>
      <c r="AZ817" s="30">
        <f t="shared" si="730"/>
        <v>0</v>
      </c>
      <c r="BA817" s="34"/>
      <c r="BB817" s="34"/>
      <c r="BC817" s="34"/>
      <c r="BD817" s="76"/>
      <c r="BE817" s="34"/>
      <c r="BF817" s="34"/>
      <c r="BG817" s="34"/>
      <c r="BH817" s="34"/>
    </row>
    <row r="818" spans="1:60" s="17" customFormat="1" ht="19.5" customHeight="1" thickBot="1" x14ac:dyDescent="0.45">
      <c r="A818" s="41">
        <f>A817</f>
        <v>45441</v>
      </c>
      <c r="B818" s="139" t="str">
        <f>B811</f>
        <v>Yan Kapama</v>
      </c>
      <c r="C818" s="140"/>
      <c r="D818" s="40">
        <f>C710/8</f>
        <v>500</v>
      </c>
      <c r="E818" s="147">
        <f>SUM(E811:H817)</f>
        <v>609</v>
      </c>
      <c r="F818" s="148"/>
      <c r="G818" s="148"/>
      <c r="H818" s="149"/>
      <c r="I818" s="147">
        <f>SUM(I811:L817)</f>
        <v>559</v>
      </c>
      <c r="J818" s="148"/>
      <c r="K818" s="148"/>
      <c r="L818" s="149"/>
      <c r="M818" s="147">
        <f>SUM(M811:P817)</f>
        <v>541</v>
      </c>
      <c r="N818" s="148"/>
      <c r="O818" s="148"/>
      <c r="P818" s="149"/>
      <c r="Q818" s="151">
        <f>SUM(Q811:U817)</f>
        <v>687</v>
      </c>
      <c r="R818" s="152"/>
      <c r="S818" s="152"/>
      <c r="T818" s="152"/>
      <c r="U818" s="153"/>
      <c r="V818" s="147">
        <f>SUM(V811:Y817)</f>
        <v>436</v>
      </c>
      <c r="W818" s="148"/>
      <c r="X818" s="148"/>
      <c r="Y818" s="149"/>
      <c r="Z818" s="147">
        <f>SUM(Z811:AC817)</f>
        <v>445</v>
      </c>
      <c r="AA818" s="148"/>
      <c r="AB818" s="148"/>
      <c r="AC818" s="149"/>
      <c r="AD818" s="147">
        <f>SUM(AD811:AG817)</f>
        <v>415</v>
      </c>
      <c r="AE818" s="148"/>
      <c r="AF818" s="148"/>
      <c r="AG818" s="149"/>
      <c r="AH818" s="147">
        <f>SUM(AH811:AK817)</f>
        <v>376</v>
      </c>
      <c r="AI818" s="148"/>
      <c r="AJ818" s="148"/>
      <c r="AK818" s="149"/>
      <c r="AL818" s="147">
        <f>SUM(AL811:AO817)</f>
        <v>245</v>
      </c>
      <c r="AM818" s="148"/>
      <c r="AN818" s="148"/>
      <c r="AO818" s="149"/>
      <c r="AP818" s="147">
        <f>SUM(AP811:AS817)</f>
        <v>0</v>
      </c>
      <c r="AQ818" s="148"/>
      <c r="AR818" s="148"/>
      <c r="AS818" s="149"/>
      <c r="AT818" s="147">
        <f>SUM(AT811:AW817)</f>
        <v>0</v>
      </c>
      <c r="AU818" s="148"/>
      <c r="AV818" s="148"/>
      <c r="AW818" s="149"/>
      <c r="AX818" s="87">
        <f>SUM(AX811:AX817)</f>
        <v>4313</v>
      </c>
      <c r="AY818" s="88">
        <f>IFERROR(AVERAGEIF(E818:AV818,"&lt;&gt;0",(E818:AV818)),)</f>
        <v>479.22222222222223</v>
      </c>
      <c r="AZ818" s="46">
        <f>IFERROR(AX818/BB812,0)</f>
        <v>1.0782499999999999</v>
      </c>
      <c r="BA818" s="34"/>
      <c r="BB818" s="34"/>
      <c r="BC818" s="34"/>
      <c r="BD818" s="76"/>
      <c r="BE818" s="34"/>
      <c r="BF818" s="34"/>
      <c r="BG818" s="34"/>
      <c r="BH818" s="34"/>
    </row>
    <row r="819" spans="1:60" s="17" customFormat="1" ht="19.5" customHeight="1" thickBot="1" x14ac:dyDescent="0.4">
      <c r="A819" s="42">
        <f>A810</f>
        <v>45441</v>
      </c>
      <c r="B819" s="38" t="str">
        <f>B820</f>
        <v>Yıkama Takma</v>
      </c>
      <c r="C819" s="39" t="s">
        <v>180</v>
      </c>
      <c r="D819" s="69" t="s">
        <v>181</v>
      </c>
      <c r="E819" s="48">
        <v>0.34375</v>
      </c>
      <c r="F819" s="49">
        <v>0.35416666666666669</v>
      </c>
      <c r="G819" s="49">
        <v>0.36458333333333331</v>
      </c>
      <c r="H819" s="50">
        <v>0.375</v>
      </c>
      <c r="I819" s="48">
        <v>0.38541666666666702</v>
      </c>
      <c r="J819" s="49">
        <v>0.39583333333333298</v>
      </c>
      <c r="K819" s="49">
        <v>0.40625</v>
      </c>
      <c r="L819" s="50">
        <v>0.41666666666666702</v>
      </c>
      <c r="M819" s="48">
        <v>0.4375</v>
      </c>
      <c r="N819" s="49">
        <v>0.44791666666666702</v>
      </c>
      <c r="O819" s="49">
        <v>0.45833333333333398</v>
      </c>
      <c r="P819" s="50">
        <v>0.46875</v>
      </c>
      <c r="Q819" s="48">
        <v>0.47916666666666702</v>
      </c>
      <c r="R819" s="49">
        <v>0.48958333333333398</v>
      </c>
      <c r="S819" s="49">
        <v>0.5</v>
      </c>
      <c r="T819" s="50">
        <v>0.51041666666666696</v>
      </c>
      <c r="U819" s="51">
        <v>0.52083333333333204</v>
      </c>
      <c r="V819" s="48">
        <v>0.5625</v>
      </c>
      <c r="W819" s="49">
        <v>0.57291666666666663</v>
      </c>
      <c r="X819" s="49">
        <v>0.58333333333333304</v>
      </c>
      <c r="Y819" s="50">
        <v>0.59375</v>
      </c>
      <c r="Z819" s="48">
        <v>0.60416666666666696</v>
      </c>
      <c r="AA819" s="49">
        <v>0.61458333333333304</v>
      </c>
      <c r="AB819" s="49">
        <v>0.625</v>
      </c>
      <c r="AC819" s="50">
        <v>0.63541666666666596</v>
      </c>
      <c r="AD819" s="48">
        <v>0.65625</v>
      </c>
      <c r="AE819" s="49">
        <v>0.66666666666666663</v>
      </c>
      <c r="AF819" s="49">
        <v>0.67708333333333304</v>
      </c>
      <c r="AG819" s="50">
        <v>0.6875</v>
      </c>
      <c r="AH819" s="48">
        <v>0.69791666666666696</v>
      </c>
      <c r="AI819" s="49">
        <v>0.70833333333333304</v>
      </c>
      <c r="AJ819" s="49">
        <v>0.71875</v>
      </c>
      <c r="AK819" s="50">
        <v>0.72916666666666696</v>
      </c>
      <c r="AL819" s="48">
        <v>0.73958333333333404</v>
      </c>
      <c r="AM819" s="49">
        <v>0.750000000000001</v>
      </c>
      <c r="AN819" s="49">
        <v>0.76041666666666796</v>
      </c>
      <c r="AO819" s="50">
        <v>0.77083333333333504</v>
      </c>
      <c r="AP819" s="48">
        <v>0.781250000000002</v>
      </c>
      <c r="AQ819" s="49">
        <v>0.79166666666666896</v>
      </c>
      <c r="AR819" s="49">
        <v>0.80208333333333603</v>
      </c>
      <c r="AS819" s="50">
        <v>0.812500000000003</v>
      </c>
      <c r="AT819" s="48">
        <v>0.82291666666666996</v>
      </c>
      <c r="AU819" s="49">
        <v>0.83333333333333703</v>
      </c>
      <c r="AV819" s="49">
        <v>0.843750000000004</v>
      </c>
      <c r="AW819" s="50">
        <v>0.85416666666666663</v>
      </c>
      <c r="AX819" s="68" t="s">
        <v>260</v>
      </c>
      <c r="AY819" s="28" t="s">
        <v>261</v>
      </c>
      <c r="AZ819" s="29" t="s">
        <v>262</v>
      </c>
      <c r="BA819" s="136" t="str">
        <f>B820</f>
        <v>Yıkama Takma</v>
      </c>
      <c r="BB819" s="137"/>
      <c r="BC819" s="137"/>
      <c r="BD819" s="137"/>
      <c r="BE819" s="137"/>
      <c r="BF819" s="137"/>
      <c r="BG819" s="137"/>
      <c r="BH819" s="138"/>
    </row>
    <row r="820" spans="1:60" s="17" customFormat="1" ht="19.5" customHeight="1" thickBot="1" x14ac:dyDescent="0.4">
      <c r="A820" s="41">
        <f t="shared" ref="A820" si="733">A819</f>
        <v>45441</v>
      </c>
      <c r="B820" s="37" t="str">
        <f>B644</f>
        <v>Yıkama Takma</v>
      </c>
      <c r="C820" s="65" t="str">
        <f>C644</f>
        <v>MEHMET SAĞ</v>
      </c>
      <c r="D820" s="70">
        <f>D644</f>
        <v>125</v>
      </c>
      <c r="E820" s="63">
        <v>145</v>
      </c>
      <c r="F820" s="55">
        <v>125</v>
      </c>
      <c r="G820" s="55">
        <v>130</v>
      </c>
      <c r="H820" s="56">
        <v>130</v>
      </c>
      <c r="I820" s="63">
        <v>70</v>
      </c>
      <c r="J820" s="55">
        <v>160</v>
      </c>
      <c r="K820" s="55">
        <v>150</v>
      </c>
      <c r="L820" s="56">
        <v>140</v>
      </c>
      <c r="M820" s="63">
        <v>130</v>
      </c>
      <c r="N820" s="55">
        <v>145</v>
      </c>
      <c r="O820" s="55">
        <v>90</v>
      </c>
      <c r="P820" s="56">
        <v>5</v>
      </c>
      <c r="Q820" s="63">
        <v>130</v>
      </c>
      <c r="R820" s="55">
        <v>130</v>
      </c>
      <c r="S820" s="55">
        <v>130</v>
      </c>
      <c r="T820" s="55">
        <v>125</v>
      </c>
      <c r="U820" s="56">
        <v>110</v>
      </c>
      <c r="V820" s="63">
        <v>135</v>
      </c>
      <c r="W820" s="55">
        <v>135</v>
      </c>
      <c r="X820" s="55">
        <v>130</v>
      </c>
      <c r="Y820" s="56">
        <v>120</v>
      </c>
      <c r="Z820" s="63">
        <v>70</v>
      </c>
      <c r="AA820" s="55">
        <v>120</v>
      </c>
      <c r="AB820" s="55">
        <v>130</v>
      </c>
      <c r="AC820" s="56">
        <v>120</v>
      </c>
      <c r="AD820" s="63">
        <v>125</v>
      </c>
      <c r="AE820" s="55">
        <v>100</v>
      </c>
      <c r="AF820" s="55">
        <v>80</v>
      </c>
      <c r="AG820" s="56">
        <v>70</v>
      </c>
      <c r="AH820" s="63">
        <v>100</v>
      </c>
      <c r="AI820" s="55">
        <v>140</v>
      </c>
      <c r="AJ820" s="55">
        <v>100</v>
      </c>
      <c r="AK820" s="56">
        <v>50</v>
      </c>
      <c r="AL820" s="63">
        <v>105</v>
      </c>
      <c r="AM820" s="55">
        <v>90</v>
      </c>
      <c r="AN820" s="55"/>
      <c r="AO820" s="56"/>
      <c r="AP820" s="63"/>
      <c r="AQ820" s="55"/>
      <c r="AR820" s="55"/>
      <c r="AS820" s="56"/>
      <c r="AT820" s="53"/>
      <c r="AU820" s="54"/>
      <c r="AV820" s="55"/>
      <c r="AW820" s="56"/>
      <c r="AX820" s="33">
        <f>SUM(E820:AW820)</f>
        <v>3965</v>
      </c>
      <c r="AY820" s="31">
        <f>IFERROR(AVERAGEIF(E820:AW820,"&lt;&gt;0",(E820:AW820)),)</f>
        <v>113.28571428571429</v>
      </c>
      <c r="AZ820" s="30">
        <f>IFERROR(AY820/D820,0)</f>
        <v>0.90628571428571436</v>
      </c>
      <c r="BA820" s="103" t="s">
        <v>182</v>
      </c>
      <c r="BB820" s="100" t="s">
        <v>183</v>
      </c>
      <c r="BC820" s="100" t="s">
        <v>184</v>
      </c>
      <c r="BD820" s="101" t="s">
        <v>185</v>
      </c>
      <c r="BE820" s="100" t="s">
        <v>186</v>
      </c>
      <c r="BF820" s="102" t="s">
        <v>187</v>
      </c>
      <c r="BG820" s="100" t="s">
        <v>188</v>
      </c>
      <c r="BH820" s="102" t="s">
        <v>189</v>
      </c>
    </row>
    <row r="821" spans="1:60" s="17" customFormat="1" ht="19.5" customHeight="1" thickBot="1" x14ac:dyDescent="0.4">
      <c r="A821" s="41">
        <f t="shared" ref="A821:B821" si="734">A820</f>
        <v>45441</v>
      </c>
      <c r="B821" s="37" t="str">
        <f t="shared" si="734"/>
        <v>Yıkama Takma</v>
      </c>
      <c r="C821" s="65">
        <f t="shared" ref="C821:C826" si="735">C645</f>
        <v>0</v>
      </c>
      <c r="D821" s="67">
        <f t="shared" ref="D821:D826" si="736">D820</f>
        <v>125</v>
      </c>
      <c r="E821" s="57"/>
      <c r="F821" s="52"/>
      <c r="G821" s="52"/>
      <c r="H821" s="58"/>
      <c r="I821" s="57"/>
      <c r="J821" s="52"/>
      <c r="K821" s="52"/>
      <c r="L821" s="58"/>
      <c r="M821" s="57"/>
      <c r="N821" s="52"/>
      <c r="O821" s="52"/>
      <c r="P821" s="58"/>
      <c r="Q821" s="57"/>
      <c r="R821" s="52"/>
      <c r="S821" s="52"/>
      <c r="T821" s="52"/>
      <c r="U821" s="58"/>
      <c r="V821" s="57"/>
      <c r="W821" s="52"/>
      <c r="X821" s="52"/>
      <c r="Y821" s="58"/>
      <c r="Z821" s="57"/>
      <c r="AA821" s="52"/>
      <c r="AB821" s="52"/>
      <c r="AC821" s="58"/>
      <c r="AD821" s="57"/>
      <c r="AE821" s="52"/>
      <c r="AF821" s="52"/>
      <c r="AG821" s="58"/>
      <c r="AH821" s="57"/>
      <c r="AI821" s="52"/>
      <c r="AJ821" s="52"/>
      <c r="AK821" s="58"/>
      <c r="AL821" s="57"/>
      <c r="AM821" s="52"/>
      <c r="AN821" s="52"/>
      <c r="AO821" s="58"/>
      <c r="AP821" s="57"/>
      <c r="AQ821" s="52"/>
      <c r="AR821" s="52"/>
      <c r="AS821" s="58"/>
      <c r="AT821" s="57"/>
      <c r="AU821" s="52"/>
      <c r="AV821" s="52"/>
      <c r="AW821" s="58"/>
      <c r="AX821" s="33">
        <f t="shared" ref="AX821:AX826" si="737">SUM(E821:AW821)</f>
        <v>0</v>
      </c>
      <c r="AY821" s="31">
        <f t="shared" ref="AY821:AY826" si="738">IFERROR(AVERAGEIF(E821:AW821,"&lt;&gt;0",(E821:AW821)),)</f>
        <v>0</v>
      </c>
      <c r="AZ821" s="30">
        <f t="shared" ref="AZ821:AZ826" si="739">IFERROR(AY821/D821,0)</f>
        <v>0</v>
      </c>
      <c r="BA821" s="94">
        <f>AX827+BA645</f>
        <v>6260</v>
      </c>
      <c r="BB821" s="95">
        <f>(D827*8)</f>
        <v>4000</v>
      </c>
      <c r="BC821" s="96">
        <f>C709-BA821</f>
        <v>36051</v>
      </c>
      <c r="BD821" s="96">
        <f>BA812-BA821</f>
        <v>660</v>
      </c>
      <c r="BE821" s="97">
        <f>IFERROR(BC821/E827,0)</f>
        <v>68.020754716981131</v>
      </c>
      <c r="BF821" s="98">
        <f>IFERROR(BE821/9,0)</f>
        <v>7.5578616352201253</v>
      </c>
      <c r="BG821" s="97">
        <f>IFERROR(BC821/AY827,0)</f>
        <v>81.830769230769235</v>
      </c>
      <c r="BH821" s="97">
        <f>IFERROR(BG821/9,0)</f>
        <v>9.092307692307692</v>
      </c>
    </row>
    <row r="822" spans="1:60" s="17" customFormat="1" ht="19.5" customHeight="1" x14ac:dyDescent="0.35">
      <c r="A822" s="41">
        <f t="shared" ref="A822:B822" si="740">A821</f>
        <v>45441</v>
      </c>
      <c r="B822" s="37" t="str">
        <f t="shared" si="740"/>
        <v>Yıkama Takma</v>
      </c>
      <c r="C822" s="65">
        <f t="shared" si="735"/>
        <v>0</v>
      </c>
      <c r="D822" s="67">
        <f t="shared" si="736"/>
        <v>125</v>
      </c>
      <c r="E822" s="57"/>
      <c r="F822" s="52"/>
      <c r="G822" s="52"/>
      <c r="H822" s="58"/>
      <c r="I822" s="57"/>
      <c r="J822" s="52"/>
      <c r="K822" s="52"/>
      <c r="L822" s="58"/>
      <c r="M822" s="57"/>
      <c r="N822" s="52"/>
      <c r="O822" s="52"/>
      <c r="P822" s="58"/>
      <c r="Q822" s="57"/>
      <c r="R822" s="52"/>
      <c r="S822" s="52"/>
      <c r="T822" s="52"/>
      <c r="U822" s="58"/>
      <c r="V822" s="57"/>
      <c r="W822" s="52"/>
      <c r="X822" s="52"/>
      <c r="Y822" s="58"/>
      <c r="Z822" s="57"/>
      <c r="AA822" s="52"/>
      <c r="AB822" s="52"/>
      <c r="AC822" s="58"/>
      <c r="AD822" s="57"/>
      <c r="AE822" s="52"/>
      <c r="AF822" s="52"/>
      <c r="AG822" s="58"/>
      <c r="AH822" s="57"/>
      <c r="AI822" s="52"/>
      <c r="AJ822" s="52"/>
      <c r="AK822" s="58"/>
      <c r="AL822" s="57"/>
      <c r="AM822" s="52"/>
      <c r="AN822" s="52"/>
      <c r="AO822" s="58"/>
      <c r="AP822" s="57"/>
      <c r="AQ822" s="52"/>
      <c r="AR822" s="52"/>
      <c r="AS822" s="58"/>
      <c r="AT822" s="57"/>
      <c r="AU822" s="52"/>
      <c r="AV822" s="52"/>
      <c r="AW822" s="58"/>
      <c r="AX822" s="33">
        <f t="shared" si="737"/>
        <v>0</v>
      </c>
      <c r="AY822" s="31">
        <f t="shared" si="738"/>
        <v>0</v>
      </c>
      <c r="AZ822" s="30">
        <f t="shared" si="739"/>
        <v>0</v>
      </c>
      <c r="BA822" s="34"/>
      <c r="BB822" s="34"/>
      <c r="BC822" s="34"/>
      <c r="BD822" s="76"/>
      <c r="BE822" s="34"/>
      <c r="BF822" s="34"/>
      <c r="BG822" s="34"/>
      <c r="BH822" s="34"/>
    </row>
    <row r="823" spans="1:60" s="17" customFormat="1" ht="19.5" customHeight="1" x14ac:dyDescent="0.35">
      <c r="A823" s="41">
        <f t="shared" ref="A823:B824" si="741">A822</f>
        <v>45441</v>
      </c>
      <c r="B823" s="37" t="str">
        <f t="shared" si="741"/>
        <v>Yıkama Takma</v>
      </c>
      <c r="C823" s="65">
        <f t="shared" si="735"/>
        <v>0</v>
      </c>
      <c r="D823" s="67">
        <f t="shared" si="736"/>
        <v>125</v>
      </c>
      <c r="E823" s="57"/>
      <c r="F823" s="52"/>
      <c r="G823" s="52"/>
      <c r="H823" s="58"/>
      <c r="I823" s="57"/>
      <c r="J823" s="52"/>
      <c r="K823" s="52"/>
      <c r="L823" s="58"/>
      <c r="M823" s="57"/>
      <c r="N823" s="52"/>
      <c r="O823" s="52"/>
      <c r="P823" s="58"/>
      <c r="Q823" s="57"/>
      <c r="R823" s="52"/>
      <c r="S823" s="52"/>
      <c r="T823" s="52"/>
      <c r="U823" s="58"/>
      <c r="V823" s="57"/>
      <c r="W823" s="52"/>
      <c r="X823" s="52"/>
      <c r="Y823" s="58"/>
      <c r="Z823" s="57"/>
      <c r="AA823" s="52"/>
      <c r="AB823" s="52"/>
      <c r="AC823" s="58"/>
      <c r="AD823" s="57"/>
      <c r="AE823" s="52"/>
      <c r="AF823" s="52"/>
      <c r="AG823" s="58"/>
      <c r="AH823" s="57"/>
      <c r="AI823" s="52"/>
      <c r="AJ823" s="52"/>
      <c r="AK823" s="58"/>
      <c r="AL823" s="57"/>
      <c r="AM823" s="52"/>
      <c r="AN823" s="52"/>
      <c r="AO823" s="58"/>
      <c r="AP823" s="57"/>
      <c r="AQ823" s="52"/>
      <c r="AR823" s="52"/>
      <c r="AS823" s="58"/>
      <c r="AT823" s="57"/>
      <c r="AU823" s="52"/>
      <c r="AV823" s="52"/>
      <c r="AW823" s="58"/>
      <c r="AX823" s="33">
        <f t="shared" si="737"/>
        <v>0</v>
      </c>
      <c r="AY823" s="31">
        <f t="shared" si="738"/>
        <v>0</v>
      </c>
      <c r="AZ823" s="30">
        <f t="shared" si="739"/>
        <v>0</v>
      </c>
      <c r="BA823" s="34"/>
      <c r="BB823" s="34"/>
      <c r="BC823" s="34"/>
      <c r="BD823" s="76"/>
      <c r="BE823" s="34"/>
      <c r="BF823" s="34"/>
      <c r="BG823" s="34"/>
      <c r="BH823" s="34"/>
    </row>
    <row r="824" spans="1:60" s="17" customFormat="1" ht="19.5" customHeight="1" x14ac:dyDescent="0.35">
      <c r="A824" s="41">
        <f>A821</f>
        <v>45441</v>
      </c>
      <c r="B824" s="37" t="str">
        <f t="shared" si="741"/>
        <v>Yıkama Takma</v>
      </c>
      <c r="C824" s="65">
        <f t="shared" si="735"/>
        <v>0</v>
      </c>
      <c r="D824" s="67">
        <f t="shared" si="736"/>
        <v>125</v>
      </c>
      <c r="E824" s="57"/>
      <c r="F824" s="52"/>
      <c r="G824" s="52"/>
      <c r="H824" s="58"/>
      <c r="I824" s="57"/>
      <c r="J824" s="52"/>
      <c r="K824" s="52"/>
      <c r="L824" s="58"/>
      <c r="M824" s="57"/>
      <c r="N824" s="52"/>
      <c r="O824" s="52"/>
      <c r="P824" s="58"/>
      <c r="Q824" s="57"/>
      <c r="R824" s="52"/>
      <c r="S824" s="52"/>
      <c r="T824" s="52"/>
      <c r="U824" s="58"/>
      <c r="V824" s="57"/>
      <c r="W824" s="52"/>
      <c r="X824" s="52"/>
      <c r="Y824" s="58"/>
      <c r="Z824" s="57"/>
      <c r="AA824" s="52"/>
      <c r="AB824" s="52"/>
      <c r="AC824" s="58"/>
      <c r="AD824" s="57"/>
      <c r="AE824" s="52"/>
      <c r="AF824" s="52"/>
      <c r="AG824" s="58"/>
      <c r="AH824" s="57"/>
      <c r="AI824" s="52"/>
      <c r="AJ824" s="52"/>
      <c r="AK824" s="58"/>
      <c r="AL824" s="57"/>
      <c r="AM824" s="52"/>
      <c r="AN824" s="52"/>
      <c r="AO824" s="58"/>
      <c r="AP824" s="57"/>
      <c r="AQ824" s="52"/>
      <c r="AR824" s="52"/>
      <c r="AS824" s="58"/>
      <c r="AT824" s="57"/>
      <c r="AU824" s="52"/>
      <c r="AV824" s="52"/>
      <c r="AW824" s="58"/>
      <c r="AX824" s="33">
        <f t="shared" si="737"/>
        <v>0</v>
      </c>
      <c r="AY824" s="31">
        <f t="shared" si="738"/>
        <v>0</v>
      </c>
      <c r="AZ824" s="30">
        <f t="shared" si="739"/>
        <v>0</v>
      </c>
      <c r="BA824" s="34"/>
      <c r="BB824" s="34"/>
      <c r="BC824" s="34"/>
      <c r="BD824" s="76"/>
      <c r="BE824" s="34"/>
      <c r="BF824" s="34"/>
      <c r="BG824" s="34"/>
      <c r="BH824" s="34"/>
    </row>
    <row r="825" spans="1:60" s="17" customFormat="1" ht="19.5" customHeight="1" x14ac:dyDescent="0.35">
      <c r="A825" s="41">
        <f t="shared" ref="A825:B825" si="742">A824</f>
        <v>45441</v>
      </c>
      <c r="B825" s="37" t="str">
        <f t="shared" si="742"/>
        <v>Yıkama Takma</v>
      </c>
      <c r="C825" s="65">
        <f t="shared" si="735"/>
        <v>0</v>
      </c>
      <c r="D825" s="67">
        <f t="shared" si="736"/>
        <v>125</v>
      </c>
      <c r="E825" s="57"/>
      <c r="F825" s="52"/>
      <c r="G825" s="52"/>
      <c r="H825" s="58"/>
      <c r="I825" s="57"/>
      <c r="J825" s="52"/>
      <c r="K825" s="52"/>
      <c r="L825" s="58"/>
      <c r="M825" s="57"/>
      <c r="N825" s="52"/>
      <c r="O825" s="52"/>
      <c r="P825" s="58"/>
      <c r="Q825" s="57"/>
      <c r="R825" s="52"/>
      <c r="S825" s="52"/>
      <c r="T825" s="52"/>
      <c r="U825" s="58"/>
      <c r="V825" s="57"/>
      <c r="W825" s="52"/>
      <c r="X825" s="52"/>
      <c r="Y825" s="58"/>
      <c r="Z825" s="57"/>
      <c r="AA825" s="52"/>
      <c r="AB825" s="52"/>
      <c r="AC825" s="58"/>
      <c r="AD825" s="57"/>
      <c r="AE825" s="52"/>
      <c r="AF825" s="52"/>
      <c r="AG825" s="58"/>
      <c r="AH825" s="57"/>
      <c r="AI825" s="52"/>
      <c r="AJ825" s="52"/>
      <c r="AK825" s="58"/>
      <c r="AL825" s="57"/>
      <c r="AM825" s="52"/>
      <c r="AN825" s="52"/>
      <c r="AO825" s="58"/>
      <c r="AP825" s="57"/>
      <c r="AQ825" s="52"/>
      <c r="AR825" s="52"/>
      <c r="AS825" s="58"/>
      <c r="AT825" s="57"/>
      <c r="AU825" s="52"/>
      <c r="AV825" s="52"/>
      <c r="AW825" s="58"/>
      <c r="AX825" s="33">
        <f t="shared" si="737"/>
        <v>0</v>
      </c>
      <c r="AY825" s="31">
        <f t="shared" si="738"/>
        <v>0</v>
      </c>
      <c r="AZ825" s="30">
        <f t="shared" si="739"/>
        <v>0</v>
      </c>
      <c r="BA825" s="34"/>
      <c r="BB825" s="34"/>
      <c r="BC825" s="34"/>
      <c r="BD825" s="76"/>
      <c r="BE825" s="34"/>
      <c r="BF825" s="34"/>
      <c r="BG825" s="34"/>
      <c r="BH825" s="34"/>
    </row>
    <row r="826" spans="1:60" s="17" customFormat="1" ht="19.5" customHeight="1" thickBot="1" x14ac:dyDescent="0.4">
      <c r="A826" s="41">
        <f t="shared" ref="A826:B827" si="743">A825</f>
        <v>45441</v>
      </c>
      <c r="B826" s="37" t="str">
        <f t="shared" si="743"/>
        <v>Yıkama Takma</v>
      </c>
      <c r="C826" s="65">
        <f t="shared" si="735"/>
        <v>0</v>
      </c>
      <c r="D826" s="67">
        <f t="shared" si="736"/>
        <v>125</v>
      </c>
      <c r="E826" s="59"/>
      <c r="F826" s="60"/>
      <c r="G826" s="61"/>
      <c r="H826" s="62"/>
      <c r="I826" s="59"/>
      <c r="J826" s="60"/>
      <c r="K826" s="61"/>
      <c r="L826" s="62"/>
      <c r="M826" s="59"/>
      <c r="N826" s="60"/>
      <c r="O826" s="61"/>
      <c r="P826" s="62"/>
      <c r="Q826" s="64"/>
      <c r="R826" s="61"/>
      <c r="S826" s="61"/>
      <c r="T826" s="61"/>
      <c r="U826" s="62"/>
      <c r="V826" s="59"/>
      <c r="W826" s="60"/>
      <c r="X826" s="61"/>
      <c r="Y826" s="62"/>
      <c r="Z826" s="59"/>
      <c r="AA826" s="60"/>
      <c r="AB826" s="61"/>
      <c r="AC826" s="62"/>
      <c r="AD826" s="59"/>
      <c r="AE826" s="60"/>
      <c r="AF826" s="61"/>
      <c r="AG826" s="62"/>
      <c r="AH826" s="59"/>
      <c r="AI826" s="60"/>
      <c r="AJ826" s="61"/>
      <c r="AK826" s="62"/>
      <c r="AL826" s="59"/>
      <c r="AM826" s="60"/>
      <c r="AN826" s="61"/>
      <c r="AO826" s="62"/>
      <c r="AP826" s="59"/>
      <c r="AQ826" s="60"/>
      <c r="AR826" s="61"/>
      <c r="AS826" s="62"/>
      <c r="AT826" s="59"/>
      <c r="AU826" s="60"/>
      <c r="AV826" s="61"/>
      <c r="AW826" s="62"/>
      <c r="AX826" s="33">
        <f t="shared" si="737"/>
        <v>0</v>
      </c>
      <c r="AY826" s="31">
        <f t="shared" si="738"/>
        <v>0</v>
      </c>
      <c r="AZ826" s="30">
        <f t="shared" si="739"/>
        <v>0</v>
      </c>
      <c r="BA826" s="34"/>
      <c r="BB826" s="34"/>
      <c r="BC826" s="34"/>
      <c r="BD826" s="76"/>
      <c r="BE826" s="34"/>
      <c r="BF826" s="34"/>
      <c r="BG826" s="34"/>
      <c r="BH826" s="34"/>
    </row>
    <row r="827" spans="1:60" s="17" customFormat="1" ht="19.5" customHeight="1" thickBot="1" x14ac:dyDescent="0.45">
      <c r="A827" s="41">
        <f t="shared" si="743"/>
        <v>45441</v>
      </c>
      <c r="B827" s="139" t="str">
        <f>B820</f>
        <v>Yıkama Takma</v>
      </c>
      <c r="C827" s="140"/>
      <c r="D827" s="40">
        <f>C710/8</f>
        <v>500</v>
      </c>
      <c r="E827" s="147">
        <f>SUM(E820:H826)</f>
        <v>530</v>
      </c>
      <c r="F827" s="148"/>
      <c r="G827" s="148"/>
      <c r="H827" s="149"/>
      <c r="I827" s="147">
        <f>SUM(I820:L826)</f>
        <v>520</v>
      </c>
      <c r="J827" s="148"/>
      <c r="K827" s="148"/>
      <c r="L827" s="149"/>
      <c r="M827" s="147">
        <f>SUM(M820:P826)</f>
        <v>370</v>
      </c>
      <c r="N827" s="148"/>
      <c r="O827" s="148"/>
      <c r="P827" s="149"/>
      <c r="Q827" s="147">
        <f>SUM(Q820:U826)</f>
        <v>625</v>
      </c>
      <c r="R827" s="148"/>
      <c r="S827" s="148"/>
      <c r="T827" s="148"/>
      <c r="U827" s="149"/>
      <c r="V827" s="147">
        <f>SUM(V820:Y826)</f>
        <v>520</v>
      </c>
      <c r="W827" s="148"/>
      <c r="X827" s="148"/>
      <c r="Y827" s="149"/>
      <c r="Z827" s="147">
        <f>SUM(Z820:AC826)</f>
        <v>440</v>
      </c>
      <c r="AA827" s="148"/>
      <c r="AB827" s="148"/>
      <c r="AC827" s="149"/>
      <c r="AD827" s="147">
        <f>SUM(AD820:AG826)</f>
        <v>375</v>
      </c>
      <c r="AE827" s="148"/>
      <c r="AF827" s="148"/>
      <c r="AG827" s="149"/>
      <c r="AH827" s="147">
        <f>SUM(AH820:AK826)</f>
        <v>390</v>
      </c>
      <c r="AI827" s="148"/>
      <c r="AJ827" s="148"/>
      <c r="AK827" s="149"/>
      <c r="AL827" s="147">
        <f>SUM(AL820:AO826)</f>
        <v>195</v>
      </c>
      <c r="AM827" s="148"/>
      <c r="AN827" s="148"/>
      <c r="AO827" s="149"/>
      <c r="AP827" s="147">
        <f>SUM(AP820:AS826)</f>
        <v>0</v>
      </c>
      <c r="AQ827" s="148"/>
      <c r="AR827" s="148"/>
      <c r="AS827" s="149"/>
      <c r="AT827" s="147">
        <f>SUM(AT820:AW826)</f>
        <v>0</v>
      </c>
      <c r="AU827" s="148"/>
      <c r="AV827" s="148"/>
      <c r="AW827" s="149"/>
      <c r="AX827" s="87">
        <f>SUM(AX820:AX826)</f>
        <v>3965</v>
      </c>
      <c r="AY827" s="88">
        <f>IFERROR(AVERAGEIF(E827:AV827,"&lt;&gt;0",(E827:AV827)),)</f>
        <v>440.55555555555554</v>
      </c>
      <c r="AZ827" s="46">
        <f>IFERROR(AX827/BB821,0)</f>
        <v>0.99124999999999996</v>
      </c>
      <c r="BA827" s="34"/>
      <c r="BB827" s="34"/>
      <c r="BC827" s="34"/>
      <c r="BD827" s="76"/>
      <c r="BE827" s="34"/>
      <c r="BF827" s="34"/>
      <c r="BG827" s="34"/>
      <c r="BH827" s="34"/>
    </row>
    <row r="828" spans="1:60" s="17" customFormat="1" ht="19.5" customHeight="1" thickBot="1" x14ac:dyDescent="0.4">
      <c r="A828" s="42">
        <f>A819</f>
        <v>45441</v>
      </c>
      <c r="B828" s="38" t="str">
        <f>B829</f>
        <v>Kol Reçme</v>
      </c>
      <c r="C828" s="39" t="s">
        <v>180</v>
      </c>
      <c r="D828" s="69" t="s">
        <v>181</v>
      </c>
      <c r="E828" s="48">
        <v>0.34375</v>
      </c>
      <c r="F828" s="49">
        <v>0.35416666666666669</v>
      </c>
      <c r="G828" s="49">
        <v>0.36458333333333331</v>
      </c>
      <c r="H828" s="50">
        <v>0.375</v>
      </c>
      <c r="I828" s="48">
        <v>0.38541666666666702</v>
      </c>
      <c r="J828" s="49">
        <v>0.39583333333333298</v>
      </c>
      <c r="K828" s="49">
        <v>0.40625</v>
      </c>
      <c r="L828" s="50">
        <v>0.41666666666666702</v>
      </c>
      <c r="M828" s="48">
        <v>0.4375</v>
      </c>
      <c r="N828" s="49">
        <v>0.44791666666666702</v>
      </c>
      <c r="O828" s="49">
        <v>0.45833333333333398</v>
      </c>
      <c r="P828" s="50">
        <v>0.46875</v>
      </c>
      <c r="Q828" s="82">
        <v>0.47916666666666702</v>
      </c>
      <c r="R828" s="83">
        <v>0.48958333333333398</v>
      </c>
      <c r="S828" s="83">
        <v>0.5</v>
      </c>
      <c r="T828" s="84">
        <v>0.51041666666666696</v>
      </c>
      <c r="U828" s="85">
        <v>0.52083333333333204</v>
      </c>
      <c r="V828" s="48">
        <v>0.5625</v>
      </c>
      <c r="W828" s="49">
        <v>0.57291666666666663</v>
      </c>
      <c r="X828" s="49">
        <v>0.58333333333333304</v>
      </c>
      <c r="Y828" s="50">
        <v>0.59375</v>
      </c>
      <c r="Z828" s="48">
        <v>0.60416666666666696</v>
      </c>
      <c r="AA828" s="49">
        <v>0.61458333333333304</v>
      </c>
      <c r="AB828" s="49">
        <v>0.625</v>
      </c>
      <c r="AC828" s="50">
        <v>0.63541666666666596</v>
      </c>
      <c r="AD828" s="48">
        <v>0.65625</v>
      </c>
      <c r="AE828" s="49">
        <v>0.66666666666666663</v>
      </c>
      <c r="AF828" s="49">
        <v>0.67708333333333304</v>
      </c>
      <c r="AG828" s="50">
        <v>0.6875</v>
      </c>
      <c r="AH828" s="48">
        <v>0.69791666666666696</v>
      </c>
      <c r="AI828" s="49">
        <v>0.70833333333333304</v>
      </c>
      <c r="AJ828" s="49">
        <v>0.71875</v>
      </c>
      <c r="AK828" s="50">
        <v>0.72916666666666696</v>
      </c>
      <c r="AL828" s="48">
        <v>0.73958333333333404</v>
      </c>
      <c r="AM828" s="49">
        <v>0.750000000000001</v>
      </c>
      <c r="AN828" s="49">
        <v>0.76041666666666796</v>
      </c>
      <c r="AO828" s="50">
        <v>0.77083333333333504</v>
      </c>
      <c r="AP828" s="48">
        <v>0.781250000000002</v>
      </c>
      <c r="AQ828" s="49">
        <v>0.79166666666666896</v>
      </c>
      <c r="AR828" s="49">
        <v>0.80208333333333603</v>
      </c>
      <c r="AS828" s="50">
        <v>0.812500000000003</v>
      </c>
      <c r="AT828" s="48">
        <v>0.82291666666666996</v>
      </c>
      <c r="AU828" s="49">
        <v>0.83333333333333703</v>
      </c>
      <c r="AV828" s="49">
        <v>0.843750000000004</v>
      </c>
      <c r="AW828" s="50">
        <v>0.85416666666666663</v>
      </c>
      <c r="AX828" s="68" t="s">
        <v>260</v>
      </c>
      <c r="AY828" s="28" t="s">
        <v>261</v>
      </c>
      <c r="AZ828" s="29" t="s">
        <v>262</v>
      </c>
      <c r="BA828" s="136" t="str">
        <f>B829</f>
        <v>Kol Reçme</v>
      </c>
      <c r="BB828" s="137"/>
      <c r="BC828" s="137"/>
      <c r="BD828" s="137"/>
      <c r="BE828" s="137"/>
      <c r="BF828" s="137"/>
      <c r="BG828" s="137"/>
      <c r="BH828" s="138"/>
    </row>
    <row r="829" spans="1:60" s="17" customFormat="1" ht="19.5" customHeight="1" thickBot="1" x14ac:dyDescent="0.4">
      <c r="A829" s="41">
        <f t="shared" ref="A829" si="744">A828</f>
        <v>45441</v>
      </c>
      <c r="B829" s="37" t="str">
        <f>B653</f>
        <v>Kol Reçme</v>
      </c>
      <c r="C829" s="65" t="str">
        <f>C653</f>
        <v>LEYLA ERDOĞAN</v>
      </c>
      <c r="D829" s="70">
        <f>D653</f>
        <v>60</v>
      </c>
      <c r="E829" s="63">
        <v>30</v>
      </c>
      <c r="F829" s="55">
        <v>0</v>
      </c>
      <c r="G829" s="55">
        <v>35</v>
      </c>
      <c r="H829" s="56">
        <v>40</v>
      </c>
      <c r="I829" s="63">
        <v>35</v>
      </c>
      <c r="J829" s="55">
        <v>30</v>
      </c>
      <c r="K829" s="8">
        <v>0</v>
      </c>
      <c r="L829" s="86">
        <v>0</v>
      </c>
      <c r="M829" s="63">
        <v>40</v>
      </c>
      <c r="N829" s="55">
        <v>40</v>
      </c>
      <c r="O829" s="55">
        <v>35</v>
      </c>
      <c r="P829" s="56">
        <v>40</v>
      </c>
      <c r="Q829" s="63">
        <v>40</v>
      </c>
      <c r="R829" s="55">
        <v>15</v>
      </c>
      <c r="S829" s="55">
        <v>24</v>
      </c>
      <c r="T829" s="55">
        <v>40</v>
      </c>
      <c r="U829" s="56">
        <v>40</v>
      </c>
      <c r="V829" s="63">
        <v>50</v>
      </c>
      <c r="W829" s="55">
        <v>33</v>
      </c>
      <c r="X829" s="55">
        <v>35</v>
      </c>
      <c r="Y829" s="56">
        <v>35</v>
      </c>
      <c r="Z829" s="63">
        <v>40</v>
      </c>
      <c r="AA829" s="55">
        <v>35</v>
      </c>
      <c r="AB829" s="55">
        <v>30</v>
      </c>
      <c r="AC829" s="56">
        <v>35</v>
      </c>
      <c r="AD829" s="63">
        <v>45</v>
      </c>
      <c r="AE829" s="55">
        <v>40</v>
      </c>
      <c r="AF829" s="55">
        <v>35</v>
      </c>
      <c r="AG829" s="56">
        <v>35</v>
      </c>
      <c r="AH829" s="63">
        <v>35</v>
      </c>
      <c r="AI829" s="55">
        <v>40</v>
      </c>
      <c r="AJ829" s="55">
        <v>35</v>
      </c>
      <c r="AK829" s="56">
        <v>40</v>
      </c>
      <c r="AL829" s="53">
        <v>20</v>
      </c>
      <c r="AM829" s="54">
        <v>40</v>
      </c>
      <c r="AN829" s="55">
        <v>40</v>
      </c>
      <c r="AO829" s="56"/>
      <c r="AP829" s="53"/>
      <c r="AQ829" s="54"/>
      <c r="AR829" s="55"/>
      <c r="AS829" s="56"/>
      <c r="AT829" s="53"/>
      <c r="AU829" s="54"/>
      <c r="AV829" s="55"/>
      <c r="AW829" s="56"/>
      <c r="AX829" s="33">
        <f>SUM(E829:AW829)</f>
        <v>1182</v>
      </c>
      <c r="AY829" s="31">
        <f>IFERROR(AVERAGEIF(E829:AW829,"&lt;&gt;0",(E829:AW829)),)</f>
        <v>35.81818181818182</v>
      </c>
      <c r="AZ829" s="30">
        <f>IFERROR(AY829/D829,0)</f>
        <v>0.59696969696969704</v>
      </c>
      <c r="BA829" s="103" t="s">
        <v>182</v>
      </c>
      <c r="BB829" s="100" t="s">
        <v>183</v>
      </c>
      <c r="BC829" s="100" t="s">
        <v>184</v>
      </c>
      <c r="BD829" s="101" t="s">
        <v>185</v>
      </c>
      <c r="BE829" s="100" t="s">
        <v>186</v>
      </c>
      <c r="BF829" s="102" t="s">
        <v>187</v>
      </c>
      <c r="BG829" s="100" t="s">
        <v>188</v>
      </c>
      <c r="BH829" s="102" t="s">
        <v>189</v>
      </c>
    </row>
    <row r="830" spans="1:60" s="17" customFormat="1" ht="19.5" customHeight="1" thickBot="1" x14ac:dyDescent="0.4">
      <c r="A830" s="41">
        <f t="shared" ref="A830:B830" si="745">A829</f>
        <v>45441</v>
      </c>
      <c r="B830" s="37" t="str">
        <f t="shared" si="745"/>
        <v>Kol Reçme</v>
      </c>
      <c r="C830" s="65" t="s">
        <v>271</v>
      </c>
      <c r="D830" s="67">
        <f t="shared" ref="D830:D835" si="746">D829</f>
        <v>60</v>
      </c>
      <c r="E830" s="57">
        <v>32</v>
      </c>
      <c r="F830" s="52">
        <v>30</v>
      </c>
      <c r="G830" s="52">
        <v>30</v>
      </c>
      <c r="H830" s="58">
        <v>33</v>
      </c>
      <c r="I830" s="57">
        <v>34</v>
      </c>
      <c r="J830" s="52">
        <v>34</v>
      </c>
      <c r="K830" s="52">
        <v>35</v>
      </c>
      <c r="L830" s="58">
        <v>32</v>
      </c>
      <c r="M830" s="57">
        <v>36</v>
      </c>
      <c r="N830" s="52">
        <v>33</v>
      </c>
      <c r="O830" s="52">
        <v>36</v>
      </c>
      <c r="P830" s="58">
        <v>24</v>
      </c>
      <c r="Q830" s="57">
        <v>32</v>
      </c>
      <c r="R830" s="52">
        <v>30</v>
      </c>
      <c r="S830" s="52">
        <v>30</v>
      </c>
      <c r="T830" s="52">
        <v>32</v>
      </c>
      <c r="U830" s="58">
        <v>30</v>
      </c>
      <c r="V830" s="57">
        <v>33</v>
      </c>
      <c r="W830" s="52">
        <v>30</v>
      </c>
      <c r="X830" s="52">
        <v>30</v>
      </c>
      <c r="Y830" s="58">
        <v>30</v>
      </c>
      <c r="Z830" s="57">
        <v>30</v>
      </c>
      <c r="AA830" s="52">
        <v>30</v>
      </c>
      <c r="AB830" s="52">
        <v>30</v>
      </c>
      <c r="AC830" s="58">
        <v>32</v>
      </c>
      <c r="AD830" s="57">
        <v>32</v>
      </c>
      <c r="AE830" s="52">
        <v>32</v>
      </c>
      <c r="AF830" s="52">
        <v>34</v>
      </c>
      <c r="AG830" s="58">
        <v>32</v>
      </c>
      <c r="AH830" s="57">
        <v>26</v>
      </c>
      <c r="AI830" s="6">
        <v>17</v>
      </c>
      <c r="AJ830" s="6">
        <v>0</v>
      </c>
      <c r="AK830" s="7">
        <v>13</v>
      </c>
      <c r="AL830" s="57">
        <v>30</v>
      </c>
      <c r="AM830" s="52">
        <v>30</v>
      </c>
      <c r="AN830" s="52">
        <v>30</v>
      </c>
      <c r="AO830" s="58"/>
      <c r="AP830" s="57"/>
      <c r="AQ830" s="52"/>
      <c r="AR830" s="52"/>
      <c r="AS830" s="58"/>
      <c r="AT830" s="57"/>
      <c r="AU830" s="52"/>
      <c r="AV830" s="52"/>
      <c r="AW830" s="58"/>
      <c r="AX830" s="33">
        <f t="shared" ref="AX830:AX835" si="747">SUM(E830:AW830)</f>
        <v>1064</v>
      </c>
      <c r="AY830" s="31">
        <f t="shared" ref="AY830:AY835" si="748">IFERROR(AVERAGEIF(E830:AW830,"&lt;&gt;0",(E830:AW830)),)</f>
        <v>30.4</v>
      </c>
      <c r="AZ830" s="30">
        <f t="shared" ref="AZ830:AZ835" si="749">IFERROR(AY830/D830,0)</f>
        <v>0.5066666666666666</v>
      </c>
      <c r="BA830" s="94">
        <f>AX836+BA654</f>
        <v>6265</v>
      </c>
      <c r="BB830" s="95">
        <f>(D836*8)</f>
        <v>4000</v>
      </c>
      <c r="BC830" s="96">
        <f>C709-BA830</f>
        <v>36046</v>
      </c>
      <c r="BD830" s="96">
        <f>BA821-BA830</f>
        <v>-5</v>
      </c>
      <c r="BE830" s="97">
        <f>IFERROR(BC830/E836,0)</f>
        <v>85.82380952380953</v>
      </c>
      <c r="BF830" s="98">
        <f>IFERROR(BE830/9,0)</f>
        <v>9.5359788359788364</v>
      </c>
      <c r="BG830" s="97">
        <f>IFERROR(BC830/AY836,0)</f>
        <v>78.779504613890239</v>
      </c>
      <c r="BH830" s="97">
        <f>IFERROR(BG830/9,0)</f>
        <v>8.7532782904322488</v>
      </c>
    </row>
    <row r="831" spans="1:60" s="17" customFormat="1" ht="19.5" customHeight="1" x14ac:dyDescent="0.35">
      <c r="A831" s="41">
        <f t="shared" ref="A831:B831" si="750">A830</f>
        <v>45441</v>
      </c>
      <c r="B831" s="37" t="str">
        <f t="shared" si="750"/>
        <v>Kol Reçme</v>
      </c>
      <c r="C831" s="65" t="s">
        <v>94</v>
      </c>
      <c r="D831" s="67">
        <f t="shared" si="746"/>
        <v>60</v>
      </c>
      <c r="E831" s="57">
        <v>40</v>
      </c>
      <c r="F831" s="52">
        <v>50</v>
      </c>
      <c r="G831" s="52">
        <v>60</v>
      </c>
      <c r="H831" s="58">
        <v>40</v>
      </c>
      <c r="I831" s="57">
        <v>60</v>
      </c>
      <c r="J831" s="52">
        <v>60</v>
      </c>
      <c r="K831" s="52">
        <v>60</v>
      </c>
      <c r="L831" s="58">
        <v>60</v>
      </c>
      <c r="M831" s="57">
        <v>50</v>
      </c>
      <c r="N831" s="52">
        <v>60</v>
      </c>
      <c r="O831" s="52">
        <v>30</v>
      </c>
      <c r="P831" s="58">
        <v>50</v>
      </c>
      <c r="Q831" s="57">
        <v>60</v>
      </c>
      <c r="R831" s="52">
        <v>20</v>
      </c>
      <c r="S831" s="52">
        <v>50</v>
      </c>
      <c r="T831" s="52">
        <v>60</v>
      </c>
      <c r="U831" s="58">
        <v>60</v>
      </c>
      <c r="V831" s="57">
        <v>50</v>
      </c>
      <c r="W831" s="52">
        <v>35</v>
      </c>
      <c r="X831" s="52">
        <v>50</v>
      </c>
      <c r="Y831" s="58">
        <v>60</v>
      </c>
      <c r="Z831" s="57">
        <v>50</v>
      </c>
      <c r="AA831" s="52">
        <v>50</v>
      </c>
      <c r="AB831" s="52">
        <v>60</v>
      </c>
      <c r="AC831" s="58">
        <v>60</v>
      </c>
      <c r="AD831" s="57">
        <v>60</v>
      </c>
      <c r="AE831" s="52">
        <v>60</v>
      </c>
      <c r="AF831" s="52">
        <v>50</v>
      </c>
      <c r="AG831" s="58">
        <v>25</v>
      </c>
      <c r="AH831" s="57">
        <v>44</v>
      </c>
      <c r="AI831" s="52">
        <v>50</v>
      </c>
      <c r="AJ831" s="52">
        <v>50</v>
      </c>
      <c r="AK831" s="7"/>
      <c r="AL831" s="5"/>
      <c r="AM831" s="6"/>
      <c r="AN831" s="6"/>
      <c r="AO831" s="58"/>
      <c r="AP831" s="57"/>
      <c r="AQ831" s="52"/>
      <c r="AR831" s="52"/>
      <c r="AS831" s="58"/>
      <c r="AT831" s="57"/>
      <c r="AU831" s="52"/>
      <c r="AV831" s="52"/>
      <c r="AW831" s="58"/>
      <c r="AX831" s="33">
        <f t="shared" si="747"/>
        <v>1624</v>
      </c>
      <c r="AY831" s="31">
        <f t="shared" si="748"/>
        <v>50.75</v>
      </c>
      <c r="AZ831" s="30">
        <f t="shared" si="749"/>
        <v>0.84583333333333333</v>
      </c>
      <c r="BA831" s="34"/>
      <c r="BB831" s="34"/>
      <c r="BC831" s="34"/>
      <c r="BD831" s="76"/>
      <c r="BE831" s="34"/>
      <c r="BF831" s="34"/>
      <c r="BG831" s="34"/>
      <c r="BH831" s="34"/>
    </row>
    <row r="832" spans="1:60" s="17" customFormat="1" ht="19.5" customHeight="1" x14ac:dyDescent="0.35">
      <c r="A832" s="41">
        <f t="shared" ref="A832:B833" si="751">A831</f>
        <v>45441</v>
      </c>
      <c r="B832" s="37" t="str">
        <f t="shared" si="751"/>
        <v>Kol Reçme</v>
      </c>
      <c r="C832" s="65" t="s">
        <v>264</v>
      </c>
      <c r="D832" s="67">
        <f t="shared" si="746"/>
        <v>60</v>
      </c>
      <c r="E832" s="57"/>
      <c r="F832" s="52"/>
      <c r="G832" s="52"/>
      <c r="H832" s="58"/>
      <c r="I832" s="57"/>
      <c r="J832" s="52"/>
      <c r="K832" s="52"/>
      <c r="L832" s="58"/>
      <c r="M832" s="57"/>
      <c r="N832" s="52"/>
      <c r="O832" s="52"/>
      <c r="P832" s="58"/>
      <c r="Q832" s="57"/>
      <c r="R832" s="52"/>
      <c r="S832" s="52"/>
      <c r="T832" s="52"/>
      <c r="U832" s="58"/>
      <c r="V832" s="57"/>
      <c r="W832" s="52"/>
      <c r="X832" s="52"/>
      <c r="Y832" s="58"/>
      <c r="Z832" s="57"/>
      <c r="AA832" s="52"/>
      <c r="AB832" s="52"/>
      <c r="AC832" s="58"/>
      <c r="AD832" s="57"/>
      <c r="AE832" s="52"/>
      <c r="AF832" s="52">
        <v>15</v>
      </c>
      <c r="AG832" s="58">
        <v>25</v>
      </c>
      <c r="AH832" s="57">
        <v>22</v>
      </c>
      <c r="AI832" s="52">
        <v>35</v>
      </c>
      <c r="AJ832" s="52">
        <v>35</v>
      </c>
      <c r="AK832" s="58">
        <v>20</v>
      </c>
      <c r="AL832" s="57">
        <v>34</v>
      </c>
      <c r="AM832" s="52">
        <v>27</v>
      </c>
      <c r="AN832" s="52">
        <v>35</v>
      </c>
      <c r="AO832" s="58"/>
      <c r="AP832" s="57"/>
      <c r="AQ832" s="52"/>
      <c r="AR832" s="52"/>
      <c r="AS832" s="58"/>
      <c r="AT832" s="57"/>
      <c r="AU832" s="52"/>
      <c r="AV832" s="52"/>
      <c r="AW832" s="58"/>
      <c r="AX832" s="33">
        <f t="shared" si="747"/>
        <v>248</v>
      </c>
      <c r="AY832" s="31">
        <f t="shared" si="748"/>
        <v>27.555555555555557</v>
      </c>
      <c r="AZ832" s="30">
        <f t="shared" si="749"/>
        <v>0.45925925925925931</v>
      </c>
      <c r="BA832" s="34"/>
      <c r="BB832" s="34"/>
      <c r="BC832" s="34"/>
      <c r="BD832" s="76"/>
      <c r="BE832" s="34"/>
      <c r="BF832" s="34"/>
      <c r="BG832" s="34"/>
      <c r="BH832" s="34"/>
    </row>
    <row r="833" spans="1:60" s="17" customFormat="1" ht="19.5" customHeight="1" x14ac:dyDescent="0.35">
      <c r="A833" s="41">
        <f>A830</f>
        <v>45441</v>
      </c>
      <c r="B833" s="37" t="str">
        <f t="shared" si="751"/>
        <v>Kol Reçme</v>
      </c>
      <c r="C833" s="65">
        <f t="shared" ref="C833:C835" si="752">C657</f>
        <v>0</v>
      </c>
      <c r="D833" s="67">
        <f t="shared" si="746"/>
        <v>60</v>
      </c>
      <c r="E833" s="57"/>
      <c r="F833" s="52"/>
      <c r="G833" s="52"/>
      <c r="H833" s="58"/>
      <c r="I833" s="57"/>
      <c r="J833" s="52"/>
      <c r="K833" s="52"/>
      <c r="L833" s="58"/>
      <c r="M833" s="57"/>
      <c r="N833" s="52"/>
      <c r="O833" s="52"/>
      <c r="P833" s="58"/>
      <c r="Q833" s="57"/>
      <c r="R833" s="52"/>
      <c r="S833" s="52"/>
      <c r="T833" s="52"/>
      <c r="U833" s="58"/>
      <c r="V833" s="57"/>
      <c r="W833" s="52"/>
      <c r="X833" s="52"/>
      <c r="Y833" s="58"/>
      <c r="Z833" s="57"/>
      <c r="AA833" s="52"/>
      <c r="AB833" s="52"/>
      <c r="AC833" s="58"/>
      <c r="AD833" s="57"/>
      <c r="AE833" s="52"/>
      <c r="AF833" s="52"/>
      <c r="AG833" s="58"/>
      <c r="AH833" s="57"/>
      <c r="AI833" s="52"/>
      <c r="AJ833" s="52"/>
      <c r="AK833" s="58"/>
      <c r="AL833" s="57"/>
      <c r="AM833" s="52"/>
      <c r="AN833" s="52"/>
      <c r="AO833" s="58"/>
      <c r="AP833" s="57"/>
      <c r="AQ833" s="52"/>
      <c r="AR833" s="52"/>
      <c r="AS833" s="58"/>
      <c r="AT833" s="57"/>
      <c r="AU833" s="52"/>
      <c r="AV833" s="52"/>
      <c r="AW833" s="58"/>
      <c r="AX833" s="33">
        <f t="shared" si="747"/>
        <v>0</v>
      </c>
      <c r="AY833" s="31">
        <f t="shared" si="748"/>
        <v>0</v>
      </c>
      <c r="AZ833" s="30">
        <f t="shared" si="749"/>
        <v>0</v>
      </c>
      <c r="BA833" s="34"/>
      <c r="BB833" s="34"/>
      <c r="BC833" s="34"/>
      <c r="BD833" s="76"/>
      <c r="BE833" s="34"/>
      <c r="BF833" s="34"/>
      <c r="BG833" s="34"/>
      <c r="BH833" s="34"/>
    </row>
    <row r="834" spans="1:60" s="17" customFormat="1" ht="19.5" customHeight="1" x14ac:dyDescent="0.35">
      <c r="A834" s="41">
        <f t="shared" ref="A834:B834" si="753">A833</f>
        <v>45441</v>
      </c>
      <c r="B834" s="37" t="str">
        <f t="shared" si="753"/>
        <v>Kol Reçme</v>
      </c>
      <c r="C834" s="65">
        <f t="shared" si="752"/>
        <v>0</v>
      </c>
      <c r="D834" s="67">
        <f t="shared" si="746"/>
        <v>60</v>
      </c>
      <c r="E834" s="57"/>
      <c r="F834" s="52"/>
      <c r="G834" s="52"/>
      <c r="H834" s="58"/>
      <c r="I834" s="57"/>
      <c r="J834" s="52"/>
      <c r="K834" s="52"/>
      <c r="L834" s="58"/>
      <c r="M834" s="57"/>
      <c r="N834" s="52"/>
      <c r="O834" s="52"/>
      <c r="P834" s="78"/>
      <c r="Q834" s="57"/>
      <c r="R834" s="52"/>
      <c r="S834" s="52"/>
      <c r="T834" s="52"/>
      <c r="U834" s="58"/>
      <c r="V834" s="80"/>
      <c r="W834" s="52"/>
      <c r="X834" s="52"/>
      <c r="Y834" s="58"/>
      <c r="Z834" s="57"/>
      <c r="AA834" s="52"/>
      <c r="AB834" s="52"/>
      <c r="AC834" s="58"/>
      <c r="AD834" s="57"/>
      <c r="AE834" s="52"/>
      <c r="AF834" s="52"/>
      <c r="AG834" s="58"/>
      <c r="AH834" s="57"/>
      <c r="AI834" s="52"/>
      <c r="AJ834" s="52"/>
      <c r="AK834" s="58"/>
      <c r="AL834" s="57"/>
      <c r="AM834" s="52"/>
      <c r="AN834" s="52"/>
      <c r="AO834" s="58"/>
      <c r="AP834" s="57"/>
      <c r="AQ834" s="52"/>
      <c r="AR834" s="52"/>
      <c r="AS834" s="58"/>
      <c r="AT834" s="57"/>
      <c r="AU834" s="52"/>
      <c r="AV834" s="52"/>
      <c r="AW834" s="58"/>
      <c r="AX834" s="33">
        <f t="shared" si="747"/>
        <v>0</v>
      </c>
      <c r="AY834" s="31">
        <f t="shared" si="748"/>
        <v>0</v>
      </c>
      <c r="AZ834" s="30">
        <f t="shared" si="749"/>
        <v>0</v>
      </c>
      <c r="BA834" s="34"/>
      <c r="BB834" s="34"/>
      <c r="BC834" s="34"/>
      <c r="BD834" s="76"/>
      <c r="BE834" s="34"/>
      <c r="BF834" s="34"/>
      <c r="BG834" s="34"/>
      <c r="BH834" s="34"/>
    </row>
    <row r="835" spans="1:60" s="17" customFormat="1" ht="19.5" customHeight="1" thickBot="1" x14ac:dyDescent="0.4">
      <c r="A835" s="41">
        <f t="shared" ref="A835:B836" si="754">A834</f>
        <v>45441</v>
      </c>
      <c r="B835" s="37" t="str">
        <f t="shared" si="754"/>
        <v>Kol Reçme</v>
      </c>
      <c r="C835" s="65">
        <f t="shared" si="752"/>
        <v>0</v>
      </c>
      <c r="D835" s="67">
        <f t="shared" si="746"/>
        <v>60</v>
      </c>
      <c r="E835" s="59"/>
      <c r="F835" s="60"/>
      <c r="G835" s="61"/>
      <c r="H835" s="62"/>
      <c r="I835" s="59"/>
      <c r="J835" s="60"/>
      <c r="K835" s="61"/>
      <c r="L835" s="62"/>
      <c r="M835" s="59"/>
      <c r="N835" s="60"/>
      <c r="O835" s="61"/>
      <c r="P835" s="79"/>
      <c r="Q835" s="64"/>
      <c r="R835" s="61"/>
      <c r="S835" s="61"/>
      <c r="T835" s="61"/>
      <c r="U835" s="62"/>
      <c r="V835" s="81"/>
      <c r="W835" s="60"/>
      <c r="X835" s="61"/>
      <c r="Y835" s="62"/>
      <c r="Z835" s="59"/>
      <c r="AA835" s="60"/>
      <c r="AB835" s="61"/>
      <c r="AC835" s="62"/>
      <c r="AD835" s="59"/>
      <c r="AE835" s="60"/>
      <c r="AF835" s="61"/>
      <c r="AG835" s="62"/>
      <c r="AH835" s="59"/>
      <c r="AI835" s="60"/>
      <c r="AJ835" s="61"/>
      <c r="AK835" s="62"/>
      <c r="AL835" s="59"/>
      <c r="AM835" s="60"/>
      <c r="AN835" s="61"/>
      <c r="AO835" s="62"/>
      <c r="AP835" s="59"/>
      <c r="AQ835" s="60"/>
      <c r="AR835" s="61"/>
      <c r="AS835" s="62"/>
      <c r="AT835" s="59"/>
      <c r="AU835" s="60"/>
      <c r="AV835" s="61"/>
      <c r="AW835" s="62"/>
      <c r="AX835" s="33">
        <f t="shared" si="747"/>
        <v>0</v>
      </c>
      <c r="AY835" s="31">
        <f t="shared" si="748"/>
        <v>0</v>
      </c>
      <c r="AZ835" s="30">
        <f t="shared" si="749"/>
        <v>0</v>
      </c>
      <c r="BA835" s="34"/>
      <c r="BB835" s="34"/>
      <c r="BC835" s="34"/>
      <c r="BD835" s="76"/>
      <c r="BE835" s="34"/>
      <c r="BF835" s="34"/>
      <c r="BG835" s="34"/>
      <c r="BH835" s="34"/>
    </row>
    <row r="836" spans="1:60" s="17" customFormat="1" ht="19.5" customHeight="1" thickBot="1" x14ac:dyDescent="0.45">
      <c r="A836" s="41">
        <f t="shared" si="754"/>
        <v>45441</v>
      </c>
      <c r="B836" s="139" t="str">
        <f>B829</f>
        <v>Kol Reçme</v>
      </c>
      <c r="C836" s="140"/>
      <c r="D836" s="40">
        <f>C710/8</f>
        <v>500</v>
      </c>
      <c r="E836" s="147">
        <f>SUM(E829:H835)</f>
        <v>420</v>
      </c>
      <c r="F836" s="148"/>
      <c r="G836" s="148"/>
      <c r="H836" s="149"/>
      <c r="I836" s="147">
        <f>SUM(I829:L835)</f>
        <v>440</v>
      </c>
      <c r="J836" s="148"/>
      <c r="K836" s="148"/>
      <c r="L836" s="149"/>
      <c r="M836" s="147">
        <f>SUM(M829:P835)</f>
        <v>474</v>
      </c>
      <c r="N836" s="148"/>
      <c r="O836" s="148"/>
      <c r="P836" s="149"/>
      <c r="Q836" s="151">
        <f>SUM(Q829:U835)</f>
        <v>563</v>
      </c>
      <c r="R836" s="152"/>
      <c r="S836" s="152"/>
      <c r="T836" s="152"/>
      <c r="U836" s="153"/>
      <c r="V836" s="147">
        <f>SUM(V829:Y835)</f>
        <v>471</v>
      </c>
      <c r="W836" s="148"/>
      <c r="X836" s="148"/>
      <c r="Y836" s="149"/>
      <c r="Z836" s="147">
        <f>SUM(Z829:AC835)</f>
        <v>482</v>
      </c>
      <c r="AA836" s="148"/>
      <c r="AB836" s="148"/>
      <c r="AC836" s="149"/>
      <c r="AD836" s="147">
        <f>SUM(AD829:AG835)</f>
        <v>520</v>
      </c>
      <c r="AE836" s="148"/>
      <c r="AF836" s="148"/>
      <c r="AG836" s="149"/>
      <c r="AH836" s="147">
        <f>SUM(AH829:AK835)</f>
        <v>462</v>
      </c>
      <c r="AI836" s="148"/>
      <c r="AJ836" s="148"/>
      <c r="AK836" s="149"/>
      <c r="AL836" s="147">
        <f>SUM(AL829:AO835)</f>
        <v>286</v>
      </c>
      <c r="AM836" s="148"/>
      <c r="AN836" s="148"/>
      <c r="AO836" s="149"/>
      <c r="AP836" s="147">
        <f>SUM(AP829:AS835)</f>
        <v>0</v>
      </c>
      <c r="AQ836" s="148"/>
      <c r="AR836" s="148"/>
      <c r="AS836" s="149"/>
      <c r="AT836" s="147">
        <f>SUM(AT829:AW835)</f>
        <v>0</v>
      </c>
      <c r="AU836" s="148"/>
      <c r="AV836" s="148"/>
      <c r="AW836" s="149"/>
      <c r="AX836" s="87">
        <f>SUM(AX829:AX835)</f>
        <v>4118</v>
      </c>
      <c r="AY836" s="88">
        <f>IFERROR(AVERAGEIF(E836:AV836,"&lt;&gt;0",(E836:AV836)),)</f>
        <v>457.55555555555554</v>
      </c>
      <c r="AZ836" s="46">
        <f>IFERROR(AX836/BB830,0)</f>
        <v>1.0295000000000001</v>
      </c>
      <c r="BA836" s="34"/>
      <c r="BB836" s="34"/>
      <c r="BC836" s="34"/>
      <c r="BD836" s="76"/>
      <c r="BE836" s="34"/>
      <c r="BF836" s="34"/>
      <c r="BG836" s="34"/>
      <c r="BH836" s="34"/>
    </row>
    <row r="837" spans="1:60" s="17" customFormat="1" ht="19.5" customHeight="1" thickBot="1" x14ac:dyDescent="0.4">
      <c r="A837" s="42">
        <f>A828</f>
        <v>45441</v>
      </c>
      <c r="B837" s="38" t="str">
        <f>B838</f>
        <v>Etek Reçme</v>
      </c>
      <c r="C837" s="39" t="s">
        <v>180</v>
      </c>
      <c r="D837" s="69" t="s">
        <v>181</v>
      </c>
      <c r="E837" s="48">
        <v>0.34375</v>
      </c>
      <c r="F837" s="49">
        <v>0.35416666666666669</v>
      </c>
      <c r="G837" s="49">
        <v>0.36458333333333331</v>
      </c>
      <c r="H837" s="50">
        <v>0.375</v>
      </c>
      <c r="I837" s="48">
        <v>0.38541666666666702</v>
      </c>
      <c r="J837" s="49">
        <v>0.39583333333333298</v>
      </c>
      <c r="K837" s="49">
        <v>0.40625</v>
      </c>
      <c r="L837" s="50">
        <v>0.41666666666666702</v>
      </c>
      <c r="M837" s="48">
        <v>0.4375</v>
      </c>
      <c r="N837" s="49">
        <v>0.44791666666666702</v>
      </c>
      <c r="O837" s="49">
        <v>0.45833333333333398</v>
      </c>
      <c r="P837" s="50">
        <v>0.46875</v>
      </c>
      <c r="Q837" s="82">
        <v>0.47916666666666702</v>
      </c>
      <c r="R837" s="83">
        <v>0.48958333333333398</v>
      </c>
      <c r="S837" s="83">
        <v>0.5</v>
      </c>
      <c r="T837" s="84">
        <v>0.51041666666666696</v>
      </c>
      <c r="U837" s="85">
        <v>0.52083333333333204</v>
      </c>
      <c r="V837" s="48">
        <v>0.5625</v>
      </c>
      <c r="W837" s="49">
        <v>0.57291666666666663</v>
      </c>
      <c r="X837" s="49">
        <v>0.58333333333333304</v>
      </c>
      <c r="Y837" s="50">
        <v>0.59375</v>
      </c>
      <c r="Z837" s="48">
        <v>0.60416666666666696</v>
      </c>
      <c r="AA837" s="49">
        <v>0.61458333333333304</v>
      </c>
      <c r="AB837" s="49">
        <v>0.625</v>
      </c>
      <c r="AC837" s="50">
        <v>0.63541666666666596</v>
      </c>
      <c r="AD837" s="48">
        <v>0.65625</v>
      </c>
      <c r="AE837" s="49">
        <v>0.66666666666666663</v>
      </c>
      <c r="AF837" s="49">
        <v>0.67708333333333304</v>
      </c>
      <c r="AG837" s="50">
        <v>0.6875</v>
      </c>
      <c r="AH837" s="48">
        <v>0.69791666666666696</v>
      </c>
      <c r="AI837" s="49">
        <v>0.70833333333333304</v>
      </c>
      <c r="AJ837" s="49">
        <v>0.71875</v>
      </c>
      <c r="AK837" s="50">
        <v>0.72916666666666696</v>
      </c>
      <c r="AL837" s="48">
        <v>0.73958333333333404</v>
      </c>
      <c r="AM837" s="49">
        <v>0.750000000000001</v>
      </c>
      <c r="AN837" s="49">
        <v>0.76041666666666796</v>
      </c>
      <c r="AO837" s="50">
        <v>0.77083333333333504</v>
      </c>
      <c r="AP837" s="48">
        <v>0.781250000000002</v>
      </c>
      <c r="AQ837" s="49">
        <v>0.79166666666666896</v>
      </c>
      <c r="AR837" s="49">
        <v>0.80208333333333603</v>
      </c>
      <c r="AS837" s="50">
        <v>0.812500000000003</v>
      </c>
      <c r="AT837" s="48">
        <v>0.82291666666666996</v>
      </c>
      <c r="AU837" s="49">
        <v>0.83333333333333703</v>
      </c>
      <c r="AV837" s="49">
        <v>0.843750000000004</v>
      </c>
      <c r="AW837" s="50">
        <v>0.85416666666666663</v>
      </c>
      <c r="AX837" s="68" t="s">
        <v>260</v>
      </c>
      <c r="AY837" s="28" t="s">
        <v>261</v>
      </c>
      <c r="AZ837" s="29" t="s">
        <v>262</v>
      </c>
      <c r="BA837" s="136" t="str">
        <f>B838</f>
        <v>Etek Reçme</v>
      </c>
      <c r="BB837" s="137"/>
      <c r="BC837" s="137"/>
      <c r="BD837" s="137"/>
      <c r="BE837" s="137"/>
      <c r="BF837" s="137"/>
      <c r="BG837" s="137"/>
      <c r="BH837" s="138"/>
    </row>
    <row r="838" spans="1:60" s="17" customFormat="1" ht="19.5" customHeight="1" thickBot="1" x14ac:dyDescent="0.4">
      <c r="A838" s="41">
        <f t="shared" ref="A838" si="755">A837</f>
        <v>45441</v>
      </c>
      <c r="B838" s="37" t="str">
        <f>B662</f>
        <v>Etek Reçme</v>
      </c>
      <c r="C838" s="65" t="str">
        <f>C662</f>
        <v>BEGÜM DURMAZ</v>
      </c>
      <c r="D838" s="70">
        <f>D662</f>
        <v>120</v>
      </c>
      <c r="E838" s="63">
        <v>150</v>
      </c>
      <c r="F838" s="55">
        <v>130</v>
      </c>
      <c r="G838" s="55">
        <v>90</v>
      </c>
      <c r="H838" s="56">
        <v>120</v>
      </c>
      <c r="I838" s="63">
        <v>120</v>
      </c>
      <c r="J838" s="55">
        <v>93</v>
      </c>
      <c r="K838" s="55">
        <v>75</v>
      </c>
      <c r="L838" s="56">
        <v>34</v>
      </c>
      <c r="M838" s="63">
        <v>150</v>
      </c>
      <c r="N838" s="55">
        <v>158</v>
      </c>
      <c r="O838" s="55">
        <v>135</v>
      </c>
      <c r="P838" s="56">
        <v>125</v>
      </c>
      <c r="Q838" s="63">
        <v>110</v>
      </c>
      <c r="R838" s="55">
        <v>135</v>
      </c>
      <c r="S838" s="55">
        <v>99</v>
      </c>
      <c r="T838" s="55">
        <v>120</v>
      </c>
      <c r="U838" s="56">
        <v>0</v>
      </c>
      <c r="V838" s="63">
        <v>95</v>
      </c>
      <c r="W838" s="55">
        <v>165</v>
      </c>
      <c r="X838" s="55">
        <v>92</v>
      </c>
      <c r="Y838" s="56">
        <v>140</v>
      </c>
      <c r="Z838" s="63">
        <v>107</v>
      </c>
      <c r="AA838" s="55">
        <v>107</v>
      </c>
      <c r="AB838" s="55">
        <v>104</v>
      </c>
      <c r="AC838" s="56">
        <v>120</v>
      </c>
      <c r="AD838" s="63">
        <v>105</v>
      </c>
      <c r="AE838" s="55">
        <v>100</v>
      </c>
      <c r="AF838" s="55">
        <v>100</v>
      </c>
      <c r="AG838" s="56">
        <v>100</v>
      </c>
      <c r="AH838" s="63">
        <v>100</v>
      </c>
      <c r="AI838" s="55">
        <v>90</v>
      </c>
      <c r="AJ838" s="55">
        <v>100</v>
      </c>
      <c r="AK838" s="56">
        <v>90</v>
      </c>
      <c r="AL838" s="53">
        <v>120</v>
      </c>
      <c r="AM838" s="54">
        <v>135</v>
      </c>
      <c r="AN838" s="55">
        <v>120</v>
      </c>
      <c r="AO838" s="56"/>
      <c r="AP838" s="53"/>
      <c r="AQ838" s="54"/>
      <c r="AR838" s="55"/>
      <c r="AS838" s="56"/>
      <c r="AT838" s="53"/>
      <c r="AU838" s="54"/>
      <c r="AV838" s="55"/>
      <c r="AW838" s="56"/>
      <c r="AX838" s="33">
        <f>SUM(E838:AW838)</f>
        <v>3934</v>
      </c>
      <c r="AY838" s="31">
        <f>IFERROR(AVERAGEIF(E838:AW838,"&lt;&gt;0",(E838:AW838)),)</f>
        <v>112.4</v>
      </c>
      <c r="AZ838" s="30">
        <f>IFERROR(AY838/D838,0)</f>
        <v>0.93666666666666676</v>
      </c>
      <c r="BA838" s="103" t="s">
        <v>182</v>
      </c>
      <c r="BB838" s="100" t="s">
        <v>183</v>
      </c>
      <c r="BC838" s="100" t="s">
        <v>184</v>
      </c>
      <c r="BD838" s="101" t="s">
        <v>185</v>
      </c>
      <c r="BE838" s="100" t="s">
        <v>186</v>
      </c>
      <c r="BF838" s="102" t="s">
        <v>187</v>
      </c>
      <c r="BG838" s="100" t="s">
        <v>188</v>
      </c>
      <c r="BH838" s="102" t="s">
        <v>189</v>
      </c>
    </row>
    <row r="839" spans="1:60" s="17" customFormat="1" ht="19.5" customHeight="1" thickBot="1" x14ac:dyDescent="0.4">
      <c r="A839" s="41">
        <f t="shared" ref="A839:B839" si="756">A838</f>
        <v>45441</v>
      </c>
      <c r="B839" s="37" t="str">
        <f t="shared" si="756"/>
        <v>Etek Reçme</v>
      </c>
      <c r="C839" s="65">
        <f t="shared" ref="C839:C844" si="757">C663</f>
        <v>0</v>
      </c>
      <c r="D839" s="67">
        <f t="shared" ref="D839:D844" si="758">D838</f>
        <v>120</v>
      </c>
      <c r="E839" s="57"/>
      <c r="F839" s="52"/>
      <c r="G839" s="52"/>
      <c r="H839" s="58"/>
      <c r="I839" s="57"/>
      <c r="J839" s="52"/>
      <c r="K839" s="52"/>
      <c r="L839" s="58"/>
      <c r="M839" s="57"/>
      <c r="N839" s="52"/>
      <c r="O839" s="52"/>
      <c r="P839" s="58"/>
      <c r="Q839" s="57"/>
      <c r="R839" s="52"/>
      <c r="S839" s="52"/>
      <c r="T839" s="52"/>
      <c r="U839" s="58"/>
      <c r="V839" s="57"/>
      <c r="W839" s="52"/>
      <c r="X839" s="52"/>
      <c r="Y839" s="58"/>
      <c r="Z839" s="57"/>
      <c r="AA839" s="52"/>
      <c r="AB839" s="52"/>
      <c r="AC839" s="58"/>
      <c r="AD839" s="57"/>
      <c r="AE839" s="52"/>
      <c r="AF839" s="52"/>
      <c r="AG839" s="58"/>
      <c r="AH839" s="57"/>
      <c r="AI839" s="52"/>
      <c r="AJ839" s="52"/>
      <c r="AK839" s="58"/>
      <c r="AL839" s="57"/>
      <c r="AM839" s="52"/>
      <c r="AN839" s="52"/>
      <c r="AO839" s="58"/>
      <c r="AP839" s="57"/>
      <c r="AQ839" s="52"/>
      <c r="AR839" s="52"/>
      <c r="AS839" s="58"/>
      <c r="AT839" s="57"/>
      <c r="AU839" s="52"/>
      <c r="AV839" s="52"/>
      <c r="AW839" s="58"/>
      <c r="AX839" s="33">
        <f t="shared" ref="AX839:AX844" si="759">SUM(E839:AW839)</f>
        <v>0</v>
      </c>
      <c r="AY839" s="31">
        <f t="shared" ref="AY839:AY844" si="760">IFERROR(AVERAGEIF(E839:AW839,"&lt;&gt;0",(E839:AW839)),)</f>
        <v>0</v>
      </c>
      <c r="AZ839" s="30">
        <f t="shared" ref="AZ839:AZ844" si="761">IFERROR(AY839/D839,0)</f>
        <v>0</v>
      </c>
      <c r="BA839" s="94">
        <f>AX845+BA663</f>
        <v>5761</v>
      </c>
      <c r="BB839" s="95">
        <f>(D845*8)</f>
        <v>4000</v>
      </c>
      <c r="BC839" s="96">
        <f>C709-BA839</f>
        <v>36550</v>
      </c>
      <c r="BD839" s="96">
        <f>BA830-BA839</f>
        <v>504</v>
      </c>
      <c r="BE839" s="97">
        <f>IFERROR(BC839/E845,0)</f>
        <v>74.591836734693871</v>
      </c>
      <c r="BF839" s="98">
        <f>IFERROR(BE839/9,0)</f>
        <v>8.2879818594104293</v>
      </c>
      <c r="BG839" s="97">
        <f>IFERROR(BC839/AY845,0)</f>
        <v>83.617183528215563</v>
      </c>
      <c r="BH839" s="97">
        <f>IFERROR(BG839/9,0)</f>
        <v>9.2907981698017288</v>
      </c>
    </row>
    <row r="840" spans="1:60" s="17" customFormat="1" ht="19.5" customHeight="1" x14ac:dyDescent="0.35">
      <c r="A840" s="41">
        <f t="shared" ref="A840:B840" si="762">A839</f>
        <v>45441</v>
      </c>
      <c r="B840" s="37" t="str">
        <f t="shared" si="762"/>
        <v>Etek Reçme</v>
      </c>
      <c r="C840" s="65">
        <f t="shared" si="757"/>
        <v>0</v>
      </c>
      <c r="D840" s="67">
        <f t="shared" si="758"/>
        <v>120</v>
      </c>
      <c r="E840" s="57"/>
      <c r="F840" s="52"/>
      <c r="G840" s="52"/>
      <c r="H840" s="58"/>
      <c r="I840" s="57"/>
      <c r="J840" s="52"/>
      <c r="K840" s="52"/>
      <c r="L840" s="58"/>
      <c r="M840" s="57"/>
      <c r="N840" s="52"/>
      <c r="O840" s="52"/>
      <c r="P840" s="58"/>
      <c r="Q840" s="57"/>
      <c r="R840" s="52"/>
      <c r="S840" s="52"/>
      <c r="T840" s="52"/>
      <c r="U840" s="58"/>
      <c r="V840" s="57"/>
      <c r="W840" s="52"/>
      <c r="X840" s="52"/>
      <c r="Y840" s="58"/>
      <c r="Z840" s="57"/>
      <c r="AA840" s="52"/>
      <c r="AB840" s="52"/>
      <c r="AC840" s="58"/>
      <c r="AD840" s="57"/>
      <c r="AE840" s="52"/>
      <c r="AF840" s="52"/>
      <c r="AG840" s="58"/>
      <c r="AH840" s="57"/>
      <c r="AI840" s="52"/>
      <c r="AJ840" s="52"/>
      <c r="AK840" s="58"/>
      <c r="AL840" s="57"/>
      <c r="AM840" s="52"/>
      <c r="AN840" s="52"/>
      <c r="AO840" s="58"/>
      <c r="AP840" s="57"/>
      <c r="AQ840" s="52"/>
      <c r="AR840" s="52"/>
      <c r="AS840" s="58"/>
      <c r="AT840" s="57"/>
      <c r="AU840" s="52"/>
      <c r="AV840" s="52"/>
      <c r="AW840" s="58"/>
      <c r="AX840" s="33">
        <f t="shared" si="759"/>
        <v>0</v>
      </c>
      <c r="AY840" s="31">
        <f t="shared" si="760"/>
        <v>0</v>
      </c>
      <c r="AZ840" s="30">
        <f t="shared" si="761"/>
        <v>0</v>
      </c>
      <c r="BA840" s="34"/>
      <c r="BB840" s="34"/>
      <c r="BC840" s="34"/>
      <c r="BD840" s="76"/>
      <c r="BE840" s="34"/>
      <c r="BF840" s="34"/>
      <c r="BG840" s="34"/>
      <c r="BH840" s="34"/>
    </row>
    <row r="841" spans="1:60" s="17" customFormat="1" ht="19.5" customHeight="1" x14ac:dyDescent="0.35">
      <c r="A841" s="41">
        <f t="shared" ref="A841:B842" si="763">A840</f>
        <v>45441</v>
      </c>
      <c r="B841" s="37" t="str">
        <f t="shared" si="763"/>
        <v>Etek Reçme</v>
      </c>
      <c r="C841" s="65">
        <f t="shared" si="757"/>
        <v>0</v>
      </c>
      <c r="D841" s="67">
        <f t="shared" si="758"/>
        <v>120</v>
      </c>
      <c r="E841" s="57"/>
      <c r="F841" s="52"/>
      <c r="G841" s="52"/>
      <c r="H841" s="58"/>
      <c r="I841" s="57"/>
      <c r="J841" s="52"/>
      <c r="K841" s="52"/>
      <c r="L841" s="58"/>
      <c r="M841" s="57"/>
      <c r="N841" s="52"/>
      <c r="O841" s="52"/>
      <c r="P841" s="58"/>
      <c r="Q841" s="57"/>
      <c r="R841" s="52"/>
      <c r="S841" s="52"/>
      <c r="T841" s="52"/>
      <c r="U841" s="58"/>
      <c r="V841" s="57"/>
      <c r="W841" s="52"/>
      <c r="X841" s="52"/>
      <c r="Y841" s="58"/>
      <c r="Z841" s="57"/>
      <c r="AA841" s="52"/>
      <c r="AB841" s="52"/>
      <c r="AC841" s="58"/>
      <c r="AD841" s="57"/>
      <c r="AE841" s="52"/>
      <c r="AF841" s="52"/>
      <c r="AG841" s="58"/>
      <c r="AH841" s="57"/>
      <c r="AI841" s="52"/>
      <c r="AJ841" s="52"/>
      <c r="AK841" s="58"/>
      <c r="AL841" s="57"/>
      <c r="AM841" s="52"/>
      <c r="AN841" s="52"/>
      <c r="AO841" s="58"/>
      <c r="AP841" s="57"/>
      <c r="AQ841" s="52"/>
      <c r="AR841" s="52"/>
      <c r="AS841" s="58"/>
      <c r="AT841" s="57"/>
      <c r="AU841" s="52"/>
      <c r="AV841" s="52"/>
      <c r="AW841" s="58"/>
      <c r="AX841" s="33">
        <f t="shared" si="759"/>
        <v>0</v>
      </c>
      <c r="AY841" s="31">
        <f t="shared" si="760"/>
        <v>0</v>
      </c>
      <c r="AZ841" s="30">
        <f t="shared" si="761"/>
        <v>0</v>
      </c>
      <c r="BA841" s="34"/>
      <c r="BB841" s="34"/>
      <c r="BC841" s="34"/>
      <c r="BD841" s="76"/>
      <c r="BE841" s="34"/>
      <c r="BF841" s="34"/>
      <c r="BG841" s="34"/>
      <c r="BH841" s="34"/>
    </row>
    <row r="842" spans="1:60" s="17" customFormat="1" ht="19.5" customHeight="1" x14ac:dyDescent="0.35">
      <c r="A842" s="41">
        <f>A839</f>
        <v>45441</v>
      </c>
      <c r="B842" s="37" t="str">
        <f t="shared" si="763"/>
        <v>Etek Reçme</v>
      </c>
      <c r="C842" s="65">
        <f t="shared" si="757"/>
        <v>0</v>
      </c>
      <c r="D842" s="67">
        <f t="shared" si="758"/>
        <v>120</v>
      </c>
      <c r="E842" s="57"/>
      <c r="F842" s="52"/>
      <c r="G842" s="52"/>
      <c r="H842" s="58"/>
      <c r="I842" s="57"/>
      <c r="J842" s="52"/>
      <c r="K842" s="52"/>
      <c r="L842" s="58"/>
      <c r="M842" s="57"/>
      <c r="N842" s="52"/>
      <c r="O842" s="52"/>
      <c r="P842" s="58"/>
      <c r="Q842" s="57"/>
      <c r="R842" s="52"/>
      <c r="S842" s="52"/>
      <c r="T842" s="52"/>
      <c r="U842" s="58"/>
      <c r="V842" s="57"/>
      <c r="W842" s="52"/>
      <c r="X842" s="52"/>
      <c r="Y842" s="58"/>
      <c r="Z842" s="57"/>
      <c r="AA842" s="52"/>
      <c r="AB842" s="52"/>
      <c r="AC842" s="58"/>
      <c r="AD842" s="57"/>
      <c r="AE842" s="52"/>
      <c r="AF842" s="52"/>
      <c r="AG842" s="58"/>
      <c r="AH842" s="57"/>
      <c r="AI842" s="52"/>
      <c r="AJ842" s="52"/>
      <c r="AK842" s="58"/>
      <c r="AL842" s="57"/>
      <c r="AM842" s="52"/>
      <c r="AN842" s="52"/>
      <c r="AO842" s="58"/>
      <c r="AP842" s="57"/>
      <c r="AQ842" s="52"/>
      <c r="AR842" s="52"/>
      <c r="AS842" s="58"/>
      <c r="AT842" s="57"/>
      <c r="AU842" s="52"/>
      <c r="AV842" s="52"/>
      <c r="AW842" s="58"/>
      <c r="AX842" s="33">
        <f t="shared" si="759"/>
        <v>0</v>
      </c>
      <c r="AY842" s="31">
        <f t="shared" si="760"/>
        <v>0</v>
      </c>
      <c r="AZ842" s="30">
        <f t="shared" si="761"/>
        <v>0</v>
      </c>
      <c r="BA842" s="34"/>
      <c r="BB842" s="34"/>
      <c r="BC842" s="34"/>
      <c r="BD842" s="76"/>
      <c r="BE842" s="34"/>
      <c r="BF842" s="34"/>
      <c r="BG842" s="34"/>
      <c r="BH842" s="34"/>
    </row>
    <row r="843" spans="1:60" s="17" customFormat="1" ht="19.5" customHeight="1" x14ac:dyDescent="0.35">
      <c r="A843" s="41">
        <f t="shared" ref="A843:B843" si="764">A842</f>
        <v>45441</v>
      </c>
      <c r="B843" s="37" t="str">
        <f t="shared" si="764"/>
        <v>Etek Reçme</v>
      </c>
      <c r="C843" s="65">
        <f t="shared" si="757"/>
        <v>0</v>
      </c>
      <c r="D843" s="67">
        <f t="shared" si="758"/>
        <v>120</v>
      </c>
      <c r="E843" s="57"/>
      <c r="F843" s="52"/>
      <c r="G843" s="52"/>
      <c r="H843" s="58"/>
      <c r="I843" s="57"/>
      <c r="J843" s="52"/>
      <c r="K843" s="52"/>
      <c r="L843" s="58"/>
      <c r="M843" s="57"/>
      <c r="N843" s="52"/>
      <c r="O843" s="52"/>
      <c r="P843" s="78"/>
      <c r="Q843" s="57"/>
      <c r="R843" s="52"/>
      <c r="S843" s="52"/>
      <c r="T843" s="52"/>
      <c r="U843" s="58"/>
      <c r="V843" s="80"/>
      <c r="W843" s="52"/>
      <c r="X843" s="52"/>
      <c r="Y843" s="58"/>
      <c r="Z843" s="57"/>
      <c r="AA843" s="52"/>
      <c r="AB843" s="52"/>
      <c r="AC843" s="58"/>
      <c r="AD843" s="57"/>
      <c r="AE843" s="52"/>
      <c r="AF843" s="52"/>
      <c r="AG843" s="58"/>
      <c r="AH843" s="57"/>
      <c r="AI843" s="52"/>
      <c r="AJ843" s="52"/>
      <c r="AK843" s="58"/>
      <c r="AL843" s="57"/>
      <c r="AM843" s="52"/>
      <c r="AN843" s="52"/>
      <c r="AO843" s="58"/>
      <c r="AP843" s="57"/>
      <c r="AQ843" s="52"/>
      <c r="AR843" s="52"/>
      <c r="AS843" s="58"/>
      <c r="AT843" s="57"/>
      <c r="AU843" s="52"/>
      <c r="AV843" s="52"/>
      <c r="AW843" s="58"/>
      <c r="AX843" s="33">
        <f t="shared" si="759"/>
        <v>0</v>
      </c>
      <c r="AY843" s="31">
        <f t="shared" si="760"/>
        <v>0</v>
      </c>
      <c r="AZ843" s="30">
        <f t="shared" si="761"/>
        <v>0</v>
      </c>
      <c r="BA843" s="34"/>
      <c r="BB843" s="34"/>
      <c r="BC843" s="34"/>
      <c r="BD843" s="76"/>
      <c r="BE843" s="34"/>
      <c r="BF843" s="34"/>
      <c r="BG843" s="34"/>
      <c r="BH843" s="34"/>
    </row>
    <row r="844" spans="1:60" s="17" customFormat="1" ht="19.5" customHeight="1" thickBot="1" x14ac:dyDescent="0.4">
      <c r="A844" s="41">
        <f t="shared" ref="A844:B845" si="765">A843</f>
        <v>45441</v>
      </c>
      <c r="B844" s="37" t="str">
        <f t="shared" si="765"/>
        <v>Etek Reçme</v>
      </c>
      <c r="C844" s="65">
        <f t="shared" si="757"/>
        <v>0</v>
      </c>
      <c r="D844" s="67">
        <f t="shared" si="758"/>
        <v>120</v>
      </c>
      <c r="E844" s="59"/>
      <c r="F844" s="60"/>
      <c r="G844" s="61"/>
      <c r="H844" s="62"/>
      <c r="I844" s="59"/>
      <c r="J844" s="60"/>
      <c r="K844" s="61"/>
      <c r="L844" s="62"/>
      <c r="M844" s="59"/>
      <c r="N844" s="60"/>
      <c r="O844" s="61"/>
      <c r="P844" s="79"/>
      <c r="Q844" s="64"/>
      <c r="R844" s="61"/>
      <c r="S844" s="61"/>
      <c r="T844" s="61"/>
      <c r="U844" s="62"/>
      <c r="V844" s="81"/>
      <c r="W844" s="60"/>
      <c r="X844" s="61"/>
      <c r="Y844" s="62"/>
      <c r="Z844" s="59"/>
      <c r="AA844" s="60"/>
      <c r="AB844" s="61"/>
      <c r="AC844" s="62"/>
      <c r="AD844" s="59"/>
      <c r="AE844" s="60"/>
      <c r="AF844" s="61"/>
      <c r="AG844" s="62"/>
      <c r="AH844" s="59"/>
      <c r="AI844" s="60"/>
      <c r="AJ844" s="61"/>
      <c r="AK844" s="62"/>
      <c r="AL844" s="59"/>
      <c r="AM844" s="60"/>
      <c r="AN844" s="61"/>
      <c r="AO844" s="62"/>
      <c r="AP844" s="59"/>
      <c r="AQ844" s="60"/>
      <c r="AR844" s="61"/>
      <c r="AS844" s="62"/>
      <c r="AT844" s="59"/>
      <c r="AU844" s="60"/>
      <c r="AV844" s="61"/>
      <c r="AW844" s="62"/>
      <c r="AX844" s="33">
        <f t="shared" si="759"/>
        <v>0</v>
      </c>
      <c r="AY844" s="31">
        <f t="shared" si="760"/>
        <v>0</v>
      </c>
      <c r="AZ844" s="30">
        <f t="shared" si="761"/>
        <v>0</v>
      </c>
      <c r="BA844" s="34"/>
      <c r="BB844" s="34"/>
      <c r="BC844" s="34"/>
      <c r="BD844" s="76"/>
      <c r="BE844" s="34"/>
      <c r="BF844" s="34"/>
      <c r="BG844" s="34"/>
      <c r="BH844" s="34"/>
    </row>
    <row r="845" spans="1:60" s="17" customFormat="1" ht="19.5" customHeight="1" thickBot="1" x14ac:dyDescent="0.45">
      <c r="A845" s="41">
        <f t="shared" si="765"/>
        <v>45441</v>
      </c>
      <c r="B845" s="139" t="str">
        <f>B838</f>
        <v>Etek Reçme</v>
      </c>
      <c r="C845" s="140"/>
      <c r="D845" s="40">
        <f>C710/8</f>
        <v>500</v>
      </c>
      <c r="E845" s="147">
        <f>SUM(E838:H844)</f>
        <v>490</v>
      </c>
      <c r="F845" s="148"/>
      <c r="G845" s="148"/>
      <c r="H845" s="149"/>
      <c r="I845" s="147">
        <f>SUM(I838:L844)</f>
        <v>322</v>
      </c>
      <c r="J845" s="148"/>
      <c r="K845" s="148"/>
      <c r="L845" s="149"/>
      <c r="M845" s="147">
        <f>SUM(M838:P844)</f>
        <v>568</v>
      </c>
      <c r="N845" s="148"/>
      <c r="O845" s="148"/>
      <c r="P845" s="149"/>
      <c r="Q845" s="151">
        <f>SUM(Q838:U844)</f>
        <v>464</v>
      </c>
      <c r="R845" s="152"/>
      <c r="S845" s="152"/>
      <c r="T845" s="152"/>
      <c r="U845" s="153"/>
      <c r="V845" s="147">
        <f>SUM(V838:Y844)</f>
        <v>492</v>
      </c>
      <c r="W845" s="148"/>
      <c r="X845" s="148"/>
      <c r="Y845" s="149"/>
      <c r="Z845" s="147">
        <f>SUM(Z838:AC844)</f>
        <v>438</v>
      </c>
      <c r="AA845" s="148"/>
      <c r="AB845" s="148"/>
      <c r="AC845" s="149"/>
      <c r="AD845" s="147">
        <f>SUM(AD838:AG844)</f>
        <v>405</v>
      </c>
      <c r="AE845" s="148"/>
      <c r="AF845" s="148"/>
      <c r="AG845" s="149"/>
      <c r="AH845" s="147">
        <f>SUM(AH838:AK844)</f>
        <v>380</v>
      </c>
      <c r="AI845" s="148"/>
      <c r="AJ845" s="148"/>
      <c r="AK845" s="149"/>
      <c r="AL845" s="147">
        <f>SUM(AL838:AO844)</f>
        <v>375</v>
      </c>
      <c r="AM845" s="148"/>
      <c r="AN845" s="148"/>
      <c r="AO845" s="149"/>
      <c r="AP845" s="147">
        <f>SUM(AP838:AS844)</f>
        <v>0</v>
      </c>
      <c r="AQ845" s="148"/>
      <c r="AR845" s="148"/>
      <c r="AS845" s="149"/>
      <c r="AT845" s="147">
        <f>SUM(AT838:AW844)</f>
        <v>0</v>
      </c>
      <c r="AU845" s="148"/>
      <c r="AV845" s="148"/>
      <c r="AW845" s="149"/>
      <c r="AX845" s="87">
        <f>SUM(AX838:AX844)</f>
        <v>3934</v>
      </c>
      <c r="AY845" s="88">
        <f>IFERROR(AVERAGEIF(E845:AV845,"&lt;&gt;0",(E845:AV845)),)</f>
        <v>437.11111111111109</v>
      </c>
      <c r="AZ845" s="46">
        <f>IFERROR(AX845/BB839,0)</f>
        <v>0.98350000000000004</v>
      </c>
      <c r="BA845" s="34"/>
      <c r="BB845" s="34"/>
      <c r="BC845" s="34"/>
      <c r="BD845" s="76"/>
      <c r="BE845" s="34"/>
      <c r="BF845" s="34"/>
      <c r="BG845" s="34"/>
      <c r="BH845" s="34"/>
    </row>
    <row r="846" spans="1:60" s="17" customFormat="1" ht="19.5" customHeight="1" thickBot="1" x14ac:dyDescent="0.4">
      <c r="A846" s="42">
        <f>A810</f>
        <v>45441</v>
      </c>
      <c r="B846" s="38" t="str">
        <f>B847</f>
        <v>Çevirme</v>
      </c>
      <c r="C846" s="39" t="s">
        <v>180</v>
      </c>
      <c r="D846" s="69" t="s">
        <v>181</v>
      </c>
      <c r="E846" s="48">
        <v>0.34375</v>
      </c>
      <c r="F846" s="49">
        <v>0.35416666666666669</v>
      </c>
      <c r="G846" s="49">
        <v>0.36458333333333331</v>
      </c>
      <c r="H846" s="50">
        <v>0.375</v>
      </c>
      <c r="I846" s="48">
        <v>0.38541666666666702</v>
      </c>
      <c r="J846" s="49">
        <v>0.39583333333333298</v>
      </c>
      <c r="K846" s="49">
        <v>0.40625</v>
      </c>
      <c r="L846" s="50">
        <v>0.41666666666666702</v>
      </c>
      <c r="M846" s="48">
        <v>0.4375</v>
      </c>
      <c r="N846" s="49">
        <v>0.44791666666666702</v>
      </c>
      <c r="O846" s="49">
        <v>0.45833333333333398</v>
      </c>
      <c r="P846" s="50">
        <v>0.46875</v>
      </c>
      <c r="Q846" s="48">
        <v>0.47916666666666702</v>
      </c>
      <c r="R846" s="49">
        <v>0.48958333333333398</v>
      </c>
      <c r="S846" s="49">
        <v>0.5</v>
      </c>
      <c r="T846" s="50">
        <v>0.51041666666666696</v>
      </c>
      <c r="U846" s="51">
        <v>0.52083333333333204</v>
      </c>
      <c r="V846" s="48">
        <v>0.5625</v>
      </c>
      <c r="W846" s="49">
        <v>0.57291666666666663</v>
      </c>
      <c r="X846" s="49">
        <v>0.58333333333333304</v>
      </c>
      <c r="Y846" s="50">
        <v>0.59375</v>
      </c>
      <c r="Z846" s="48">
        <v>0.60416666666666696</v>
      </c>
      <c r="AA846" s="49">
        <v>0.61458333333333304</v>
      </c>
      <c r="AB846" s="49">
        <v>0.625</v>
      </c>
      <c r="AC846" s="50">
        <v>0.63541666666666596</v>
      </c>
      <c r="AD846" s="48">
        <v>0.65625</v>
      </c>
      <c r="AE846" s="49">
        <v>0.66666666666666663</v>
      </c>
      <c r="AF846" s="49">
        <v>0.67708333333333304</v>
      </c>
      <c r="AG846" s="50">
        <v>0.6875</v>
      </c>
      <c r="AH846" s="48">
        <v>0.69791666666666696</v>
      </c>
      <c r="AI846" s="49">
        <v>0.70833333333333304</v>
      </c>
      <c r="AJ846" s="49">
        <v>0.71875</v>
      </c>
      <c r="AK846" s="50">
        <v>0.72916666666666696</v>
      </c>
      <c r="AL846" s="48">
        <v>0.73958333333333404</v>
      </c>
      <c r="AM846" s="49">
        <v>0.750000000000001</v>
      </c>
      <c r="AN846" s="49">
        <v>0.76041666666666796</v>
      </c>
      <c r="AO846" s="50">
        <v>0.77083333333333504</v>
      </c>
      <c r="AP846" s="48">
        <v>0.781250000000002</v>
      </c>
      <c r="AQ846" s="49">
        <v>0.79166666666666896</v>
      </c>
      <c r="AR846" s="49">
        <v>0.80208333333333603</v>
      </c>
      <c r="AS846" s="50">
        <v>0.812500000000003</v>
      </c>
      <c r="AT846" s="48">
        <v>0.82291666666666996</v>
      </c>
      <c r="AU846" s="49">
        <v>0.83333333333333703</v>
      </c>
      <c r="AV846" s="49">
        <v>0.843750000000004</v>
      </c>
      <c r="AW846" s="50">
        <v>0.85416666666666663</v>
      </c>
      <c r="AX846" s="68" t="s">
        <v>260</v>
      </c>
      <c r="AY846" s="28" t="s">
        <v>261</v>
      </c>
      <c r="AZ846" s="29" t="s">
        <v>262</v>
      </c>
      <c r="BA846" s="136" t="str">
        <f>B847</f>
        <v>Çevirme</v>
      </c>
      <c r="BB846" s="137"/>
      <c r="BC846" s="137"/>
      <c r="BD846" s="137"/>
      <c r="BE846" s="137"/>
      <c r="BF846" s="137"/>
      <c r="BG846" s="137"/>
      <c r="BH846" s="138"/>
    </row>
    <row r="847" spans="1:60" s="17" customFormat="1" ht="19.5" customHeight="1" thickBot="1" x14ac:dyDescent="0.4">
      <c r="A847" s="41">
        <f t="shared" ref="A847" si="766">A846</f>
        <v>45441</v>
      </c>
      <c r="B847" s="37" t="str">
        <f>B671</f>
        <v>Çevirme</v>
      </c>
      <c r="C847" s="65" t="str">
        <f>C671</f>
        <v>SEZER BOZKURT</v>
      </c>
      <c r="D847" s="70">
        <f>D635</f>
        <v>40</v>
      </c>
      <c r="E847" s="63">
        <v>50</v>
      </c>
      <c r="F847" s="55">
        <v>50</v>
      </c>
      <c r="G847" s="55">
        <v>50</v>
      </c>
      <c r="H847" s="56">
        <v>52</v>
      </c>
      <c r="I847" s="63">
        <v>52</v>
      </c>
      <c r="J847" s="55">
        <v>50</v>
      </c>
      <c r="K847" s="55">
        <v>42</v>
      </c>
      <c r="L847" s="56">
        <v>50</v>
      </c>
      <c r="M847" s="63">
        <v>50</v>
      </c>
      <c r="N847" s="55">
        <v>55</v>
      </c>
      <c r="O847" s="55">
        <v>55</v>
      </c>
      <c r="P847" s="56">
        <v>52</v>
      </c>
      <c r="Q847" s="63">
        <v>45</v>
      </c>
      <c r="R847" s="55">
        <v>55</v>
      </c>
      <c r="S847" s="55">
        <v>50</v>
      </c>
      <c r="T847" s="55">
        <v>55</v>
      </c>
      <c r="U847" s="56">
        <v>52</v>
      </c>
      <c r="V847" s="63">
        <v>54</v>
      </c>
      <c r="W847" s="55">
        <v>50</v>
      </c>
      <c r="X847" s="55">
        <v>40</v>
      </c>
      <c r="Y847" s="56">
        <v>46</v>
      </c>
      <c r="Z847" s="63">
        <v>49</v>
      </c>
      <c r="AA847" s="55">
        <v>30</v>
      </c>
      <c r="AB847" s="55">
        <v>41</v>
      </c>
      <c r="AC847" s="56">
        <v>34</v>
      </c>
      <c r="AD847" s="63">
        <v>35</v>
      </c>
      <c r="AE847" s="55">
        <v>33</v>
      </c>
      <c r="AF847" s="55">
        <v>33</v>
      </c>
      <c r="AG847" s="56">
        <v>30</v>
      </c>
      <c r="AH847" s="63">
        <v>25</v>
      </c>
      <c r="AI847" s="55">
        <v>28</v>
      </c>
      <c r="AJ847" s="55">
        <v>30</v>
      </c>
      <c r="AK847" s="56">
        <v>33</v>
      </c>
      <c r="AL847" s="63">
        <v>35</v>
      </c>
      <c r="AM847" s="55">
        <v>43</v>
      </c>
      <c r="AN847" s="55">
        <v>47</v>
      </c>
      <c r="AO847" s="56"/>
      <c r="AP847" s="63"/>
      <c r="AQ847" s="55"/>
      <c r="AR847" s="55"/>
      <c r="AS847" s="56"/>
      <c r="AT847" s="53"/>
      <c r="AU847" s="54"/>
      <c r="AV847" s="55"/>
      <c r="AW847" s="56"/>
      <c r="AX847" s="33">
        <f>SUM(E847:AW847)</f>
        <v>1581</v>
      </c>
      <c r="AY847" s="31">
        <f>IFERROR(AVERAGEIF(E847:AW847,"&lt;&gt;0",(E847:AW847)),)</f>
        <v>43.916666666666664</v>
      </c>
      <c r="AZ847" s="30">
        <f>IFERROR(AY847/D847,0)</f>
        <v>1.0979166666666667</v>
      </c>
      <c r="BA847" s="103" t="s">
        <v>182</v>
      </c>
      <c r="BB847" s="100" t="s">
        <v>183</v>
      </c>
      <c r="BC847" s="100" t="s">
        <v>184</v>
      </c>
      <c r="BD847" s="101" t="s">
        <v>185</v>
      </c>
      <c r="BE847" s="100" t="s">
        <v>186</v>
      </c>
      <c r="BF847" s="102" t="s">
        <v>187</v>
      </c>
      <c r="BG847" s="100" t="s">
        <v>188</v>
      </c>
      <c r="BH847" s="102" t="s">
        <v>189</v>
      </c>
    </row>
    <row r="848" spans="1:60" s="17" customFormat="1" ht="19.5" customHeight="1" thickBot="1" x14ac:dyDescent="0.4">
      <c r="A848" s="41">
        <f t="shared" ref="A848:B848" si="767">A847</f>
        <v>45441</v>
      </c>
      <c r="B848" s="37" t="str">
        <f t="shared" si="767"/>
        <v>Çevirme</v>
      </c>
      <c r="C848" s="65" t="str">
        <f t="shared" ref="C848:C853" si="768">C672</f>
        <v>SEMRA ARAZ</v>
      </c>
      <c r="D848" s="67">
        <f t="shared" ref="D848:D853" si="769">D847</f>
        <v>40</v>
      </c>
      <c r="E848" s="57">
        <v>60</v>
      </c>
      <c r="F848" s="52">
        <v>60</v>
      </c>
      <c r="G848" s="52">
        <v>60</v>
      </c>
      <c r="H848" s="58">
        <v>60</v>
      </c>
      <c r="I848" s="57">
        <v>61</v>
      </c>
      <c r="J848" s="52">
        <v>45</v>
      </c>
      <c r="K848" s="52">
        <v>60</v>
      </c>
      <c r="L848" s="58">
        <v>60</v>
      </c>
      <c r="M848" s="57">
        <v>66</v>
      </c>
      <c r="N848" s="52">
        <v>62</v>
      </c>
      <c r="O848" s="52">
        <v>60</v>
      </c>
      <c r="P848" s="58">
        <v>65</v>
      </c>
      <c r="Q848" s="57">
        <v>61</v>
      </c>
      <c r="R848" s="52">
        <v>65</v>
      </c>
      <c r="S848" s="52">
        <v>65</v>
      </c>
      <c r="T848" s="52">
        <v>65</v>
      </c>
      <c r="U848" s="58">
        <v>64</v>
      </c>
      <c r="V848" s="57">
        <v>65</v>
      </c>
      <c r="W848" s="52">
        <v>65</v>
      </c>
      <c r="X848" s="52">
        <v>65</v>
      </c>
      <c r="Y848" s="58">
        <v>50</v>
      </c>
      <c r="Z848" s="57">
        <v>65</v>
      </c>
      <c r="AA848" s="52">
        <v>65</v>
      </c>
      <c r="AB848" s="52">
        <v>64</v>
      </c>
      <c r="AC848" s="58">
        <v>62</v>
      </c>
      <c r="AD848" s="57">
        <v>40</v>
      </c>
      <c r="AE848" s="52">
        <v>40</v>
      </c>
      <c r="AF848" s="52">
        <v>50</v>
      </c>
      <c r="AG848" s="58">
        <v>50</v>
      </c>
      <c r="AH848" s="57">
        <v>50</v>
      </c>
      <c r="AI848" s="52">
        <v>51</v>
      </c>
      <c r="AJ848" s="52">
        <v>50</v>
      </c>
      <c r="AK848" s="58">
        <v>50</v>
      </c>
      <c r="AL848" s="57">
        <v>54</v>
      </c>
      <c r="AM848" s="52">
        <v>50</v>
      </c>
      <c r="AN848" s="52">
        <v>54</v>
      </c>
      <c r="AO848" s="58"/>
      <c r="AP848" s="57"/>
      <c r="AQ848" s="52"/>
      <c r="AR848" s="52"/>
      <c r="AS848" s="58"/>
      <c r="AT848" s="57"/>
      <c r="AU848" s="52"/>
      <c r="AV848" s="52"/>
      <c r="AW848" s="58"/>
      <c r="AX848" s="33">
        <f t="shared" ref="AX848:AX853" si="770">SUM(E848:AW848)</f>
        <v>2079</v>
      </c>
      <c r="AY848" s="31">
        <f t="shared" ref="AY848:AY853" si="771">IFERROR(AVERAGEIF(E848:AW848,"&lt;&gt;0",(E848:AW848)),)</f>
        <v>57.75</v>
      </c>
      <c r="AZ848" s="30">
        <f t="shared" ref="AZ848:AZ853" si="772">IFERROR(AY848/D848,0)</f>
        <v>1.4437500000000001</v>
      </c>
      <c r="BA848" s="94">
        <f>AX854+BA672</f>
        <v>5787</v>
      </c>
      <c r="BB848" s="95">
        <f>(D854*8)</f>
        <v>4000</v>
      </c>
      <c r="BC848" s="96">
        <f>C709-BA848</f>
        <v>36524</v>
      </c>
      <c r="BD848" s="96">
        <f>BA830-BA848</f>
        <v>478</v>
      </c>
      <c r="BE848" s="97">
        <f>IFERROR(BC848/E854,0)</f>
        <v>82.633484162895925</v>
      </c>
      <c r="BF848" s="98">
        <f>IFERROR(BE848/9,0)</f>
        <v>9.1814982403217691</v>
      </c>
      <c r="BG848" s="97">
        <f>IFERROR(BC848/AY854,0)</f>
        <v>83.834736036725317</v>
      </c>
      <c r="BH848" s="97">
        <f>IFERROR(BG848/9,0)</f>
        <v>9.3149706707472575</v>
      </c>
    </row>
    <row r="849" spans="1:60" s="17" customFormat="1" ht="19.5" customHeight="1" x14ac:dyDescent="0.35">
      <c r="A849" s="41">
        <f t="shared" ref="A849:B849" si="773">A848</f>
        <v>45441</v>
      </c>
      <c r="B849" s="37" t="str">
        <f t="shared" si="773"/>
        <v>Çevirme</v>
      </c>
      <c r="C849" s="65" t="str">
        <f t="shared" si="768"/>
        <v>NECLA KOÇ</v>
      </c>
      <c r="D849" s="67">
        <f t="shared" si="769"/>
        <v>40</v>
      </c>
      <c r="E849" s="57"/>
      <c r="F849" s="52"/>
      <c r="G849" s="52"/>
      <c r="H849" s="58"/>
      <c r="I849" s="57"/>
      <c r="J849" s="52"/>
      <c r="K849" s="52"/>
      <c r="L849" s="58"/>
      <c r="M849" s="57"/>
      <c r="N849" s="52"/>
      <c r="O849" s="52"/>
      <c r="P849" s="58"/>
      <c r="Q849" s="57"/>
      <c r="R849" s="52"/>
      <c r="S849" s="52"/>
      <c r="T849" s="52"/>
      <c r="U849" s="58"/>
      <c r="V849" s="57"/>
      <c r="W849" s="52"/>
      <c r="X849" s="52"/>
      <c r="Y849" s="58"/>
      <c r="Z849" s="57"/>
      <c r="AA849" s="52"/>
      <c r="AB849" s="52"/>
      <c r="AC849" s="58"/>
      <c r="AD849" s="57"/>
      <c r="AE849" s="52"/>
      <c r="AF849" s="52"/>
      <c r="AG849" s="58"/>
      <c r="AH849" s="57"/>
      <c r="AI849" s="52"/>
      <c r="AJ849" s="52"/>
      <c r="AK849" s="58"/>
      <c r="AL849" s="57"/>
      <c r="AM849" s="52"/>
      <c r="AN849" s="52"/>
      <c r="AO849" s="58"/>
      <c r="AP849" s="57"/>
      <c r="AQ849" s="52"/>
      <c r="AR849" s="52"/>
      <c r="AS849" s="58"/>
      <c r="AT849" s="57"/>
      <c r="AU849" s="52"/>
      <c r="AV849" s="52"/>
      <c r="AW849" s="58"/>
      <c r="AX849" s="33">
        <f t="shared" si="770"/>
        <v>0</v>
      </c>
      <c r="AY849" s="31">
        <f t="shared" si="771"/>
        <v>0</v>
      </c>
      <c r="AZ849" s="30">
        <f t="shared" si="772"/>
        <v>0</v>
      </c>
      <c r="BA849" s="34"/>
      <c r="BB849" s="34"/>
      <c r="BC849" s="34"/>
      <c r="BD849" s="76"/>
      <c r="BE849" s="34"/>
      <c r="BF849" s="34"/>
      <c r="BG849" s="34"/>
      <c r="BH849" s="34"/>
    </row>
    <row r="850" spans="1:60" s="17" customFormat="1" ht="19.5" customHeight="1" x14ac:dyDescent="0.35">
      <c r="A850" s="41">
        <f t="shared" ref="A850:B851" si="774">A849</f>
        <v>45441</v>
      </c>
      <c r="B850" s="37" t="str">
        <f t="shared" si="774"/>
        <v>Çevirme</v>
      </c>
      <c r="C850" s="65" t="str">
        <f t="shared" si="768"/>
        <v>ARZU ÖZÇAĞLAYAN</v>
      </c>
      <c r="D850" s="67">
        <f t="shared" si="769"/>
        <v>40</v>
      </c>
      <c r="E850" s="57"/>
      <c r="F850" s="52"/>
      <c r="G850" s="52"/>
      <c r="H850" s="58"/>
      <c r="I850" s="57"/>
      <c r="J850" s="52"/>
      <c r="K850" s="52"/>
      <c r="L850" s="58"/>
      <c r="M850" s="57"/>
      <c r="N850" s="52"/>
      <c r="O850" s="52"/>
      <c r="P850" s="58"/>
      <c r="Q850" s="57"/>
      <c r="R850" s="52"/>
      <c r="S850" s="52"/>
      <c r="T850" s="52"/>
      <c r="U850" s="58"/>
      <c r="V850" s="57"/>
      <c r="W850" s="52"/>
      <c r="X850" s="52"/>
      <c r="Y850" s="58"/>
      <c r="Z850" s="57"/>
      <c r="AA850" s="52"/>
      <c r="AB850" s="52"/>
      <c r="AC850" s="58"/>
      <c r="AD850" s="57"/>
      <c r="AE850" s="52"/>
      <c r="AF850" s="52"/>
      <c r="AG850" s="58"/>
      <c r="AH850" s="57"/>
      <c r="AI850" s="52"/>
      <c r="AJ850" s="52"/>
      <c r="AK850" s="58"/>
      <c r="AL850" s="57"/>
      <c r="AM850" s="52"/>
      <c r="AN850" s="52"/>
      <c r="AO850" s="58"/>
      <c r="AP850" s="57"/>
      <c r="AQ850" s="52"/>
      <c r="AR850" s="52"/>
      <c r="AS850" s="58"/>
      <c r="AT850" s="57"/>
      <c r="AU850" s="52"/>
      <c r="AV850" s="52"/>
      <c r="AW850" s="58"/>
      <c r="AX850" s="33">
        <f t="shared" si="770"/>
        <v>0</v>
      </c>
      <c r="AY850" s="31">
        <f t="shared" si="771"/>
        <v>0</v>
      </c>
      <c r="AZ850" s="30">
        <f t="shared" si="772"/>
        <v>0</v>
      </c>
      <c r="BA850" s="34"/>
      <c r="BB850" s="34"/>
      <c r="BC850" s="34"/>
      <c r="BD850" s="76"/>
      <c r="BE850" s="34"/>
      <c r="BF850" s="34"/>
      <c r="BG850" s="34"/>
      <c r="BH850" s="34"/>
    </row>
    <row r="851" spans="1:60" s="17" customFormat="1" ht="19.5" customHeight="1" x14ac:dyDescent="0.35">
      <c r="A851" s="41">
        <f>A848</f>
        <v>45441</v>
      </c>
      <c r="B851" s="37" t="str">
        <f t="shared" si="774"/>
        <v>Çevirme</v>
      </c>
      <c r="C851" s="65">
        <f t="shared" si="768"/>
        <v>0</v>
      </c>
      <c r="D851" s="67">
        <f t="shared" si="769"/>
        <v>40</v>
      </c>
      <c r="E851" s="57"/>
      <c r="F851" s="52"/>
      <c r="G851" s="52"/>
      <c r="H851" s="58"/>
      <c r="I851" s="57"/>
      <c r="J851" s="52"/>
      <c r="K851" s="52"/>
      <c r="L851" s="58"/>
      <c r="M851" s="57"/>
      <c r="N851" s="52"/>
      <c r="O851" s="52"/>
      <c r="P851" s="58"/>
      <c r="Q851" s="57"/>
      <c r="R851" s="52"/>
      <c r="S851" s="52"/>
      <c r="T851" s="52"/>
      <c r="U851" s="58"/>
      <c r="V851" s="57"/>
      <c r="W851" s="52"/>
      <c r="X851" s="52"/>
      <c r="Y851" s="58"/>
      <c r="Z851" s="57"/>
      <c r="AA851" s="52">
        <v>19</v>
      </c>
      <c r="AB851" s="52">
        <v>14</v>
      </c>
      <c r="AC851" s="58">
        <v>18</v>
      </c>
      <c r="AD851" s="57">
        <v>25</v>
      </c>
      <c r="AE851" s="52">
        <v>28</v>
      </c>
      <c r="AF851" s="52">
        <v>25</v>
      </c>
      <c r="AG851" s="58">
        <v>30</v>
      </c>
      <c r="AH851" s="57">
        <v>30</v>
      </c>
      <c r="AI851" s="52">
        <v>21</v>
      </c>
      <c r="AJ851" s="52">
        <v>35</v>
      </c>
      <c r="AK851" s="58">
        <v>16</v>
      </c>
      <c r="AL851" s="57"/>
      <c r="AM851" s="52"/>
      <c r="AN851" s="52"/>
      <c r="AO851" s="58"/>
      <c r="AP851" s="57"/>
      <c r="AQ851" s="52"/>
      <c r="AR851" s="52"/>
      <c r="AS851" s="58"/>
      <c r="AT851" s="57"/>
      <c r="AU851" s="52"/>
      <c r="AV851" s="52"/>
      <c r="AW851" s="58"/>
      <c r="AX851" s="33">
        <f t="shared" si="770"/>
        <v>261</v>
      </c>
      <c r="AY851" s="31">
        <f t="shared" si="771"/>
        <v>23.727272727272727</v>
      </c>
      <c r="AZ851" s="30">
        <f t="shared" si="772"/>
        <v>0.59318181818181814</v>
      </c>
      <c r="BA851" s="34"/>
      <c r="BB851" s="34"/>
      <c r="BC851" s="34"/>
      <c r="BD851" s="76"/>
      <c r="BE851" s="34"/>
      <c r="BF851" s="34"/>
      <c r="BG851" s="34"/>
      <c r="BH851" s="34"/>
    </row>
    <row r="852" spans="1:60" s="17" customFormat="1" ht="19.5" customHeight="1" x14ac:dyDescent="0.35">
      <c r="A852" s="41">
        <f t="shared" ref="A852:B852" si="775">A851</f>
        <v>45441</v>
      </c>
      <c r="B852" s="37" t="str">
        <f t="shared" si="775"/>
        <v>Çevirme</v>
      </c>
      <c r="C852" s="65">
        <f t="shared" si="768"/>
        <v>0</v>
      </c>
      <c r="D852" s="67">
        <f t="shared" si="769"/>
        <v>40</v>
      </c>
      <c r="E852" s="57"/>
      <c r="F852" s="52"/>
      <c r="G852" s="52"/>
      <c r="H852" s="58"/>
      <c r="I852" s="57"/>
      <c r="J852" s="52"/>
      <c r="K852" s="52"/>
      <c r="L852" s="58"/>
      <c r="M852" s="57"/>
      <c r="N852" s="52"/>
      <c r="O852" s="52"/>
      <c r="P852" s="58"/>
      <c r="Q852" s="57"/>
      <c r="R852" s="52"/>
      <c r="S852" s="52"/>
      <c r="T852" s="52"/>
      <c r="U852" s="58"/>
      <c r="V852" s="57"/>
      <c r="W852" s="52"/>
      <c r="X852" s="52"/>
      <c r="Y852" s="58"/>
      <c r="Z852" s="57"/>
      <c r="AA852" s="52"/>
      <c r="AB852" s="52"/>
      <c r="AC852" s="58"/>
      <c r="AD852" s="57"/>
      <c r="AE852" s="52"/>
      <c r="AF852" s="52"/>
      <c r="AG852" s="58"/>
      <c r="AH852" s="57"/>
      <c r="AI852" s="52"/>
      <c r="AJ852" s="52"/>
      <c r="AK852" s="58"/>
      <c r="AL852" s="57"/>
      <c r="AM852" s="52"/>
      <c r="AN852" s="52"/>
      <c r="AO852" s="58"/>
      <c r="AP852" s="57"/>
      <c r="AQ852" s="52"/>
      <c r="AR852" s="52"/>
      <c r="AS852" s="58"/>
      <c r="AT852" s="57"/>
      <c r="AU852" s="52"/>
      <c r="AV852" s="52"/>
      <c r="AW852" s="58"/>
      <c r="AX852" s="33">
        <f t="shared" si="770"/>
        <v>0</v>
      </c>
      <c r="AY852" s="31">
        <f t="shared" si="771"/>
        <v>0</v>
      </c>
      <c r="AZ852" s="30">
        <f t="shared" si="772"/>
        <v>0</v>
      </c>
      <c r="BA852" s="34"/>
      <c r="BB852" s="34"/>
      <c r="BC852" s="34"/>
      <c r="BD852" s="76"/>
      <c r="BE852" s="34"/>
      <c r="BF852" s="34"/>
      <c r="BG852" s="34"/>
      <c r="BH852" s="34"/>
    </row>
    <row r="853" spans="1:60" s="17" customFormat="1" ht="19.5" customHeight="1" thickBot="1" x14ac:dyDescent="0.4">
      <c r="A853" s="41">
        <f t="shared" ref="A853:B854" si="776">A852</f>
        <v>45441</v>
      </c>
      <c r="B853" s="37" t="str">
        <f t="shared" si="776"/>
        <v>Çevirme</v>
      </c>
      <c r="C853" s="65">
        <f t="shared" si="768"/>
        <v>0</v>
      </c>
      <c r="D853" s="67">
        <f t="shared" si="769"/>
        <v>40</v>
      </c>
      <c r="E853" s="59"/>
      <c r="F853" s="60"/>
      <c r="G853" s="61"/>
      <c r="H853" s="62"/>
      <c r="I853" s="59"/>
      <c r="J853" s="60"/>
      <c r="K853" s="61"/>
      <c r="L853" s="62"/>
      <c r="M853" s="59"/>
      <c r="N853" s="60"/>
      <c r="O853" s="61"/>
      <c r="P853" s="62"/>
      <c r="Q853" s="64"/>
      <c r="R853" s="61"/>
      <c r="S853" s="61"/>
      <c r="T853" s="61"/>
      <c r="U853" s="62"/>
      <c r="V853" s="59"/>
      <c r="W853" s="60"/>
      <c r="X853" s="61"/>
      <c r="Y853" s="62"/>
      <c r="Z853" s="59"/>
      <c r="AA853" s="60"/>
      <c r="AB853" s="61"/>
      <c r="AC853" s="62"/>
      <c r="AD853" s="59"/>
      <c r="AE853" s="60"/>
      <c r="AF853" s="61"/>
      <c r="AG853" s="62"/>
      <c r="AH853" s="59"/>
      <c r="AI853" s="60"/>
      <c r="AJ853" s="61"/>
      <c r="AK853" s="62"/>
      <c r="AL853" s="59"/>
      <c r="AM853" s="60"/>
      <c r="AN853" s="61"/>
      <c r="AO853" s="62"/>
      <c r="AP853" s="59"/>
      <c r="AQ853" s="60"/>
      <c r="AR853" s="61"/>
      <c r="AS853" s="62"/>
      <c r="AT853" s="59"/>
      <c r="AU853" s="60"/>
      <c r="AV853" s="61"/>
      <c r="AW853" s="62"/>
      <c r="AX853" s="33">
        <f t="shared" si="770"/>
        <v>0</v>
      </c>
      <c r="AY853" s="31">
        <f t="shared" si="771"/>
        <v>0</v>
      </c>
      <c r="AZ853" s="30">
        <f t="shared" si="772"/>
        <v>0</v>
      </c>
      <c r="BA853" s="34"/>
      <c r="BB853" s="34"/>
      <c r="BC853" s="34"/>
      <c r="BD853" s="76"/>
      <c r="BE853" s="34"/>
      <c r="BF853" s="34"/>
      <c r="BG853" s="34"/>
      <c r="BH853" s="34"/>
    </row>
    <row r="854" spans="1:60" s="17" customFormat="1" ht="19.5" customHeight="1" thickBot="1" x14ac:dyDescent="0.45">
      <c r="A854" s="41">
        <f t="shared" si="776"/>
        <v>45441</v>
      </c>
      <c r="B854" s="139" t="str">
        <f>B847</f>
        <v>Çevirme</v>
      </c>
      <c r="C854" s="140"/>
      <c r="D854" s="40">
        <f>C710/8</f>
        <v>500</v>
      </c>
      <c r="E854" s="147">
        <f>SUM(E847:H853)</f>
        <v>442</v>
      </c>
      <c r="F854" s="148"/>
      <c r="G854" s="148"/>
      <c r="H854" s="149"/>
      <c r="I854" s="147">
        <f>SUM(I847:L853)</f>
        <v>420</v>
      </c>
      <c r="J854" s="148"/>
      <c r="K854" s="148"/>
      <c r="L854" s="149"/>
      <c r="M854" s="147">
        <f>SUM(M847:P853)</f>
        <v>465</v>
      </c>
      <c r="N854" s="148"/>
      <c r="O854" s="148"/>
      <c r="P854" s="149"/>
      <c r="Q854" s="147">
        <f>SUM(Q847:U853)</f>
        <v>577</v>
      </c>
      <c r="R854" s="148"/>
      <c r="S854" s="148"/>
      <c r="T854" s="148"/>
      <c r="U854" s="149"/>
      <c r="V854" s="147">
        <f>SUM(V847:Y853)</f>
        <v>435</v>
      </c>
      <c r="W854" s="148"/>
      <c r="X854" s="148"/>
      <c r="Y854" s="149"/>
      <c r="Z854" s="147">
        <f>SUM(Z847:AC853)</f>
        <v>461</v>
      </c>
      <c r="AA854" s="148"/>
      <c r="AB854" s="148"/>
      <c r="AC854" s="149"/>
      <c r="AD854" s="147">
        <f>SUM(AD847:AG853)</f>
        <v>419</v>
      </c>
      <c r="AE854" s="148"/>
      <c r="AF854" s="148"/>
      <c r="AG854" s="149"/>
      <c r="AH854" s="147">
        <f>SUM(AH847:AK853)</f>
        <v>419</v>
      </c>
      <c r="AI854" s="148"/>
      <c r="AJ854" s="148"/>
      <c r="AK854" s="149"/>
      <c r="AL854" s="147">
        <f>SUM(AL847:AO853)</f>
        <v>283</v>
      </c>
      <c r="AM854" s="148"/>
      <c r="AN854" s="148"/>
      <c r="AO854" s="149"/>
      <c r="AP854" s="147">
        <f>SUM(AP847:AS853)</f>
        <v>0</v>
      </c>
      <c r="AQ854" s="148"/>
      <c r="AR854" s="148"/>
      <c r="AS854" s="149"/>
      <c r="AT854" s="147">
        <f>SUM(AT847:AW853)</f>
        <v>0</v>
      </c>
      <c r="AU854" s="148"/>
      <c r="AV854" s="148"/>
      <c r="AW854" s="149"/>
      <c r="AX854" s="87">
        <f>SUM(AX847:AX853)</f>
        <v>3921</v>
      </c>
      <c r="AY854" s="88">
        <f>IFERROR(AVERAGEIF(E854:AV854,"&lt;&gt;0",(E854:AV854)),)</f>
        <v>435.66666666666669</v>
      </c>
      <c r="AZ854" s="46">
        <f>IFERROR(AX854/BB848,0)</f>
        <v>0.98024999999999995</v>
      </c>
      <c r="BA854" s="34"/>
      <c r="BB854" s="34"/>
      <c r="BC854" s="34"/>
      <c r="BD854" s="76"/>
      <c r="BE854" s="34"/>
      <c r="BF854" s="34"/>
      <c r="BG854" s="34"/>
      <c r="BH854" s="34"/>
    </row>
    <row r="855" spans="1:60" s="17" customFormat="1" ht="19.5" customHeight="1" thickBot="1" x14ac:dyDescent="0.4">
      <c r="A855" s="42">
        <f>A846</f>
        <v>45441</v>
      </c>
      <c r="B855" s="38" t="str">
        <f>B856</f>
        <v>ÇEVİRME BEDEN</v>
      </c>
      <c r="C855" s="39" t="s">
        <v>180</v>
      </c>
      <c r="D855" s="69" t="s">
        <v>181</v>
      </c>
      <c r="E855" s="48">
        <v>0.34375</v>
      </c>
      <c r="F855" s="49">
        <v>0.35416666666666669</v>
      </c>
      <c r="G855" s="49">
        <v>0.36458333333333331</v>
      </c>
      <c r="H855" s="50">
        <v>0.375</v>
      </c>
      <c r="I855" s="48">
        <v>0.38541666666666702</v>
      </c>
      <c r="J855" s="49">
        <v>0.39583333333333298</v>
      </c>
      <c r="K855" s="49">
        <v>0.40625</v>
      </c>
      <c r="L855" s="50">
        <v>0.41666666666666702</v>
      </c>
      <c r="M855" s="48">
        <v>0.4375</v>
      </c>
      <c r="N855" s="49">
        <v>0.44791666666666702</v>
      </c>
      <c r="O855" s="49">
        <v>0.45833333333333398</v>
      </c>
      <c r="P855" s="50">
        <v>0.46875</v>
      </c>
      <c r="Q855" s="48">
        <v>0.47916666666666702</v>
      </c>
      <c r="R855" s="49">
        <v>0.48958333333333398</v>
      </c>
      <c r="S855" s="49">
        <v>0.5</v>
      </c>
      <c r="T855" s="50">
        <v>0.51041666666666696</v>
      </c>
      <c r="U855" s="51">
        <v>0.52083333333333204</v>
      </c>
      <c r="V855" s="48">
        <v>0.5625</v>
      </c>
      <c r="W855" s="49">
        <v>0.57291666666666663</v>
      </c>
      <c r="X855" s="49">
        <v>0.58333333333333304</v>
      </c>
      <c r="Y855" s="50">
        <v>0.59375</v>
      </c>
      <c r="Z855" s="48">
        <v>0.60416666666666696</v>
      </c>
      <c r="AA855" s="49">
        <v>0.61458333333333304</v>
      </c>
      <c r="AB855" s="49">
        <v>0.625</v>
      </c>
      <c r="AC855" s="50">
        <v>0.63541666666666596</v>
      </c>
      <c r="AD855" s="48">
        <v>0.65625</v>
      </c>
      <c r="AE855" s="49">
        <v>0.66666666666666663</v>
      </c>
      <c r="AF855" s="49">
        <v>0.67708333333333304</v>
      </c>
      <c r="AG855" s="50">
        <v>0.6875</v>
      </c>
      <c r="AH855" s="48">
        <v>0.69791666666666696</v>
      </c>
      <c r="AI855" s="49">
        <v>0.70833333333333304</v>
      </c>
      <c r="AJ855" s="49">
        <v>0.71875</v>
      </c>
      <c r="AK855" s="50">
        <v>0.72916666666666696</v>
      </c>
      <c r="AL855" s="48">
        <v>0.73958333333333404</v>
      </c>
      <c r="AM855" s="49">
        <v>0.750000000000001</v>
      </c>
      <c r="AN855" s="49">
        <v>0.76041666666666796</v>
      </c>
      <c r="AO855" s="50">
        <v>0.77083333333333504</v>
      </c>
      <c r="AP855" s="48">
        <v>0.781250000000002</v>
      </c>
      <c r="AQ855" s="49">
        <v>0.79166666666666896</v>
      </c>
      <c r="AR855" s="49">
        <v>0.80208333333333603</v>
      </c>
      <c r="AS855" s="50">
        <v>0.812500000000003</v>
      </c>
      <c r="AT855" s="48">
        <v>0.82291666666666996</v>
      </c>
      <c r="AU855" s="49">
        <v>0.83333333333333703</v>
      </c>
      <c r="AV855" s="49">
        <v>0.843750000000004</v>
      </c>
      <c r="AW855" s="50">
        <v>0.85416666666666663</v>
      </c>
      <c r="AX855" s="68" t="s">
        <v>260</v>
      </c>
      <c r="AY855" s="28" t="s">
        <v>261</v>
      </c>
      <c r="AZ855" s="29" t="s">
        <v>262</v>
      </c>
      <c r="BA855" s="136" t="str">
        <f>B856</f>
        <v>ÇEVİRME BEDEN</v>
      </c>
      <c r="BB855" s="137"/>
      <c r="BC855" s="137"/>
      <c r="BD855" s="137"/>
      <c r="BE855" s="137"/>
      <c r="BF855" s="137"/>
      <c r="BG855" s="137"/>
      <c r="BH855" s="138"/>
    </row>
    <row r="856" spans="1:60" s="17" customFormat="1" ht="19.5" customHeight="1" thickBot="1" x14ac:dyDescent="0.4">
      <c r="A856" s="41">
        <f t="shared" ref="A856" si="777">A855</f>
        <v>45441</v>
      </c>
      <c r="B856" s="37" t="str">
        <f>B680</f>
        <v>ÇEVİRME BEDEN</v>
      </c>
      <c r="C856" s="65" t="str">
        <f>C680</f>
        <v>ARZU ÖZÇAĞLAYAN</v>
      </c>
      <c r="D856" s="70">
        <f>D671</f>
        <v>65</v>
      </c>
      <c r="E856" s="63">
        <v>90</v>
      </c>
      <c r="F856" s="55">
        <v>90</v>
      </c>
      <c r="G856" s="55">
        <v>90</v>
      </c>
      <c r="H856" s="56">
        <v>90</v>
      </c>
      <c r="I856" s="63">
        <v>80</v>
      </c>
      <c r="J856" s="55"/>
      <c r="K856" s="55">
        <v>100</v>
      </c>
      <c r="L856" s="56">
        <v>100</v>
      </c>
      <c r="M856" s="63">
        <v>100</v>
      </c>
      <c r="N856" s="55">
        <v>90</v>
      </c>
      <c r="O856" s="55">
        <v>85</v>
      </c>
      <c r="P856" s="56">
        <v>100</v>
      </c>
      <c r="Q856" s="63">
        <v>90</v>
      </c>
      <c r="R856" s="55">
        <v>95</v>
      </c>
      <c r="S856" s="55">
        <v>100</v>
      </c>
      <c r="T856" s="55">
        <v>100</v>
      </c>
      <c r="U856" s="56"/>
      <c r="V856" s="63">
        <v>100</v>
      </c>
      <c r="W856" s="55">
        <v>110</v>
      </c>
      <c r="X856" s="55">
        <v>80</v>
      </c>
      <c r="Y856" s="56">
        <v>80</v>
      </c>
      <c r="Z856" s="63">
        <v>90</v>
      </c>
      <c r="AA856" s="55">
        <v>80</v>
      </c>
      <c r="AB856" s="55">
        <v>90</v>
      </c>
      <c r="AC856" s="56">
        <v>87</v>
      </c>
      <c r="AD856" s="63">
        <v>97</v>
      </c>
      <c r="AE856" s="55">
        <v>75</v>
      </c>
      <c r="AF856" s="55">
        <v>95</v>
      </c>
      <c r="AG856" s="56">
        <v>91</v>
      </c>
      <c r="AH856" s="63">
        <v>101</v>
      </c>
      <c r="AI856" s="55">
        <v>102</v>
      </c>
      <c r="AJ856" s="55">
        <v>60</v>
      </c>
      <c r="AK856" s="56">
        <v>91</v>
      </c>
      <c r="AL856" s="63">
        <v>100</v>
      </c>
      <c r="AM856" s="55">
        <v>50</v>
      </c>
      <c r="AN856" s="55">
        <v>96</v>
      </c>
      <c r="AO856" s="56"/>
      <c r="AP856" s="63"/>
      <c r="AQ856" s="55"/>
      <c r="AR856" s="55"/>
      <c r="AS856" s="56"/>
      <c r="AT856" s="53"/>
      <c r="AU856" s="54"/>
      <c r="AV856" s="55"/>
      <c r="AW856" s="56"/>
      <c r="AX856" s="33">
        <f>SUM(E856:AW856)</f>
        <v>3075</v>
      </c>
      <c r="AY856" s="31">
        <f>IFERROR(AVERAGEIF(E856:AW856,"&lt;&gt;0",(E856:AW856)),)</f>
        <v>90.441176470588232</v>
      </c>
      <c r="AZ856" s="30">
        <f>IFERROR(AY856/D856,0)</f>
        <v>1.3914027149321266</v>
      </c>
      <c r="BA856" s="93"/>
      <c r="BB856" s="93" t="str">
        <f t="shared" ref="BB856" si="778">BA710</f>
        <v>XS</v>
      </c>
      <c r="BC856" s="93" t="str">
        <f t="shared" ref="BC856" si="779">BB710</f>
        <v>S</v>
      </c>
      <c r="BD856" s="93" t="str">
        <f t="shared" ref="BD856" si="780">BC710</f>
        <v>M</v>
      </c>
      <c r="BE856" s="93" t="str">
        <f t="shared" ref="BE856" si="781">BD710</f>
        <v>L</v>
      </c>
      <c r="BF856" s="93" t="str">
        <f t="shared" ref="BF856" si="782">BE710</f>
        <v>XL</v>
      </c>
      <c r="BG856" s="93" t="str">
        <f t="shared" ref="BG856" si="783">BF710</f>
        <v>XXL</v>
      </c>
      <c r="BH856" s="93"/>
    </row>
    <row r="857" spans="1:60" s="17" customFormat="1" ht="19.5" customHeight="1" thickBot="1" x14ac:dyDescent="0.4">
      <c r="A857" s="41">
        <f t="shared" ref="A857:B857" si="784">A856</f>
        <v>45441</v>
      </c>
      <c r="B857" s="37" t="str">
        <f t="shared" si="784"/>
        <v>ÇEVİRME BEDEN</v>
      </c>
      <c r="C857" s="65" t="str">
        <f t="shared" ref="C857:C862" si="785">C681</f>
        <v>NECLA KOÇ</v>
      </c>
      <c r="D857" s="67">
        <f t="shared" ref="D857:D862" si="786">D856</f>
        <v>65</v>
      </c>
      <c r="E857" s="57"/>
      <c r="F857" s="52"/>
      <c r="G857" s="52"/>
      <c r="H857" s="58">
        <v>100</v>
      </c>
      <c r="I857" s="57">
        <v>100</v>
      </c>
      <c r="J857" s="52"/>
      <c r="K857" s="52"/>
      <c r="L857" s="58"/>
      <c r="M857" s="57"/>
      <c r="N857" s="52"/>
      <c r="O857" s="52"/>
      <c r="P857" s="58"/>
      <c r="Q857" s="57"/>
      <c r="R857" s="52">
        <v>110</v>
      </c>
      <c r="S857" s="52">
        <v>100</v>
      </c>
      <c r="T857" s="52">
        <v>70</v>
      </c>
      <c r="U857" s="58"/>
      <c r="V857" s="57"/>
      <c r="W857" s="52"/>
      <c r="X857" s="52"/>
      <c r="Y857" s="58"/>
      <c r="Z857" s="57">
        <v>105</v>
      </c>
      <c r="AA857" s="52"/>
      <c r="AB857" s="52"/>
      <c r="AC857" s="58"/>
      <c r="AD857" s="57"/>
      <c r="AE857" s="52"/>
      <c r="AF857" s="52"/>
      <c r="AG857" s="58"/>
      <c r="AH857" s="57"/>
      <c r="AI857" s="52"/>
      <c r="AJ857" s="52"/>
      <c r="AK857" s="58"/>
      <c r="AL857" s="57"/>
      <c r="AM857" s="52"/>
      <c r="AN857" s="52"/>
      <c r="AO857" s="58"/>
      <c r="AP857" s="57"/>
      <c r="AQ857" s="52"/>
      <c r="AR857" s="52"/>
      <c r="AS857" s="58"/>
      <c r="AT857" s="57"/>
      <c r="AU857" s="52"/>
      <c r="AV857" s="52"/>
      <c r="AW857" s="58"/>
      <c r="AX857" s="33">
        <f t="shared" ref="AX857:AX862" si="787">SUM(E857:AW857)</f>
        <v>585</v>
      </c>
      <c r="AY857" s="31">
        <f t="shared" ref="AY857:AY862" si="788">IFERROR(AVERAGEIF(E857:AW857,"&lt;&gt;0",(E857:AW857)),)</f>
        <v>97.5</v>
      </c>
      <c r="AZ857" s="30">
        <f t="shared" ref="AZ857:AZ862" si="789">IFERROR(AY857/D857,0)</f>
        <v>1.5</v>
      </c>
      <c r="BA857" s="94" t="s">
        <v>194</v>
      </c>
      <c r="BB857" s="96">
        <f t="shared" ref="BB857:BG857" si="790">BB749</f>
        <v>0</v>
      </c>
      <c r="BC857" s="96">
        <f t="shared" si="790"/>
        <v>0</v>
      </c>
      <c r="BD857" s="96">
        <f t="shared" si="790"/>
        <v>0</v>
      </c>
      <c r="BE857" s="96">
        <f t="shared" si="790"/>
        <v>0</v>
      </c>
      <c r="BF857" s="96">
        <f t="shared" si="790"/>
        <v>0</v>
      </c>
      <c r="BG857" s="96">
        <f t="shared" si="790"/>
        <v>0</v>
      </c>
      <c r="BH857" s="99">
        <f>SUM(BB857:BG857)</f>
        <v>0</v>
      </c>
    </row>
    <row r="858" spans="1:60" s="17" customFormat="1" ht="19.5" customHeight="1" thickBot="1" x14ac:dyDescent="0.4">
      <c r="A858" s="41">
        <f t="shared" ref="A858:B858" si="791">A857</f>
        <v>45441</v>
      </c>
      <c r="B858" s="37" t="str">
        <f t="shared" si="791"/>
        <v>ÇEVİRME BEDEN</v>
      </c>
      <c r="C858" s="65" t="str">
        <f t="shared" si="785"/>
        <v>SEZER BOZKURT</v>
      </c>
      <c r="D858" s="67">
        <f t="shared" si="786"/>
        <v>65</v>
      </c>
      <c r="E858" s="57"/>
      <c r="F858" s="52"/>
      <c r="G858" s="52"/>
      <c r="H858" s="58"/>
      <c r="I858" s="57"/>
      <c r="J858" s="52"/>
      <c r="K858" s="52"/>
      <c r="L858" s="58"/>
      <c r="M858" s="57"/>
      <c r="N858" s="52"/>
      <c r="O858" s="52"/>
      <c r="P858" s="58"/>
      <c r="Q858" s="57"/>
      <c r="R858" s="52"/>
      <c r="S858" s="52"/>
      <c r="T858" s="52"/>
      <c r="U858" s="58"/>
      <c r="V858" s="57"/>
      <c r="W858" s="52"/>
      <c r="X858" s="52"/>
      <c r="Y858" s="58"/>
      <c r="Z858" s="57"/>
      <c r="AA858" s="52"/>
      <c r="AB858" s="52"/>
      <c r="AC858" s="58"/>
      <c r="AD858" s="57"/>
      <c r="AE858" s="52"/>
      <c r="AF858" s="52"/>
      <c r="AG858" s="58"/>
      <c r="AH858" s="57"/>
      <c r="AI858" s="52"/>
      <c r="AJ858" s="52"/>
      <c r="AK858" s="58"/>
      <c r="AL858" s="57"/>
      <c r="AM858" s="52"/>
      <c r="AN858" s="52"/>
      <c r="AO858" s="58"/>
      <c r="AP858" s="57"/>
      <c r="AQ858" s="52"/>
      <c r="AR858" s="52"/>
      <c r="AS858" s="58"/>
      <c r="AT858" s="57"/>
      <c r="AU858" s="52"/>
      <c r="AV858" s="52"/>
      <c r="AW858" s="58"/>
      <c r="AX858" s="33">
        <f t="shared" si="787"/>
        <v>0</v>
      </c>
      <c r="AY858" s="31">
        <f t="shared" si="788"/>
        <v>0</v>
      </c>
      <c r="AZ858" s="30">
        <f t="shared" si="789"/>
        <v>0</v>
      </c>
      <c r="BA858" s="94" t="s">
        <v>195</v>
      </c>
      <c r="BB858" s="96">
        <f>SUMIF(C856:C862,BB856,AX856:AX862)+BB682</f>
        <v>0</v>
      </c>
      <c r="BC858" s="96">
        <f>SUMIF(C856:C862,BC856,AX856:AX862)+BC682</f>
        <v>0</v>
      </c>
      <c r="BD858" s="96">
        <f>SUMIF(C856:C862,BD856,AX856:AX862)+BD682</f>
        <v>0</v>
      </c>
      <c r="BE858" s="96">
        <f>SUMIF(C856:C862,BE856,AX856:AX862)+BE682</f>
        <v>0</v>
      </c>
      <c r="BF858" s="96">
        <f>SUMIF(C856:C862,BF856,AX856:AX862)+BF682</f>
        <v>0</v>
      </c>
      <c r="BG858" s="96">
        <f>SUMIF(C856:C862,BG856,AX856:AX862)+BG682</f>
        <v>0</v>
      </c>
      <c r="BH858" s="99">
        <f>SUM(BB858:BG858)</f>
        <v>0</v>
      </c>
    </row>
    <row r="859" spans="1:60" s="17" customFormat="1" ht="19.5" customHeight="1" thickBot="1" x14ac:dyDescent="0.4">
      <c r="A859" s="41">
        <f t="shared" ref="A859:B860" si="792">A858</f>
        <v>45441</v>
      </c>
      <c r="B859" s="37" t="str">
        <f t="shared" si="792"/>
        <v>ÇEVİRME BEDEN</v>
      </c>
      <c r="C859" s="65" t="s">
        <v>66</v>
      </c>
      <c r="D859" s="67">
        <f t="shared" si="786"/>
        <v>65</v>
      </c>
      <c r="E859" s="57"/>
      <c r="F859" s="52"/>
      <c r="G859" s="52"/>
      <c r="H859" s="58"/>
      <c r="I859" s="57"/>
      <c r="J859" s="52"/>
      <c r="K859" s="52"/>
      <c r="L859" s="58"/>
      <c r="M859" s="57"/>
      <c r="N859" s="52"/>
      <c r="O859" s="52"/>
      <c r="P859" s="58"/>
      <c r="Q859" s="57"/>
      <c r="R859" s="52"/>
      <c r="S859" s="52"/>
      <c r="T859" s="52"/>
      <c r="U859" s="58"/>
      <c r="V859" s="57"/>
      <c r="W859" s="52"/>
      <c r="X859" s="52"/>
      <c r="Y859" s="58"/>
      <c r="Z859" s="57"/>
      <c r="AA859" s="52"/>
      <c r="AB859" s="52"/>
      <c r="AC859" s="58"/>
      <c r="AD859" s="57"/>
      <c r="AE859" s="52"/>
      <c r="AF859" s="52"/>
      <c r="AG859" s="58"/>
      <c r="AH859" s="57"/>
      <c r="AI859" s="52"/>
      <c r="AJ859" s="52"/>
      <c r="AK859" s="58"/>
      <c r="AL859" s="57"/>
      <c r="AM859" s="52">
        <v>50</v>
      </c>
      <c r="AN859" s="52">
        <v>70</v>
      </c>
      <c r="AO859" s="58"/>
      <c r="AP859" s="57"/>
      <c r="AQ859" s="52"/>
      <c r="AR859" s="52"/>
      <c r="AS859" s="58"/>
      <c r="AT859" s="57"/>
      <c r="AU859" s="52"/>
      <c r="AV859" s="52"/>
      <c r="AW859" s="58"/>
      <c r="AX859" s="33">
        <f t="shared" si="787"/>
        <v>120</v>
      </c>
      <c r="AY859" s="31">
        <f t="shared" si="788"/>
        <v>60</v>
      </c>
      <c r="AZ859" s="30">
        <f t="shared" si="789"/>
        <v>0.92307692307692313</v>
      </c>
      <c r="BA859" s="94" t="s">
        <v>196</v>
      </c>
      <c r="BB859" s="96">
        <f t="shared" ref="BB859:BG859" si="793">BB857-BB858</f>
        <v>0</v>
      </c>
      <c r="BC859" s="96">
        <f t="shared" si="793"/>
        <v>0</v>
      </c>
      <c r="BD859" s="96">
        <f t="shared" si="793"/>
        <v>0</v>
      </c>
      <c r="BE859" s="96">
        <f t="shared" si="793"/>
        <v>0</v>
      </c>
      <c r="BF859" s="96">
        <f t="shared" si="793"/>
        <v>0</v>
      </c>
      <c r="BG859" s="96">
        <f t="shared" si="793"/>
        <v>0</v>
      </c>
      <c r="BH859" s="99">
        <f>SUM(BB859:BG859)</f>
        <v>0</v>
      </c>
    </row>
    <row r="860" spans="1:60" s="17" customFormat="1" ht="19.5" customHeight="1" x14ac:dyDescent="0.35">
      <c r="A860" s="41">
        <f>A857</f>
        <v>45441</v>
      </c>
      <c r="B860" s="37" t="str">
        <f t="shared" si="792"/>
        <v>ÇEVİRME BEDEN</v>
      </c>
      <c r="C860" s="65">
        <f t="shared" si="785"/>
        <v>0</v>
      </c>
      <c r="D860" s="67">
        <f t="shared" si="786"/>
        <v>65</v>
      </c>
      <c r="E860" s="57"/>
      <c r="F860" s="52"/>
      <c r="G860" s="52"/>
      <c r="H860" s="58"/>
      <c r="I860" s="57"/>
      <c r="J860" s="52"/>
      <c r="K860" s="52"/>
      <c r="L860" s="58"/>
      <c r="M860" s="57"/>
      <c r="N860" s="52"/>
      <c r="O860" s="52"/>
      <c r="P860" s="58"/>
      <c r="Q860" s="57"/>
      <c r="R860" s="52"/>
      <c r="S860" s="52"/>
      <c r="T860" s="52"/>
      <c r="U860" s="58"/>
      <c r="V860" s="57"/>
      <c r="W860" s="52"/>
      <c r="X860" s="52"/>
      <c r="Y860" s="58"/>
      <c r="Z860" s="57"/>
      <c r="AA860" s="52"/>
      <c r="AB860" s="52"/>
      <c r="AC860" s="58"/>
      <c r="AD860" s="57"/>
      <c r="AE860" s="52"/>
      <c r="AF860" s="52"/>
      <c r="AG860" s="58"/>
      <c r="AH860" s="57"/>
      <c r="AI860" s="52"/>
      <c r="AJ860" s="52"/>
      <c r="AK860" s="58"/>
      <c r="AL860" s="57"/>
      <c r="AM860" s="52"/>
      <c r="AN860" s="52"/>
      <c r="AO860" s="58"/>
      <c r="AP860" s="57"/>
      <c r="AQ860" s="52"/>
      <c r="AR860" s="52"/>
      <c r="AS860" s="58"/>
      <c r="AT860" s="57"/>
      <c r="AU860" s="52"/>
      <c r="AV860" s="52"/>
      <c r="AW860" s="58"/>
      <c r="AX860" s="33">
        <f t="shared" si="787"/>
        <v>0</v>
      </c>
      <c r="AY860" s="31">
        <f t="shared" si="788"/>
        <v>0</v>
      </c>
      <c r="AZ860" s="30">
        <f t="shared" si="789"/>
        <v>0</v>
      </c>
      <c r="BA860" s="34"/>
      <c r="BB860" s="34"/>
      <c r="BC860" s="34"/>
      <c r="BD860" s="76"/>
      <c r="BE860" s="34"/>
      <c r="BF860" s="34"/>
      <c r="BG860" s="34"/>
      <c r="BH860" s="34"/>
    </row>
    <row r="861" spans="1:60" s="17" customFormat="1" ht="19.5" customHeight="1" x14ac:dyDescent="0.35">
      <c r="A861" s="41">
        <f t="shared" ref="A861:B861" si="794">A860</f>
        <v>45441</v>
      </c>
      <c r="B861" s="37" t="str">
        <f t="shared" si="794"/>
        <v>ÇEVİRME BEDEN</v>
      </c>
      <c r="C861" s="65">
        <f t="shared" si="785"/>
        <v>0</v>
      </c>
      <c r="D861" s="67">
        <f t="shared" si="786"/>
        <v>65</v>
      </c>
      <c r="E861" s="57"/>
      <c r="F861" s="52"/>
      <c r="G861" s="52"/>
      <c r="H861" s="58"/>
      <c r="I861" s="57"/>
      <c r="J861" s="52"/>
      <c r="K861" s="52"/>
      <c r="L861" s="58"/>
      <c r="M861" s="57"/>
      <c r="N861" s="52"/>
      <c r="O861" s="52"/>
      <c r="P861" s="58"/>
      <c r="Q861" s="57"/>
      <c r="R861" s="52"/>
      <c r="S861" s="52"/>
      <c r="T861" s="52"/>
      <c r="U861" s="58"/>
      <c r="V861" s="57"/>
      <c r="W861" s="52"/>
      <c r="X861" s="52"/>
      <c r="Y861" s="58"/>
      <c r="Z861" s="57"/>
      <c r="AA861" s="52"/>
      <c r="AB861" s="52"/>
      <c r="AC861" s="58"/>
      <c r="AD861" s="57"/>
      <c r="AE861" s="52"/>
      <c r="AF861" s="52"/>
      <c r="AG861" s="58"/>
      <c r="AH861" s="57"/>
      <c r="AI861" s="52"/>
      <c r="AJ861" s="52"/>
      <c r="AK861" s="58"/>
      <c r="AL861" s="57"/>
      <c r="AM861" s="52"/>
      <c r="AN861" s="52"/>
      <c r="AO861" s="58"/>
      <c r="AP861" s="57"/>
      <c r="AQ861" s="52"/>
      <c r="AR861" s="52"/>
      <c r="AS861" s="58"/>
      <c r="AT861" s="57"/>
      <c r="AU861" s="52"/>
      <c r="AV861" s="52"/>
      <c r="AW861" s="58"/>
      <c r="AX861" s="33">
        <f t="shared" si="787"/>
        <v>0</v>
      </c>
      <c r="AY861" s="31">
        <f t="shared" si="788"/>
        <v>0</v>
      </c>
      <c r="AZ861" s="30">
        <f t="shared" si="789"/>
        <v>0</v>
      </c>
      <c r="BA861" s="34"/>
      <c r="BB861" s="34"/>
      <c r="BC861" s="34"/>
      <c r="BD861" s="76"/>
      <c r="BE861" s="34"/>
      <c r="BF861" s="34"/>
      <c r="BG861" s="34"/>
      <c r="BH861" s="34"/>
    </row>
    <row r="862" spans="1:60" s="17" customFormat="1" ht="19.5" customHeight="1" thickBot="1" x14ac:dyDescent="0.4">
      <c r="A862" s="41">
        <f t="shared" ref="A862:B863" si="795">A861</f>
        <v>45441</v>
      </c>
      <c r="B862" s="37" t="str">
        <f t="shared" si="795"/>
        <v>ÇEVİRME BEDEN</v>
      </c>
      <c r="C862" s="65">
        <f t="shared" si="785"/>
        <v>0</v>
      </c>
      <c r="D862" s="67">
        <f t="shared" si="786"/>
        <v>65</v>
      </c>
      <c r="E862" s="59"/>
      <c r="F862" s="60"/>
      <c r="G862" s="61"/>
      <c r="H862" s="62"/>
      <c r="I862" s="59"/>
      <c r="J862" s="60"/>
      <c r="K862" s="61"/>
      <c r="L862" s="62"/>
      <c r="M862" s="59"/>
      <c r="N862" s="60"/>
      <c r="O862" s="61"/>
      <c r="P862" s="62"/>
      <c r="Q862" s="64"/>
      <c r="R862" s="61"/>
      <c r="S862" s="61"/>
      <c r="T862" s="61"/>
      <c r="U862" s="62"/>
      <c r="V862" s="59"/>
      <c r="W862" s="60"/>
      <c r="X862" s="61"/>
      <c r="Y862" s="62"/>
      <c r="Z862" s="59"/>
      <c r="AA862" s="60"/>
      <c r="AB862" s="61"/>
      <c r="AC862" s="62"/>
      <c r="AD862" s="59"/>
      <c r="AE862" s="60"/>
      <c r="AF862" s="61"/>
      <c r="AG862" s="62"/>
      <c r="AH862" s="59"/>
      <c r="AI862" s="60"/>
      <c r="AJ862" s="61"/>
      <c r="AK862" s="62"/>
      <c r="AL862" s="59"/>
      <c r="AM862" s="60"/>
      <c r="AN862" s="61"/>
      <c r="AO862" s="62"/>
      <c r="AP862" s="59"/>
      <c r="AQ862" s="60"/>
      <c r="AR862" s="61"/>
      <c r="AS862" s="62"/>
      <c r="AT862" s="59"/>
      <c r="AU862" s="60"/>
      <c r="AV862" s="61"/>
      <c r="AW862" s="62"/>
      <c r="AX862" s="33">
        <f t="shared" si="787"/>
        <v>0</v>
      </c>
      <c r="AY862" s="31">
        <f t="shared" si="788"/>
        <v>0</v>
      </c>
      <c r="AZ862" s="30">
        <f t="shared" si="789"/>
        <v>0</v>
      </c>
      <c r="BA862" s="34"/>
      <c r="BB862" s="34"/>
      <c r="BC862" s="34"/>
      <c r="BD862" s="76"/>
      <c r="BE862" s="34"/>
      <c r="BF862" s="34"/>
      <c r="BG862" s="34"/>
      <c r="BH862" s="34"/>
    </row>
    <row r="863" spans="1:60" s="17" customFormat="1" ht="19.5" customHeight="1" thickBot="1" x14ac:dyDescent="0.45">
      <c r="A863" s="41">
        <f t="shared" si="795"/>
        <v>45441</v>
      </c>
      <c r="B863" s="139" t="str">
        <f>B856</f>
        <v>ÇEVİRME BEDEN</v>
      </c>
      <c r="C863" s="140"/>
      <c r="D863" s="40">
        <f>C710/8</f>
        <v>500</v>
      </c>
      <c r="E863" s="147">
        <f>SUM(E856:H862)</f>
        <v>460</v>
      </c>
      <c r="F863" s="148"/>
      <c r="G863" s="148"/>
      <c r="H863" s="149"/>
      <c r="I863" s="147">
        <f>SUM(I856:L862)</f>
        <v>380</v>
      </c>
      <c r="J863" s="148"/>
      <c r="K863" s="148"/>
      <c r="L863" s="149"/>
      <c r="M863" s="147">
        <f>SUM(M856:P862)</f>
        <v>375</v>
      </c>
      <c r="N863" s="148"/>
      <c r="O863" s="148"/>
      <c r="P863" s="149"/>
      <c r="Q863" s="147">
        <f>SUM(Q856:U862)</f>
        <v>665</v>
      </c>
      <c r="R863" s="148"/>
      <c r="S863" s="148"/>
      <c r="T863" s="148"/>
      <c r="U863" s="149"/>
      <c r="V863" s="147">
        <f>SUM(V856:Y862)</f>
        <v>370</v>
      </c>
      <c r="W863" s="148"/>
      <c r="X863" s="148"/>
      <c r="Y863" s="149"/>
      <c r="Z863" s="147">
        <f>SUM(Z856:AC862)</f>
        <v>452</v>
      </c>
      <c r="AA863" s="148"/>
      <c r="AB863" s="148"/>
      <c r="AC863" s="149"/>
      <c r="AD863" s="147">
        <f>SUM(AD856:AG862)</f>
        <v>358</v>
      </c>
      <c r="AE863" s="148"/>
      <c r="AF863" s="148"/>
      <c r="AG863" s="149"/>
      <c r="AH863" s="147">
        <f>SUM(AH856:AK862)</f>
        <v>354</v>
      </c>
      <c r="AI863" s="148"/>
      <c r="AJ863" s="148"/>
      <c r="AK863" s="149"/>
      <c r="AL863" s="147">
        <f>SUM(AL856:AO862)</f>
        <v>366</v>
      </c>
      <c r="AM863" s="148"/>
      <c r="AN863" s="148"/>
      <c r="AO863" s="149"/>
      <c r="AP863" s="147">
        <f>SUM(AP856:AS862)</f>
        <v>0</v>
      </c>
      <c r="AQ863" s="148"/>
      <c r="AR863" s="148"/>
      <c r="AS863" s="149"/>
      <c r="AT863" s="147">
        <f>SUM(AT856:AW862)</f>
        <v>0</v>
      </c>
      <c r="AU863" s="148"/>
      <c r="AV863" s="148"/>
      <c r="AW863" s="149"/>
      <c r="AX863" s="87">
        <f>SUM(AX856:AX862)</f>
        <v>3780</v>
      </c>
      <c r="AY863" s="88">
        <f>IFERROR(AVERAGEIF(E863:AV863,"&lt;&gt;0",(E863:AV863)),)</f>
        <v>420</v>
      </c>
      <c r="AZ863" s="46">
        <f>IFERROR(AX863/BB857,0)</f>
        <v>0</v>
      </c>
      <c r="BA863" s="34"/>
      <c r="BB863" s="34"/>
      <c r="BC863" s="34"/>
      <c r="BD863" s="76"/>
      <c r="BE863" s="34"/>
      <c r="BF863" s="34"/>
      <c r="BG863" s="34"/>
      <c r="BH863" s="34"/>
    </row>
    <row r="864" spans="1:60" s="17" customFormat="1" ht="19.5" customHeight="1" thickBot="1" x14ac:dyDescent="0.4">
      <c r="A864" s="42">
        <f>A855</f>
        <v>45441</v>
      </c>
      <c r="B864" s="38">
        <v>50</v>
      </c>
      <c r="C864" s="39" t="s">
        <v>180</v>
      </c>
      <c r="D864" s="69" t="s">
        <v>181</v>
      </c>
      <c r="E864" s="48">
        <v>0.34375</v>
      </c>
      <c r="F864" s="49">
        <v>0.35416666666666669</v>
      </c>
      <c r="G864" s="49">
        <v>0.36458333333333331</v>
      </c>
      <c r="H864" s="50">
        <v>0.375</v>
      </c>
      <c r="I864" s="48">
        <v>0.38541666666666702</v>
      </c>
      <c r="J864" s="49">
        <v>0.39583333333333298</v>
      </c>
      <c r="K864" s="49">
        <v>0.40625</v>
      </c>
      <c r="L864" s="50">
        <v>0.41666666666666702</v>
      </c>
      <c r="M864" s="48">
        <v>0.4375</v>
      </c>
      <c r="N864" s="49">
        <v>0.44791666666666702</v>
      </c>
      <c r="O864" s="49">
        <v>0.45833333333333398</v>
      </c>
      <c r="P864" s="50">
        <v>0.46875</v>
      </c>
      <c r="Q864" s="82">
        <v>0.47916666666666702</v>
      </c>
      <c r="R864" s="83">
        <v>0.48958333333333398</v>
      </c>
      <c r="S864" s="83">
        <v>0.5</v>
      </c>
      <c r="T864" s="84">
        <v>0.51041666666666696</v>
      </c>
      <c r="U864" s="85">
        <v>0.52083333333333204</v>
      </c>
      <c r="V864" s="48">
        <v>0.5625</v>
      </c>
      <c r="W864" s="49">
        <v>0.57291666666666663</v>
      </c>
      <c r="X864" s="49">
        <v>0.58333333333333304</v>
      </c>
      <c r="Y864" s="50">
        <v>0.59375</v>
      </c>
      <c r="Z864" s="48">
        <v>0.60416666666666696</v>
      </c>
      <c r="AA864" s="49">
        <v>0.61458333333333304</v>
      </c>
      <c r="AB864" s="49">
        <v>0.625</v>
      </c>
      <c r="AC864" s="50">
        <v>0.63541666666666596</v>
      </c>
      <c r="AD864" s="48">
        <v>0.65625</v>
      </c>
      <c r="AE864" s="49">
        <v>0.66666666666666663</v>
      </c>
      <c r="AF864" s="49">
        <v>0.67708333333333304</v>
      </c>
      <c r="AG864" s="50">
        <v>0.6875</v>
      </c>
      <c r="AH864" s="48">
        <v>0.69791666666666696</v>
      </c>
      <c r="AI864" s="49">
        <v>0.70833333333333304</v>
      </c>
      <c r="AJ864" s="49">
        <v>0.71875</v>
      </c>
      <c r="AK864" s="50">
        <v>0.72916666666666696</v>
      </c>
      <c r="AL864" s="48">
        <v>0.73958333333333404</v>
      </c>
      <c r="AM864" s="49">
        <v>0.750000000000001</v>
      </c>
      <c r="AN864" s="49">
        <v>0.76041666666666796</v>
      </c>
      <c r="AO864" s="50">
        <v>0.77083333333333504</v>
      </c>
      <c r="AP864" s="48">
        <v>0.781250000000002</v>
      </c>
      <c r="AQ864" s="49">
        <v>0.79166666666666896</v>
      </c>
      <c r="AR864" s="49">
        <v>0.80208333333333603</v>
      </c>
      <c r="AS864" s="50">
        <v>0.812500000000003</v>
      </c>
      <c r="AT864" s="48">
        <v>0.82291666666666996</v>
      </c>
      <c r="AU864" s="49">
        <v>0.83333333333333703</v>
      </c>
      <c r="AV864" s="49">
        <v>0.843750000000004</v>
      </c>
      <c r="AW864" s="50">
        <v>0.85416666666666663</v>
      </c>
      <c r="AX864" s="68" t="s">
        <v>260</v>
      </c>
      <c r="AY864" s="28" t="s">
        <v>261</v>
      </c>
      <c r="AZ864" s="29" t="s">
        <v>262</v>
      </c>
      <c r="BA864" s="136" t="str">
        <f>B865</f>
        <v>Ütü</v>
      </c>
      <c r="BB864" s="137"/>
      <c r="BC864" s="137"/>
      <c r="BD864" s="137"/>
      <c r="BE864" s="137"/>
      <c r="BF864" s="137"/>
      <c r="BG864" s="137"/>
      <c r="BH864" s="138"/>
    </row>
    <row r="865" spans="1:60" s="17" customFormat="1" ht="19.5" customHeight="1" thickBot="1" x14ac:dyDescent="0.4">
      <c r="A865" s="41">
        <f t="shared" ref="A865" si="796">A864</f>
        <v>45441</v>
      </c>
      <c r="B865" s="37" t="str">
        <f>B689</f>
        <v>Ütü</v>
      </c>
      <c r="C865" s="65" t="str">
        <f>C689</f>
        <v>FARUK BİÇER</v>
      </c>
      <c r="D865" s="70">
        <f>D689</f>
        <v>45</v>
      </c>
      <c r="E865" s="63">
        <v>42</v>
      </c>
      <c r="F865" s="55">
        <v>44</v>
      </c>
      <c r="G865" s="55">
        <v>47</v>
      </c>
      <c r="H865" s="56">
        <v>48</v>
      </c>
      <c r="I865" s="63">
        <v>31</v>
      </c>
      <c r="J865" s="55">
        <v>25</v>
      </c>
      <c r="K865" s="55">
        <v>42</v>
      </c>
      <c r="L865" s="56">
        <v>45</v>
      </c>
      <c r="M865" s="63">
        <v>51</v>
      </c>
      <c r="N865" s="55">
        <v>52</v>
      </c>
      <c r="O865" s="55">
        <v>50</v>
      </c>
      <c r="P865" s="56">
        <v>48</v>
      </c>
      <c r="Q865" s="63">
        <v>24</v>
      </c>
      <c r="R865" s="55">
        <v>51</v>
      </c>
      <c r="S865" s="55">
        <v>34</v>
      </c>
      <c r="T865" s="55">
        <v>47</v>
      </c>
      <c r="U865" s="56">
        <v>46</v>
      </c>
      <c r="V865" s="63">
        <v>50</v>
      </c>
      <c r="W865" s="55">
        <v>48</v>
      </c>
      <c r="X865" s="55">
        <v>60</v>
      </c>
      <c r="Y865" s="56">
        <v>50</v>
      </c>
      <c r="Z865" s="63">
        <v>28</v>
      </c>
      <c r="AA865" s="55">
        <v>45</v>
      </c>
      <c r="AB865" s="55">
        <v>46</v>
      </c>
      <c r="AC865" s="56">
        <v>44</v>
      </c>
      <c r="AD865" s="63">
        <v>47</v>
      </c>
      <c r="AE865" s="55">
        <v>50</v>
      </c>
      <c r="AF865" s="55">
        <v>50</v>
      </c>
      <c r="AG865" s="56">
        <v>45</v>
      </c>
      <c r="AH865" s="63">
        <v>21</v>
      </c>
      <c r="AI865" s="55">
        <v>44</v>
      </c>
      <c r="AJ865" s="55">
        <v>45</v>
      </c>
      <c r="AK865" s="56">
        <v>44</v>
      </c>
      <c r="AL865" s="53">
        <v>25</v>
      </c>
      <c r="AM865" s="54">
        <v>45</v>
      </c>
      <c r="AN865" s="55">
        <v>47</v>
      </c>
      <c r="AO865" s="56"/>
      <c r="AP865" s="53"/>
      <c r="AQ865" s="54"/>
      <c r="AR865" s="55"/>
      <c r="AS865" s="56"/>
      <c r="AT865" s="53"/>
      <c r="AU865" s="54"/>
      <c r="AV865" s="55"/>
      <c r="AW865" s="56"/>
      <c r="AX865" s="33">
        <f>SUM(E865:AW865)</f>
        <v>1561</v>
      </c>
      <c r="AY865" s="31">
        <f>IFERROR(AVERAGEIF(E865:AW865,"&lt;&gt;0",(E865:AW865)),)</f>
        <v>43.361111111111114</v>
      </c>
      <c r="AZ865" s="30">
        <f>IFERROR(AY865/D865,0)</f>
        <v>0.96358024691358035</v>
      </c>
      <c r="BA865" s="103" t="s">
        <v>182</v>
      </c>
      <c r="BB865" s="100" t="s">
        <v>183</v>
      </c>
      <c r="BC865" s="100" t="s">
        <v>184</v>
      </c>
      <c r="BD865" s="101" t="s">
        <v>185</v>
      </c>
      <c r="BE865" s="100" t="s">
        <v>186</v>
      </c>
      <c r="BF865" s="102" t="s">
        <v>187</v>
      </c>
      <c r="BG865" s="100" t="s">
        <v>188</v>
      </c>
      <c r="BH865" s="102" t="s">
        <v>189</v>
      </c>
    </row>
    <row r="866" spans="1:60" s="17" customFormat="1" ht="19.5" customHeight="1" thickBot="1" x14ac:dyDescent="0.4">
      <c r="A866" s="41">
        <f t="shared" ref="A866:B866" si="797">A865</f>
        <v>45441</v>
      </c>
      <c r="B866" s="37" t="str">
        <f t="shared" si="797"/>
        <v>Ütü</v>
      </c>
      <c r="C866" s="65" t="str">
        <f t="shared" ref="C866:C871" si="798">C690</f>
        <v>HANİFE BOZKURT</v>
      </c>
      <c r="D866" s="67">
        <f t="shared" ref="D866:D871" si="799">D865</f>
        <v>45</v>
      </c>
      <c r="E866" s="57">
        <v>31</v>
      </c>
      <c r="F866" s="52">
        <v>33</v>
      </c>
      <c r="G866" s="52">
        <v>34</v>
      </c>
      <c r="H866" s="58">
        <v>33</v>
      </c>
      <c r="I866" s="57">
        <v>34</v>
      </c>
      <c r="J866" s="52">
        <v>36</v>
      </c>
      <c r="K866" s="52">
        <v>35</v>
      </c>
      <c r="L866" s="58">
        <v>32</v>
      </c>
      <c r="M866" s="57">
        <v>40</v>
      </c>
      <c r="N866" s="52">
        <v>31</v>
      </c>
      <c r="O866" s="52">
        <v>34</v>
      </c>
      <c r="P866" s="58">
        <v>33</v>
      </c>
      <c r="Q866" s="57">
        <v>35</v>
      </c>
      <c r="R866" s="52">
        <v>36</v>
      </c>
      <c r="S866" s="52">
        <v>40</v>
      </c>
      <c r="T866" s="52">
        <v>34</v>
      </c>
      <c r="U866" s="58">
        <v>35</v>
      </c>
      <c r="V866" s="57">
        <v>31</v>
      </c>
      <c r="W866" s="52">
        <v>37</v>
      </c>
      <c r="X866" s="52">
        <v>39</v>
      </c>
      <c r="Y866" s="58">
        <v>35</v>
      </c>
      <c r="Z866" s="57">
        <v>25</v>
      </c>
      <c r="AA866" s="52">
        <v>24</v>
      </c>
      <c r="AB866" s="52">
        <v>30</v>
      </c>
      <c r="AC866" s="58">
        <v>30</v>
      </c>
      <c r="AD866" s="57">
        <v>25</v>
      </c>
      <c r="AE866" s="52">
        <v>22</v>
      </c>
      <c r="AF866" s="52">
        <v>36</v>
      </c>
      <c r="AG866" s="58">
        <v>29</v>
      </c>
      <c r="AH866" s="57">
        <v>27</v>
      </c>
      <c r="AI866" s="52">
        <v>30</v>
      </c>
      <c r="AJ866" s="52">
        <v>29</v>
      </c>
      <c r="AK866" s="58">
        <v>30</v>
      </c>
      <c r="AL866" s="57">
        <v>26</v>
      </c>
      <c r="AM866" s="52">
        <v>30</v>
      </c>
      <c r="AN866" s="52">
        <v>32</v>
      </c>
      <c r="AO866" s="58"/>
      <c r="AP866" s="57"/>
      <c r="AQ866" s="52"/>
      <c r="AR866" s="52"/>
      <c r="AS866" s="58"/>
      <c r="AT866" s="57"/>
      <c r="AU866" s="52"/>
      <c r="AV866" s="52"/>
      <c r="AW866" s="58"/>
      <c r="AX866" s="33">
        <f t="shared" ref="AX866:AX871" si="800">SUM(E866:AW866)</f>
        <v>1153</v>
      </c>
      <c r="AY866" s="31">
        <f t="shared" ref="AY866:AY871" si="801">IFERROR(AVERAGEIF(E866:AW866,"&lt;&gt;0",(E866:AW866)),)</f>
        <v>32.027777777777779</v>
      </c>
      <c r="AZ866" s="30">
        <f t="shared" ref="AZ866:AZ871" si="802">IFERROR(AY866/D866,0)</f>
        <v>0.71172839506172836</v>
      </c>
      <c r="BA866" s="94">
        <f>AX872+BA690</f>
        <v>5302</v>
      </c>
      <c r="BB866" s="95">
        <f>(D854*8)</f>
        <v>4000</v>
      </c>
      <c r="BC866" s="96">
        <f>C709-BA866</f>
        <v>37009</v>
      </c>
      <c r="BD866" s="96">
        <f>BA839-BA866</f>
        <v>459</v>
      </c>
      <c r="BE866" s="97">
        <f>IFERROR(BC866/E872,0)</f>
        <v>79.589247311827961</v>
      </c>
      <c r="BF866" s="98">
        <f>IFERROR(BE866/9,0)</f>
        <v>8.8432497013142175</v>
      </c>
      <c r="BG866" s="97">
        <f>IFERROR(BC866/AY872,0)</f>
        <v>85.602929838087903</v>
      </c>
      <c r="BH866" s="97">
        <f>IFERROR(BG866/9,0)</f>
        <v>9.5114366486764332</v>
      </c>
    </row>
    <row r="867" spans="1:60" s="17" customFormat="1" ht="19.5" customHeight="1" x14ac:dyDescent="0.35">
      <c r="A867" s="41">
        <f t="shared" ref="A867:B867" si="803">A866</f>
        <v>45441</v>
      </c>
      <c r="B867" s="37" t="str">
        <f t="shared" si="803"/>
        <v>Ütü</v>
      </c>
      <c r="C867" s="65" t="str">
        <f t="shared" si="798"/>
        <v>BAİSE KURTULDU</v>
      </c>
      <c r="D867" s="67">
        <f t="shared" si="799"/>
        <v>45</v>
      </c>
      <c r="E867" s="57">
        <v>26</v>
      </c>
      <c r="F867" s="52">
        <v>26</v>
      </c>
      <c r="G867" s="52">
        <v>29</v>
      </c>
      <c r="H867" s="58">
        <v>27</v>
      </c>
      <c r="I867" s="57">
        <v>27</v>
      </c>
      <c r="J867" s="52">
        <v>31</v>
      </c>
      <c r="K867" s="52">
        <v>30</v>
      </c>
      <c r="L867" s="58">
        <v>28</v>
      </c>
      <c r="M867" s="57">
        <v>20</v>
      </c>
      <c r="N867" s="52">
        <v>31</v>
      </c>
      <c r="O867" s="52">
        <v>32</v>
      </c>
      <c r="P867" s="58">
        <v>31</v>
      </c>
      <c r="Q867" s="57">
        <v>33</v>
      </c>
      <c r="R867" s="52">
        <v>32</v>
      </c>
      <c r="S867" s="52">
        <v>30</v>
      </c>
      <c r="T867" s="52">
        <v>31</v>
      </c>
      <c r="U867" s="58">
        <v>25</v>
      </c>
      <c r="V867" s="57">
        <v>30</v>
      </c>
      <c r="W867" s="52">
        <v>26</v>
      </c>
      <c r="X867" s="52">
        <v>30</v>
      </c>
      <c r="Y867" s="58">
        <v>29</v>
      </c>
      <c r="Z867" s="57">
        <v>31</v>
      </c>
      <c r="AA867" s="52">
        <v>27</v>
      </c>
      <c r="AB867" s="52">
        <v>26</v>
      </c>
      <c r="AC867" s="58">
        <v>29</v>
      </c>
      <c r="AD867" s="57">
        <v>11</v>
      </c>
      <c r="AE867" s="52">
        <v>23</v>
      </c>
      <c r="AF867" s="52">
        <v>22</v>
      </c>
      <c r="AG867" s="58">
        <v>24</v>
      </c>
      <c r="AH867" s="57">
        <v>23</v>
      </c>
      <c r="AI867" s="52">
        <v>20</v>
      </c>
      <c r="AJ867" s="52">
        <v>24</v>
      </c>
      <c r="AK867" s="58">
        <v>28</v>
      </c>
      <c r="AL867" s="57">
        <v>23</v>
      </c>
      <c r="AM867" s="52">
        <v>28</v>
      </c>
      <c r="AN867" s="52">
        <v>28</v>
      </c>
      <c r="AO867" s="58"/>
      <c r="AP867" s="57"/>
      <c r="AQ867" s="52"/>
      <c r="AR867" s="52"/>
      <c r="AS867" s="58"/>
      <c r="AT867" s="57"/>
      <c r="AU867" s="52"/>
      <c r="AV867" s="52"/>
      <c r="AW867" s="58"/>
      <c r="AX867" s="33">
        <f t="shared" si="800"/>
        <v>971</v>
      </c>
      <c r="AY867" s="31">
        <f t="shared" si="801"/>
        <v>26.972222222222221</v>
      </c>
      <c r="AZ867" s="30">
        <f t="shared" si="802"/>
        <v>0.59938271604938265</v>
      </c>
      <c r="BA867" s="34"/>
      <c r="BB867" s="34"/>
      <c r="BC867" s="34"/>
      <c r="BD867" s="76"/>
      <c r="BE867" s="34"/>
      <c r="BF867" s="34"/>
      <c r="BG867" s="34"/>
      <c r="BH867" s="34"/>
    </row>
    <row r="868" spans="1:60" s="17" customFormat="1" ht="19.5" customHeight="1" x14ac:dyDescent="0.35">
      <c r="A868" s="41">
        <f t="shared" ref="A868:B869" si="804">A867</f>
        <v>45441</v>
      </c>
      <c r="B868" s="37" t="str">
        <f t="shared" si="804"/>
        <v>Ütü</v>
      </c>
      <c r="C868" s="65" t="str">
        <f t="shared" si="798"/>
        <v>DERYA KESKİN</v>
      </c>
      <c r="D868" s="67">
        <f t="shared" si="799"/>
        <v>45</v>
      </c>
      <c r="E868" s="57"/>
      <c r="F868" s="52"/>
      <c r="G868" s="52"/>
      <c r="H868" s="58"/>
      <c r="I868" s="57"/>
      <c r="J868" s="52"/>
      <c r="K868" s="52"/>
      <c r="L868" s="58"/>
      <c r="M868" s="57"/>
      <c r="N868" s="52"/>
      <c r="O868" s="52"/>
      <c r="P868" s="58"/>
      <c r="Q868" s="57"/>
      <c r="R868" s="52"/>
      <c r="S868" s="52"/>
      <c r="T868" s="52"/>
      <c r="U868" s="58"/>
      <c r="V868" s="57"/>
      <c r="W868" s="52"/>
      <c r="X868" s="52"/>
      <c r="Y868" s="58"/>
      <c r="Z868" s="57"/>
      <c r="AA868" s="52"/>
      <c r="AB868" s="52"/>
      <c r="AC868" s="58"/>
      <c r="AD868" s="57"/>
      <c r="AE868" s="52"/>
      <c r="AF868" s="52"/>
      <c r="AG868" s="58"/>
      <c r="AH868" s="57"/>
      <c r="AI868" s="52"/>
      <c r="AJ868" s="52"/>
      <c r="AK868" s="58"/>
      <c r="AL868" s="57"/>
      <c r="AM868" s="52"/>
      <c r="AN868" s="52"/>
      <c r="AO868" s="58"/>
      <c r="AP868" s="57"/>
      <c r="AQ868" s="52"/>
      <c r="AR868" s="52"/>
      <c r="AS868" s="58"/>
      <c r="AT868" s="57"/>
      <c r="AU868" s="52"/>
      <c r="AV868" s="52"/>
      <c r="AW868" s="58"/>
      <c r="AX868" s="33">
        <f t="shared" si="800"/>
        <v>0</v>
      </c>
      <c r="AY868" s="31">
        <f t="shared" si="801"/>
        <v>0</v>
      </c>
      <c r="AZ868" s="30">
        <f t="shared" si="802"/>
        <v>0</v>
      </c>
      <c r="BA868" s="34"/>
      <c r="BB868" s="34"/>
      <c r="BC868" s="34"/>
      <c r="BD868" s="76"/>
      <c r="BE868" s="34"/>
      <c r="BF868" s="34"/>
      <c r="BG868" s="34"/>
      <c r="BH868" s="34"/>
    </row>
    <row r="869" spans="1:60" s="17" customFormat="1" ht="19.5" customHeight="1" x14ac:dyDescent="0.35">
      <c r="A869" s="41">
        <f>A866</f>
        <v>45441</v>
      </c>
      <c r="B869" s="37" t="str">
        <f t="shared" si="804"/>
        <v>Ütü</v>
      </c>
      <c r="C869" s="65" t="str">
        <f t="shared" si="798"/>
        <v>NEDİME KÖSE</v>
      </c>
      <c r="D869" s="67">
        <f t="shared" si="799"/>
        <v>45</v>
      </c>
      <c r="E869" s="57"/>
      <c r="F869" s="52"/>
      <c r="G869" s="52"/>
      <c r="H869" s="58"/>
      <c r="I869" s="57"/>
      <c r="J869" s="52"/>
      <c r="K869" s="52"/>
      <c r="L869" s="58"/>
      <c r="M869" s="57"/>
      <c r="N869" s="52"/>
      <c r="O869" s="52"/>
      <c r="P869" s="58"/>
      <c r="Q869" s="57"/>
      <c r="R869" s="52"/>
      <c r="S869" s="52"/>
      <c r="T869" s="52"/>
      <c r="U869" s="58">
        <v>17</v>
      </c>
      <c r="V869" s="57">
        <v>25</v>
      </c>
      <c r="W869" s="52">
        <v>21</v>
      </c>
      <c r="X869" s="52"/>
      <c r="Y869" s="58"/>
      <c r="Z869" s="57"/>
      <c r="AA869" s="52">
        <v>20</v>
      </c>
      <c r="AB869" s="52">
        <v>20</v>
      </c>
      <c r="AC869" s="58">
        <v>18</v>
      </c>
      <c r="AD869" s="57">
        <v>18</v>
      </c>
      <c r="AE869" s="52">
        <v>22</v>
      </c>
      <c r="AF869" s="52"/>
      <c r="AG869" s="58"/>
      <c r="AH869" s="57"/>
      <c r="AI869" s="52"/>
      <c r="AJ869" s="52"/>
      <c r="AK869" s="58"/>
      <c r="AL869" s="57"/>
      <c r="AM869" s="52"/>
      <c r="AN869" s="52"/>
      <c r="AO869" s="58"/>
      <c r="AP869" s="57"/>
      <c r="AQ869" s="52"/>
      <c r="AR869" s="52"/>
      <c r="AS869" s="58"/>
      <c r="AT869" s="57"/>
      <c r="AU869" s="52"/>
      <c r="AV869" s="52"/>
      <c r="AW869" s="58"/>
      <c r="AX869" s="33">
        <f t="shared" si="800"/>
        <v>161</v>
      </c>
      <c r="AY869" s="31">
        <f t="shared" si="801"/>
        <v>20.125</v>
      </c>
      <c r="AZ869" s="30">
        <f t="shared" si="802"/>
        <v>0.44722222222222224</v>
      </c>
      <c r="BA869" s="34"/>
      <c r="BB869" s="34"/>
      <c r="BC869" s="34"/>
      <c r="BD869" s="76"/>
      <c r="BE869" s="34"/>
      <c r="BF869" s="34"/>
      <c r="BG869" s="34"/>
      <c r="BH869" s="34"/>
    </row>
    <row r="870" spans="1:60" s="17" customFormat="1" ht="19.5" customHeight="1" x14ac:dyDescent="0.35">
      <c r="A870" s="41">
        <f t="shared" ref="A870:B870" si="805">A869</f>
        <v>45441</v>
      </c>
      <c r="B870" s="37" t="str">
        <f t="shared" si="805"/>
        <v>Ütü</v>
      </c>
      <c r="C870" s="65">
        <f t="shared" si="798"/>
        <v>0</v>
      </c>
      <c r="D870" s="67">
        <f t="shared" si="799"/>
        <v>45</v>
      </c>
      <c r="E870" s="57"/>
      <c r="F870" s="52">
        <v>13</v>
      </c>
      <c r="G870" s="52">
        <v>12</v>
      </c>
      <c r="H870" s="58">
        <v>20</v>
      </c>
      <c r="I870" s="57"/>
      <c r="J870" s="52"/>
      <c r="K870" s="52"/>
      <c r="L870" s="58"/>
      <c r="M870" s="57"/>
      <c r="N870" s="52"/>
      <c r="O870" s="52"/>
      <c r="P870" s="78"/>
      <c r="Q870" s="57"/>
      <c r="R870" s="52"/>
      <c r="S870" s="52"/>
      <c r="T870" s="52"/>
      <c r="U870" s="58"/>
      <c r="V870" s="80"/>
      <c r="W870" s="52"/>
      <c r="X870" s="52"/>
      <c r="Y870" s="58"/>
      <c r="Z870" s="57"/>
      <c r="AA870" s="52"/>
      <c r="AB870" s="52"/>
      <c r="AC870" s="58"/>
      <c r="AD870" s="57"/>
      <c r="AE870" s="52"/>
      <c r="AF870" s="52"/>
      <c r="AG870" s="58"/>
      <c r="AH870" s="57"/>
      <c r="AI870" s="52"/>
      <c r="AJ870" s="52"/>
      <c r="AK870" s="58"/>
      <c r="AL870" s="57"/>
      <c r="AM870" s="52"/>
      <c r="AN870" s="52"/>
      <c r="AO870" s="58"/>
      <c r="AP870" s="57"/>
      <c r="AQ870" s="52"/>
      <c r="AR870" s="52"/>
      <c r="AS870" s="58"/>
      <c r="AT870" s="57"/>
      <c r="AU870" s="52"/>
      <c r="AV870" s="52"/>
      <c r="AW870" s="58"/>
      <c r="AX870" s="33">
        <f t="shared" si="800"/>
        <v>45</v>
      </c>
      <c r="AY870" s="31">
        <f t="shared" si="801"/>
        <v>15</v>
      </c>
      <c r="AZ870" s="30">
        <f t="shared" si="802"/>
        <v>0.33333333333333331</v>
      </c>
      <c r="BA870" s="34"/>
      <c r="BB870" s="34"/>
      <c r="BC870" s="34"/>
      <c r="BD870" s="76"/>
      <c r="BE870" s="34"/>
      <c r="BF870" s="34"/>
      <c r="BG870" s="34"/>
      <c r="BH870" s="34"/>
    </row>
    <row r="871" spans="1:60" s="17" customFormat="1" ht="19.5" customHeight="1" thickBot="1" x14ac:dyDescent="0.4">
      <c r="A871" s="41">
        <f t="shared" ref="A871:B872" si="806">A870</f>
        <v>45441</v>
      </c>
      <c r="B871" s="37" t="str">
        <f t="shared" si="806"/>
        <v>Ütü</v>
      </c>
      <c r="C871" s="65">
        <f t="shared" si="798"/>
        <v>0</v>
      </c>
      <c r="D871" s="67">
        <f t="shared" si="799"/>
        <v>45</v>
      </c>
      <c r="E871" s="59"/>
      <c r="F871" s="60"/>
      <c r="G871" s="61"/>
      <c r="H871" s="62"/>
      <c r="I871" s="59"/>
      <c r="J871" s="60"/>
      <c r="K871" s="61"/>
      <c r="L871" s="62"/>
      <c r="M871" s="59"/>
      <c r="N871" s="60"/>
      <c r="O871" s="61"/>
      <c r="P871" s="79"/>
      <c r="Q871" s="64"/>
      <c r="R871" s="61"/>
      <c r="S871" s="61"/>
      <c r="T871" s="61"/>
      <c r="U871" s="62"/>
      <c r="V871" s="81"/>
      <c r="W871" s="60"/>
      <c r="X871" s="61"/>
      <c r="Y871" s="62"/>
      <c r="Z871" s="59"/>
      <c r="AA871" s="60"/>
      <c r="AB871" s="61"/>
      <c r="AC871" s="62"/>
      <c r="AD871" s="59"/>
      <c r="AE871" s="60"/>
      <c r="AF871" s="61"/>
      <c r="AG871" s="62"/>
      <c r="AH871" s="59"/>
      <c r="AI871" s="60"/>
      <c r="AJ871" s="61"/>
      <c r="AK871" s="62"/>
      <c r="AL871" s="59"/>
      <c r="AM871" s="60"/>
      <c r="AN871" s="61"/>
      <c r="AO871" s="62"/>
      <c r="AP871" s="59"/>
      <c r="AQ871" s="60"/>
      <c r="AR871" s="61"/>
      <c r="AS871" s="62"/>
      <c r="AT871" s="59"/>
      <c r="AU871" s="60"/>
      <c r="AV871" s="61"/>
      <c r="AW871" s="62"/>
      <c r="AX871" s="33">
        <f t="shared" si="800"/>
        <v>0</v>
      </c>
      <c r="AY871" s="31">
        <f t="shared" si="801"/>
        <v>0</v>
      </c>
      <c r="AZ871" s="30">
        <f t="shared" si="802"/>
        <v>0</v>
      </c>
      <c r="BA871" s="34"/>
      <c r="BB871" s="34"/>
      <c r="BC871" s="34"/>
      <c r="BD871" s="76"/>
      <c r="BE871" s="34"/>
      <c r="BF871" s="34"/>
      <c r="BG871" s="34"/>
      <c r="BH871" s="34"/>
    </row>
    <row r="872" spans="1:60" s="17" customFormat="1" ht="19.5" customHeight="1" thickBot="1" x14ac:dyDescent="0.45">
      <c r="A872" s="41">
        <f t="shared" si="806"/>
        <v>45441</v>
      </c>
      <c r="B872" s="139" t="str">
        <f>B865</f>
        <v>Ütü</v>
      </c>
      <c r="C872" s="140"/>
      <c r="D872" s="40">
        <f>C710/8</f>
        <v>500</v>
      </c>
      <c r="E872" s="141">
        <f>SUM(E865:H871)</f>
        <v>465</v>
      </c>
      <c r="F872" s="142"/>
      <c r="G872" s="142"/>
      <c r="H872" s="143"/>
      <c r="I872" s="141">
        <f>SUM(I865:L871)</f>
        <v>396</v>
      </c>
      <c r="J872" s="142"/>
      <c r="K872" s="142"/>
      <c r="L872" s="143"/>
      <c r="M872" s="141">
        <f>SUM(M865:P871)</f>
        <v>453</v>
      </c>
      <c r="N872" s="142"/>
      <c r="O872" s="142"/>
      <c r="P872" s="143"/>
      <c r="Q872" s="144">
        <f>SUM(Q865:U871)</f>
        <v>550</v>
      </c>
      <c r="R872" s="145"/>
      <c r="S872" s="145"/>
      <c r="T872" s="145"/>
      <c r="U872" s="146"/>
      <c r="V872" s="141">
        <f>SUM(V865:Y871)</f>
        <v>511</v>
      </c>
      <c r="W872" s="142"/>
      <c r="X872" s="142"/>
      <c r="Y872" s="143"/>
      <c r="Z872" s="141">
        <f>SUM(Z865:AC871)</f>
        <v>443</v>
      </c>
      <c r="AA872" s="142"/>
      <c r="AB872" s="142"/>
      <c r="AC872" s="143"/>
      <c r="AD872" s="147">
        <f>SUM(AD865:AG871)</f>
        <v>424</v>
      </c>
      <c r="AE872" s="148"/>
      <c r="AF872" s="148"/>
      <c r="AG872" s="149"/>
      <c r="AH872" s="147">
        <f>SUM(AH865:AK871)</f>
        <v>365</v>
      </c>
      <c r="AI872" s="148"/>
      <c r="AJ872" s="148"/>
      <c r="AK872" s="149"/>
      <c r="AL872" s="147">
        <f>SUM(AL865:AO871)</f>
        <v>284</v>
      </c>
      <c r="AM872" s="148"/>
      <c r="AN872" s="148"/>
      <c r="AO872" s="149"/>
      <c r="AP872" s="147">
        <f>SUM(AP865:AS871)</f>
        <v>0</v>
      </c>
      <c r="AQ872" s="148"/>
      <c r="AR872" s="148"/>
      <c r="AS872" s="149"/>
      <c r="AT872" s="147">
        <f>SUM(AT865:AW871)</f>
        <v>0</v>
      </c>
      <c r="AU872" s="148"/>
      <c r="AV872" s="148"/>
      <c r="AW872" s="149"/>
      <c r="AX872" s="87">
        <f>SUM(AX865:AX871)</f>
        <v>3891</v>
      </c>
      <c r="AY872" s="88">
        <f>IFERROR(AVERAGEIF(E872:AV872,"&lt;&gt;0",(E872:AV872)),)</f>
        <v>432.33333333333331</v>
      </c>
      <c r="AZ872" s="46">
        <f>IFERROR(AX872/BB866,0)</f>
        <v>0.97275</v>
      </c>
      <c r="BA872" s="34"/>
      <c r="BB872" s="34"/>
      <c r="BC872" s="34"/>
      <c r="BD872" s="76"/>
      <c r="BE872" s="34"/>
      <c r="BF872" s="34"/>
      <c r="BG872" s="34"/>
      <c r="BH872" s="34"/>
    </row>
    <row r="873" spans="1:60" s="17" customFormat="1" ht="19.5" customHeight="1" thickBot="1" x14ac:dyDescent="0.4">
      <c r="A873" s="42">
        <f>A864</f>
        <v>45441</v>
      </c>
      <c r="B873" s="38" t="str">
        <f>B874</f>
        <v>Kalite</v>
      </c>
      <c r="C873" s="39" t="s">
        <v>180</v>
      </c>
      <c r="D873" s="69" t="s">
        <v>181</v>
      </c>
      <c r="E873" s="48">
        <v>0.34375</v>
      </c>
      <c r="F873" s="49">
        <v>0.35416666666666669</v>
      </c>
      <c r="G873" s="49">
        <v>0.36458333333333331</v>
      </c>
      <c r="H873" s="50">
        <v>0.375</v>
      </c>
      <c r="I873" s="48">
        <v>0.38541666666666702</v>
      </c>
      <c r="J873" s="49">
        <v>0.39583333333333298</v>
      </c>
      <c r="K873" s="49">
        <v>0.40625</v>
      </c>
      <c r="L873" s="50">
        <v>0.41666666666666702</v>
      </c>
      <c r="M873" s="48">
        <v>0.4375</v>
      </c>
      <c r="N873" s="49">
        <v>0.44791666666666702</v>
      </c>
      <c r="O873" s="49">
        <v>0.45833333333333398</v>
      </c>
      <c r="P873" s="50">
        <v>0.46875</v>
      </c>
      <c r="Q873" s="82">
        <v>0.47916666666666702</v>
      </c>
      <c r="R873" s="83">
        <v>0.48958333333333398</v>
      </c>
      <c r="S873" s="83">
        <v>0.5</v>
      </c>
      <c r="T873" s="84">
        <v>0.51041666666666696</v>
      </c>
      <c r="U873" s="85">
        <v>0.52083333333333204</v>
      </c>
      <c r="V873" s="48">
        <v>0.5625</v>
      </c>
      <c r="W873" s="49">
        <v>0.57291666666666663</v>
      </c>
      <c r="X873" s="49">
        <v>0.58333333333333304</v>
      </c>
      <c r="Y873" s="50">
        <v>0.59375</v>
      </c>
      <c r="Z873" s="48">
        <v>0.60416666666666696</v>
      </c>
      <c r="AA873" s="49">
        <v>0.61458333333333304</v>
      </c>
      <c r="AB873" s="49">
        <v>0.625</v>
      </c>
      <c r="AC873" s="50">
        <v>0.63541666666666596</v>
      </c>
      <c r="AD873" s="48">
        <v>0.65625</v>
      </c>
      <c r="AE873" s="49">
        <v>0.66666666666666663</v>
      </c>
      <c r="AF873" s="49">
        <v>0.67708333333333304</v>
      </c>
      <c r="AG873" s="50">
        <v>0.6875</v>
      </c>
      <c r="AH873" s="48">
        <v>0.69791666666666696</v>
      </c>
      <c r="AI873" s="49">
        <v>0.70833333333333304</v>
      </c>
      <c r="AJ873" s="49">
        <v>0.71875</v>
      </c>
      <c r="AK873" s="50">
        <v>0.72916666666666696</v>
      </c>
      <c r="AL873" s="48">
        <v>0.73958333333333404</v>
      </c>
      <c r="AM873" s="49">
        <v>0.750000000000001</v>
      </c>
      <c r="AN873" s="49">
        <v>0.76041666666666796</v>
      </c>
      <c r="AO873" s="50">
        <v>0.77083333333333504</v>
      </c>
      <c r="AP873" s="48">
        <v>0.781250000000002</v>
      </c>
      <c r="AQ873" s="49">
        <v>0.79166666666666896</v>
      </c>
      <c r="AR873" s="49">
        <v>0.80208333333333603</v>
      </c>
      <c r="AS873" s="50">
        <v>0.812500000000003</v>
      </c>
      <c r="AT873" s="48">
        <v>0.82291666666666996</v>
      </c>
      <c r="AU873" s="49">
        <v>0.83333333333333703</v>
      </c>
      <c r="AV873" s="49">
        <v>0.843750000000004</v>
      </c>
      <c r="AW873" s="50">
        <v>0.85416666666666663</v>
      </c>
      <c r="AX873" s="68" t="s">
        <v>260</v>
      </c>
      <c r="AY873" s="28" t="s">
        <v>261</v>
      </c>
      <c r="AZ873" s="29" t="s">
        <v>262</v>
      </c>
      <c r="BA873" s="136" t="str">
        <f>B874</f>
        <v>Kalite</v>
      </c>
      <c r="BB873" s="137"/>
      <c r="BC873" s="137"/>
      <c r="BD873" s="137"/>
      <c r="BE873" s="137"/>
      <c r="BF873" s="137"/>
      <c r="BG873" s="137"/>
      <c r="BH873" s="138"/>
    </row>
    <row r="874" spans="1:60" s="17" customFormat="1" ht="19.5" customHeight="1" thickBot="1" x14ac:dyDescent="0.4">
      <c r="A874" s="41">
        <f t="shared" ref="A874" si="807">A873</f>
        <v>45441</v>
      </c>
      <c r="B874" s="37" t="str">
        <f>B698</f>
        <v>Kalite</v>
      </c>
      <c r="C874" s="65" t="str">
        <f>C698</f>
        <v>MELAHAT EROL</v>
      </c>
      <c r="D874" s="70">
        <f>D698</f>
        <v>28</v>
      </c>
      <c r="E874" s="63">
        <v>22</v>
      </c>
      <c r="F874" s="55">
        <v>26</v>
      </c>
      <c r="G874" s="55">
        <v>19</v>
      </c>
      <c r="H874" s="56">
        <v>25</v>
      </c>
      <c r="I874" s="63">
        <v>25</v>
      </c>
      <c r="J874" s="55">
        <v>20</v>
      </c>
      <c r="K874" s="55">
        <v>20</v>
      </c>
      <c r="L874" s="56">
        <v>19</v>
      </c>
      <c r="M874" s="63">
        <v>29</v>
      </c>
      <c r="N874" s="55">
        <v>26</v>
      </c>
      <c r="O874" s="55">
        <v>22</v>
      </c>
      <c r="P874" s="56">
        <v>30</v>
      </c>
      <c r="Q874" s="63">
        <v>26</v>
      </c>
      <c r="R874" s="55">
        <v>28</v>
      </c>
      <c r="S874" s="55">
        <v>27</v>
      </c>
      <c r="T874" s="55">
        <v>22</v>
      </c>
      <c r="U874" s="56">
        <v>20</v>
      </c>
      <c r="V874" s="63">
        <v>21</v>
      </c>
      <c r="W874" s="55">
        <v>30</v>
      </c>
      <c r="X874" s="55">
        <v>28</v>
      </c>
      <c r="Y874" s="56">
        <v>22</v>
      </c>
      <c r="Z874" s="63">
        <v>13</v>
      </c>
      <c r="AA874" s="55">
        <v>18</v>
      </c>
      <c r="AB874" s="55">
        <v>27</v>
      </c>
      <c r="AC874" s="56">
        <v>19</v>
      </c>
      <c r="AD874" s="63">
        <v>18</v>
      </c>
      <c r="AE874" s="55">
        <v>26</v>
      </c>
      <c r="AF874" s="55">
        <v>27</v>
      </c>
      <c r="AG874" s="56">
        <v>22</v>
      </c>
      <c r="AH874" s="63">
        <v>17</v>
      </c>
      <c r="AI874" s="55">
        <v>26</v>
      </c>
      <c r="AJ874" s="55">
        <v>23</v>
      </c>
      <c r="AK874" s="56">
        <v>28</v>
      </c>
      <c r="AL874" s="53">
        <v>25</v>
      </c>
      <c r="AM874" s="54">
        <v>23</v>
      </c>
      <c r="AN874" s="55">
        <v>20</v>
      </c>
      <c r="AO874" s="56"/>
      <c r="AP874" s="53"/>
      <c r="AQ874" s="54"/>
      <c r="AR874" s="55"/>
      <c r="AS874" s="56"/>
      <c r="AT874" s="53"/>
      <c r="AU874" s="54"/>
      <c r="AV874" s="55"/>
      <c r="AW874" s="56"/>
      <c r="AX874" s="33">
        <f>SUM(E874:AW874)</f>
        <v>839</v>
      </c>
      <c r="AY874" s="31">
        <f>IFERROR(AVERAGEIF(E874:AW874,"&lt;&gt;0",(E874:AW874)),)</f>
        <v>23.305555555555557</v>
      </c>
      <c r="AZ874" s="30">
        <f>IFERROR(AY874/D874,0)</f>
        <v>0.83234126984126988</v>
      </c>
      <c r="BA874" s="103" t="s">
        <v>182</v>
      </c>
      <c r="BB874" s="100" t="s">
        <v>183</v>
      </c>
      <c r="BC874" s="100" t="s">
        <v>184</v>
      </c>
      <c r="BD874" s="101" t="s">
        <v>185</v>
      </c>
      <c r="BE874" s="100" t="s">
        <v>186</v>
      </c>
      <c r="BF874" s="102" t="s">
        <v>187</v>
      </c>
      <c r="BG874" s="100" t="s">
        <v>188</v>
      </c>
      <c r="BH874" s="102" t="s">
        <v>189</v>
      </c>
    </row>
    <row r="875" spans="1:60" s="17" customFormat="1" ht="19.5" customHeight="1" thickBot="1" x14ac:dyDescent="0.4">
      <c r="A875" s="41">
        <f t="shared" ref="A875:B875" si="808">A874</f>
        <v>45441</v>
      </c>
      <c r="B875" s="37" t="str">
        <f t="shared" si="808"/>
        <v>Kalite</v>
      </c>
      <c r="C875" s="65" t="str">
        <f t="shared" ref="C875:C880" si="809">C699</f>
        <v>DERYA KESKİN</v>
      </c>
      <c r="D875" s="67">
        <f t="shared" ref="D875:D880" si="810">D874</f>
        <v>28</v>
      </c>
      <c r="E875" s="57">
        <v>17</v>
      </c>
      <c r="F875" s="52">
        <v>25</v>
      </c>
      <c r="G875" s="52">
        <v>17</v>
      </c>
      <c r="H875" s="58">
        <v>22</v>
      </c>
      <c r="I875" s="57">
        <v>23</v>
      </c>
      <c r="J875" s="52">
        <v>21</v>
      </c>
      <c r="K875" s="52">
        <v>21</v>
      </c>
      <c r="L875" s="58">
        <v>21</v>
      </c>
      <c r="M875" s="57">
        <v>23</v>
      </c>
      <c r="N875" s="52">
        <v>26</v>
      </c>
      <c r="O875" s="52">
        <v>16</v>
      </c>
      <c r="P875" s="58">
        <v>25</v>
      </c>
      <c r="Q875" s="57">
        <v>26</v>
      </c>
      <c r="R875" s="52">
        <v>23</v>
      </c>
      <c r="S875" s="52">
        <v>29</v>
      </c>
      <c r="T875" s="52">
        <v>22</v>
      </c>
      <c r="U875" s="58">
        <v>20</v>
      </c>
      <c r="V875" s="57">
        <v>27</v>
      </c>
      <c r="W875" s="52">
        <v>25</v>
      </c>
      <c r="X875" s="52">
        <v>27</v>
      </c>
      <c r="Y875" s="58">
        <v>23</v>
      </c>
      <c r="Z875" s="57">
        <v>15</v>
      </c>
      <c r="AA875" s="52">
        <v>20</v>
      </c>
      <c r="AB875" s="52">
        <v>23</v>
      </c>
      <c r="AC875" s="58">
        <v>20</v>
      </c>
      <c r="AD875" s="57">
        <v>22</v>
      </c>
      <c r="AE875" s="52">
        <v>25</v>
      </c>
      <c r="AF875" s="52">
        <v>22</v>
      </c>
      <c r="AG875" s="58">
        <v>21</v>
      </c>
      <c r="AH875" s="57">
        <v>19</v>
      </c>
      <c r="AI875" s="52">
        <v>24</v>
      </c>
      <c r="AJ875" s="52">
        <v>22</v>
      </c>
      <c r="AK875" s="58">
        <v>24</v>
      </c>
      <c r="AL875" s="57">
        <v>20</v>
      </c>
      <c r="AM875" s="52">
        <v>10</v>
      </c>
      <c r="AN875" s="52">
        <v>20</v>
      </c>
      <c r="AO875" s="58"/>
      <c r="AP875" s="57"/>
      <c r="AQ875" s="52"/>
      <c r="AR875" s="52"/>
      <c r="AS875" s="58"/>
      <c r="AT875" s="57"/>
      <c r="AU875" s="52"/>
      <c r="AV875" s="52"/>
      <c r="AW875" s="58"/>
      <c r="AX875" s="33">
        <f t="shared" ref="AX875:AX880" si="811">SUM(E875:AW875)</f>
        <v>786</v>
      </c>
      <c r="AY875" s="31">
        <f t="shared" ref="AY875:AY880" si="812">IFERROR(AVERAGEIF(E875:AW875,"&lt;&gt;0",(E875:AW875)),)</f>
        <v>21.833333333333332</v>
      </c>
      <c r="AZ875" s="30">
        <f t="shared" ref="AZ875:AZ880" si="813">IFERROR(AY875/D875,0)</f>
        <v>0.77976190476190477</v>
      </c>
      <c r="BA875" s="94">
        <f>AX881+BA699</f>
        <v>5029</v>
      </c>
      <c r="BB875" s="95">
        <f>(D881*8)</f>
        <v>4000</v>
      </c>
      <c r="BC875" s="96">
        <f>C709-BA875</f>
        <v>37282</v>
      </c>
      <c r="BD875" s="96">
        <f>BA866-BA875</f>
        <v>273</v>
      </c>
      <c r="BE875" s="97">
        <f>IFERROR(BC875/E881,0)</f>
        <v>89.620192307692307</v>
      </c>
      <c r="BF875" s="98">
        <f>IFERROR(BE875/9,0)</f>
        <v>9.9577991452991448</v>
      </c>
      <c r="BG875" s="97">
        <f>IFERROR(BC875/AY881,0)</f>
        <v>86.590451612903223</v>
      </c>
      <c r="BH875" s="97">
        <f>IFERROR(BG875/9,0)</f>
        <v>9.6211612903225809</v>
      </c>
    </row>
    <row r="876" spans="1:60" s="17" customFormat="1" ht="19.5" customHeight="1" x14ac:dyDescent="0.35">
      <c r="A876" s="41">
        <f t="shared" ref="A876:B876" si="814">A875</f>
        <v>45441</v>
      </c>
      <c r="B876" s="37" t="str">
        <f t="shared" si="814"/>
        <v>Kalite</v>
      </c>
      <c r="C876" s="65" t="str">
        <f t="shared" si="809"/>
        <v>GÜLCAN MUHTANCI</v>
      </c>
      <c r="D876" s="67">
        <f t="shared" si="810"/>
        <v>28</v>
      </c>
      <c r="E876" s="57">
        <v>18</v>
      </c>
      <c r="F876" s="52">
        <v>22</v>
      </c>
      <c r="G876" s="52">
        <v>18</v>
      </c>
      <c r="H876" s="58">
        <v>20</v>
      </c>
      <c r="I876" s="57">
        <v>23</v>
      </c>
      <c r="J876" s="52">
        <v>20</v>
      </c>
      <c r="K876" s="52">
        <v>20</v>
      </c>
      <c r="L876" s="58">
        <v>20</v>
      </c>
      <c r="M876" s="57">
        <v>25</v>
      </c>
      <c r="N876" s="52">
        <v>25</v>
      </c>
      <c r="O876" s="52">
        <v>24</v>
      </c>
      <c r="P876" s="58">
        <v>25</v>
      </c>
      <c r="Q876" s="57">
        <v>25</v>
      </c>
      <c r="R876" s="52">
        <v>25</v>
      </c>
      <c r="S876" s="52">
        <v>27</v>
      </c>
      <c r="T876" s="52">
        <v>22</v>
      </c>
      <c r="U876" s="58">
        <v>25</v>
      </c>
      <c r="V876" s="57">
        <v>21</v>
      </c>
      <c r="W876" s="52">
        <v>25</v>
      </c>
      <c r="X876" s="52">
        <v>26</v>
      </c>
      <c r="Y876" s="58">
        <v>26</v>
      </c>
      <c r="Z876" s="57">
        <v>24</v>
      </c>
      <c r="AA876" s="52">
        <v>23</v>
      </c>
      <c r="AB876" s="52">
        <v>16</v>
      </c>
      <c r="AC876" s="58">
        <v>20</v>
      </c>
      <c r="AD876" s="57">
        <v>24</v>
      </c>
      <c r="AE876" s="52">
        <v>24</v>
      </c>
      <c r="AF876" s="52">
        <v>24</v>
      </c>
      <c r="AG876" s="58">
        <v>22</v>
      </c>
      <c r="AH876" s="57">
        <v>20</v>
      </c>
      <c r="AI876" s="52">
        <v>23</v>
      </c>
      <c r="AJ876" s="52">
        <v>21</v>
      </c>
      <c r="AK876" s="58">
        <v>25</v>
      </c>
      <c r="AL876" s="57">
        <v>20</v>
      </c>
      <c r="AM876" s="52">
        <v>23</v>
      </c>
      <c r="AN876" s="52">
        <v>25</v>
      </c>
      <c r="AO876" s="58"/>
      <c r="AP876" s="57"/>
      <c r="AQ876" s="52"/>
      <c r="AR876" s="52"/>
      <c r="AS876" s="58"/>
      <c r="AT876" s="57"/>
      <c r="AU876" s="52"/>
      <c r="AV876" s="52"/>
      <c r="AW876" s="58"/>
      <c r="AX876" s="33">
        <f t="shared" si="811"/>
        <v>816</v>
      </c>
      <c r="AY876" s="31">
        <f t="shared" si="812"/>
        <v>22.666666666666668</v>
      </c>
      <c r="AZ876" s="30">
        <f t="shared" si="813"/>
        <v>0.80952380952380953</v>
      </c>
      <c r="BA876" s="34"/>
      <c r="BB876" s="34"/>
      <c r="BC876" s="34"/>
      <c r="BD876" s="76"/>
      <c r="BE876" s="34"/>
      <c r="BF876" s="34"/>
      <c r="BG876" s="34"/>
      <c r="BH876" s="34"/>
    </row>
    <row r="877" spans="1:60" s="17" customFormat="1" ht="19.5" customHeight="1" x14ac:dyDescent="0.35">
      <c r="A877" s="41">
        <f t="shared" ref="A877:B878" si="815">A876</f>
        <v>45441</v>
      </c>
      <c r="B877" s="37" t="str">
        <f t="shared" si="815"/>
        <v>Kalite</v>
      </c>
      <c r="C877" s="65" t="str">
        <f t="shared" si="809"/>
        <v>NEZAHAT ALTIN</v>
      </c>
      <c r="D877" s="67">
        <f t="shared" si="810"/>
        <v>28</v>
      </c>
      <c r="E877" s="57">
        <v>23</v>
      </c>
      <c r="F877" s="52">
        <v>23</v>
      </c>
      <c r="G877" s="52">
        <v>17</v>
      </c>
      <c r="H877" s="58">
        <v>22</v>
      </c>
      <c r="I877" s="57">
        <v>23</v>
      </c>
      <c r="J877" s="52">
        <v>25</v>
      </c>
      <c r="K877" s="52">
        <v>22</v>
      </c>
      <c r="L877" s="58">
        <v>18</v>
      </c>
      <c r="M877" s="57">
        <v>25</v>
      </c>
      <c r="N877" s="52">
        <v>21</v>
      </c>
      <c r="O877" s="52">
        <v>22</v>
      </c>
      <c r="P877" s="58">
        <v>25</v>
      </c>
      <c r="Q877" s="57">
        <v>26</v>
      </c>
      <c r="R877" s="52">
        <v>27</v>
      </c>
      <c r="S877" s="52">
        <v>26</v>
      </c>
      <c r="T877" s="52">
        <v>25</v>
      </c>
      <c r="U877" s="58">
        <v>26</v>
      </c>
      <c r="V877" s="57">
        <v>26</v>
      </c>
      <c r="W877" s="52">
        <v>20</v>
      </c>
      <c r="X877" s="52">
        <v>25</v>
      </c>
      <c r="Y877" s="58">
        <v>27</v>
      </c>
      <c r="Z877" s="57">
        <v>28</v>
      </c>
      <c r="AA877" s="52">
        <v>24</v>
      </c>
      <c r="AB877" s="52">
        <v>29</v>
      </c>
      <c r="AC877" s="58">
        <v>23</v>
      </c>
      <c r="AD877" s="57">
        <v>28</v>
      </c>
      <c r="AE877" s="52">
        <v>26</v>
      </c>
      <c r="AF877" s="52">
        <v>17</v>
      </c>
      <c r="AG877" s="58">
        <v>18</v>
      </c>
      <c r="AH877" s="57">
        <v>25</v>
      </c>
      <c r="AI877" s="52">
        <v>22</v>
      </c>
      <c r="AJ877" s="52">
        <v>21</v>
      </c>
      <c r="AK877" s="58">
        <v>24</v>
      </c>
      <c r="AL877" s="57">
        <v>24</v>
      </c>
      <c r="AM877" s="52">
        <v>22</v>
      </c>
      <c r="AN877" s="52">
        <v>23</v>
      </c>
      <c r="AO877" s="58"/>
      <c r="AP877" s="57"/>
      <c r="AQ877" s="52"/>
      <c r="AR877" s="52"/>
      <c r="AS877" s="58"/>
      <c r="AT877" s="57"/>
      <c r="AU877" s="52"/>
      <c r="AV877" s="52"/>
      <c r="AW877" s="58"/>
      <c r="AX877" s="33">
        <f t="shared" si="811"/>
        <v>848</v>
      </c>
      <c r="AY877" s="31">
        <f t="shared" si="812"/>
        <v>23.555555555555557</v>
      </c>
      <c r="AZ877" s="30">
        <f t="shared" si="813"/>
        <v>0.84126984126984128</v>
      </c>
      <c r="BA877" s="34"/>
      <c r="BB877" s="34"/>
      <c r="BC877" s="34"/>
      <c r="BD877" s="76"/>
      <c r="BE877" s="34"/>
      <c r="BF877" s="34"/>
      <c r="BG877" s="34"/>
      <c r="BH877" s="34"/>
    </row>
    <row r="878" spans="1:60" s="17" customFormat="1" ht="19.5" customHeight="1" x14ac:dyDescent="0.35">
      <c r="A878" s="41">
        <f>A875</f>
        <v>45441</v>
      </c>
      <c r="B878" s="37" t="str">
        <f t="shared" si="815"/>
        <v>Kalite</v>
      </c>
      <c r="C878" s="65" t="str">
        <f t="shared" si="809"/>
        <v>NEDİME KÖSE</v>
      </c>
      <c r="D878" s="67">
        <f t="shared" si="810"/>
        <v>28</v>
      </c>
      <c r="E878" s="57">
        <v>20</v>
      </c>
      <c r="F878" s="52">
        <v>24</v>
      </c>
      <c r="G878" s="52">
        <v>16</v>
      </c>
      <c r="H878" s="58">
        <v>20</v>
      </c>
      <c r="I878" s="57">
        <v>23</v>
      </c>
      <c r="J878" s="52">
        <v>20</v>
      </c>
      <c r="K878" s="52">
        <v>20</v>
      </c>
      <c r="L878" s="58">
        <v>19</v>
      </c>
      <c r="M878" s="57">
        <v>20</v>
      </c>
      <c r="N878" s="52">
        <v>23</v>
      </c>
      <c r="O878" s="52">
        <v>25</v>
      </c>
      <c r="P878" s="58">
        <v>24</v>
      </c>
      <c r="Q878" s="57">
        <v>25</v>
      </c>
      <c r="R878" s="52">
        <v>26</v>
      </c>
      <c r="S878" s="52">
        <v>26</v>
      </c>
      <c r="T878" s="52">
        <v>25</v>
      </c>
      <c r="U878" s="58"/>
      <c r="V878" s="57"/>
      <c r="W878" s="52"/>
      <c r="X878" s="52">
        <v>24</v>
      </c>
      <c r="Y878" s="58">
        <v>21</v>
      </c>
      <c r="Z878" s="57"/>
      <c r="AA878" s="52"/>
      <c r="AB878" s="52"/>
      <c r="AC878" s="58"/>
      <c r="AD878" s="57"/>
      <c r="AE878" s="52"/>
      <c r="AF878" s="52"/>
      <c r="AG878" s="58">
        <v>22</v>
      </c>
      <c r="AH878" s="57">
        <v>21</v>
      </c>
      <c r="AI878" s="52">
        <v>20</v>
      </c>
      <c r="AJ878" s="52">
        <v>20</v>
      </c>
      <c r="AK878" s="58">
        <v>12</v>
      </c>
      <c r="AL878" s="57">
        <v>22</v>
      </c>
      <c r="AM878" s="52">
        <v>19</v>
      </c>
      <c r="AN878" s="52">
        <v>20</v>
      </c>
      <c r="AO878" s="58"/>
      <c r="AP878" s="57"/>
      <c r="AQ878" s="52"/>
      <c r="AR878" s="52"/>
      <c r="AS878" s="58"/>
      <c r="AT878" s="57"/>
      <c r="AU878" s="52"/>
      <c r="AV878" s="52"/>
      <c r="AW878" s="58"/>
      <c r="AX878" s="33">
        <f t="shared" si="811"/>
        <v>557</v>
      </c>
      <c r="AY878" s="31">
        <f t="shared" si="812"/>
        <v>21.423076923076923</v>
      </c>
      <c r="AZ878" s="30">
        <f t="shared" si="813"/>
        <v>0.76510989010989017</v>
      </c>
      <c r="BA878" s="34"/>
      <c r="BB878" s="34"/>
      <c r="BC878" s="34"/>
      <c r="BD878" s="76"/>
      <c r="BE878" s="34"/>
      <c r="BF878" s="34"/>
      <c r="BG878" s="34"/>
      <c r="BH878" s="34"/>
    </row>
    <row r="879" spans="1:60" s="17" customFormat="1" ht="19.5" customHeight="1" x14ac:dyDescent="0.35">
      <c r="A879" s="41">
        <f t="shared" ref="A879:B879" si="816">A878</f>
        <v>45441</v>
      </c>
      <c r="B879" s="37" t="str">
        <f t="shared" si="816"/>
        <v>Kalite</v>
      </c>
      <c r="C879" s="65" t="str">
        <f t="shared" si="809"/>
        <v>ESRA DURSUN</v>
      </c>
      <c r="D879" s="67">
        <f t="shared" si="810"/>
        <v>28</v>
      </c>
      <c r="E879" s="57"/>
      <c r="F879" s="52"/>
      <c r="G879" s="52"/>
      <c r="H879" s="58"/>
      <c r="I879" s="57"/>
      <c r="J879" s="52"/>
      <c r="K879" s="52"/>
      <c r="L879" s="58"/>
      <c r="M879" s="57"/>
      <c r="N879" s="52"/>
      <c r="O879" s="52"/>
      <c r="P879" s="78"/>
      <c r="Q879" s="57"/>
      <c r="R879" s="52"/>
      <c r="S879" s="52"/>
      <c r="T879" s="52"/>
      <c r="U879" s="58"/>
      <c r="V879" s="80"/>
      <c r="W879" s="52"/>
      <c r="X879" s="52"/>
      <c r="Y879" s="58"/>
      <c r="Z879" s="57"/>
      <c r="AA879" s="52"/>
      <c r="AB879" s="52"/>
      <c r="AC879" s="58"/>
      <c r="AD879" s="57"/>
      <c r="AE879" s="52"/>
      <c r="AF879" s="52"/>
      <c r="AG879" s="58"/>
      <c r="AH879" s="57"/>
      <c r="AI879" s="52">
        <v>15</v>
      </c>
      <c r="AJ879" s="52">
        <v>14</v>
      </c>
      <c r="AK879" s="58"/>
      <c r="AL879" s="57"/>
      <c r="AM879" s="52"/>
      <c r="AN879" s="52"/>
      <c r="AO879" s="58"/>
      <c r="AP879" s="57"/>
      <c r="AQ879" s="52"/>
      <c r="AR879" s="52"/>
      <c r="AS879" s="58"/>
      <c r="AT879" s="57"/>
      <c r="AU879" s="52"/>
      <c r="AV879" s="52"/>
      <c r="AW879" s="58"/>
      <c r="AX879" s="33">
        <f t="shared" si="811"/>
        <v>29</v>
      </c>
      <c r="AY879" s="31">
        <f t="shared" si="812"/>
        <v>14.5</v>
      </c>
      <c r="AZ879" s="30">
        <f t="shared" si="813"/>
        <v>0.5178571428571429</v>
      </c>
      <c r="BA879" s="34"/>
      <c r="BB879" s="34"/>
      <c r="BC879" s="34"/>
      <c r="BD879" s="76"/>
      <c r="BE879" s="34"/>
      <c r="BF879" s="34"/>
      <c r="BG879" s="34"/>
      <c r="BH879" s="34"/>
    </row>
    <row r="880" spans="1:60" s="17" customFormat="1" ht="19.5" customHeight="1" thickBot="1" x14ac:dyDescent="0.4">
      <c r="A880" s="41">
        <f t="shared" ref="A880:B881" si="817">A879</f>
        <v>45441</v>
      </c>
      <c r="B880" s="37" t="str">
        <f t="shared" si="817"/>
        <v>Kalite</v>
      </c>
      <c r="C880" s="65" t="str">
        <f t="shared" si="809"/>
        <v>NECLA KOÇ</v>
      </c>
      <c r="D880" s="67">
        <f t="shared" si="810"/>
        <v>28</v>
      </c>
      <c r="E880" s="59"/>
      <c r="F880" s="60"/>
      <c r="G880" s="61"/>
      <c r="H880" s="62"/>
      <c r="I880" s="59"/>
      <c r="J880" s="60"/>
      <c r="K880" s="61"/>
      <c r="L880" s="62"/>
      <c r="M880" s="59"/>
      <c r="N880" s="60"/>
      <c r="O880" s="61"/>
      <c r="P880" s="79"/>
      <c r="Q880" s="64"/>
      <c r="R880" s="61"/>
      <c r="S880" s="61"/>
      <c r="T880" s="61"/>
      <c r="U880" s="62"/>
      <c r="V880" s="81"/>
      <c r="W880" s="60"/>
      <c r="X880" s="61"/>
      <c r="Y880" s="62"/>
      <c r="Z880" s="59"/>
      <c r="AA880" s="60"/>
      <c r="AB880" s="61"/>
      <c r="AC880" s="62"/>
      <c r="AD880" s="59"/>
      <c r="AE880" s="60"/>
      <c r="AF880" s="61"/>
      <c r="AG880" s="62"/>
      <c r="AH880" s="59"/>
      <c r="AI880" s="60"/>
      <c r="AJ880" s="61"/>
      <c r="AK880" s="62"/>
      <c r="AL880" s="59"/>
      <c r="AM880" s="60"/>
      <c r="AN880" s="61"/>
      <c r="AO880" s="62"/>
      <c r="AP880" s="59"/>
      <c r="AQ880" s="60"/>
      <c r="AR880" s="61"/>
      <c r="AS880" s="62"/>
      <c r="AT880" s="59"/>
      <c r="AU880" s="60"/>
      <c r="AV880" s="61"/>
      <c r="AW880" s="62"/>
      <c r="AX880" s="33">
        <f t="shared" si="811"/>
        <v>0</v>
      </c>
      <c r="AY880" s="31">
        <f t="shared" si="812"/>
        <v>0</v>
      </c>
      <c r="AZ880" s="30">
        <f t="shared" si="813"/>
        <v>0</v>
      </c>
      <c r="BA880" s="34"/>
      <c r="BB880" s="34"/>
      <c r="BC880" s="34"/>
      <c r="BD880" s="76"/>
      <c r="BE880" s="34"/>
      <c r="BF880" s="34"/>
      <c r="BG880" s="34"/>
      <c r="BH880" s="34"/>
    </row>
    <row r="881" spans="1:60" s="17" customFormat="1" ht="19.5" customHeight="1" thickBot="1" x14ac:dyDescent="0.45">
      <c r="A881" s="41">
        <f t="shared" si="817"/>
        <v>45441</v>
      </c>
      <c r="B881" s="139" t="str">
        <f>B874</f>
        <v>Kalite</v>
      </c>
      <c r="C881" s="140"/>
      <c r="D881" s="40">
        <f>C710/8</f>
        <v>500</v>
      </c>
      <c r="E881" s="141">
        <f>SUM(E874:H880)</f>
        <v>416</v>
      </c>
      <c r="F881" s="142"/>
      <c r="G881" s="142"/>
      <c r="H881" s="143"/>
      <c r="I881" s="141">
        <f>SUM(I874:L880)</f>
        <v>423</v>
      </c>
      <c r="J881" s="142"/>
      <c r="K881" s="142"/>
      <c r="L881" s="143"/>
      <c r="M881" s="141">
        <f>SUM(M874:P880)</f>
        <v>481</v>
      </c>
      <c r="N881" s="142"/>
      <c r="O881" s="142"/>
      <c r="P881" s="143"/>
      <c r="Q881" s="144">
        <f>SUM(Q874:U880)</f>
        <v>599</v>
      </c>
      <c r="R881" s="145"/>
      <c r="S881" s="145"/>
      <c r="T881" s="145"/>
      <c r="U881" s="146"/>
      <c r="V881" s="141">
        <f>SUM(V874:Y880)</f>
        <v>444</v>
      </c>
      <c r="W881" s="142"/>
      <c r="X881" s="142"/>
      <c r="Y881" s="143"/>
      <c r="Z881" s="141">
        <f>SUM(Z874:AC880)</f>
        <v>342</v>
      </c>
      <c r="AA881" s="142"/>
      <c r="AB881" s="142"/>
      <c r="AC881" s="143"/>
      <c r="AD881" s="147">
        <f>SUM(AD874:AG880)</f>
        <v>388</v>
      </c>
      <c r="AE881" s="148"/>
      <c r="AF881" s="148"/>
      <c r="AG881" s="149"/>
      <c r="AH881" s="147">
        <f>SUM(AH874:AK880)</f>
        <v>466</v>
      </c>
      <c r="AI881" s="148"/>
      <c r="AJ881" s="148"/>
      <c r="AK881" s="149"/>
      <c r="AL881" s="147">
        <f>SUM(AL874:AO880)</f>
        <v>316</v>
      </c>
      <c r="AM881" s="148"/>
      <c r="AN881" s="148"/>
      <c r="AO881" s="149"/>
      <c r="AP881" s="147">
        <f>SUM(AP874:AS880)</f>
        <v>0</v>
      </c>
      <c r="AQ881" s="148"/>
      <c r="AR881" s="148"/>
      <c r="AS881" s="149"/>
      <c r="AT881" s="147">
        <f>SUM(AT874:AW880)</f>
        <v>0</v>
      </c>
      <c r="AU881" s="148"/>
      <c r="AV881" s="148"/>
      <c r="AW881" s="149"/>
      <c r="AX881" s="87">
        <f>SUM(AX874:AX880)</f>
        <v>3875</v>
      </c>
      <c r="AY881" s="88">
        <f>IFERROR(AVERAGEIF(E881:AV881,"&lt;&gt;0",(E881:AV881)),)</f>
        <v>430.55555555555554</v>
      </c>
      <c r="AZ881" s="46">
        <f>IFERROR(AX881/BB875,0)</f>
        <v>0.96875</v>
      </c>
      <c r="BA881" s="34"/>
      <c r="BB881" s="34"/>
      <c r="BC881" s="34"/>
      <c r="BD881" s="76"/>
      <c r="BE881" s="34"/>
      <c r="BF881" s="34"/>
      <c r="BG881" s="34"/>
      <c r="BH881" s="34"/>
    </row>
    <row r="882" spans="1:60" s="17" customFormat="1" ht="19.5" customHeight="1" x14ac:dyDescent="0.35">
      <c r="A882" s="109"/>
      <c r="B882" s="35" t="s">
        <v>168</v>
      </c>
      <c r="C882" s="24">
        <v>45442</v>
      </c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09"/>
      <c r="AC882" s="109"/>
      <c r="AD882" s="109"/>
      <c r="AE882" s="109"/>
      <c r="AF882" s="109"/>
      <c r="AG882" s="109"/>
      <c r="AH882" s="109"/>
      <c r="AI882" s="109"/>
      <c r="AJ882" s="109"/>
      <c r="AK882" s="109"/>
      <c r="AL882" s="109"/>
      <c r="AM882" s="109"/>
      <c r="AN882" s="109"/>
      <c r="AO882" s="109"/>
      <c r="AP882" s="109"/>
      <c r="AQ882" s="109"/>
      <c r="AR882" s="109"/>
      <c r="AS882" s="109"/>
      <c r="AT882" s="109"/>
      <c r="AU882" s="109"/>
      <c r="AV882" s="109"/>
      <c r="AW882" s="109"/>
      <c r="AX882" s="109"/>
      <c r="AY882" s="109"/>
      <c r="AZ882" s="109"/>
      <c r="BA882" s="109"/>
      <c r="BB882" s="109"/>
      <c r="BC882" s="109"/>
      <c r="BD882" s="110"/>
      <c r="BE882" s="109"/>
      <c r="BF882" s="109"/>
      <c r="BG882" s="109"/>
      <c r="BH882" s="109"/>
    </row>
    <row r="883" spans="1:60" s="17" customFormat="1" ht="19.5" customHeight="1" x14ac:dyDescent="0.35">
      <c r="A883" s="109"/>
      <c r="B883" s="35" t="s">
        <v>169</v>
      </c>
      <c r="C883" s="77">
        <f>C707</f>
        <v>0</v>
      </c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09"/>
      <c r="AC883" s="109"/>
      <c r="AD883" s="109"/>
      <c r="AE883" s="109"/>
      <c r="AF883" s="109"/>
      <c r="AG883" s="109"/>
      <c r="AH883" s="109"/>
      <c r="AI883" s="109"/>
      <c r="AJ883" s="109"/>
      <c r="AK883" s="109"/>
      <c r="AL883" s="109"/>
      <c r="AM883" s="109"/>
      <c r="AN883" s="109"/>
      <c r="AO883" s="109"/>
      <c r="AP883" s="109"/>
      <c r="AQ883" s="109"/>
      <c r="AR883" s="109"/>
      <c r="AS883" s="109"/>
      <c r="AT883" s="109"/>
      <c r="AU883" s="109"/>
      <c r="AV883" s="109"/>
      <c r="AW883" s="109"/>
      <c r="AX883" s="109"/>
      <c r="AY883" s="109"/>
      <c r="AZ883" s="109"/>
      <c r="BA883" s="20" t="s">
        <v>170</v>
      </c>
      <c r="BB883" s="21" t="s">
        <v>171</v>
      </c>
      <c r="BC883" s="26" t="s">
        <v>172</v>
      </c>
      <c r="BD883" s="110"/>
      <c r="BE883" s="109"/>
      <c r="BF883" s="109"/>
      <c r="BG883" s="109"/>
      <c r="BH883" s="109"/>
    </row>
    <row r="884" spans="1:60" s="17" customFormat="1" ht="19.5" customHeight="1" x14ac:dyDescent="0.35">
      <c r="A884" s="109"/>
      <c r="B884" s="35" t="s">
        <v>173</v>
      </c>
      <c r="C884" s="77" t="str">
        <f>C708</f>
        <v>H&amp;M MAN</v>
      </c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09"/>
      <c r="AC884" s="109"/>
      <c r="AD884" s="109"/>
      <c r="AE884" s="109"/>
      <c r="AF884" s="109"/>
      <c r="AG884" s="109"/>
      <c r="AH884" s="109"/>
      <c r="AI884" s="109"/>
      <c r="AJ884" s="109"/>
      <c r="AK884" s="109"/>
      <c r="AL884" s="109"/>
      <c r="AM884" s="109"/>
      <c r="AN884" s="109"/>
      <c r="AO884" s="109"/>
      <c r="AP884" s="109"/>
      <c r="AQ884" s="109"/>
      <c r="AR884" s="109"/>
      <c r="AS884" s="109"/>
      <c r="AT884" s="109"/>
      <c r="AU884" s="109"/>
      <c r="AV884" s="109"/>
      <c r="AW884" s="109"/>
      <c r="AX884" s="109"/>
      <c r="AY884" s="109"/>
      <c r="AZ884" s="109"/>
      <c r="BA884" s="32" t="s">
        <v>174</v>
      </c>
      <c r="BB884" s="22" t="s">
        <v>175</v>
      </c>
      <c r="BC884" s="109"/>
      <c r="BD884" s="110"/>
      <c r="BE884" s="109"/>
      <c r="BF884" s="109"/>
      <c r="BG884" s="109"/>
      <c r="BH884" s="109"/>
    </row>
    <row r="885" spans="1:60" s="17" customFormat="1" ht="19.5" customHeight="1" thickBot="1" x14ac:dyDescent="0.4">
      <c r="A885" s="109"/>
      <c r="B885" s="35" t="s">
        <v>176</v>
      </c>
      <c r="C885" s="25">
        <f>C709</f>
        <v>42311</v>
      </c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09"/>
      <c r="AC885" s="109"/>
      <c r="AD885" s="109"/>
      <c r="AE885" s="109"/>
      <c r="AF885" s="109"/>
      <c r="AG885" s="109"/>
      <c r="AH885" s="109"/>
      <c r="AI885" s="109"/>
      <c r="AJ885" s="109"/>
      <c r="AK885" s="109"/>
      <c r="AL885" s="109"/>
      <c r="AM885" s="109"/>
      <c r="AN885" s="109"/>
      <c r="AO885" s="109"/>
      <c r="AP885" s="109"/>
      <c r="AQ885" s="109"/>
      <c r="AR885" s="109"/>
      <c r="AS885" s="109"/>
      <c r="AT885" s="109"/>
      <c r="AU885" s="109"/>
      <c r="AV885" s="109"/>
      <c r="AW885" s="109"/>
      <c r="AX885" s="109"/>
      <c r="AY885" s="109"/>
      <c r="AZ885" s="109"/>
      <c r="BA885" s="27" t="s">
        <v>177</v>
      </c>
      <c r="BB885" s="23" t="s">
        <v>178</v>
      </c>
      <c r="BC885" s="109"/>
      <c r="BD885" s="110"/>
      <c r="BE885" s="109"/>
      <c r="BF885" s="109"/>
      <c r="BG885" s="109"/>
      <c r="BH885" s="109"/>
    </row>
    <row r="886" spans="1:60" s="17" customFormat="1" ht="19.5" customHeight="1" x14ac:dyDescent="0.35">
      <c r="A886" s="109"/>
      <c r="B886" s="36" t="s">
        <v>179</v>
      </c>
      <c r="C886" s="25">
        <f>C710</f>
        <v>4000</v>
      </c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09"/>
      <c r="AC886" s="109"/>
      <c r="AD886" s="109"/>
      <c r="AE886" s="109"/>
      <c r="AF886" s="109"/>
      <c r="AG886" s="109"/>
      <c r="AH886" s="109"/>
      <c r="AI886" s="109"/>
      <c r="AJ886" s="109"/>
      <c r="AK886" s="109"/>
      <c r="AL886" s="109"/>
      <c r="AM886" s="109"/>
      <c r="AN886" s="109"/>
      <c r="AO886" s="109"/>
      <c r="AP886" s="109"/>
      <c r="AQ886" s="109"/>
      <c r="AR886" s="109"/>
      <c r="AS886" s="109"/>
      <c r="AT886" s="109"/>
      <c r="AU886" s="109"/>
      <c r="AV886" s="109"/>
      <c r="AW886" s="109"/>
      <c r="AX886" s="109"/>
      <c r="AY886" s="109"/>
      <c r="AZ886" s="109"/>
      <c r="BA886" s="12" t="str">
        <f t="shared" ref="BA886:BG886" si="818">BA710</f>
        <v>XS</v>
      </c>
      <c r="BB886" s="12" t="str">
        <f t="shared" si="818"/>
        <v>S</v>
      </c>
      <c r="BC886" s="12" t="str">
        <f t="shared" si="818"/>
        <v>M</v>
      </c>
      <c r="BD886" s="12" t="str">
        <f t="shared" si="818"/>
        <v>L</v>
      </c>
      <c r="BE886" s="12" t="str">
        <f t="shared" si="818"/>
        <v>XL</v>
      </c>
      <c r="BF886" s="12" t="str">
        <f t="shared" si="818"/>
        <v>XXL</v>
      </c>
      <c r="BG886" s="12">
        <f t="shared" si="818"/>
        <v>0</v>
      </c>
      <c r="BH886" s="13"/>
    </row>
    <row r="887" spans="1:60" s="17" customFormat="1" ht="19.5" customHeight="1" thickBot="1" x14ac:dyDescent="0.4">
      <c r="A887" s="109"/>
      <c r="B887" s="36" t="s">
        <v>197</v>
      </c>
      <c r="C887" s="25" t="str">
        <f>C711</f>
        <v>EKRU</v>
      </c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09"/>
      <c r="AC887" s="109"/>
      <c r="AD887" s="109"/>
      <c r="AE887" s="109"/>
      <c r="AF887" s="109"/>
      <c r="AG887" s="109"/>
      <c r="AH887" s="109"/>
      <c r="AI887" s="109"/>
      <c r="AJ887" s="109"/>
      <c r="AK887" s="109"/>
      <c r="AL887" s="109"/>
      <c r="AM887" s="109"/>
      <c r="AN887" s="109"/>
      <c r="AO887" s="109"/>
      <c r="AP887" s="109"/>
      <c r="AQ887" s="109"/>
      <c r="AR887" s="109"/>
      <c r="AS887" s="109"/>
      <c r="AT887" s="109"/>
      <c r="AU887" s="109"/>
      <c r="AV887" s="109"/>
      <c r="AW887" s="109"/>
      <c r="AX887" s="109"/>
      <c r="AY887" s="109"/>
      <c r="AZ887" s="109"/>
      <c r="BA887" s="14">
        <f t="shared" ref="BA887:BG887" si="819">BA711</f>
        <v>492</v>
      </c>
      <c r="BB887" s="14">
        <f t="shared" si="819"/>
        <v>11438</v>
      </c>
      <c r="BC887" s="14">
        <f t="shared" si="819"/>
        <v>13689</v>
      </c>
      <c r="BD887" s="14">
        <f t="shared" si="819"/>
        <v>9760</v>
      </c>
      <c r="BE887" s="14">
        <f t="shared" si="819"/>
        <v>4794</v>
      </c>
      <c r="BF887" s="14">
        <f t="shared" si="819"/>
        <v>2138</v>
      </c>
      <c r="BG887" s="14">
        <f t="shared" si="819"/>
        <v>0</v>
      </c>
      <c r="BH887" s="15">
        <f>SUM(BA887:BG887)</f>
        <v>42311</v>
      </c>
    </row>
    <row r="888" spans="1:60" s="17" customFormat="1" ht="19.5" customHeight="1" thickBot="1" x14ac:dyDescent="0.4">
      <c r="A888" s="42">
        <f>C882</f>
        <v>45442</v>
      </c>
      <c r="B888" s="38" t="str">
        <f>B889</f>
        <v>Yaka İç Dikiş</v>
      </c>
      <c r="C888" s="39" t="s">
        <v>180</v>
      </c>
      <c r="D888" s="69" t="s">
        <v>181</v>
      </c>
      <c r="E888" s="48">
        <v>0.34375</v>
      </c>
      <c r="F888" s="49">
        <v>0.35416666666666669</v>
      </c>
      <c r="G888" s="49">
        <v>0.36458333333333331</v>
      </c>
      <c r="H888" s="50">
        <v>0.375</v>
      </c>
      <c r="I888" s="48">
        <v>0.38541666666666702</v>
      </c>
      <c r="J888" s="49">
        <v>0.39583333333333298</v>
      </c>
      <c r="K888" s="49">
        <v>0.40625</v>
      </c>
      <c r="L888" s="50">
        <v>0.41666666666666702</v>
      </c>
      <c r="M888" s="48">
        <v>0.4375</v>
      </c>
      <c r="N888" s="49">
        <v>0.44791666666666702</v>
      </c>
      <c r="O888" s="49">
        <v>0.45833333333333398</v>
      </c>
      <c r="P888" s="50">
        <v>0.46875</v>
      </c>
      <c r="Q888" s="48">
        <v>0.47916666666666702</v>
      </c>
      <c r="R888" s="49">
        <v>0.48958333333333398</v>
      </c>
      <c r="S888" s="49">
        <v>0.5</v>
      </c>
      <c r="T888" s="50">
        <v>0.51041666666666696</v>
      </c>
      <c r="U888" s="51">
        <v>0.52083333333333204</v>
      </c>
      <c r="V888" s="48">
        <v>0.5625</v>
      </c>
      <c r="W888" s="49">
        <v>0.57291666666666663</v>
      </c>
      <c r="X888" s="49">
        <v>0.58333333333333304</v>
      </c>
      <c r="Y888" s="50">
        <v>0.59375</v>
      </c>
      <c r="Z888" s="48">
        <v>0.60416666666666696</v>
      </c>
      <c r="AA888" s="49">
        <v>0.61458333333333304</v>
      </c>
      <c r="AB888" s="49">
        <v>0.625</v>
      </c>
      <c r="AC888" s="50">
        <v>0.63541666666666596</v>
      </c>
      <c r="AD888" s="48">
        <v>0.65625</v>
      </c>
      <c r="AE888" s="49">
        <v>0.66666666666666663</v>
      </c>
      <c r="AF888" s="49">
        <v>0.67708333333333304</v>
      </c>
      <c r="AG888" s="50">
        <v>0.6875</v>
      </c>
      <c r="AH888" s="48">
        <v>0.69791666666666696</v>
      </c>
      <c r="AI888" s="49">
        <v>0.70833333333333304</v>
      </c>
      <c r="AJ888" s="49">
        <v>0.71875</v>
      </c>
      <c r="AK888" s="50">
        <v>0.72916666666666696</v>
      </c>
      <c r="AL888" s="48">
        <v>0.73958333333333404</v>
      </c>
      <c r="AM888" s="49">
        <v>0.750000000000001</v>
      </c>
      <c r="AN888" s="49">
        <v>0.76041666666666796</v>
      </c>
      <c r="AO888" s="50">
        <v>0.77083333333333504</v>
      </c>
      <c r="AP888" s="48">
        <v>0.781250000000002</v>
      </c>
      <c r="AQ888" s="49">
        <v>0.79166666666666896</v>
      </c>
      <c r="AR888" s="49">
        <v>0.80208333333333603</v>
      </c>
      <c r="AS888" s="50">
        <v>0.812500000000003</v>
      </c>
      <c r="AT888" s="48">
        <v>0.82291666666666996</v>
      </c>
      <c r="AU888" s="49">
        <v>0.83333333333333703</v>
      </c>
      <c r="AV888" s="49">
        <v>0.843750000000004</v>
      </c>
      <c r="AW888" s="50">
        <v>0.85416666666666663</v>
      </c>
      <c r="AX888" s="68" t="s">
        <v>260</v>
      </c>
      <c r="AY888" s="28" t="s">
        <v>261</v>
      </c>
      <c r="AZ888" s="29" t="s">
        <v>262</v>
      </c>
      <c r="BA888" s="136" t="str">
        <f>B889</f>
        <v>Yaka İç Dikiş</v>
      </c>
      <c r="BB888" s="137"/>
      <c r="BC888" s="137"/>
      <c r="BD888" s="137"/>
      <c r="BE888" s="137"/>
      <c r="BF888" s="137"/>
      <c r="BG888" s="137"/>
      <c r="BH888" s="138"/>
    </row>
    <row r="889" spans="1:60" s="17" customFormat="1" ht="19.5" customHeight="1" thickBot="1" x14ac:dyDescent="0.4">
      <c r="A889" s="41">
        <f t="shared" ref="A889:A894" si="820">A888</f>
        <v>45442</v>
      </c>
      <c r="B889" s="37" t="str">
        <f>B713</f>
        <v>Yaka İç Dikiş</v>
      </c>
      <c r="C889" s="66" t="str">
        <f>C713</f>
        <v>HAZİME AVCİ</v>
      </c>
      <c r="D889" s="70">
        <f>D713</f>
        <v>200</v>
      </c>
      <c r="E889" s="63">
        <v>170</v>
      </c>
      <c r="F889" s="55">
        <v>200</v>
      </c>
      <c r="G889" s="55"/>
      <c r="H889" s="56"/>
      <c r="I889" s="63"/>
      <c r="J889" s="55"/>
      <c r="K889" s="55"/>
      <c r="L889" s="56">
        <v>0</v>
      </c>
      <c r="M889" s="63"/>
      <c r="N889" s="55"/>
      <c r="O889" s="55"/>
      <c r="P889" s="56"/>
      <c r="Q889" s="63"/>
      <c r="R889" s="55"/>
      <c r="S889" s="55"/>
      <c r="T889" s="55"/>
      <c r="U889" s="56"/>
      <c r="V889" s="63"/>
      <c r="W889" s="55"/>
      <c r="X889" s="55"/>
      <c r="Y889" s="56"/>
      <c r="Z889" s="63"/>
      <c r="AA889" s="55"/>
      <c r="AB889" s="55"/>
      <c r="AC889" s="56">
        <v>0</v>
      </c>
      <c r="AD889" s="63">
        <v>200</v>
      </c>
      <c r="AE889" s="55">
        <v>125</v>
      </c>
      <c r="AF889" s="55">
        <v>240</v>
      </c>
      <c r="AG889" s="56">
        <v>240</v>
      </c>
      <c r="AH889" s="63">
        <v>240</v>
      </c>
      <c r="AI889" s="55">
        <v>230</v>
      </c>
      <c r="AJ889" s="55">
        <v>230</v>
      </c>
      <c r="AK889" s="56">
        <v>235</v>
      </c>
      <c r="AL889" s="63">
        <v>240</v>
      </c>
      <c r="AM889" s="55">
        <v>120</v>
      </c>
      <c r="AN889" s="55">
        <v>225</v>
      </c>
      <c r="AO889" s="56"/>
      <c r="AP889" s="63"/>
      <c r="AQ889" s="54"/>
      <c r="AR889" s="55"/>
      <c r="AS889" s="56"/>
      <c r="AT889" s="53"/>
      <c r="AU889" s="54"/>
      <c r="AV889" s="55"/>
      <c r="AW889" s="56"/>
      <c r="AX889" s="33">
        <f>SUM(E889:AW889)</f>
        <v>2695</v>
      </c>
      <c r="AY889" s="31">
        <f>IFERROR(AVERAGEIF(E889:AW889,"&lt;&gt;0",(E889:AW889)),)</f>
        <v>207.30769230769232</v>
      </c>
      <c r="AZ889" s="30">
        <f>IFERROR(AY889/D889,0)</f>
        <v>1.0365384615384616</v>
      </c>
      <c r="BA889" s="103" t="s">
        <v>182</v>
      </c>
      <c r="BB889" s="100" t="s">
        <v>183</v>
      </c>
      <c r="BC889" s="100" t="s">
        <v>184</v>
      </c>
      <c r="BD889" s="101" t="s">
        <v>185</v>
      </c>
      <c r="BE889" s="100" t="s">
        <v>186</v>
      </c>
      <c r="BF889" s="102" t="s">
        <v>187</v>
      </c>
      <c r="BG889" s="100" t="s">
        <v>188</v>
      </c>
      <c r="BH889" s="102" t="s">
        <v>189</v>
      </c>
    </row>
    <row r="890" spans="1:60" s="17" customFormat="1" ht="19.5" customHeight="1" thickBot="1" x14ac:dyDescent="0.4">
      <c r="A890" s="41">
        <f t="shared" si="820"/>
        <v>45442</v>
      </c>
      <c r="B890" s="37" t="str">
        <f>B889</f>
        <v>Yaka İç Dikiş</v>
      </c>
      <c r="C890" s="66">
        <f>C714</f>
        <v>0</v>
      </c>
      <c r="D890" s="67">
        <f>D889</f>
        <v>200</v>
      </c>
      <c r="E890" s="57"/>
      <c r="F890" s="52"/>
      <c r="G890" s="52"/>
      <c r="H890" s="58"/>
      <c r="I890" s="57"/>
      <c r="J890" s="52"/>
      <c r="K890" s="52"/>
      <c r="L890" s="58"/>
      <c r="M890" s="57"/>
      <c r="N890" s="52"/>
      <c r="O890" s="52"/>
      <c r="P890" s="58"/>
      <c r="Q890" s="57"/>
      <c r="R890" s="52"/>
      <c r="S890" s="52"/>
      <c r="T890" s="52"/>
      <c r="U890" s="58"/>
      <c r="V890" s="57"/>
      <c r="W890" s="52"/>
      <c r="X890" s="52"/>
      <c r="Y890" s="58"/>
      <c r="Z890" s="57"/>
      <c r="AA890" s="52"/>
      <c r="AB890" s="52"/>
      <c r="AC890" s="58"/>
      <c r="AD890" s="57"/>
      <c r="AE890" s="52"/>
      <c r="AF890" s="52"/>
      <c r="AG890" s="58"/>
      <c r="AH890" s="57"/>
      <c r="AI890" s="52"/>
      <c r="AJ890" s="52"/>
      <c r="AK890" s="58"/>
      <c r="AL890" s="57"/>
      <c r="AM890" s="52"/>
      <c r="AN890" s="52"/>
      <c r="AO890" s="58"/>
      <c r="AP890" s="57"/>
      <c r="AQ890" s="52"/>
      <c r="AR890" s="52"/>
      <c r="AS890" s="58"/>
      <c r="AT890" s="57"/>
      <c r="AU890" s="52"/>
      <c r="AV890" s="52"/>
      <c r="AW890" s="58"/>
      <c r="AX890" s="33">
        <f>SUM(E890:AW890)</f>
        <v>0</v>
      </c>
      <c r="AY890" s="31">
        <f>IFERROR(AVERAGEIF(E890:AW890,"&lt;&gt;0",(E890:AW890)),)</f>
        <v>0</v>
      </c>
      <c r="AZ890" s="30">
        <f>IFERROR(AY890/D890,0)</f>
        <v>0</v>
      </c>
      <c r="BA890" s="94">
        <f>AX894+BA714</f>
        <v>14810</v>
      </c>
      <c r="BB890" s="95">
        <f>(D894*8)</f>
        <v>4000</v>
      </c>
      <c r="BC890" s="96">
        <f>C885-BA890</f>
        <v>27501</v>
      </c>
      <c r="BD890" s="96">
        <f>BC890</f>
        <v>27501</v>
      </c>
      <c r="BE890" s="97">
        <f>IFERROR(BC890/E894,0)</f>
        <v>74.327027027027029</v>
      </c>
      <c r="BF890" s="98">
        <f>IFERROR(BE890/9,0)</f>
        <v>8.2585585585585584</v>
      </c>
      <c r="BG890" s="97">
        <f>IFERROR(BC890/AY894,0)</f>
        <v>40.817810760667903</v>
      </c>
      <c r="BH890" s="97">
        <f>IFERROR(BG890/9,0)</f>
        <v>4.5353123067408783</v>
      </c>
    </row>
    <row r="891" spans="1:60" s="17" customFormat="1" ht="19.5" customHeight="1" x14ac:dyDescent="0.35">
      <c r="A891" s="41">
        <f t="shared" si="820"/>
        <v>45442</v>
      </c>
      <c r="B891" s="37" t="str">
        <f>B890</f>
        <v>Yaka İç Dikiş</v>
      </c>
      <c r="C891" s="66">
        <f>C715</f>
        <v>0</v>
      </c>
      <c r="D891" s="67">
        <f>D890</f>
        <v>200</v>
      </c>
      <c r="E891" s="57"/>
      <c r="F891" s="52"/>
      <c r="G891" s="52"/>
      <c r="H891" s="58"/>
      <c r="I891" s="57"/>
      <c r="J891" s="52"/>
      <c r="K891" s="52"/>
      <c r="L891" s="58"/>
      <c r="M891" s="57"/>
      <c r="N891" s="52"/>
      <c r="O891" s="52"/>
      <c r="P891" s="58"/>
      <c r="Q891" s="57"/>
      <c r="R891" s="52"/>
      <c r="S891" s="52"/>
      <c r="T891" s="52"/>
      <c r="U891" s="58"/>
      <c r="V891" s="57"/>
      <c r="W891" s="52"/>
      <c r="X891" s="52"/>
      <c r="Y891" s="58"/>
      <c r="Z891" s="57"/>
      <c r="AA891" s="52"/>
      <c r="AB891" s="52"/>
      <c r="AC891" s="58"/>
      <c r="AD891" s="57"/>
      <c r="AE891" s="52"/>
      <c r="AF891" s="52"/>
      <c r="AG891" s="58"/>
      <c r="AH891" s="57"/>
      <c r="AI891" s="52"/>
      <c r="AJ891" s="52"/>
      <c r="AK891" s="58"/>
      <c r="AL891" s="57"/>
      <c r="AM891" s="52"/>
      <c r="AN891" s="52"/>
      <c r="AO891" s="58"/>
      <c r="AP891" s="57"/>
      <c r="AQ891" s="52"/>
      <c r="AR891" s="52"/>
      <c r="AS891" s="58"/>
      <c r="AT891" s="57"/>
      <c r="AU891" s="52"/>
      <c r="AV891" s="52"/>
      <c r="AW891" s="58"/>
      <c r="AX891" s="33">
        <f>SUM(E891:AW891)</f>
        <v>0</v>
      </c>
      <c r="AY891" s="31">
        <f>IFERROR(AVERAGEIF(E891:AW891,"&lt;&gt;0",(E891:AW891)),)</f>
        <v>0</v>
      </c>
      <c r="AZ891" s="30">
        <f>IFERROR(AY891/D891,0)</f>
        <v>0</v>
      </c>
      <c r="BA891" s="34"/>
      <c r="BB891" s="34"/>
      <c r="BC891" s="34"/>
      <c r="BD891" s="76"/>
      <c r="BE891" s="34"/>
      <c r="BF891" s="34"/>
      <c r="BG891" s="34"/>
      <c r="BH891" s="34"/>
    </row>
    <row r="892" spans="1:60" s="17" customFormat="1" ht="19.5" customHeight="1" x14ac:dyDescent="0.35">
      <c r="A892" s="41">
        <f t="shared" si="820"/>
        <v>45442</v>
      </c>
      <c r="B892" s="37" t="str">
        <f>B891</f>
        <v>Yaka İç Dikiş</v>
      </c>
      <c r="C892" s="66">
        <f>C716</f>
        <v>0</v>
      </c>
      <c r="D892" s="67">
        <f>D891</f>
        <v>200</v>
      </c>
      <c r="E892" s="57"/>
      <c r="F892" s="52"/>
      <c r="G892" s="52"/>
      <c r="H892" s="58"/>
      <c r="I892" s="57"/>
      <c r="J892" s="52"/>
      <c r="K892" s="52"/>
      <c r="L892" s="58"/>
      <c r="M892" s="57"/>
      <c r="N892" s="52"/>
      <c r="O892" s="52"/>
      <c r="P892" s="58"/>
      <c r="Q892" s="57"/>
      <c r="R892" s="52"/>
      <c r="S892" s="52"/>
      <c r="T892" s="52"/>
      <c r="U892" s="58"/>
      <c r="V892" s="57"/>
      <c r="W892" s="52"/>
      <c r="X892" s="52"/>
      <c r="Y892" s="58"/>
      <c r="Z892" s="57"/>
      <c r="AA892" s="52"/>
      <c r="AB892" s="52"/>
      <c r="AC892" s="58"/>
      <c r="AD892" s="57"/>
      <c r="AE892" s="52"/>
      <c r="AF892" s="52"/>
      <c r="AG892" s="58"/>
      <c r="AH892" s="57"/>
      <c r="AI892" s="52"/>
      <c r="AJ892" s="52"/>
      <c r="AK892" s="58"/>
      <c r="AL892" s="57"/>
      <c r="AM892" s="52"/>
      <c r="AN892" s="52"/>
      <c r="AO892" s="58"/>
      <c r="AP892" s="57"/>
      <c r="AQ892" s="52"/>
      <c r="AR892" s="52"/>
      <c r="AS892" s="58"/>
      <c r="AT892" s="57"/>
      <c r="AU892" s="52"/>
      <c r="AV892" s="52"/>
      <c r="AW892" s="58"/>
      <c r="AX892" s="33">
        <f>SUM(E892:AW892)</f>
        <v>0</v>
      </c>
      <c r="AY892" s="31">
        <f>IFERROR(AVERAGEIF(E892:AW892,"&lt;&gt;0",(E892:AW892)),)</f>
        <v>0</v>
      </c>
      <c r="AZ892" s="30">
        <f>IFERROR(AY892/D892,0)</f>
        <v>0</v>
      </c>
      <c r="BA892" s="34"/>
      <c r="BB892" s="34"/>
      <c r="BC892" s="34"/>
      <c r="BD892" s="76"/>
      <c r="BE892" s="34"/>
      <c r="BF892" s="34"/>
      <c r="BG892" s="34"/>
      <c r="BH892" s="34"/>
    </row>
    <row r="893" spans="1:60" s="17" customFormat="1" ht="19.5" customHeight="1" thickBot="1" x14ac:dyDescent="0.4">
      <c r="A893" s="41">
        <f t="shared" si="820"/>
        <v>45442</v>
      </c>
      <c r="B893" s="37" t="str">
        <f>B892</f>
        <v>Yaka İç Dikiş</v>
      </c>
      <c r="C893" s="66">
        <f>C717</f>
        <v>0</v>
      </c>
      <c r="D893" s="67">
        <f>D892</f>
        <v>200</v>
      </c>
      <c r="E893" s="64"/>
      <c r="F893" s="61"/>
      <c r="G893" s="61"/>
      <c r="H893" s="62"/>
      <c r="I893" s="64"/>
      <c r="J893" s="61"/>
      <c r="K893" s="61"/>
      <c r="L893" s="62"/>
      <c r="M893" s="64"/>
      <c r="N893" s="61"/>
      <c r="O893" s="61"/>
      <c r="P893" s="62"/>
      <c r="Q893" s="64"/>
      <c r="R893" s="61"/>
      <c r="S893" s="61"/>
      <c r="T893" s="61"/>
      <c r="U893" s="62"/>
      <c r="V893" s="64"/>
      <c r="W893" s="61"/>
      <c r="X893" s="61"/>
      <c r="Y893" s="62"/>
      <c r="Z893" s="59"/>
      <c r="AA893" s="60"/>
      <c r="AB893" s="61"/>
      <c r="AC893" s="62"/>
      <c r="AD893" s="59"/>
      <c r="AE893" s="60"/>
      <c r="AF893" s="61"/>
      <c r="AG893" s="62"/>
      <c r="AH893" s="59"/>
      <c r="AI893" s="60"/>
      <c r="AJ893" s="61"/>
      <c r="AK893" s="62"/>
      <c r="AL893" s="59"/>
      <c r="AM893" s="60"/>
      <c r="AN893" s="61"/>
      <c r="AO893" s="62"/>
      <c r="AP893" s="59"/>
      <c r="AQ893" s="60"/>
      <c r="AR893" s="61"/>
      <c r="AS893" s="62"/>
      <c r="AT893" s="59"/>
      <c r="AU893" s="60"/>
      <c r="AV893" s="61"/>
      <c r="AW893" s="62"/>
      <c r="AX893" s="43">
        <f>SUM(E893:AW893)</f>
        <v>0</v>
      </c>
      <c r="AY893" s="44">
        <f>IFERROR(AVERAGEIF(E893:AW893,"&lt;&gt;0",(E893:AW893)),)</f>
        <v>0</v>
      </c>
      <c r="AZ893" s="45">
        <f>IFERROR(AY893/D893,0)</f>
        <v>0</v>
      </c>
      <c r="BA893" s="34"/>
      <c r="BB893" s="34"/>
      <c r="BC893" s="34"/>
      <c r="BD893" s="76"/>
      <c r="BE893" s="34"/>
      <c r="BF893" s="34"/>
      <c r="BG893" s="34"/>
      <c r="BH893" s="34"/>
    </row>
    <row r="894" spans="1:60" s="17" customFormat="1" ht="19.5" customHeight="1" thickBot="1" x14ac:dyDescent="0.45">
      <c r="A894" s="41">
        <f t="shared" si="820"/>
        <v>45442</v>
      </c>
      <c r="B894" s="139" t="str">
        <f>B889</f>
        <v>Yaka İç Dikiş</v>
      </c>
      <c r="C894" s="140"/>
      <c r="D894" s="40">
        <f>C886/8</f>
        <v>500</v>
      </c>
      <c r="E894" s="151">
        <f>SUM(E889:H893)</f>
        <v>370</v>
      </c>
      <c r="F894" s="152"/>
      <c r="G894" s="152"/>
      <c r="H894" s="153"/>
      <c r="I894" s="151">
        <f>SUM(I889:L893)</f>
        <v>0</v>
      </c>
      <c r="J894" s="152"/>
      <c r="K894" s="152"/>
      <c r="L894" s="153"/>
      <c r="M894" s="151">
        <f>SUM(M889:P893)</f>
        <v>0</v>
      </c>
      <c r="N894" s="152"/>
      <c r="O894" s="152"/>
      <c r="P894" s="153"/>
      <c r="Q894" s="151">
        <f>SUM(Q889:U893)</f>
        <v>0</v>
      </c>
      <c r="R894" s="152"/>
      <c r="S894" s="152"/>
      <c r="T894" s="152"/>
      <c r="U894" s="153"/>
      <c r="V894" s="151">
        <f>SUM(V889:Y893)</f>
        <v>0</v>
      </c>
      <c r="W894" s="152"/>
      <c r="X894" s="152"/>
      <c r="Y894" s="153"/>
      <c r="Z894" s="151">
        <f>SUM(Z889:AC893)</f>
        <v>0</v>
      </c>
      <c r="AA894" s="152"/>
      <c r="AB894" s="152"/>
      <c r="AC894" s="153"/>
      <c r="AD894" s="151">
        <f>SUM(AD889:AG893)</f>
        <v>805</v>
      </c>
      <c r="AE894" s="152"/>
      <c r="AF894" s="152"/>
      <c r="AG894" s="153"/>
      <c r="AH894" s="151">
        <f>SUM(AH889:AK893)</f>
        <v>935</v>
      </c>
      <c r="AI894" s="152"/>
      <c r="AJ894" s="152"/>
      <c r="AK894" s="153"/>
      <c r="AL894" s="151">
        <f>SUM(AL889:AO893)</f>
        <v>585</v>
      </c>
      <c r="AM894" s="152"/>
      <c r="AN894" s="152"/>
      <c r="AO894" s="153"/>
      <c r="AP894" s="151">
        <f>SUM(AP889:AS893)</f>
        <v>0</v>
      </c>
      <c r="AQ894" s="152"/>
      <c r="AR894" s="152"/>
      <c r="AS894" s="153"/>
      <c r="AT894" s="151">
        <f>SUM(AT889:AW893)</f>
        <v>0</v>
      </c>
      <c r="AU894" s="152"/>
      <c r="AV894" s="152"/>
      <c r="AW894" s="153"/>
      <c r="AX894" s="87">
        <f>SUM(AX889:AX893)</f>
        <v>2695</v>
      </c>
      <c r="AY894" s="88">
        <f>IFERROR(AVERAGEIF(E894:AV894,"&lt;&gt;0",(E894:AV894)),)</f>
        <v>673.75</v>
      </c>
      <c r="AZ894" s="46">
        <f>IFERROR(AX894/BB890,0)</f>
        <v>0.67374999999999996</v>
      </c>
      <c r="BA894" s="34"/>
      <c r="BB894" s="34"/>
      <c r="BC894" s="34"/>
      <c r="BD894" s="76"/>
      <c r="BE894" s="34"/>
      <c r="BF894" s="34"/>
      <c r="BG894" s="34"/>
      <c r="BH894" s="34"/>
    </row>
    <row r="895" spans="1:60" s="17" customFormat="1" ht="19.5" customHeight="1" thickBot="1" x14ac:dyDescent="0.4">
      <c r="A895" s="42">
        <f>A888</f>
        <v>45442</v>
      </c>
      <c r="B895" s="38" t="str">
        <f>B896</f>
        <v>Yaka Tıktık</v>
      </c>
      <c r="C895" s="39" t="s">
        <v>180</v>
      </c>
      <c r="D895" s="69" t="s">
        <v>181</v>
      </c>
      <c r="E895" s="48">
        <v>0.34375</v>
      </c>
      <c r="F895" s="49">
        <v>0.35416666666666669</v>
      </c>
      <c r="G895" s="49">
        <v>0.36458333333333331</v>
      </c>
      <c r="H895" s="50">
        <v>0.375</v>
      </c>
      <c r="I895" s="48">
        <v>0.38541666666666702</v>
      </c>
      <c r="J895" s="49">
        <v>0.39583333333333298</v>
      </c>
      <c r="K895" s="49">
        <v>0.40625</v>
      </c>
      <c r="L895" s="50">
        <v>0.41666666666666702</v>
      </c>
      <c r="M895" s="48">
        <v>0.4375</v>
      </c>
      <c r="N895" s="49">
        <v>0.44791666666666702</v>
      </c>
      <c r="O895" s="49">
        <v>0.45833333333333398</v>
      </c>
      <c r="P895" s="50">
        <v>0.46875</v>
      </c>
      <c r="Q895" s="48">
        <v>0.47916666666666702</v>
      </c>
      <c r="R895" s="49">
        <v>0.48958333333333398</v>
      </c>
      <c r="S895" s="49">
        <v>0.5</v>
      </c>
      <c r="T895" s="50">
        <v>0.51041666666666696</v>
      </c>
      <c r="U895" s="51">
        <v>0.52083333333333204</v>
      </c>
      <c r="V895" s="48">
        <v>0.5625</v>
      </c>
      <c r="W895" s="49">
        <v>0.57291666666666663</v>
      </c>
      <c r="X895" s="49">
        <v>0.58333333333333304</v>
      </c>
      <c r="Y895" s="50">
        <v>0.59375</v>
      </c>
      <c r="Z895" s="48">
        <v>0.60416666666666696</v>
      </c>
      <c r="AA895" s="49">
        <v>0.61458333333333304</v>
      </c>
      <c r="AB895" s="49">
        <v>0.625</v>
      </c>
      <c r="AC895" s="50">
        <v>0.63541666666666596</v>
      </c>
      <c r="AD895" s="48">
        <v>0.65625</v>
      </c>
      <c r="AE895" s="49">
        <v>0.66666666666666663</v>
      </c>
      <c r="AF895" s="49">
        <v>0.67708333333333304</v>
      </c>
      <c r="AG895" s="50">
        <v>0.6875</v>
      </c>
      <c r="AH895" s="48">
        <v>0.69791666666666696</v>
      </c>
      <c r="AI895" s="49">
        <v>0.70833333333333304</v>
      </c>
      <c r="AJ895" s="49">
        <v>0.71875</v>
      </c>
      <c r="AK895" s="50">
        <v>0.72916666666666696</v>
      </c>
      <c r="AL895" s="48">
        <v>0.73958333333333404</v>
      </c>
      <c r="AM895" s="49">
        <v>0.750000000000001</v>
      </c>
      <c r="AN895" s="49">
        <v>0.76041666666666796</v>
      </c>
      <c r="AO895" s="50">
        <v>0.77083333333333504</v>
      </c>
      <c r="AP895" s="48">
        <v>0.781250000000002</v>
      </c>
      <c r="AQ895" s="49">
        <v>0.79166666666666896</v>
      </c>
      <c r="AR895" s="49">
        <v>0.80208333333333603</v>
      </c>
      <c r="AS895" s="50">
        <v>0.812500000000003</v>
      </c>
      <c r="AT895" s="48">
        <v>0.82291666666666996</v>
      </c>
      <c r="AU895" s="49">
        <v>0.83333333333333703</v>
      </c>
      <c r="AV895" s="49">
        <v>0.843750000000004</v>
      </c>
      <c r="AW895" s="50">
        <v>0.85416666666666663</v>
      </c>
      <c r="AX895" s="68" t="s">
        <v>260</v>
      </c>
      <c r="AY895" s="28" t="s">
        <v>261</v>
      </c>
      <c r="AZ895" s="29" t="s">
        <v>262</v>
      </c>
      <c r="BA895" s="136" t="str">
        <f>B896</f>
        <v>Yaka Tıktık</v>
      </c>
      <c r="BB895" s="137"/>
      <c r="BC895" s="137"/>
      <c r="BD895" s="137"/>
      <c r="BE895" s="137"/>
      <c r="BF895" s="137"/>
      <c r="BG895" s="137"/>
      <c r="BH895" s="138"/>
    </row>
    <row r="896" spans="1:60" s="17" customFormat="1" ht="19.5" customHeight="1" thickBot="1" x14ac:dyDescent="0.4">
      <c r="A896" s="41">
        <f>A888</f>
        <v>45442</v>
      </c>
      <c r="B896" s="37" t="str">
        <f>B720</f>
        <v>Yaka Tıktık</v>
      </c>
      <c r="C896" s="66" t="str">
        <f>C720</f>
        <v>HAYAL ŞENER</v>
      </c>
      <c r="D896" s="70">
        <f>D720</f>
        <v>150</v>
      </c>
      <c r="E896" s="63">
        <v>120</v>
      </c>
      <c r="F896" s="55">
        <v>100</v>
      </c>
      <c r="G896" s="55">
        <v>110</v>
      </c>
      <c r="H896" s="56">
        <v>120</v>
      </c>
      <c r="I896" s="63">
        <v>110</v>
      </c>
      <c r="J896" s="55">
        <v>50</v>
      </c>
      <c r="K896" s="55">
        <v>140</v>
      </c>
      <c r="L896" s="56">
        <v>120</v>
      </c>
      <c r="M896" s="63">
        <v>105</v>
      </c>
      <c r="N896" s="55">
        <v>140</v>
      </c>
      <c r="O896" s="55">
        <v>110</v>
      </c>
      <c r="P896" s="56">
        <v>125</v>
      </c>
      <c r="Q896" s="63">
        <v>115</v>
      </c>
      <c r="R896" s="55">
        <v>125</v>
      </c>
      <c r="S896" s="55">
        <v>0</v>
      </c>
      <c r="T896" s="55">
        <v>120</v>
      </c>
      <c r="U896" s="56">
        <v>100</v>
      </c>
      <c r="V896" s="63">
        <v>120</v>
      </c>
      <c r="W896" s="55">
        <v>90</v>
      </c>
      <c r="X896" s="55">
        <v>100</v>
      </c>
      <c r="Y896" s="56">
        <v>105</v>
      </c>
      <c r="Z896" s="63">
        <v>75</v>
      </c>
      <c r="AA896" s="55">
        <v>90</v>
      </c>
      <c r="AB896" s="55">
        <v>95</v>
      </c>
      <c r="AC896" s="56">
        <v>60</v>
      </c>
      <c r="AD896" s="63">
        <v>110</v>
      </c>
      <c r="AE896" s="55">
        <v>50</v>
      </c>
      <c r="AF896" s="55">
        <v>100</v>
      </c>
      <c r="AG896" s="56">
        <v>110</v>
      </c>
      <c r="AH896" s="63">
        <v>110</v>
      </c>
      <c r="AI896" s="55">
        <v>50</v>
      </c>
      <c r="AJ896" s="55">
        <v>100</v>
      </c>
      <c r="AK896" s="56">
        <v>50</v>
      </c>
      <c r="AL896" s="63">
        <v>70</v>
      </c>
      <c r="AM896" s="55">
        <v>75</v>
      </c>
      <c r="AN896" s="55">
        <v>65</v>
      </c>
      <c r="AO896" s="56"/>
      <c r="AP896" s="63"/>
      <c r="AQ896" s="54"/>
      <c r="AR896" s="55"/>
      <c r="AS896" s="56"/>
      <c r="AT896" s="53"/>
      <c r="AU896" s="54"/>
      <c r="AV896" s="55"/>
      <c r="AW896" s="56"/>
      <c r="AX896" s="33">
        <f>SUM(E896:AW896)</f>
        <v>3435</v>
      </c>
      <c r="AY896" s="31">
        <f>IFERROR(AVERAGEIF(E896:AW896,"&lt;&gt;0",(E896:AW896)),)</f>
        <v>98.142857142857139</v>
      </c>
      <c r="AZ896" s="30">
        <f>IFERROR(AY896/D896,0)</f>
        <v>0.65428571428571425</v>
      </c>
      <c r="BA896" s="103" t="s">
        <v>182</v>
      </c>
      <c r="BB896" s="100" t="s">
        <v>183</v>
      </c>
      <c r="BC896" s="100" t="s">
        <v>184</v>
      </c>
      <c r="BD896" s="101" t="s">
        <v>185</v>
      </c>
      <c r="BE896" s="100" t="s">
        <v>186</v>
      </c>
      <c r="BF896" s="102" t="s">
        <v>187</v>
      </c>
      <c r="BG896" s="100" t="s">
        <v>188</v>
      </c>
      <c r="BH896" s="102" t="s">
        <v>189</v>
      </c>
    </row>
    <row r="897" spans="1:60" s="17" customFormat="1" ht="19.5" customHeight="1" thickBot="1" x14ac:dyDescent="0.4">
      <c r="A897" s="41">
        <f t="shared" ref="A897:B897" si="821">A896</f>
        <v>45442</v>
      </c>
      <c r="B897" s="37" t="str">
        <f t="shared" si="821"/>
        <v>Yaka Tıktık</v>
      </c>
      <c r="C897" s="66">
        <f>C721</f>
        <v>0</v>
      </c>
      <c r="D897" s="67">
        <f>D896</f>
        <v>150</v>
      </c>
      <c r="E897" s="57"/>
      <c r="F897" s="52"/>
      <c r="G897" s="52"/>
      <c r="H897" s="58"/>
      <c r="I897" s="57"/>
      <c r="J897" s="52"/>
      <c r="K897" s="52"/>
      <c r="L897" s="58"/>
      <c r="M897" s="57"/>
      <c r="N897" s="52"/>
      <c r="O897" s="52"/>
      <c r="P897" s="58"/>
      <c r="Q897" s="57"/>
      <c r="R897" s="52"/>
      <c r="S897" s="52"/>
      <c r="T897" s="52"/>
      <c r="U897" s="58"/>
      <c r="V897" s="57"/>
      <c r="W897" s="52"/>
      <c r="X897" s="52"/>
      <c r="Y897" s="58"/>
      <c r="Z897" s="57"/>
      <c r="AA897" s="52"/>
      <c r="AB897" s="52"/>
      <c r="AC897" s="58"/>
      <c r="AD897" s="57"/>
      <c r="AE897" s="52"/>
      <c r="AF897" s="52"/>
      <c r="AG897" s="58"/>
      <c r="AH897" s="57"/>
      <c r="AI897" s="52"/>
      <c r="AJ897" s="52"/>
      <c r="AK897" s="58"/>
      <c r="AL897" s="57"/>
      <c r="AM897" s="52"/>
      <c r="AN897" s="52"/>
      <c r="AO897" s="58"/>
      <c r="AP897" s="57"/>
      <c r="AQ897" s="52"/>
      <c r="AR897" s="52"/>
      <c r="AS897" s="58"/>
      <c r="AT897" s="57"/>
      <c r="AU897" s="52"/>
      <c r="AV897" s="52"/>
      <c r="AW897" s="58"/>
      <c r="AX897" s="33">
        <f>SUM(E897:AW897)</f>
        <v>0</v>
      </c>
      <c r="AY897" s="31">
        <f>IFERROR(AVERAGEIF(E897:AW897,"&lt;&gt;0",(E897:AW897)),)</f>
        <v>0</v>
      </c>
      <c r="AZ897" s="30">
        <f>IFERROR(AY897/D897,0)</f>
        <v>0</v>
      </c>
      <c r="BA897" s="94">
        <f>AX901+BA721</f>
        <v>9205</v>
      </c>
      <c r="BB897" s="95">
        <f>(D901*8)</f>
        <v>4000</v>
      </c>
      <c r="BC897" s="96">
        <f>C885-BA897</f>
        <v>33106</v>
      </c>
      <c r="BD897" s="96">
        <f>BA890-BA897</f>
        <v>5605</v>
      </c>
      <c r="BE897" s="97">
        <f>IFERROR(BC897/E901,0)</f>
        <v>73.568888888888893</v>
      </c>
      <c r="BF897" s="98">
        <f>IFERROR(BE897/9,0)</f>
        <v>8.1743209876543208</v>
      </c>
      <c r="BG897" s="97">
        <f>IFERROR(BC897/AY901,0)</f>
        <v>86.740611353711785</v>
      </c>
      <c r="BH897" s="97">
        <f>IFERROR(BG897/9,0)</f>
        <v>9.6378457059679761</v>
      </c>
    </row>
    <row r="898" spans="1:60" s="17" customFormat="1" ht="19.5" customHeight="1" x14ac:dyDescent="0.35">
      <c r="A898" s="41">
        <f t="shared" ref="A898:B898" si="822">A897</f>
        <v>45442</v>
      </c>
      <c r="B898" s="37" t="str">
        <f t="shared" si="822"/>
        <v>Yaka Tıktık</v>
      </c>
      <c r="C898" s="66">
        <f>C722</f>
        <v>0</v>
      </c>
      <c r="D898" s="67">
        <f>D897</f>
        <v>150</v>
      </c>
      <c r="E898" s="57"/>
      <c r="F898" s="52"/>
      <c r="G898" s="52"/>
      <c r="H898" s="58"/>
      <c r="I898" s="57"/>
      <c r="J898" s="52"/>
      <c r="K898" s="52"/>
      <c r="L898" s="58"/>
      <c r="M898" s="57"/>
      <c r="N898" s="52"/>
      <c r="O898" s="52"/>
      <c r="P898" s="58"/>
      <c r="Q898" s="57"/>
      <c r="R898" s="52"/>
      <c r="S898" s="52"/>
      <c r="T898" s="52"/>
      <c r="U898" s="58"/>
      <c r="V898" s="57"/>
      <c r="W898" s="52"/>
      <c r="X898" s="52"/>
      <c r="Y898" s="58"/>
      <c r="Z898" s="57"/>
      <c r="AA898" s="52"/>
      <c r="AB898" s="52"/>
      <c r="AC898" s="58"/>
      <c r="AD898" s="57"/>
      <c r="AE898" s="52"/>
      <c r="AF898" s="52"/>
      <c r="AG898" s="58"/>
      <c r="AH898" s="57"/>
      <c r="AI898" s="52"/>
      <c r="AJ898" s="52"/>
      <c r="AK898" s="58"/>
      <c r="AL898" s="57"/>
      <c r="AM898" s="52"/>
      <c r="AN898" s="52"/>
      <c r="AO898" s="58"/>
      <c r="AP898" s="57"/>
      <c r="AQ898" s="52"/>
      <c r="AR898" s="52"/>
      <c r="AS898" s="58"/>
      <c r="AT898" s="57"/>
      <c r="AU898" s="52"/>
      <c r="AV898" s="52"/>
      <c r="AW898" s="58"/>
      <c r="AX898" s="33">
        <f>SUM(E898:AW898)</f>
        <v>0</v>
      </c>
      <c r="AY898" s="31">
        <f>IFERROR(AVERAGEIF(E898:AW898,"&lt;&gt;0",(E898:AW898)),)</f>
        <v>0</v>
      </c>
      <c r="AZ898" s="30">
        <f>IFERROR(AY898/D898,0)</f>
        <v>0</v>
      </c>
      <c r="BA898" s="34"/>
      <c r="BB898" s="34"/>
      <c r="BC898" s="34"/>
      <c r="BD898" s="76"/>
      <c r="BE898" s="34"/>
      <c r="BF898" s="34"/>
      <c r="BG898" s="34"/>
      <c r="BH898" s="34"/>
    </row>
    <row r="899" spans="1:60" s="17" customFormat="1" ht="19.5" customHeight="1" x14ac:dyDescent="0.35">
      <c r="A899" s="41">
        <f t="shared" ref="A899:B899" si="823">A898</f>
        <v>45442</v>
      </c>
      <c r="B899" s="37" t="str">
        <f t="shared" si="823"/>
        <v>Yaka Tıktık</v>
      </c>
      <c r="C899" s="66">
        <f>C723</f>
        <v>0</v>
      </c>
      <c r="D899" s="67">
        <f>D898</f>
        <v>150</v>
      </c>
      <c r="E899" s="57"/>
      <c r="F899" s="52"/>
      <c r="G899" s="52"/>
      <c r="H899" s="58"/>
      <c r="I899" s="57"/>
      <c r="J899" s="52"/>
      <c r="K899" s="52"/>
      <c r="L899" s="58"/>
      <c r="M899" s="57"/>
      <c r="N899" s="52"/>
      <c r="O899" s="52"/>
      <c r="P899" s="58"/>
      <c r="Q899" s="57"/>
      <c r="R899" s="52"/>
      <c r="S899" s="52"/>
      <c r="T899" s="52"/>
      <c r="U899" s="58"/>
      <c r="V899" s="57"/>
      <c r="W899" s="52"/>
      <c r="X899" s="52"/>
      <c r="Y899" s="58"/>
      <c r="Z899" s="57"/>
      <c r="AA899" s="52"/>
      <c r="AB899" s="52"/>
      <c r="AC899" s="58"/>
      <c r="AD899" s="57"/>
      <c r="AE899" s="52"/>
      <c r="AF899" s="52"/>
      <c r="AG899" s="58"/>
      <c r="AH899" s="57"/>
      <c r="AI899" s="52"/>
      <c r="AJ899" s="52"/>
      <c r="AK899" s="58"/>
      <c r="AL899" s="57"/>
      <c r="AM899" s="52"/>
      <c r="AN899" s="52"/>
      <c r="AO899" s="58"/>
      <c r="AP899" s="57"/>
      <c r="AQ899" s="52"/>
      <c r="AR899" s="52"/>
      <c r="AS899" s="58"/>
      <c r="AT899" s="57"/>
      <c r="AU899" s="52"/>
      <c r="AV899" s="52"/>
      <c r="AW899" s="58"/>
      <c r="AX899" s="33">
        <f>SUM(E899:AW899)</f>
        <v>0</v>
      </c>
      <c r="AY899" s="31">
        <f>IFERROR(AVERAGEIF(E899:AW899,"&lt;&gt;0",(E899:AW899)),)</f>
        <v>0</v>
      </c>
      <c r="AZ899" s="30">
        <f>IFERROR(AY899/D899,0)</f>
        <v>0</v>
      </c>
      <c r="BA899" s="34"/>
      <c r="BB899" s="34"/>
      <c r="BC899" s="34"/>
      <c r="BD899" s="76"/>
      <c r="BE899" s="34"/>
      <c r="BF899" s="34"/>
      <c r="BG899" s="34"/>
      <c r="BH899" s="34"/>
    </row>
    <row r="900" spans="1:60" s="17" customFormat="1" ht="19.5" customHeight="1" thickBot="1" x14ac:dyDescent="0.4">
      <c r="A900" s="41">
        <f t="shared" ref="A900:B900" si="824">A899</f>
        <v>45442</v>
      </c>
      <c r="B900" s="37" t="str">
        <f t="shared" si="824"/>
        <v>Yaka Tıktık</v>
      </c>
      <c r="C900" s="66">
        <f>C724</f>
        <v>0</v>
      </c>
      <c r="D900" s="67">
        <f>D899</f>
        <v>150</v>
      </c>
      <c r="E900" s="64"/>
      <c r="F900" s="61"/>
      <c r="G900" s="61"/>
      <c r="H900" s="62"/>
      <c r="I900" s="64"/>
      <c r="J900" s="61"/>
      <c r="K900" s="61"/>
      <c r="L900" s="62"/>
      <c r="M900" s="64"/>
      <c r="N900" s="61"/>
      <c r="O900" s="61"/>
      <c r="P900" s="62"/>
      <c r="Q900" s="64"/>
      <c r="R900" s="61"/>
      <c r="S900" s="61"/>
      <c r="T900" s="61"/>
      <c r="U900" s="62"/>
      <c r="V900" s="64"/>
      <c r="W900" s="61"/>
      <c r="X900" s="61"/>
      <c r="Y900" s="62"/>
      <c r="Z900" s="59"/>
      <c r="AA900" s="60"/>
      <c r="AB900" s="61"/>
      <c r="AC900" s="62"/>
      <c r="AD900" s="59"/>
      <c r="AE900" s="60"/>
      <c r="AF900" s="61"/>
      <c r="AG900" s="62"/>
      <c r="AH900" s="59"/>
      <c r="AI900" s="60"/>
      <c r="AJ900" s="61"/>
      <c r="AK900" s="62"/>
      <c r="AL900" s="59"/>
      <c r="AM900" s="60"/>
      <c r="AN900" s="61"/>
      <c r="AO900" s="62"/>
      <c r="AP900" s="59"/>
      <c r="AQ900" s="60"/>
      <c r="AR900" s="61"/>
      <c r="AS900" s="62"/>
      <c r="AT900" s="59"/>
      <c r="AU900" s="60"/>
      <c r="AV900" s="61"/>
      <c r="AW900" s="62"/>
      <c r="AX900" s="43">
        <f>SUM(E900:AW900)</f>
        <v>0</v>
      </c>
      <c r="AY900" s="44">
        <f>IFERROR(AVERAGEIF(E900:AW900,"&lt;&gt;0",(E900:AW900)),)</f>
        <v>0</v>
      </c>
      <c r="AZ900" s="45">
        <f>IFERROR(AY900/D900,0)</f>
        <v>0</v>
      </c>
      <c r="BA900" s="34"/>
      <c r="BB900" s="34"/>
      <c r="BC900" s="34"/>
      <c r="BD900" s="76"/>
      <c r="BE900" s="34"/>
      <c r="BF900" s="34"/>
      <c r="BG900" s="34"/>
      <c r="BH900" s="34"/>
    </row>
    <row r="901" spans="1:60" s="17" customFormat="1" ht="19.5" customHeight="1" thickBot="1" x14ac:dyDescent="0.45">
      <c r="A901" s="41">
        <f>A900</f>
        <v>45442</v>
      </c>
      <c r="B901" s="139" t="str">
        <f>B896</f>
        <v>Yaka Tıktık</v>
      </c>
      <c r="C901" s="140"/>
      <c r="D901" s="40">
        <f>C886/8</f>
        <v>500</v>
      </c>
      <c r="E901" s="151">
        <f>SUM(E896:H900)</f>
        <v>450</v>
      </c>
      <c r="F901" s="152"/>
      <c r="G901" s="152"/>
      <c r="H901" s="153"/>
      <c r="I901" s="151">
        <f>SUM(I896:L900)</f>
        <v>420</v>
      </c>
      <c r="J901" s="152"/>
      <c r="K901" s="152"/>
      <c r="L901" s="153"/>
      <c r="M901" s="151">
        <f>SUM(M896:P900)</f>
        <v>480</v>
      </c>
      <c r="N901" s="152"/>
      <c r="O901" s="152"/>
      <c r="P901" s="153"/>
      <c r="Q901" s="151">
        <f>SUM(Q896:U900)</f>
        <v>460</v>
      </c>
      <c r="R901" s="152"/>
      <c r="S901" s="152"/>
      <c r="T901" s="152"/>
      <c r="U901" s="153"/>
      <c r="V901" s="151">
        <f>SUM(V896:Y900)</f>
        <v>415</v>
      </c>
      <c r="W901" s="152"/>
      <c r="X901" s="152"/>
      <c r="Y901" s="153"/>
      <c r="Z901" s="151">
        <f>SUM(Z896:AC900)</f>
        <v>320</v>
      </c>
      <c r="AA901" s="152"/>
      <c r="AB901" s="152"/>
      <c r="AC901" s="153"/>
      <c r="AD901" s="151">
        <f>SUM(AD896:AG900)</f>
        <v>370</v>
      </c>
      <c r="AE901" s="152"/>
      <c r="AF901" s="152"/>
      <c r="AG901" s="153"/>
      <c r="AH901" s="151">
        <f>SUM(AH896:AK900)</f>
        <v>310</v>
      </c>
      <c r="AI901" s="152"/>
      <c r="AJ901" s="152"/>
      <c r="AK901" s="153"/>
      <c r="AL901" s="151">
        <f>SUM(AL896:AO900)</f>
        <v>210</v>
      </c>
      <c r="AM901" s="152"/>
      <c r="AN901" s="152"/>
      <c r="AO901" s="153"/>
      <c r="AP901" s="151">
        <f>SUM(AP896:AS900)</f>
        <v>0</v>
      </c>
      <c r="AQ901" s="152"/>
      <c r="AR901" s="152"/>
      <c r="AS901" s="153"/>
      <c r="AT901" s="151">
        <f>SUM(AT896:AW900)</f>
        <v>0</v>
      </c>
      <c r="AU901" s="152"/>
      <c r="AV901" s="152"/>
      <c r="AW901" s="153"/>
      <c r="AX901" s="87">
        <f>SUM(AX896:AX900)</f>
        <v>3435</v>
      </c>
      <c r="AY901" s="88">
        <f>IFERROR(AVERAGEIF(E901:AV901,"&lt;&gt;0",(E901:AV901)),)</f>
        <v>381.66666666666669</v>
      </c>
      <c r="AZ901" s="46">
        <f>IFERROR(AX901/BB897,0)</f>
        <v>0.85875000000000001</v>
      </c>
      <c r="BA901" s="34"/>
      <c r="BB901" s="34"/>
      <c r="BC901" s="34"/>
      <c r="BD901" s="76"/>
      <c r="BE901" s="34"/>
      <c r="BF901" s="34"/>
      <c r="BG901" s="34"/>
      <c r="BH901" s="34"/>
    </row>
    <row r="902" spans="1:60" s="17" customFormat="1" ht="19.5" customHeight="1" thickBot="1" x14ac:dyDescent="0.4">
      <c r="A902" s="42">
        <f>A888</f>
        <v>45442</v>
      </c>
      <c r="B902" s="38" t="str">
        <f>B903</f>
        <v>Etiket Hazırlama</v>
      </c>
      <c r="C902" s="39" t="s">
        <v>180</v>
      </c>
      <c r="D902" s="69" t="s">
        <v>181</v>
      </c>
      <c r="E902" s="48">
        <v>0.34375</v>
      </c>
      <c r="F902" s="49">
        <v>0.35416666666666669</v>
      </c>
      <c r="G902" s="49">
        <v>0.36458333333333331</v>
      </c>
      <c r="H902" s="50">
        <v>0.375</v>
      </c>
      <c r="I902" s="48">
        <v>0.38541666666666702</v>
      </c>
      <c r="J902" s="49">
        <v>0.39583333333333298</v>
      </c>
      <c r="K902" s="49">
        <v>0.40625</v>
      </c>
      <c r="L902" s="50">
        <v>0.41666666666666702</v>
      </c>
      <c r="M902" s="48">
        <v>0.4375</v>
      </c>
      <c r="N902" s="49">
        <v>0.44791666666666702</v>
      </c>
      <c r="O902" s="49">
        <v>0.45833333333333398</v>
      </c>
      <c r="P902" s="50">
        <v>0.46875</v>
      </c>
      <c r="Q902" s="48">
        <v>0.47916666666666702</v>
      </c>
      <c r="R902" s="49">
        <v>0.48958333333333398</v>
      </c>
      <c r="S902" s="49">
        <v>0.5</v>
      </c>
      <c r="T902" s="50">
        <v>0.51041666666666696</v>
      </c>
      <c r="U902" s="51">
        <v>0.52083333333333204</v>
      </c>
      <c r="V902" s="48">
        <v>0.5625</v>
      </c>
      <c r="W902" s="49">
        <v>0.57291666666666663</v>
      </c>
      <c r="X902" s="49">
        <v>0.58333333333333304</v>
      </c>
      <c r="Y902" s="50">
        <v>0.59375</v>
      </c>
      <c r="Z902" s="48">
        <v>0.60416666666666696</v>
      </c>
      <c r="AA902" s="49">
        <v>0.61458333333333304</v>
      </c>
      <c r="AB902" s="49">
        <v>0.625</v>
      </c>
      <c r="AC902" s="50">
        <v>0.63541666666666596</v>
      </c>
      <c r="AD902" s="48">
        <v>0.65625</v>
      </c>
      <c r="AE902" s="49">
        <v>0.66666666666666663</v>
      </c>
      <c r="AF902" s="49">
        <v>0.67708333333333304</v>
      </c>
      <c r="AG902" s="50">
        <v>0.6875</v>
      </c>
      <c r="AH902" s="48">
        <v>0.69791666666666696</v>
      </c>
      <c r="AI902" s="49">
        <v>0.70833333333333304</v>
      </c>
      <c r="AJ902" s="49">
        <v>0.71875</v>
      </c>
      <c r="AK902" s="50">
        <v>0.72916666666666696</v>
      </c>
      <c r="AL902" s="48">
        <v>0.73958333333333404</v>
      </c>
      <c r="AM902" s="49">
        <v>0.750000000000001</v>
      </c>
      <c r="AN902" s="49">
        <v>0.76041666666666796</v>
      </c>
      <c r="AO902" s="50">
        <v>0.77083333333333504</v>
      </c>
      <c r="AP902" s="48">
        <v>0.781250000000002</v>
      </c>
      <c r="AQ902" s="49">
        <v>0.79166666666666896</v>
      </c>
      <c r="AR902" s="49">
        <v>0.80208333333333603</v>
      </c>
      <c r="AS902" s="50">
        <v>0.812500000000003</v>
      </c>
      <c r="AT902" s="48">
        <v>0.82291666666666996</v>
      </c>
      <c r="AU902" s="49">
        <v>0.83333333333333703</v>
      </c>
      <c r="AV902" s="49">
        <v>0.843750000000004</v>
      </c>
      <c r="AW902" s="50">
        <v>0.85416666666666663</v>
      </c>
      <c r="AX902" s="68" t="s">
        <v>260</v>
      </c>
      <c r="AY902" s="28" t="s">
        <v>261</v>
      </c>
      <c r="AZ902" s="29" t="s">
        <v>262</v>
      </c>
      <c r="BA902" s="136" t="str">
        <f>B903</f>
        <v>Etiket Hazırlama</v>
      </c>
      <c r="BB902" s="137"/>
      <c r="BC902" s="137"/>
      <c r="BD902" s="137"/>
      <c r="BE902" s="137"/>
      <c r="BF902" s="137"/>
      <c r="BG902" s="137"/>
      <c r="BH902" s="138"/>
    </row>
    <row r="903" spans="1:60" s="17" customFormat="1" ht="19.5" customHeight="1" thickBot="1" x14ac:dyDescent="0.4">
      <c r="A903" s="41">
        <f t="shared" ref="A903:A908" si="825">A902</f>
        <v>45442</v>
      </c>
      <c r="B903" s="37" t="str">
        <f>B727</f>
        <v>Etiket Hazırlama</v>
      </c>
      <c r="C903" s="66" t="str">
        <f>C727</f>
        <v>EMİNE PİŞKİN</v>
      </c>
      <c r="D903" s="70">
        <f>D727</f>
        <v>120</v>
      </c>
      <c r="E903" s="63">
        <v>120</v>
      </c>
      <c r="F903" s="55">
        <v>100</v>
      </c>
      <c r="G903" s="55">
        <v>100</v>
      </c>
      <c r="H903" s="56">
        <v>110</v>
      </c>
      <c r="I903" s="63">
        <v>110</v>
      </c>
      <c r="J903" s="55">
        <v>110</v>
      </c>
      <c r="K903" s="55">
        <v>100</v>
      </c>
      <c r="L903" s="56">
        <v>60</v>
      </c>
      <c r="M903" s="63">
        <v>110</v>
      </c>
      <c r="N903" s="55">
        <v>110</v>
      </c>
      <c r="O903" s="55">
        <v>110</v>
      </c>
      <c r="P903" s="56">
        <v>105</v>
      </c>
      <c r="Q903" s="63">
        <v>100</v>
      </c>
      <c r="R903" s="55">
        <v>110</v>
      </c>
      <c r="S903" s="55">
        <v>120</v>
      </c>
      <c r="T903" s="55">
        <v>105</v>
      </c>
      <c r="U903" s="56">
        <v>85</v>
      </c>
      <c r="V903" s="63">
        <v>115</v>
      </c>
      <c r="W903" s="55">
        <v>125</v>
      </c>
      <c r="X903" s="55">
        <v>105</v>
      </c>
      <c r="Y903" s="56">
        <v>110</v>
      </c>
      <c r="Z903" s="63">
        <v>100</v>
      </c>
      <c r="AA903" s="55">
        <v>110</v>
      </c>
      <c r="AB903" s="55">
        <v>110</v>
      </c>
      <c r="AC903" s="56">
        <v>110</v>
      </c>
      <c r="AD903" s="63">
        <v>120</v>
      </c>
      <c r="AE903" s="55">
        <v>80</v>
      </c>
      <c r="AF903" s="55">
        <v>95</v>
      </c>
      <c r="AG903" s="56">
        <v>105</v>
      </c>
      <c r="AH903" s="63">
        <v>115</v>
      </c>
      <c r="AI903" s="55">
        <v>120</v>
      </c>
      <c r="AJ903" s="55">
        <v>90</v>
      </c>
      <c r="AK903" s="56">
        <v>100</v>
      </c>
      <c r="AL903" s="63">
        <v>85</v>
      </c>
      <c r="AM903" s="55">
        <v>110</v>
      </c>
      <c r="AN903" s="55">
        <v>115</v>
      </c>
      <c r="AO903" s="56"/>
      <c r="AP903" s="63"/>
      <c r="AQ903" s="54"/>
      <c r="AR903" s="55"/>
      <c r="AS903" s="56"/>
      <c r="AT903" s="53"/>
      <c r="AU903" s="54"/>
      <c r="AV903" s="55"/>
      <c r="AW903" s="56"/>
      <c r="AX903" s="33">
        <f>SUM(E903:AW903)</f>
        <v>3785</v>
      </c>
      <c r="AY903" s="31">
        <f>IFERROR(AVERAGEIF(E903:AW903,"&lt;&gt;0",(E903:AW903)),)</f>
        <v>105.13888888888889</v>
      </c>
      <c r="AZ903" s="30">
        <f>IFERROR(AY903/D903,0)</f>
        <v>0.87615740740740733</v>
      </c>
      <c r="BA903" s="103" t="s">
        <v>182</v>
      </c>
      <c r="BB903" s="100" t="s">
        <v>183</v>
      </c>
      <c r="BC903" s="100" t="s">
        <v>184</v>
      </c>
      <c r="BD903" s="101" t="s">
        <v>185</v>
      </c>
      <c r="BE903" s="100" t="s">
        <v>186</v>
      </c>
      <c r="BF903" s="102" t="s">
        <v>187</v>
      </c>
      <c r="BG903" s="100" t="s">
        <v>188</v>
      </c>
      <c r="BH903" s="102" t="s">
        <v>189</v>
      </c>
    </row>
    <row r="904" spans="1:60" s="17" customFormat="1" ht="19.5" customHeight="1" thickBot="1" x14ac:dyDescent="0.4">
      <c r="A904" s="41">
        <f t="shared" si="825"/>
        <v>45442</v>
      </c>
      <c r="B904" s="37" t="str">
        <f>B903</f>
        <v>Etiket Hazırlama</v>
      </c>
      <c r="C904" s="66">
        <f>C728</f>
        <v>0</v>
      </c>
      <c r="D904" s="67">
        <f>D903</f>
        <v>120</v>
      </c>
      <c r="E904" s="57"/>
      <c r="F904" s="52"/>
      <c r="G904" s="52"/>
      <c r="H904" s="58"/>
      <c r="I904" s="57"/>
      <c r="J904" s="52"/>
      <c r="K904" s="52"/>
      <c r="L904" s="58"/>
      <c r="M904" s="57"/>
      <c r="N904" s="52"/>
      <c r="O904" s="52"/>
      <c r="P904" s="58"/>
      <c r="Q904" s="57"/>
      <c r="R904" s="52"/>
      <c r="S904" s="52"/>
      <c r="T904" s="52"/>
      <c r="U904" s="58"/>
      <c r="V904" s="57"/>
      <c r="W904" s="52"/>
      <c r="X904" s="52"/>
      <c r="Y904" s="58"/>
      <c r="Z904" s="57"/>
      <c r="AA904" s="52"/>
      <c r="AB904" s="52"/>
      <c r="AC904" s="58"/>
      <c r="AD904" s="57"/>
      <c r="AE904" s="52"/>
      <c r="AF904" s="52"/>
      <c r="AG904" s="58"/>
      <c r="AH904" s="57"/>
      <c r="AI904" s="52"/>
      <c r="AJ904" s="52"/>
      <c r="AK904" s="58"/>
      <c r="AL904" s="57"/>
      <c r="AM904" s="52"/>
      <c r="AN904" s="52"/>
      <c r="AO904" s="58"/>
      <c r="AP904" s="57"/>
      <c r="AQ904" s="52"/>
      <c r="AR904" s="52"/>
      <c r="AS904" s="58"/>
      <c r="AT904" s="57"/>
      <c r="AU904" s="52"/>
      <c r="AV904" s="52"/>
      <c r="AW904" s="58"/>
      <c r="AX904" s="33">
        <f>SUM(E904:AW904)</f>
        <v>0</v>
      </c>
      <c r="AY904" s="31">
        <f>IFERROR(AVERAGEIF(E904:AW904,"&lt;&gt;0",(E904:AW904)),)</f>
        <v>0</v>
      </c>
      <c r="AZ904" s="30">
        <f>IFERROR(AY904/D904,0)</f>
        <v>0</v>
      </c>
      <c r="BA904" s="94">
        <f>AX908+BA728</f>
        <v>12135</v>
      </c>
      <c r="BB904" s="95">
        <f>(D908*8)</f>
        <v>4000</v>
      </c>
      <c r="BC904" s="96">
        <f>C885-BA904</f>
        <v>30176</v>
      </c>
      <c r="BD904" s="96">
        <f>BC904</f>
        <v>30176</v>
      </c>
      <c r="BE904" s="97">
        <f>IFERROR(BC904/E908,0)</f>
        <v>70.176744186046506</v>
      </c>
      <c r="BF904" s="98">
        <f>IFERROR(BE904/9,0)</f>
        <v>7.7974160206718341</v>
      </c>
      <c r="BG904" s="97">
        <f>IFERROR(BC904/AY908,0)</f>
        <v>71.752708058124171</v>
      </c>
      <c r="BH904" s="97">
        <f>IFERROR(BG904/9,0)</f>
        <v>7.9725231175693523</v>
      </c>
    </row>
    <row r="905" spans="1:60" s="17" customFormat="1" ht="19.5" customHeight="1" x14ac:dyDescent="0.35">
      <c r="A905" s="41">
        <f t="shared" si="825"/>
        <v>45442</v>
      </c>
      <c r="B905" s="37" t="str">
        <f>B904</f>
        <v>Etiket Hazırlama</v>
      </c>
      <c r="C905" s="66">
        <f>C729</f>
        <v>0</v>
      </c>
      <c r="D905" s="67">
        <f>D904</f>
        <v>120</v>
      </c>
      <c r="E905" s="57"/>
      <c r="F905" s="52"/>
      <c r="G905" s="52"/>
      <c r="H905" s="58"/>
      <c r="I905" s="57"/>
      <c r="J905" s="52"/>
      <c r="K905" s="52"/>
      <c r="L905" s="58"/>
      <c r="M905" s="57"/>
      <c r="N905" s="52"/>
      <c r="O905" s="52"/>
      <c r="P905" s="58"/>
      <c r="Q905" s="57"/>
      <c r="R905" s="52"/>
      <c r="S905" s="52"/>
      <c r="T905" s="52"/>
      <c r="U905" s="58"/>
      <c r="V905" s="57"/>
      <c r="W905" s="52"/>
      <c r="X905" s="52"/>
      <c r="Y905" s="58"/>
      <c r="Z905" s="57"/>
      <c r="AA905" s="52"/>
      <c r="AB905" s="52"/>
      <c r="AC905" s="58"/>
      <c r="AD905" s="57"/>
      <c r="AE905" s="52"/>
      <c r="AF905" s="52"/>
      <c r="AG905" s="58"/>
      <c r="AH905" s="57"/>
      <c r="AI905" s="52"/>
      <c r="AJ905" s="52"/>
      <c r="AK905" s="58"/>
      <c r="AL905" s="57"/>
      <c r="AM905" s="52"/>
      <c r="AN905" s="52"/>
      <c r="AO905" s="58"/>
      <c r="AP905" s="57"/>
      <c r="AQ905" s="52"/>
      <c r="AR905" s="52"/>
      <c r="AS905" s="58"/>
      <c r="AT905" s="57"/>
      <c r="AU905" s="52"/>
      <c r="AV905" s="52"/>
      <c r="AW905" s="58"/>
      <c r="AX905" s="33">
        <f>SUM(E905:AW905)</f>
        <v>0</v>
      </c>
      <c r="AY905" s="31">
        <f>IFERROR(AVERAGEIF(E905:AW905,"&lt;&gt;0",(E905:AW905)),)</f>
        <v>0</v>
      </c>
      <c r="AZ905" s="30">
        <f>IFERROR(AY905/D905,0)</f>
        <v>0</v>
      </c>
      <c r="BA905" s="34"/>
      <c r="BB905" s="34"/>
      <c r="BC905" s="34"/>
      <c r="BD905" s="76"/>
      <c r="BE905" s="34"/>
      <c r="BF905" s="34"/>
      <c r="BG905" s="34"/>
      <c r="BH905" s="34"/>
    </row>
    <row r="906" spans="1:60" s="17" customFormat="1" ht="19.5" customHeight="1" x14ac:dyDescent="0.35">
      <c r="A906" s="41">
        <f t="shared" si="825"/>
        <v>45442</v>
      </c>
      <c r="B906" s="37" t="str">
        <f>B905</f>
        <v>Etiket Hazırlama</v>
      </c>
      <c r="C906" s="66">
        <f>C730</f>
        <v>0</v>
      </c>
      <c r="D906" s="67">
        <f>D905</f>
        <v>120</v>
      </c>
      <c r="E906" s="57"/>
      <c r="F906" s="52"/>
      <c r="G906" s="52"/>
      <c r="H906" s="58"/>
      <c r="I906" s="57"/>
      <c r="J906" s="52"/>
      <c r="K906" s="52"/>
      <c r="L906" s="58"/>
      <c r="M906" s="57"/>
      <c r="N906" s="52"/>
      <c r="O906" s="52"/>
      <c r="P906" s="58"/>
      <c r="Q906" s="57"/>
      <c r="R906" s="52"/>
      <c r="S906" s="52"/>
      <c r="T906" s="52"/>
      <c r="U906" s="58"/>
      <c r="V906" s="57"/>
      <c r="W906" s="52"/>
      <c r="X906" s="52"/>
      <c r="Y906" s="58"/>
      <c r="Z906" s="57"/>
      <c r="AA906" s="52"/>
      <c r="AB906" s="52"/>
      <c r="AC906" s="58"/>
      <c r="AD906" s="57"/>
      <c r="AE906" s="52"/>
      <c r="AF906" s="52"/>
      <c r="AG906" s="58"/>
      <c r="AH906" s="57"/>
      <c r="AI906" s="52"/>
      <c r="AJ906" s="52"/>
      <c r="AK906" s="58"/>
      <c r="AL906" s="57"/>
      <c r="AM906" s="52"/>
      <c r="AN906" s="52"/>
      <c r="AO906" s="58"/>
      <c r="AP906" s="57"/>
      <c r="AQ906" s="52"/>
      <c r="AR906" s="52"/>
      <c r="AS906" s="58"/>
      <c r="AT906" s="57"/>
      <c r="AU906" s="52"/>
      <c r="AV906" s="52"/>
      <c r="AW906" s="58"/>
      <c r="AX906" s="33">
        <f>SUM(E906:AW906)</f>
        <v>0</v>
      </c>
      <c r="AY906" s="31">
        <f>IFERROR(AVERAGEIF(E906:AW906,"&lt;&gt;0",(E906:AW906)),)</f>
        <v>0</v>
      </c>
      <c r="AZ906" s="30">
        <f>IFERROR(AY906/D906,0)</f>
        <v>0</v>
      </c>
      <c r="BA906" s="34"/>
      <c r="BB906" s="34"/>
      <c r="BC906" s="34"/>
      <c r="BD906" s="76"/>
      <c r="BE906" s="34"/>
      <c r="BF906" s="34"/>
      <c r="BG906" s="34"/>
      <c r="BH906" s="34"/>
    </row>
    <row r="907" spans="1:60" s="17" customFormat="1" ht="19.5" customHeight="1" thickBot="1" x14ac:dyDescent="0.4">
      <c r="A907" s="41">
        <f t="shared" si="825"/>
        <v>45442</v>
      </c>
      <c r="B907" s="37" t="str">
        <f>B906</f>
        <v>Etiket Hazırlama</v>
      </c>
      <c r="C907" s="66">
        <f>C731</f>
        <v>0</v>
      </c>
      <c r="D907" s="67">
        <f>D906</f>
        <v>120</v>
      </c>
      <c r="E907" s="64"/>
      <c r="F907" s="61"/>
      <c r="G907" s="61"/>
      <c r="H907" s="62"/>
      <c r="I907" s="64"/>
      <c r="J907" s="61"/>
      <c r="K907" s="61"/>
      <c r="L907" s="62"/>
      <c r="M907" s="64"/>
      <c r="N907" s="61"/>
      <c r="O907" s="61"/>
      <c r="P907" s="62"/>
      <c r="Q907" s="64"/>
      <c r="R907" s="61"/>
      <c r="S907" s="61"/>
      <c r="T907" s="61"/>
      <c r="U907" s="62"/>
      <c r="V907" s="64"/>
      <c r="W907" s="61"/>
      <c r="X907" s="61"/>
      <c r="Y907" s="62"/>
      <c r="Z907" s="59"/>
      <c r="AA907" s="60"/>
      <c r="AB907" s="61"/>
      <c r="AC907" s="62"/>
      <c r="AD907" s="59"/>
      <c r="AE907" s="60"/>
      <c r="AF907" s="61"/>
      <c r="AG907" s="62"/>
      <c r="AH907" s="59"/>
      <c r="AI907" s="60"/>
      <c r="AJ907" s="61"/>
      <c r="AK907" s="62"/>
      <c r="AL907" s="59"/>
      <c r="AM907" s="60"/>
      <c r="AN907" s="61"/>
      <c r="AO907" s="62"/>
      <c r="AP907" s="59"/>
      <c r="AQ907" s="60"/>
      <c r="AR907" s="61"/>
      <c r="AS907" s="62"/>
      <c r="AT907" s="59"/>
      <c r="AU907" s="60"/>
      <c r="AV907" s="61"/>
      <c r="AW907" s="62"/>
      <c r="AX907" s="43">
        <f>SUM(E907:AW907)</f>
        <v>0</v>
      </c>
      <c r="AY907" s="44">
        <f>IFERROR(AVERAGEIF(E907:AW907,"&lt;&gt;0",(E907:AW907)),)</f>
        <v>0</v>
      </c>
      <c r="AZ907" s="45">
        <f>IFERROR(AY907/D907,0)</f>
        <v>0</v>
      </c>
      <c r="BA907" s="34"/>
      <c r="BB907" s="34"/>
      <c r="BC907" s="34"/>
      <c r="BD907" s="76"/>
      <c r="BE907" s="34"/>
      <c r="BF907" s="34"/>
      <c r="BG907" s="34"/>
      <c r="BH907" s="34"/>
    </row>
    <row r="908" spans="1:60" s="17" customFormat="1" ht="19.5" customHeight="1" thickBot="1" x14ac:dyDescent="0.45">
      <c r="A908" s="41">
        <f t="shared" si="825"/>
        <v>45442</v>
      </c>
      <c r="B908" s="139" t="str">
        <f>B903</f>
        <v>Etiket Hazırlama</v>
      </c>
      <c r="C908" s="140"/>
      <c r="D908" s="40">
        <f>C886/8</f>
        <v>500</v>
      </c>
      <c r="E908" s="151">
        <f>SUM(E903:H907)</f>
        <v>430</v>
      </c>
      <c r="F908" s="152"/>
      <c r="G908" s="152"/>
      <c r="H908" s="153"/>
      <c r="I908" s="151">
        <f>SUM(I903:L907)</f>
        <v>380</v>
      </c>
      <c r="J908" s="152"/>
      <c r="K908" s="152"/>
      <c r="L908" s="153"/>
      <c r="M908" s="151">
        <f>SUM(M903:P907)</f>
        <v>435</v>
      </c>
      <c r="N908" s="152"/>
      <c r="O908" s="152"/>
      <c r="P908" s="153"/>
      <c r="Q908" s="151">
        <f>SUM(Q903:U907)</f>
        <v>520</v>
      </c>
      <c r="R908" s="152"/>
      <c r="S908" s="152"/>
      <c r="T908" s="152"/>
      <c r="U908" s="153"/>
      <c r="V908" s="151">
        <f>SUM(V903:Y907)</f>
        <v>455</v>
      </c>
      <c r="W908" s="152"/>
      <c r="X908" s="152"/>
      <c r="Y908" s="153"/>
      <c r="Z908" s="151">
        <f>SUM(Z903:AC907)</f>
        <v>430</v>
      </c>
      <c r="AA908" s="152"/>
      <c r="AB908" s="152"/>
      <c r="AC908" s="153"/>
      <c r="AD908" s="151">
        <f>SUM(AD903:AG907)</f>
        <v>400</v>
      </c>
      <c r="AE908" s="152"/>
      <c r="AF908" s="152"/>
      <c r="AG908" s="153"/>
      <c r="AH908" s="151">
        <f>SUM(AH903:AK907)</f>
        <v>425</v>
      </c>
      <c r="AI908" s="152"/>
      <c r="AJ908" s="152"/>
      <c r="AK908" s="153"/>
      <c r="AL908" s="151">
        <f>SUM(AL903:AO907)</f>
        <v>310</v>
      </c>
      <c r="AM908" s="152"/>
      <c r="AN908" s="152"/>
      <c r="AO908" s="153"/>
      <c r="AP908" s="151">
        <f>SUM(AP903:AS907)</f>
        <v>0</v>
      </c>
      <c r="AQ908" s="152"/>
      <c r="AR908" s="152"/>
      <c r="AS908" s="153"/>
      <c r="AT908" s="151">
        <f>SUM(AT903:AW907)</f>
        <v>0</v>
      </c>
      <c r="AU908" s="152"/>
      <c r="AV908" s="152"/>
      <c r="AW908" s="153"/>
      <c r="AX908" s="87">
        <f>SUM(AX903:AX907)</f>
        <v>3785</v>
      </c>
      <c r="AY908" s="88">
        <f>IFERROR(AVERAGEIF(E908:AV908,"&lt;&gt;0",(E908:AV908)),)</f>
        <v>420.55555555555554</v>
      </c>
      <c r="AZ908" s="46">
        <f>IFERROR(AX908/BB904,0)</f>
        <v>0.94625000000000004</v>
      </c>
      <c r="BA908" s="34"/>
      <c r="BB908" s="34"/>
      <c r="BC908" s="34"/>
      <c r="BD908" s="76"/>
      <c r="BE908" s="34"/>
      <c r="BF908" s="34"/>
      <c r="BG908" s="34"/>
      <c r="BH908" s="34"/>
    </row>
    <row r="909" spans="1:60" s="17" customFormat="1" ht="19.5" customHeight="1" thickBot="1" x14ac:dyDescent="0.4">
      <c r="A909" s="42">
        <f>A888</f>
        <v>45442</v>
      </c>
      <c r="B909" s="38" t="str">
        <f>B910</f>
        <v>Tela Yapıştırma</v>
      </c>
      <c r="C909" s="39" t="s">
        <v>180</v>
      </c>
      <c r="D909" s="69" t="s">
        <v>181</v>
      </c>
      <c r="E909" s="48">
        <v>0.34375</v>
      </c>
      <c r="F909" s="49">
        <v>0.35416666666666669</v>
      </c>
      <c r="G909" s="49">
        <v>0.36458333333333331</v>
      </c>
      <c r="H909" s="50">
        <v>0.375</v>
      </c>
      <c r="I909" s="48">
        <v>0.38541666666666702</v>
      </c>
      <c r="J909" s="49">
        <v>0.39583333333333298</v>
      </c>
      <c r="K909" s="49">
        <v>0.40625</v>
      </c>
      <c r="L909" s="50">
        <v>0.41666666666666702</v>
      </c>
      <c r="M909" s="48">
        <v>0.4375</v>
      </c>
      <c r="N909" s="49">
        <v>0.44791666666666702</v>
      </c>
      <c r="O909" s="49">
        <v>0.45833333333333398</v>
      </c>
      <c r="P909" s="50">
        <v>0.46875</v>
      </c>
      <c r="Q909" s="48">
        <v>0.47916666666666702</v>
      </c>
      <c r="R909" s="49">
        <v>0.48958333333333398</v>
      </c>
      <c r="S909" s="49">
        <v>0.5</v>
      </c>
      <c r="T909" s="50">
        <v>0.51041666666666696</v>
      </c>
      <c r="U909" s="51">
        <v>0.52083333333333204</v>
      </c>
      <c r="V909" s="48">
        <v>0.5625</v>
      </c>
      <c r="W909" s="49">
        <v>0.57291666666666663</v>
      </c>
      <c r="X909" s="49">
        <v>0.58333333333333304</v>
      </c>
      <c r="Y909" s="50">
        <v>0.59375</v>
      </c>
      <c r="Z909" s="48">
        <v>0.60416666666666696</v>
      </c>
      <c r="AA909" s="49">
        <v>0.61458333333333304</v>
      </c>
      <c r="AB909" s="49">
        <v>0.625</v>
      </c>
      <c r="AC909" s="50">
        <v>0.63541666666666596</v>
      </c>
      <c r="AD909" s="48">
        <v>0.65625</v>
      </c>
      <c r="AE909" s="49">
        <v>0.66666666666666663</v>
      </c>
      <c r="AF909" s="49">
        <v>0.67708333333333304</v>
      </c>
      <c r="AG909" s="50">
        <v>0.6875</v>
      </c>
      <c r="AH909" s="48">
        <v>0.69791666666666696</v>
      </c>
      <c r="AI909" s="49">
        <v>0.70833333333333304</v>
      </c>
      <c r="AJ909" s="49">
        <v>0.71875</v>
      </c>
      <c r="AK909" s="50">
        <v>0.72916666666666696</v>
      </c>
      <c r="AL909" s="48">
        <v>0.73958333333333404</v>
      </c>
      <c r="AM909" s="49">
        <v>0.750000000000001</v>
      </c>
      <c r="AN909" s="49">
        <v>0.76041666666666796</v>
      </c>
      <c r="AO909" s="50">
        <v>0.77083333333333504</v>
      </c>
      <c r="AP909" s="48">
        <v>0.781250000000002</v>
      </c>
      <c r="AQ909" s="49">
        <v>0.79166666666666896</v>
      </c>
      <c r="AR909" s="49">
        <v>0.80208333333333603</v>
      </c>
      <c r="AS909" s="50">
        <v>0.812500000000003</v>
      </c>
      <c r="AT909" s="48">
        <v>0.82291666666666996</v>
      </c>
      <c r="AU909" s="49">
        <v>0.83333333333333703</v>
      </c>
      <c r="AV909" s="49">
        <v>0.843750000000004</v>
      </c>
      <c r="AW909" s="50">
        <v>0.85416666666666663</v>
      </c>
      <c r="AX909" s="68" t="s">
        <v>260</v>
      </c>
      <c r="AY909" s="28" t="s">
        <v>261</v>
      </c>
      <c r="AZ909" s="29" t="s">
        <v>262</v>
      </c>
      <c r="BA909" s="136" t="str">
        <f>B910</f>
        <v>Tela Yapıştırma</v>
      </c>
      <c r="BB909" s="137"/>
      <c r="BC909" s="137"/>
      <c r="BD909" s="137"/>
      <c r="BE909" s="137"/>
      <c r="BF909" s="137"/>
      <c r="BG909" s="137"/>
      <c r="BH909" s="138"/>
    </row>
    <row r="910" spans="1:60" s="17" customFormat="1" ht="19.5" customHeight="1" thickBot="1" x14ac:dyDescent="0.4">
      <c r="A910" s="41">
        <f>A902</f>
        <v>45442</v>
      </c>
      <c r="B910" s="37" t="str">
        <f>B734</f>
        <v>Tela Yapıştırma</v>
      </c>
      <c r="C910" s="66" t="str">
        <f>C734</f>
        <v>AYŞE ADADA</v>
      </c>
      <c r="D910" s="70">
        <f>D734</f>
        <v>200</v>
      </c>
      <c r="E910" s="63"/>
      <c r="F910" s="55"/>
      <c r="G910" s="55"/>
      <c r="H910" s="56"/>
      <c r="I910" s="63"/>
      <c r="J910" s="55"/>
      <c r="K910" s="55"/>
      <c r="L910" s="56"/>
      <c r="M910" s="63"/>
      <c r="N910" s="55"/>
      <c r="O910" s="55"/>
      <c r="P910" s="56"/>
      <c r="Q910" s="63"/>
      <c r="R910" s="55"/>
      <c r="S910" s="55"/>
      <c r="T910" s="55"/>
      <c r="U910" s="56"/>
      <c r="V910" s="63"/>
      <c r="W910" s="55"/>
      <c r="X910" s="55"/>
      <c r="Y910" s="56"/>
      <c r="Z910" s="63"/>
      <c r="AA910" s="55"/>
      <c r="AB910" s="55"/>
      <c r="AC910" s="56"/>
      <c r="AD910" s="63"/>
      <c r="AE910" s="55"/>
      <c r="AF910" s="55"/>
      <c r="AG910" s="56"/>
      <c r="AH910" s="63"/>
      <c r="AI910" s="55"/>
      <c r="AJ910" s="55"/>
      <c r="AK910" s="56"/>
      <c r="AL910" s="63"/>
      <c r="AM910" s="55"/>
      <c r="AN910" s="55"/>
      <c r="AO910" s="56"/>
      <c r="AP910" s="63"/>
      <c r="AQ910" s="54"/>
      <c r="AR910" s="55"/>
      <c r="AS910" s="56"/>
      <c r="AT910" s="53"/>
      <c r="AU910" s="54"/>
      <c r="AV910" s="55"/>
      <c r="AW910" s="56"/>
      <c r="AX910" s="33">
        <f>SUM(E910:AW910)</f>
        <v>0</v>
      </c>
      <c r="AY910" s="31">
        <f>IFERROR(AVERAGEIF(E910:AW910,"&lt;&gt;0",(E910:AW910)),)</f>
        <v>0</v>
      </c>
      <c r="AZ910" s="30">
        <f>IFERROR(AY910/D910,0)</f>
        <v>0</v>
      </c>
      <c r="BA910" s="103" t="s">
        <v>182</v>
      </c>
      <c r="BB910" s="100" t="s">
        <v>183</v>
      </c>
      <c r="BC910" s="100" t="s">
        <v>184</v>
      </c>
      <c r="BD910" s="101" t="s">
        <v>185</v>
      </c>
      <c r="BE910" s="100" t="s">
        <v>186</v>
      </c>
      <c r="BF910" s="102" t="s">
        <v>187</v>
      </c>
      <c r="BG910" s="100" t="s">
        <v>188</v>
      </c>
      <c r="BH910" s="102" t="s">
        <v>189</v>
      </c>
    </row>
    <row r="911" spans="1:60" s="17" customFormat="1" ht="19.5" customHeight="1" thickBot="1" x14ac:dyDescent="0.4">
      <c r="A911" s="41">
        <f t="shared" ref="A911:B911" si="826">A910</f>
        <v>45442</v>
      </c>
      <c r="B911" s="37" t="str">
        <f t="shared" si="826"/>
        <v>Tela Yapıştırma</v>
      </c>
      <c r="C911" s="66">
        <f>C735</f>
        <v>0</v>
      </c>
      <c r="D911" s="67">
        <f>D910</f>
        <v>200</v>
      </c>
      <c r="E911" s="57"/>
      <c r="F911" s="52"/>
      <c r="G911" s="52"/>
      <c r="H911" s="58"/>
      <c r="I911" s="57"/>
      <c r="J911" s="52"/>
      <c r="K911" s="52"/>
      <c r="L911" s="58"/>
      <c r="M911" s="57"/>
      <c r="N911" s="52"/>
      <c r="O911" s="52"/>
      <c r="P911" s="58"/>
      <c r="Q911" s="57"/>
      <c r="R911" s="52"/>
      <c r="S911" s="52"/>
      <c r="T911" s="52"/>
      <c r="U911" s="58"/>
      <c r="V911" s="57"/>
      <c r="W911" s="52"/>
      <c r="X911" s="52"/>
      <c r="Y911" s="58"/>
      <c r="Z911" s="57"/>
      <c r="AA911" s="52"/>
      <c r="AB911" s="52"/>
      <c r="AC911" s="58"/>
      <c r="AD911" s="57"/>
      <c r="AE911" s="52"/>
      <c r="AF911" s="52"/>
      <c r="AG911" s="58"/>
      <c r="AH911" s="57"/>
      <c r="AI911" s="52"/>
      <c r="AJ911" s="52"/>
      <c r="AK911" s="58"/>
      <c r="AL911" s="57"/>
      <c r="AM911" s="52"/>
      <c r="AN911" s="52"/>
      <c r="AO911" s="58"/>
      <c r="AP911" s="57"/>
      <c r="AQ911" s="52"/>
      <c r="AR911" s="52"/>
      <c r="AS911" s="58"/>
      <c r="AT911" s="57"/>
      <c r="AU911" s="52"/>
      <c r="AV911" s="52"/>
      <c r="AW911" s="58"/>
      <c r="AX911" s="33">
        <f>SUM(E911:AW911)</f>
        <v>0</v>
      </c>
      <c r="AY911" s="31">
        <f>IFERROR(AVERAGEIF(E911:AW911,"&lt;&gt;0",(E911:AW911)),)</f>
        <v>0</v>
      </c>
      <c r="AZ911" s="30">
        <f>IFERROR(AY911/D911,0)</f>
        <v>0</v>
      </c>
      <c r="BA911" s="94">
        <f>AX915+BA735</f>
        <v>0</v>
      </c>
      <c r="BB911" s="95">
        <f>(D915*8)</f>
        <v>4000</v>
      </c>
      <c r="BC911" s="96">
        <f>C885-BA911</f>
        <v>42311</v>
      </c>
      <c r="BD911" s="96">
        <f>BC911</f>
        <v>42311</v>
      </c>
      <c r="BE911" s="97">
        <f>IFERROR(BC911/E915,0)</f>
        <v>0</v>
      </c>
      <c r="BF911" s="98">
        <f>IFERROR(BE911/9,0)</f>
        <v>0</v>
      </c>
      <c r="BG911" s="97">
        <f>IFERROR(BC911/AY915,0)</f>
        <v>0</v>
      </c>
      <c r="BH911" s="97">
        <f>IFERROR(BG911/9,0)</f>
        <v>0</v>
      </c>
    </row>
    <row r="912" spans="1:60" s="17" customFormat="1" ht="19.5" customHeight="1" x14ac:dyDescent="0.35">
      <c r="A912" s="41">
        <f t="shared" ref="A912:B912" si="827">A911</f>
        <v>45442</v>
      </c>
      <c r="B912" s="37" t="str">
        <f t="shared" si="827"/>
        <v>Tela Yapıştırma</v>
      </c>
      <c r="C912" s="66">
        <f>C736</f>
        <v>0</v>
      </c>
      <c r="D912" s="67">
        <f>D911</f>
        <v>200</v>
      </c>
      <c r="E912" s="57"/>
      <c r="F912" s="52"/>
      <c r="G912" s="52"/>
      <c r="H912" s="58"/>
      <c r="I912" s="57"/>
      <c r="J912" s="52"/>
      <c r="K912" s="52"/>
      <c r="L912" s="58"/>
      <c r="M912" s="57"/>
      <c r="N912" s="52"/>
      <c r="O912" s="52"/>
      <c r="P912" s="58"/>
      <c r="Q912" s="57"/>
      <c r="R912" s="52"/>
      <c r="S912" s="52"/>
      <c r="T912" s="52"/>
      <c r="U912" s="58"/>
      <c r="V912" s="57"/>
      <c r="W912" s="52"/>
      <c r="X912" s="52"/>
      <c r="Y912" s="58"/>
      <c r="Z912" s="57"/>
      <c r="AA912" s="52"/>
      <c r="AB912" s="52"/>
      <c r="AC912" s="58"/>
      <c r="AD912" s="57"/>
      <c r="AE912" s="52"/>
      <c r="AF912" s="52"/>
      <c r="AG912" s="58"/>
      <c r="AH912" s="57"/>
      <c r="AI912" s="52"/>
      <c r="AJ912" s="52"/>
      <c r="AK912" s="58"/>
      <c r="AL912" s="57"/>
      <c r="AM912" s="52"/>
      <c r="AN912" s="52"/>
      <c r="AO912" s="58"/>
      <c r="AP912" s="57"/>
      <c r="AQ912" s="52"/>
      <c r="AR912" s="52"/>
      <c r="AS912" s="58"/>
      <c r="AT912" s="57"/>
      <c r="AU912" s="52"/>
      <c r="AV912" s="52"/>
      <c r="AW912" s="58"/>
      <c r="AX912" s="33">
        <f>SUM(E912:AW912)</f>
        <v>0</v>
      </c>
      <c r="AY912" s="31">
        <f>IFERROR(AVERAGEIF(E912:AW912,"&lt;&gt;0",(E912:AW912)),)</f>
        <v>0</v>
      </c>
      <c r="AZ912" s="30">
        <f>IFERROR(AY912/D912,0)</f>
        <v>0</v>
      </c>
      <c r="BA912" s="34"/>
      <c r="BB912" s="34"/>
      <c r="BC912" s="34"/>
      <c r="BD912" s="76"/>
      <c r="BE912" s="34"/>
      <c r="BF912" s="34"/>
      <c r="BG912" s="34"/>
      <c r="BH912" s="34"/>
    </row>
    <row r="913" spans="1:60" s="17" customFormat="1" ht="19.5" customHeight="1" x14ac:dyDescent="0.35">
      <c r="A913" s="41">
        <f t="shared" ref="A913:B913" si="828">A912</f>
        <v>45442</v>
      </c>
      <c r="B913" s="37" t="str">
        <f t="shared" si="828"/>
        <v>Tela Yapıştırma</v>
      </c>
      <c r="C913" s="66">
        <f>C737</f>
        <v>0</v>
      </c>
      <c r="D913" s="67">
        <f>D912</f>
        <v>200</v>
      </c>
      <c r="E913" s="57"/>
      <c r="F913" s="52"/>
      <c r="G913" s="52"/>
      <c r="H913" s="58"/>
      <c r="I913" s="57"/>
      <c r="J913" s="52"/>
      <c r="K913" s="52"/>
      <c r="L913" s="58"/>
      <c r="M913" s="57"/>
      <c r="N913" s="52"/>
      <c r="O913" s="52"/>
      <c r="P913" s="58"/>
      <c r="Q913" s="57"/>
      <c r="R913" s="52"/>
      <c r="S913" s="52"/>
      <c r="T913" s="52"/>
      <c r="U913" s="58"/>
      <c r="V913" s="57"/>
      <c r="W913" s="52"/>
      <c r="X913" s="52"/>
      <c r="Y913" s="58"/>
      <c r="Z913" s="57"/>
      <c r="AA913" s="52"/>
      <c r="AB913" s="52"/>
      <c r="AC913" s="58"/>
      <c r="AD913" s="57"/>
      <c r="AE913" s="52"/>
      <c r="AF913" s="52"/>
      <c r="AG913" s="58"/>
      <c r="AH913" s="57"/>
      <c r="AI913" s="52"/>
      <c r="AJ913" s="52"/>
      <c r="AK913" s="58"/>
      <c r="AL913" s="57"/>
      <c r="AM913" s="52"/>
      <c r="AN913" s="52"/>
      <c r="AO913" s="58"/>
      <c r="AP913" s="57"/>
      <c r="AQ913" s="52"/>
      <c r="AR913" s="52"/>
      <c r="AS913" s="58"/>
      <c r="AT913" s="57"/>
      <c r="AU913" s="52"/>
      <c r="AV913" s="52"/>
      <c r="AW913" s="58"/>
      <c r="AX913" s="33">
        <f>SUM(E913:AW913)</f>
        <v>0</v>
      </c>
      <c r="AY913" s="31">
        <f>IFERROR(AVERAGEIF(E913:AW913,"&lt;&gt;0",(E913:AW913)),)</f>
        <v>0</v>
      </c>
      <c r="AZ913" s="30">
        <f>IFERROR(AY913/D913,0)</f>
        <v>0</v>
      </c>
      <c r="BA913" s="34"/>
      <c r="BB913" s="34"/>
      <c r="BC913" s="34"/>
      <c r="BD913" s="76"/>
      <c r="BE913" s="34"/>
      <c r="BF913" s="34"/>
      <c r="BG913" s="34"/>
      <c r="BH913" s="34"/>
    </row>
    <row r="914" spans="1:60" s="17" customFormat="1" ht="19.5" customHeight="1" thickBot="1" x14ac:dyDescent="0.4">
      <c r="A914" s="41">
        <f t="shared" ref="A914:B914" si="829">A913</f>
        <v>45442</v>
      </c>
      <c r="B914" s="37" t="str">
        <f t="shared" si="829"/>
        <v>Tela Yapıştırma</v>
      </c>
      <c r="C914" s="66">
        <f>C738</f>
        <v>0</v>
      </c>
      <c r="D914" s="67">
        <f>D913</f>
        <v>200</v>
      </c>
      <c r="E914" s="64"/>
      <c r="F914" s="61"/>
      <c r="G914" s="61"/>
      <c r="H914" s="62"/>
      <c r="I914" s="64"/>
      <c r="J914" s="61"/>
      <c r="K914" s="61"/>
      <c r="L914" s="62"/>
      <c r="M914" s="64"/>
      <c r="N914" s="61"/>
      <c r="O914" s="61"/>
      <c r="P914" s="62"/>
      <c r="Q914" s="64"/>
      <c r="R914" s="61"/>
      <c r="S914" s="61"/>
      <c r="T914" s="61"/>
      <c r="U914" s="62"/>
      <c r="V914" s="64"/>
      <c r="W914" s="61"/>
      <c r="X914" s="61"/>
      <c r="Y914" s="62"/>
      <c r="Z914" s="59"/>
      <c r="AA914" s="60"/>
      <c r="AB914" s="61"/>
      <c r="AC914" s="62"/>
      <c r="AD914" s="59"/>
      <c r="AE914" s="60"/>
      <c r="AF914" s="61"/>
      <c r="AG914" s="62"/>
      <c r="AH914" s="59"/>
      <c r="AI914" s="60"/>
      <c r="AJ914" s="61"/>
      <c r="AK914" s="62"/>
      <c r="AL914" s="59"/>
      <c r="AM914" s="60"/>
      <c r="AN914" s="61"/>
      <c r="AO914" s="62"/>
      <c r="AP914" s="59"/>
      <c r="AQ914" s="60"/>
      <c r="AR914" s="61"/>
      <c r="AS914" s="62"/>
      <c r="AT914" s="59"/>
      <c r="AU914" s="60"/>
      <c r="AV914" s="61"/>
      <c r="AW914" s="62"/>
      <c r="AX914" s="43">
        <f>SUM(E914:AW914)</f>
        <v>0</v>
      </c>
      <c r="AY914" s="44">
        <f>IFERROR(AVERAGEIF(E914:AW914,"&lt;&gt;0",(E914:AW914)),)</f>
        <v>0</v>
      </c>
      <c r="AZ914" s="45">
        <f>IFERROR(AY914/D914,0)</f>
        <v>0</v>
      </c>
      <c r="BA914" s="34"/>
      <c r="BB914" s="34"/>
      <c r="BC914" s="34"/>
      <c r="BD914" s="76"/>
      <c r="BE914" s="34"/>
      <c r="BF914" s="34"/>
      <c r="BG914" s="34"/>
      <c r="BH914" s="34"/>
    </row>
    <row r="915" spans="1:60" s="17" customFormat="1" ht="19.5" customHeight="1" thickBot="1" x14ac:dyDescent="0.45">
      <c r="A915" s="41">
        <f>A914</f>
        <v>45442</v>
      </c>
      <c r="B915" s="139" t="str">
        <f>B910</f>
        <v>Tela Yapıştırma</v>
      </c>
      <c r="C915" s="140"/>
      <c r="D915" s="40">
        <f>C886/8</f>
        <v>500</v>
      </c>
      <c r="E915" s="151">
        <f>SUM(E910:H914)</f>
        <v>0</v>
      </c>
      <c r="F915" s="152"/>
      <c r="G915" s="152"/>
      <c r="H915" s="153"/>
      <c r="I915" s="151">
        <f>SUM(I910:L914)</f>
        <v>0</v>
      </c>
      <c r="J915" s="152"/>
      <c r="K915" s="152"/>
      <c r="L915" s="153"/>
      <c r="M915" s="151">
        <f>SUM(M910:P914)</f>
        <v>0</v>
      </c>
      <c r="N915" s="152"/>
      <c r="O915" s="152"/>
      <c r="P915" s="153"/>
      <c r="Q915" s="151">
        <f>SUM(Q910:U914)</f>
        <v>0</v>
      </c>
      <c r="R915" s="152"/>
      <c r="S915" s="152"/>
      <c r="T915" s="152"/>
      <c r="U915" s="153"/>
      <c r="V915" s="151">
        <f>SUM(V910:Y914)</f>
        <v>0</v>
      </c>
      <c r="W915" s="152"/>
      <c r="X915" s="152"/>
      <c r="Y915" s="153"/>
      <c r="Z915" s="151">
        <f>SUM(Z910:AC914)</f>
        <v>0</v>
      </c>
      <c r="AA915" s="152"/>
      <c r="AB915" s="152"/>
      <c r="AC915" s="153"/>
      <c r="AD915" s="151">
        <f>SUM(AD910:AG914)</f>
        <v>0</v>
      </c>
      <c r="AE915" s="152"/>
      <c r="AF915" s="152"/>
      <c r="AG915" s="153"/>
      <c r="AH915" s="151">
        <f>SUM(AH910:AK914)</f>
        <v>0</v>
      </c>
      <c r="AI915" s="152"/>
      <c r="AJ915" s="152"/>
      <c r="AK915" s="153"/>
      <c r="AL915" s="151">
        <f>SUM(AL910:AO914)</f>
        <v>0</v>
      </c>
      <c r="AM915" s="152"/>
      <c r="AN915" s="152"/>
      <c r="AO915" s="153"/>
      <c r="AP915" s="151">
        <f>SUM(AP910:AS914)</f>
        <v>0</v>
      </c>
      <c r="AQ915" s="152"/>
      <c r="AR915" s="152"/>
      <c r="AS915" s="153"/>
      <c r="AT915" s="151">
        <f>SUM(AT910:AW914)</f>
        <v>0</v>
      </c>
      <c r="AU915" s="152"/>
      <c r="AV915" s="152"/>
      <c r="AW915" s="153"/>
      <c r="AX915" s="87">
        <f>SUM(AX910:AX914)</f>
        <v>0</v>
      </c>
      <c r="AY915" s="88">
        <f>IFERROR(AVERAGEIF(E915:AV915,"&lt;&gt;0",(E915:AV915)),)</f>
        <v>0</v>
      </c>
      <c r="AZ915" s="46">
        <f>IFERROR(AX915/BB911,0)</f>
        <v>0</v>
      </c>
      <c r="BA915" s="34"/>
      <c r="BB915" s="34"/>
      <c r="BC915" s="34"/>
      <c r="BD915" s="76"/>
      <c r="BE915" s="34"/>
      <c r="BF915" s="34"/>
      <c r="BG915" s="34"/>
      <c r="BH915" s="34"/>
    </row>
    <row r="916" spans="1:60" s="17" customFormat="1" ht="19.5" customHeight="1" thickBot="1" x14ac:dyDescent="0.4">
      <c r="A916" s="42">
        <f>A902</f>
        <v>45442</v>
      </c>
      <c r="B916" s="38">
        <f>B917</f>
        <v>0</v>
      </c>
      <c r="C916" s="39" t="s">
        <v>180</v>
      </c>
      <c r="D916" s="69" t="s">
        <v>181</v>
      </c>
      <c r="E916" s="48">
        <v>0.34375</v>
      </c>
      <c r="F916" s="49">
        <v>0.35416666666666669</v>
      </c>
      <c r="G916" s="49">
        <v>0.36458333333333331</v>
      </c>
      <c r="H916" s="50">
        <v>0.375</v>
      </c>
      <c r="I916" s="48">
        <v>0.38541666666666702</v>
      </c>
      <c r="J916" s="49">
        <v>0.39583333333333298</v>
      </c>
      <c r="K916" s="49">
        <v>0.40625</v>
      </c>
      <c r="L916" s="50">
        <v>0.41666666666666702</v>
      </c>
      <c r="M916" s="48">
        <v>0.4375</v>
      </c>
      <c r="N916" s="49">
        <v>0.44791666666666702</v>
      </c>
      <c r="O916" s="49">
        <v>0.45833333333333398</v>
      </c>
      <c r="P916" s="50">
        <v>0.46875</v>
      </c>
      <c r="Q916" s="48">
        <v>0.47916666666666702</v>
      </c>
      <c r="R916" s="49">
        <v>0.48958333333333398</v>
      </c>
      <c r="S916" s="49">
        <v>0.5</v>
      </c>
      <c r="T916" s="50">
        <v>0.51041666666666696</v>
      </c>
      <c r="U916" s="51">
        <v>0.52083333333333204</v>
      </c>
      <c r="V916" s="48">
        <v>0.5625</v>
      </c>
      <c r="W916" s="49">
        <v>0.57291666666666663</v>
      </c>
      <c r="X916" s="49">
        <v>0.58333333333333304</v>
      </c>
      <c r="Y916" s="50">
        <v>0.59375</v>
      </c>
      <c r="Z916" s="48">
        <v>0.60416666666666696</v>
      </c>
      <c r="AA916" s="49">
        <v>0.61458333333333304</v>
      </c>
      <c r="AB916" s="49">
        <v>0.625</v>
      </c>
      <c r="AC916" s="50">
        <v>0.63541666666666596</v>
      </c>
      <c r="AD916" s="48">
        <v>0.65625</v>
      </c>
      <c r="AE916" s="49">
        <v>0.66666666666666663</v>
      </c>
      <c r="AF916" s="49">
        <v>0.67708333333333304</v>
      </c>
      <c r="AG916" s="50">
        <v>0.6875</v>
      </c>
      <c r="AH916" s="48">
        <v>0.69791666666666696</v>
      </c>
      <c r="AI916" s="49">
        <v>0.70833333333333304</v>
      </c>
      <c r="AJ916" s="49">
        <v>0.71875</v>
      </c>
      <c r="AK916" s="50">
        <v>0.72916666666666696</v>
      </c>
      <c r="AL916" s="48">
        <v>0.73958333333333404</v>
      </c>
      <c r="AM916" s="49">
        <v>0.750000000000001</v>
      </c>
      <c r="AN916" s="49">
        <v>0.76041666666666796</v>
      </c>
      <c r="AO916" s="50">
        <v>0.77083333333333504</v>
      </c>
      <c r="AP916" s="48">
        <v>0.781250000000002</v>
      </c>
      <c r="AQ916" s="49">
        <v>0.79166666666666896</v>
      </c>
      <c r="AR916" s="49">
        <v>0.80208333333333603</v>
      </c>
      <c r="AS916" s="50">
        <v>0.812500000000003</v>
      </c>
      <c r="AT916" s="48">
        <v>0.82291666666666996</v>
      </c>
      <c r="AU916" s="49">
        <v>0.83333333333333703</v>
      </c>
      <c r="AV916" s="49">
        <v>0.843750000000004</v>
      </c>
      <c r="AW916" s="50">
        <v>0.85416666666666663</v>
      </c>
      <c r="AX916" s="68" t="s">
        <v>260</v>
      </c>
      <c r="AY916" s="28" t="s">
        <v>261</v>
      </c>
      <c r="AZ916" s="29" t="s">
        <v>262</v>
      </c>
      <c r="BA916" s="136">
        <f>B917</f>
        <v>0</v>
      </c>
      <c r="BB916" s="137"/>
      <c r="BC916" s="137"/>
      <c r="BD916" s="137"/>
      <c r="BE916" s="137"/>
      <c r="BF916" s="137"/>
      <c r="BG916" s="137"/>
      <c r="BH916" s="138"/>
    </row>
    <row r="917" spans="1:60" s="17" customFormat="1" ht="19.5" customHeight="1" thickBot="1" x14ac:dyDescent="0.4">
      <c r="A917" s="41">
        <f>A909</f>
        <v>45442</v>
      </c>
      <c r="B917" s="37">
        <f>B741</f>
        <v>0</v>
      </c>
      <c r="C917" s="66">
        <f>C741</f>
        <v>0</v>
      </c>
      <c r="D917" s="70">
        <f>D741</f>
        <v>200</v>
      </c>
      <c r="E917" s="63"/>
      <c r="F917" s="55"/>
      <c r="G917" s="55"/>
      <c r="H917" s="56"/>
      <c r="I917" s="63"/>
      <c r="J917" s="55"/>
      <c r="K917" s="55"/>
      <c r="L917" s="56"/>
      <c r="M917" s="63"/>
      <c r="N917" s="55"/>
      <c r="O917" s="55"/>
      <c r="P917" s="56"/>
      <c r="Q917" s="63"/>
      <c r="R917" s="55"/>
      <c r="S917" s="55"/>
      <c r="T917" s="55"/>
      <c r="U917" s="56"/>
      <c r="V917" s="63"/>
      <c r="W917" s="55"/>
      <c r="X917" s="55"/>
      <c r="Y917" s="56"/>
      <c r="Z917" s="63"/>
      <c r="AA917" s="55"/>
      <c r="AB917" s="55"/>
      <c r="AC917" s="56"/>
      <c r="AD917" s="63"/>
      <c r="AE917" s="55"/>
      <c r="AF917" s="55"/>
      <c r="AG917" s="56"/>
      <c r="AH917" s="63"/>
      <c r="AI917" s="55"/>
      <c r="AJ917" s="55"/>
      <c r="AK917" s="56"/>
      <c r="AL917" s="63"/>
      <c r="AM917" s="55"/>
      <c r="AN917" s="55"/>
      <c r="AO917" s="56"/>
      <c r="AP917" s="63"/>
      <c r="AQ917" s="54"/>
      <c r="AR917" s="55"/>
      <c r="AS917" s="56"/>
      <c r="AT917" s="53"/>
      <c r="AU917" s="54"/>
      <c r="AV917" s="55"/>
      <c r="AW917" s="56"/>
      <c r="AX917" s="33">
        <f>SUM(E917:AW917)</f>
        <v>0</v>
      </c>
      <c r="AY917" s="31">
        <f>IFERROR(AVERAGEIF(E917:AW917,"&lt;&gt;0",(E917:AW917)),)</f>
        <v>0</v>
      </c>
      <c r="AZ917" s="30">
        <f>IFERROR(AY917/D917,0)</f>
        <v>0</v>
      </c>
      <c r="BA917" s="103" t="s">
        <v>182</v>
      </c>
      <c r="BB917" s="100" t="s">
        <v>183</v>
      </c>
      <c r="BC917" s="100" t="s">
        <v>184</v>
      </c>
      <c r="BD917" s="101" t="s">
        <v>185</v>
      </c>
      <c r="BE917" s="100" t="s">
        <v>186</v>
      </c>
      <c r="BF917" s="102" t="s">
        <v>187</v>
      </c>
      <c r="BG917" s="100" t="s">
        <v>188</v>
      </c>
      <c r="BH917" s="102" t="s">
        <v>189</v>
      </c>
    </row>
    <row r="918" spans="1:60" s="17" customFormat="1" ht="19.5" customHeight="1" thickBot="1" x14ac:dyDescent="0.4">
      <c r="A918" s="41">
        <f t="shared" ref="A918:B918" si="830">A917</f>
        <v>45442</v>
      </c>
      <c r="B918" s="37">
        <f t="shared" si="830"/>
        <v>0</v>
      </c>
      <c r="C918" s="66">
        <f>C742</f>
        <v>0</v>
      </c>
      <c r="D918" s="67">
        <f>D917</f>
        <v>200</v>
      </c>
      <c r="E918" s="57"/>
      <c r="F918" s="52"/>
      <c r="G918" s="52"/>
      <c r="H918" s="58"/>
      <c r="I918" s="57"/>
      <c r="J918" s="52"/>
      <c r="K918" s="52"/>
      <c r="L918" s="58"/>
      <c r="M918" s="57"/>
      <c r="N918" s="52"/>
      <c r="O918" s="52"/>
      <c r="P918" s="58"/>
      <c r="Q918" s="57"/>
      <c r="R918" s="52"/>
      <c r="S918" s="52"/>
      <c r="T918" s="52"/>
      <c r="U918" s="58"/>
      <c r="V918" s="57"/>
      <c r="W918" s="52"/>
      <c r="X918" s="52"/>
      <c r="Y918" s="58"/>
      <c r="Z918" s="57"/>
      <c r="AA918" s="52"/>
      <c r="AB918" s="52"/>
      <c r="AC918" s="58"/>
      <c r="AD918" s="57"/>
      <c r="AE918" s="52"/>
      <c r="AF918" s="52"/>
      <c r="AG918" s="58"/>
      <c r="AH918" s="57"/>
      <c r="AI918" s="52"/>
      <c r="AJ918" s="52"/>
      <c r="AK918" s="58"/>
      <c r="AL918" s="57"/>
      <c r="AM918" s="52"/>
      <c r="AN918" s="52"/>
      <c r="AO918" s="58"/>
      <c r="AP918" s="57"/>
      <c r="AQ918" s="52"/>
      <c r="AR918" s="52"/>
      <c r="AS918" s="58"/>
      <c r="AT918" s="57"/>
      <c r="AU918" s="52"/>
      <c r="AV918" s="52"/>
      <c r="AW918" s="58"/>
      <c r="AX918" s="33">
        <f>SUM(E918:AW918)</f>
        <v>0</v>
      </c>
      <c r="AY918" s="31">
        <f>IFERROR(AVERAGEIF(E918:AW918,"&lt;&gt;0",(E918:AW918)),)</f>
        <v>0</v>
      </c>
      <c r="AZ918" s="30">
        <f>IFERROR(AY918/D918,0)</f>
        <v>0</v>
      </c>
      <c r="BA918" s="94">
        <f>AX922+BA742</f>
        <v>0</v>
      </c>
      <c r="BB918" s="95">
        <f>(D922*8)</f>
        <v>4000</v>
      </c>
      <c r="BC918" s="96">
        <f>C885-BA918</f>
        <v>42311</v>
      </c>
      <c r="BD918" s="96">
        <f>BA911-BA918</f>
        <v>0</v>
      </c>
      <c r="BE918" s="97">
        <f>IFERROR(BC918/E922,0)</f>
        <v>0</v>
      </c>
      <c r="BF918" s="98">
        <f>IFERROR(BE918/9,0)</f>
        <v>0</v>
      </c>
      <c r="BG918" s="97">
        <f>IFERROR(BC918/AY922,0)</f>
        <v>0</v>
      </c>
      <c r="BH918" s="97">
        <f>IFERROR(BG918/9,0)</f>
        <v>0</v>
      </c>
    </row>
    <row r="919" spans="1:60" s="17" customFormat="1" ht="19.5" customHeight="1" x14ac:dyDescent="0.35">
      <c r="A919" s="41">
        <f t="shared" ref="A919:B919" si="831">A918</f>
        <v>45442</v>
      </c>
      <c r="B919" s="37">
        <f t="shared" si="831"/>
        <v>0</v>
      </c>
      <c r="C919" s="66">
        <f>C743</f>
        <v>0</v>
      </c>
      <c r="D919" s="67">
        <f>D918</f>
        <v>200</v>
      </c>
      <c r="E919" s="57"/>
      <c r="F919" s="52"/>
      <c r="G919" s="52"/>
      <c r="H919" s="58"/>
      <c r="I919" s="57"/>
      <c r="J919" s="52"/>
      <c r="K919" s="52"/>
      <c r="L919" s="58"/>
      <c r="M919" s="57"/>
      <c r="N919" s="52"/>
      <c r="O919" s="52"/>
      <c r="P919" s="58"/>
      <c r="Q919" s="57"/>
      <c r="R919" s="52"/>
      <c r="S919" s="52"/>
      <c r="T919" s="52"/>
      <c r="U919" s="58"/>
      <c r="V919" s="57"/>
      <c r="W919" s="52"/>
      <c r="X919" s="52"/>
      <c r="Y919" s="58"/>
      <c r="Z919" s="57"/>
      <c r="AA919" s="52"/>
      <c r="AB919" s="52"/>
      <c r="AC919" s="58"/>
      <c r="AD919" s="57"/>
      <c r="AE919" s="52"/>
      <c r="AF919" s="52"/>
      <c r="AG919" s="58"/>
      <c r="AH919" s="57"/>
      <c r="AI919" s="52"/>
      <c r="AJ919" s="52"/>
      <c r="AK919" s="58"/>
      <c r="AL919" s="57"/>
      <c r="AM919" s="52"/>
      <c r="AN919" s="52"/>
      <c r="AO919" s="58"/>
      <c r="AP919" s="57"/>
      <c r="AQ919" s="52"/>
      <c r="AR919" s="52"/>
      <c r="AS919" s="58"/>
      <c r="AT919" s="57"/>
      <c r="AU919" s="52"/>
      <c r="AV919" s="52"/>
      <c r="AW919" s="58"/>
      <c r="AX919" s="33">
        <f>SUM(E919:AW919)</f>
        <v>0</v>
      </c>
      <c r="AY919" s="31">
        <f>IFERROR(AVERAGEIF(E919:AW919,"&lt;&gt;0",(E919:AW919)),)</f>
        <v>0</v>
      </c>
      <c r="AZ919" s="30">
        <f>IFERROR(AY919/D919,0)</f>
        <v>0</v>
      </c>
      <c r="BA919" s="34"/>
      <c r="BB919" s="34"/>
      <c r="BC919" s="34"/>
      <c r="BD919" s="76"/>
      <c r="BE919" s="34"/>
      <c r="BF919" s="34"/>
      <c r="BG919" s="34"/>
      <c r="BH919" s="34"/>
    </row>
    <row r="920" spans="1:60" s="17" customFormat="1" ht="19.5" customHeight="1" x14ac:dyDescent="0.35">
      <c r="A920" s="41">
        <f t="shared" ref="A920:B920" si="832">A919</f>
        <v>45442</v>
      </c>
      <c r="B920" s="37">
        <f t="shared" si="832"/>
        <v>0</v>
      </c>
      <c r="C920" s="66">
        <f>C744</f>
        <v>0</v>
      </c>
      <c r="D920" s="67">
        <f>D919</f>
        <v>200</v>
      </c>
      <c r="E920" s="57"/>
      <c r="F920" s="52"/>
      <c r="G920" s="52"/>
      <c r="H920" s="58"/>
      <c r="I920" s="57"/>
      <c r="J920" s="52"/>
      <c r="K920" s="52"/>
      <c r="L920" s="58"/>
      <c r="M920" s="57"/>
      <c r="N920" s="52"/>
      <c r="O920" s="52"/>
      <c r="P920" s="58"/>
      <c r="Q920" s="57"/>
      <c r="R920" s="52"/>
      <c r="S920" s="52"/>
      <c r="T920" s="52"/>
      <c r="U920" s="58"/>
      <c r="V920" s="57"/>
      <c r="W920" s="52"/>
      <c r="X920" s="52"/>
      <c r="Y920" s="58"/>
      <c r="Z920" s="57"/>
      <c r="AA920" s="52"/>
      <c r="AB920" s="52"/>
      <c r="AC920" s="58"/>
      <c r="AD920" s="57"/>
      <c r="AE920" s="52"/>
      <c r="AF920" s="52"/>
      <c r="AG920" s="58"/>
      <c r="AH920" s="57"/>
      <c r="AI920" s="52"/>
      <c r="AJ920" s="52"/>
      <c r="AK920" s="58"/>
      <c r="AL920" s="57"/>
      <c r="AM920" s="52"/>
      <c r="AN920" s="52"/>
      <c r="AO920" s="58"/>
      <c r="AP920" s="57"/>
      <c r="AQ920" s="52"/>
      <c r="AR920" s="52"/>
      <c r="AS920" s="58"/>
      <c r="AT920" s="57"/>
      <c r="AU920" s="52"/>
      <c r="AV920" s="52"/>
      <c r="AW920" s="58"/>
      <c r="AX920" s="33">
        <f>SUM(E920:AW920)</f>
        <v>0</v>
      </c>
      <c r="AY920" s="31">
        <f>IFERROR(AVERAGEIF(E920:AW920,"&lt;&gt;0",(E920:AW920)),)</f>
        <v>0</v>
      </c>
      <c r="AZ920" s="30">
        <f>IFERROR(AY920/D920,0)</f>
        <v>0</v>
      </c>
      <c r="BA920" s="34"/>
      <c r="BB920" s="34"/>
      <c r="BC920" s="34"/>
      <c r="BD920" s="76"/>
      <c r="BE920" s="34"/>
      <c r="BF920" s="34"/>
      <c r="BG920" s="34"/>
      <c r="BH920" s="34"/>
    </row>
    <row r="921" spans="1:60" s="17" customFormat="1" ht="19.5" customHeight="1" thickBot="1" x14ac:dyDescent="0.4">
      <c r="A921" s="41">
        <f t="shared" ref="A921:B921" si="833">A920</f>
        <v>45442</v>
      </c>
      <c r="B921" s="37">
        <f t="shared" si="833"/>
        <v>0</v>
      </c>
      <c r="C921" s="66">
        <f>C745</f>
        <v>0</v>
      </c>
      <c r="D921" s="67">
        <f>D920</f>
        <v>200</v>
      </c>
      <c r="E921" s="64"/>
      <c r="F921" s="61"/>
      <c r="G921" s="61"/>
      <c r="H921" s="62"/>
      <c r="I921" s="64"/>
      <c r="J921" s="61"/>
      <c r="K921" s="61"/>
      <c r="L921" s="62"/>
      <c r="M921" s="64"/>
      <c r="N921" s="61"/>
      <c r="O921" s="61"/>
      <c r="P921" s="62"/>
      <c r="Q921" s="64"/>
      <c r="R921" s="61"/>
      <c r="S921" s="61"/>
      <c r="T921" s="61"/>
      <c r="U921" s="62"/>
      <c r="V921" s="64"/>
      <c r="W921" s="61"/>
      <c r="X921" s="61"/>
      <c r="Y921" s="62"/>
      <c r="Z921" s="59"/>
      <c r="AA921" s="60"/>
      <c r="AB921" s="61"/>
      <c r="AC921" s="62"/>
      <c r="AD921" s="59"/>
      <c r="AE921" s="60"/>
      <c r="AF921" s="61"/>
      <c r="AG921" s="62"/>
      <c r="AH921" s="59"/>
      <c r="AI921" s="60"/>
      <c r="AJ921" s="61"/>
      <c r="AK921" s="62"/>
      <c r="AL921" s="59"/>
      <c r="AM921" s="60"/>
      <c r="AN921" s="61"/>
      <c r="AO921" s="62"/>
      <c r="AP921" s="59"/>
      <c r="AQ921" s="60"/>
      <c r="AR921" s="61"/>
      <c r="AS921" s="62"/>
      <c r="AT921" s="59"/>
      <c r="AU921" s="60"/>
      <c r="AV921" s="61"/>
      <c r="AW921" s="62"/>
      <c r="AX921" s="43">
        <f>SUM(E921:AW921)</f>
        <v>0</v>
      </c>
      <c r="AY921" s="44">
        <f>IFERROR(AVERAGEIF(E921:AW921,"&lt;&gt;0",(E921:AW921)),)</f>
        <v>0</v>
      </c>
      <c r="AZ921" s="45">
        <f>IFERROR(AY921/D921,0)</f>
        <v>0</v>
      </c>
      <c r="BA921" s="34"/>
      <c r="BB921" s="34"/>
      <c r="BC921" s="34"/>
      <c r="BD921" s="76"/>
      <c r="BE921" s="34"/>
      <c r="BF921" s="34"/>
      <c r="BG921" s="34"/>
      <c r="BH921" s="34"/>
    </row>
    <row r="922" spans="1:60" s="17" customFormat="1" ht="19.5" customHeight="1" thickBot="1" x14ac:dyDescent="0.45">
      <c r="A922" s="41">
        <f>A921</f>
        <v>45442</v>
      </c>
      <c r="B922" s="139">
        <f>B917</f>
        <v>0</v>
      </c>
      <c r="C922" s="140"/>
      <c r="D922" s="40">
        <f>C886/8</f>
        <v>500</v>
      </c>
      <c r="E922" s="151">
        <f>SUM(E917:H921)</f>
        <v>0</v>
      </c>
      <c r="F922" s="152"/>
      <c r="G922" s="152"/>
      <c r="H922" s="153"/>
      <c r="I922" s="151">
        <f>SUM(I917:L921)</f>
        <v>0</v>
      </c>
      <c r="J922" s="152"/>
      <c r="K922" s="152"/>
      <c r="L922" s="153"/>
      <c r="M922" s="151">
        <f>SUM(M917:P921)</f>
        <v>0</v>
      </c>
      <c r="N922" s="152"/>
      <c r="O922" s="152"/>
      <c r="P922" s="153"/>
      <c r="Q922" s="151">
        <f>SUM(Q917:U921)</f>
        <v>0</v>
      </c>
      <c r="R922" s="152"/>
      <c r="S922" s="152"/>
      <c r="T922" s="152"/>
      <c r="U922" s="153"/>
      <c r="V922" s="151">
        <f>SUM(V917:Y921)</f>
        <v>0</v>
      </c>
      <c r="W922" s="152"/>
      <c r="X922" s="152"/>
      <c r="Y922" s="153"/>
      <c r="Z922" s="151">
        <f>SUM(Z917:AC921)</f>
        <v>0</v>
      </c>
      <c r="AA922" s="152"/>
      <c r="AB922" s="152"/>
      <c r="AC922" s="153"/>
      <c r="AD922" s="151">
        <f>SUM(AD917:AG921)</f>
        <v>0</v>
      </c>
      <c r="AE922" s="152"/>
      <c r="AF922" s="152"/>
      <c r="AG922" s="153"/>
      <c r="AH922" s="151">
        <f>SUM(AH917:AK921)</f>
        <v>0</v>
      </c>
      <c r="AI922" s="152"/>
      <c r="AJ922" s="152"/>
      <c r="AK922" s="153"/>
      <c r="AL922" s="151">
        <f>SUM(AL917:AO921)</f>
        <v>0</v>
      </c>
      <c r="AM922" s="152"/>
      <c r="AN922" s="152"/>
      <c r="AO922" s="153"/>
      <c r="AP922" s="151">
        <f>SUM(AP917:AS921)</f>
        <v>0</v>
      </c>
      <c r="AQ922" s="152"/>
      <c r="AR922" s="152"/>
      <c r="AS922" s="153"/>
      <c r="AT922" s="151">
        <f>SUM(AT917:AW921)</f>
        <v>0</v>
      </c>
      <c r="AU922" s="152"/>
      <c r="AV922" s="152"/>
      <c r="AW922" s="153"/>
      <c r="AX922" s="87">
        <f>SUM(AX917:AX921)</f>
        <v>0</v>
      </c>
      <c r="AY922" s="88">
        <f>IFERROR(AVERAGEIF(E922:AV922,"&lt;&gt;0",(E922:AV922)),)</f>
        <v>0</v>
      </c>
      <c r="AZ922" s="46">
        <f>IFERROR(AX922/BB918,0)</f>
        <v>0</v>
      </c>
      <c r="BA922" s="34"/>
      <c r="BB922" s="34"/>
      <c r="BC922" s="34"/>
      <c r="BD922" s="76"/>
      <c r="BE922" s="34"/>
      <c r="BF922" s="34"/>
      <c r="BG922" s="34"/>
      <c r="BH922" s="34"/>
    </row>
    <row r="923" spans="1:60" s="17" customFormat="1" ht="19.5" customHeight="1" thickBot="1" x14ac:dyDescent="0.4">
      <c r="A923" s="42">
        <f>A916</f>
        <v>45442</v>
      </c>
      <c r="B923" s="38" t="str">
        <f>B924</f>
        <v>BANT GİRİŞ</v>
      </c>
      <c r="C923" s="39" t="s">
        <v>180</v>
      </c>
      <c r="D923" s="69" t="s">
        <v>181</v>
      </c>
      <c r="E923" s="48">
        <v>0.34375</v>
      </c>
      <c r="F923" s="49">
        <v>0.35416666666666669</v>
      </c>
      <c r="G923" s="49">
        <v>0.36458333333333331</v>
      </c>
      <c r="H923" s="50">
        <v>0.375</v>
      </c>
      <c r="I923" s="48">
        <v>0.38541666666666702</v>
      </c>
      <c r="J923" s="49">
        <v>0.39583333333333298</v>
      </c>
      <c r="K923" s="49">
        <v>0.40625</v>
      </c>
      <c r="L923" s="50">
        <v>0.41666666666666702</v>
      </c>
      <c r="M923" s="48">
        <v>0.4375</v>
      </c>
      <c r="N923" s="49">
        <v>0.44791666666666702</v>
      </c>
      <c r="O923" s="49">
        <v>0.45833333333333398</v>
      </c>
      <c r="P923" s="50">
        <v>0.46875</v>
      </c>
      <c r="Q923" s="48">
        <v>0.47916666666666702</v>
      </c>
      <c r="R923" s="49">
        <v>0.48958333333333398</v>
      </c>
      <c r="S923" s="49">
        <v>0.5</v>
      </c>
      <c r="T923" s="50">
        <v>0.51041666666666696</v>
      </c>
      <c r="U923" s="51">
        <v>0.52083333333333204</v>
      </c>
      <c r="V923" s="48">
        <v>0.5625</v>
      </c>
      <c r="W923" s="49">
        <v>0.57291666666666663</v>
      </c>
      <c r="X923" s="49">
        <v>0.58333333333333304</v>
      </c>
      <c r="Y923" s="50">
        <v>0.59375</v>
      </c>
      <c r="Z923" s="48">
        <v>0.60416666666666696</v>
      </c>
      <c r="AA923" s="49">
        <v>0.61458333333333304</v>
      </c>
      <c r="AB923" s="49">
        <v>0.625</v>
      </c>
      <c r="AC923" s="50">
        <v>0.63541666666666596</v>
      </c>
      <c r="AD923" s="48">
        <v>0.65625</v>
      </c>
      <c r="AE923" s="49">
        <v>0.66666666666666663</v>
      </c>
      <c r="AF923" s="49">
        <v>0.67708333333333304</v>
      </c>
      <c r="AG923" s="50">
        <v>0.6875</v>
      </c>
      <c r="AH923" s="48">
        <v>0.69791666666666696</v>
      </c>
      <c r="AI923" s="49">
        <v>0.70833333333333304</v>
      </c>
      <c r="AJ923" s="49">
        <v>0.71875</v>
      </c>
      <c r="AK923" s="50">
        <v>0.72916666666666696</v>
      </c>
      <c r="AL923" s="48">
        <v>0.73958333333333404</v>
      </c>
      <c r="AM923" s="49">
        <v>0.750000000000001</v>
      </c>
      <c r="AN923" s="49">
        <v>0.76041666666666796</v>
      </c>
      <c r="AO923" s="50">
        <v>0.77083333333333504</v>
      </c>
      <c r="AP923" s="48">
        <v>0.781250000000002</v>
      </c>
      <c r="AQ923" s="49">
        <v>0.79166666666666896</v>
      </c>
      <c r="AR923" s="49">
        <v>0.80208333333333603</v>
      </c>
      <c r="AS923" s="50">
        <v>0.812500000000003</v>
      </c>
      <c r="AT923" s="48">
        <v>0.82291666666666996</v>
      </c>
      <c r="AU923" s="49">
        <v>0.83333333333333703</v>
      </c>
      <c r="AV923" s="49">
        <v>0.843750000000004</v>
      </c>
      <c r="AW923" s="50">
        <v>0.85416666666666663</v>
      </c>
      <c r="AX923" s="68" t="s">
        <v>260</v>
      </c>
      <c r="AY923" s="28" t="s">
        <v>261</v>
      </c>
      <c r="AZ923" s="29" t="s">
        <v>262</v>
      </c>
      <c r="BA923" s="136" t="str">
        <f>B924</f>
        <v>BANT GİRİŞ</v>
      </c>
      <c r="BB923" s="137"/>
      <c r="BC923" s="137"/>
      <c r="BD923" s="137"/>
      <c r="BE923" s="137"/>
      <c r="BF923" s="137"/>
      <c r="BG923" s="137"/>
      <c r="BH923" s="138"/>
    </row>
    <row r="924" spans="1:60" s="17" customFormat="1" ht="19.5" customHeight="1" thickBot="1" x14ac:dyDescent="0.4">
      <c r="A924" s="41">
        <f t="shared" ref="A924" si="834">A923</f>
        <v>45442</v>
      </c>
      <c r="B924" s="37" t="str">
        <f>B748</f>
        <v>BANT GİRİŞ</v>
      </c>
      <c r="C924" s="65" t="str">
        <f>C748</f>
        <v>XS</v>
      </c>
      <c r="D924" s="70">
        <f>D748</f>
        <v>120</v>
      </c>
      <c r="E924" s="63"/>
      <c r="F924" s="55"/>
      <c r="G924" s="55"/>
      <c r="H924" s="56"/>
      <c r="I924" s="63"/>
      <c r="J924" s="55"/>
      <c r="K924" s="55"/>
      <c r="L924" s="56"/>
      <c r="M924" s="63"/>
      <c r="N924" s="55"/>
      <c r="O924" s="55"/>
      <c r="P924" s="56"/>
      <c r="Q924" s="63"/>
      <c r="R924" s="55"/>
      <c r="S924" s="55"/>
      <c r="T924" s="55"/>
      <c r="U924" s="56"/>
      <c r="V924" s="63"/>
      <c r="W924" s="55"/>
      <c r="X924" s="55"/>
      <c r="Y924" s="56"/>
      <c r="Z924" s="63"/>
      <c r="AA924" s="55"/>
      <c r="AB924" s="55"/>
      <c r="AC924" s="56"/>
      <c r="AD924" s="63"/>
      <c r="AE924" s="55"/>
      <c r="AF924" s="55"/>
      <c r="AG924" s="56"/>
      <c r="AH924" s="63"/>
      <c r="AI924" s="55"/>
      <c r="AJ924" s="55"/>
      <c r="AK924" s="56"/>
      <c r="AL924" s="63"/>
      <c r="AM924" s="55"/>
      <c r="AN924" s="55"/>
      <c r="AO924" s="56"/>
      <c r="AP924" s="63"/>
      <c r="AQ924" s="54"/>
      <c r="AR924" s="55"/>
      <c r="AS924" s="56"/>
      <c r="AT924" s="53"/>
      <c r="AU924" s="54"/>
      <c r="AV924" s="55"/>
      <c r="AW924" s="56"/>
      <c r="AX924" s="33">
        <f>SUM(E924:AW924)</f>
        <v>0</v>
      </c>
      <c r="AY924" s="31">
        <f>IFERROR(AVERAGEIF(E924:AW924,"&lt;&gt;0",(E924:AW924)),)</f>
        <v>0</v>
      </c>
      <c r="AZ924" s="30">
        <f>IFERROR(AY924/D924,0)</f>
        <v>0</v>
      </c>
      <c r="BA924" s="19"/>
      <c r="BB924" s="19" t="str">
        <f t="shared" ref="BB924" si="835">BA886</f>
        <v>XS</v>
      </c>
      <c r="BC924" s="19" t="str">
        <f t="shared" ref="BC924" si="836">BB886</f>
        <v>S</v>
      </c>
      <c r="BD924" s="19" t="str">
        <f t="shared" ref="BD924" si="837">BC886</f>
        <v>M</v>
      </c>
      <c r="BE924" s="19" t="str">
        <f t="shared" ref="BE924" si="838">BD886</f>
        <v>L</v>
      </c>
      <c r="BF924" s="19" t="str">
        <f t="shared" ref="BF924" si="839">BE886</f>
        <v>XL</v>
      </c>
      <c r="BG924" s="19" t="str">
        <f t="shared" ref="BG924" si="840">BF886</f>
        <v>XXL</v>
      </c>
      <c r="BH924" s="19" t="s">
        <v>190</v>
      </c>
    </row>
    <row r="925" spans="1:60" s="17" customFormat="1" ht="19.5" customHeight="1" thickBot="1" x14ac:dyDescent="0.4">
      <c r="A925" s="41">
        <f t="shared" ref="A925:B925" si="841">A924</f>
        <v>45442</v>
      </c>
      <c r="B925" s="37" t="str">
        <f t="shared" si="841"/>
        <v>BANT GİRİŞ</v>
      </c>
      <c r="C925" s="65" t="str">
        <f t="shared" ref="C925:C930" si="842">C749</f>
        <v>S</v>
      </c>
      <c r="D925" s="67">
        <f t="shared" ref="D925:D930" si="843">D924</f>
        <v>120</v>
      </c>
      <c r="E925" s="57"/>
      <c r="F925" s="52"/>
      <c r="G925" s="52"/>
      <c r="H925" s="58"/>
      <c r="I925" s="57"/>
      <c r="J925" s="52"/>
      <c r="K925" s="52"/>
      <c r="L925" s="58"/>
      <c r="M925" s="57"/>
      <c r="N925" s="52"/>
      <c r="O925" s="52"/>
      <c r="P925" s="58"/>
      <c r="Q925" s="57"/>
      <c r="R925" s="52"/>
      <c r="S925" s="52"/>
      <c r="T925" s="52"/>
      <c r="U925" s="58"/>
      <c r="V925" s="57"/>
      <c r="W925" s="52"/>
      <c r="X925" s="52"/>
      <c r="Y925" s="58"/>
      <c r="Z925" s="57"/>
      <c r="AA925" s="52"/>
      <c r="AB925" s="52"/>
      <c r="AC925" s="58"/>
      <c r="AD925" s="57"/>
      <c r="AE925" s="52"/>
      <c r="AF925" s="52"/>
      <c r="AG925" s="58"/>
      <c r="AH925" s="57"/>
      <c r="AI925" s="52"/>
      <c r="AJ925" s="52"/>
      <c r="AK925" s="58"/>
      <c r="AL925" s="57"/>
      <c r="AM925" s="52"/>
      <c r="AN925" s="52"/>
      <c r="AO925" s="58"/>
      <c r="AP925" s="57"/>
      <c r="AQ925" s="52"/>
      <c r="AR925" s="52"/>
      <c r="AS925" s="58"/>
      <c r="AT925" s="57"/>
      <c r="AU925" s="52"/>
      <c r="AV925" s="52"/>
      <c r="AW925" s="58"/>
      <c r="AX925" s="33">
        <f t="shared" ref="AX925:AX930" si="844">SUM(E925:AW925)</f>
        <v>0</v>
      </c>
      <c r="AY925" s="31">
        <f t="shared" ref="AY925:AY930" si="845">IFERROR(AVERAGEIF(E925:AW925,"&lt;&gt;0",(E925:AW925)),)</f>
        <v>0</v>
      </c>
      <c r="AZ925" s="30">
        <f t="shared" ref="AZ925:AZ930" si="846">IFERROR(AY925/D925,0)</f>
        <v>0</v>
      </c>
      <c r="BA925" s="94" t="s">
        <v>192</v>
      </c>
      <c r="BB925" s="96">
        <f>SUMIF(C924:C930,BB924,AX924:AX930)+BB749</f>
        <v>0</v>
      </c>
      <c r="BC925" s="96">
        <f>SUMIF(C924:C930,BC924,AX924:AX930)+BC749</f>
        <v>0</v>
      </c>
      <c r="BD925" s="96">
        <f>SUMIF(C924:C930,BD924,AX924:AX930)+BD749</f>
        <v>0</v>
      </c>
      <c r="BE925" s="96">
        <f>SUMIF(C924:C930,BE924,AX924:AX930)+BE749</f>
        <v>0</v>
      </c>
      <c r="BF925" s="96">
        <f>SUMIF(C924:C930,BF924,AX924:AX930)+BF749</f>
        <v>0</v>
      </c>
      <c r="BG925" s="96"/>
      <c r="BH925" s="99">
        <f>SUM(BB925:BG925)</f>
        <v>0</v>
      </c>
    </row>
    <row r="926" spans="1:60" s="17" customFormat="1" ht="19.5" customHeight="1" thickBot="1" x14ac:dyDescent="0.4">
      <c r="A926" s="41">
        <f t="shared" ref="A926:B926" si="847">A925</f>
        <v>45442</v>
      </c>
      <c r="B926" s="37" t="str">
        <f t="shared" si="847"/>
        <v>BANT GİRİŞ</v>
      </c>
      <c r="C926" s="65" t="str">
        <f t="shared" si="842"/>
        <v>M</v>
      </c>
      <c r="D926" s="67">
        <f t="shared" si="843"/>
        <v>120</v>
      </c>
      <c r="E926" s="57"/>
      <c r="F926" s="52"/>
      <c r="G926" s="52"/>
      <c r="H926" s="58"/>
      <c r="I926" s="57"/>
      <c r="J926" s="52"/>
      <c r="K926" s="52"/>
      <c r="L926" s="58"/>
      <c r="M926" s="57"/>
      <c r="N926" s="52"/>
      <c r="O926" s="52"/>
      <c r="P926" s="58"/>
      <c r="Q926" s="57"/>
      <c r="R926" s="52"/>
      <c r="S926" s="52"/>
      <c r="T926" s="52"/>
      <c r="U926" s="58"/>
      <c r="V926" s="57"/>
      <c r="W926" s="52"/>
      <c r="X926" s="52"/>
      <c r="Y926" s="58"/>
      <c r="Z926" s="57"/>
      <c r="AA926" s="52"/>
      <c r="AB926" s="52"/>
      <c r="AC926" s="58"/>
      <c r="AD926" s="57"/>
      <c r="AE926" s="52"/>
      <c r="AF926" s="52"/>
      <c r="AG926" s="58"/>
      <c r="AH926" s="57"/>
      <c r="AI926" s="52"/>
      <c r="AJ926" s="52"/>
      <c r="AK926" s="58"/>
      <c r="AL926" s="57"/>
      <c r="AM926" s="52"/>
      <c r="AN926" s="52"/>
      <c r="AO926" s="58"/>
      <c r="AP926" s="57"/>
      <c r="AQ926" s="52"/>
      <c r="AR926" s="52"/>
      <c r="AS926" s="58"/>
      <c r="AT926" s="57"/>
      <c r="AU926" s="52"/>
      <c r="AV926" s="52"/>
      <c r="AW926" s="58"/>
      <c r="AX926" s="33">
        <f t="shared" si="844"/>
        <v>0</v>
      </c>
      <c r="AY926" s="31">
        <f t="shared" si="845"/>
        <v>0</v>
      </c>
      <c r="AZ926" s="30">
        <f t="shared" si="846"/>
        <v>0</v>
      </c>
      <c r="BA926" s="94" t="s">
        <v>193</v>
      </c>
      <c r="BB926" s="96">
        <f>BA887-BB925</f>
        <v>492</v>
      </c>
      <c r="BC926" s="96">
        <f>BB887-BC925</f>
        <v>11438</v>
      </c>
      <c r="BD926" s="96">
        <f>BC887-BD925</f>
        <v>13689</v>
      </c>
      <c r="BE926" s="96">
        <f>BD887-BE925</f>
        <v>9760</v>
      </c>
      <c r="BF926" s="96">
        <f>BE887-BF925</f>
        <v>4794</v>
      </c>
      <c r="BG926" s="96"/>
      <c r="BH926" s="96">
        <f>SUM(BB926:BG926)</f>
        <v>40173</v>
      </c>
    </row>
    <row r="927" spans="1:60" s="17" customFormat="1" ht="19.5" customHeight="1" x14ac:dyDescent="0.35">
      <c r="A927" s="41">
        <f t="shared" ref="A927:B927" si="848">A926</f>
        <v>45442</v>
      </c>
      <c r="B927" s="37" t="str">
        <f t="shared" si="848"/>
        <v>BANT GİRİŞ</v>
      </c>
      <c r="C927" s="65" t="str">
        <f t="shared" si="842"/>
        <v>L</v>
      </c>
      <c r="D927" s="67">
        <f t="shared" si="843"/>
        <v>120</v>
      </c>
      <c r="E927" s="57"/>
      <c r="F927" s="52"/>
      <c r="G927" s="52"/>
      <c r="H927" s="58"/>
      <c r="I927" s="57"/>
      <c r="J927" s="52"/>
      <c r="K927" s="52"/>
      <c r="L927" s="58"/>
      <c r="M927" s="57"/>
      <c r="N927" s="52"/>
      <c r="O927" s="52"/>
      <c r="P927" s="58"/>
      <c r="Q927" s="57"/>
      <c r="R927" s="52"/>
      <c r="S927" s="52"/>
      <c r="T927" s="52"/>
      <c r="U927" s="58"/>
      <c r="V927" s="57"/>
      <c r="W927" s="52"/>
      <c r="X927" s="52"/>
      <c r="Y927" s="58"/>
      <c r="Z927" s="57"/>
      <c r="AA927" s="52"/>
      <c r="AB927" s="52"/>
      <c r="AC927" s="58"/>
      <c r="AD927" s="57"/>
      <c r="AE927" s="52"/>
      <c r="AF927" s="52"/>
      <c r="AG927" s="58"/>
      <c r="AH927" s="57"/>
      <c r="AI927" s="52"/>
      <c r="AJ927" s="52"/>
      <c r="AK927" s="58"/>
      <c r="AL927" s="57"/>
      <c r="AM927" s="52"/>
      <c r="AN927" s="52"/>
      <c r="AO927" s="58"/>
      <c r="AP927" s="57"/>
      <c r="AQ927" s="52"/>
      <c r="AR927" s="52"/>
      <c r="AS927" s="58"/>
      <c r="AT927" s="57"/>
      <c r="AU927" s="52"/>
      <c r="AV927" s="52"/>
      <c r="AW927" s="58"/>
      <c r="AX927" s="33">
        <f t="shared" si="844"/>
        <v>0</v>
      </c>
      <c r="AY927" s="31">
        <f t="shared" si="845"/>
        <v>0</v>
      </c>
      <c r="AZ927" s="30">
        <f t="shared" si="846"/>
        <v>0</v>
      </c>
      <c r="BA927" s="34"/>
      <c r="BB927" s="34"/>
      <c r="BC927" s="34"/>
      <c r="BD927" s="76"/>
      <c r="BE927" s="34"/>
      <c r="BF927" s="34"/>
      <c r="BG927" s="34"/>
      <c r="BH927" s="34"/>
    </row>
    <row r="928" spans="1:60" s="17" customFormat="1" ht="19.5" customHeight="1" x14ac:dyDescent="0.35">
      <c r="A928" s="41">
        <f>A925</f>
        <v>45442</v>
      </c>
      <c r="B928" s="37" t="str">
        <f t="shared" ref="B928" si="849">B927</f>
        <v>BANT GİRİŞ</v>
      </c>
      <c r="C928" s="65" t="str">
        <f t="shared" si="842"/>
        <v>XXL</v>
      </c>
      <c r="D928" s="67">
        <f t="shared" si="843"/>
        <v>120</v>
      </c>
      <c r="E928" s="57"/>
      <c r="F928" s="52"/>
      <c r="G928" s="52"/>
      <c r="H928" s="58"/>
      <c r="I928" s="57"/>
      <c r="J928" s="52"/>
      <c r="K928" s="52"/>
      <c r="L928" s="58"/>
      <c r="M928" s="57"/>
      <c r="N928" s="52"/>
      <c r="O928" s="52"/>
      <c r="P928" s="58"/>
      <c r="Q928" s="57"/>
      <c r="R928" s="52"/>
      <c r="S928" s="52"/>
      <c r="T928" s="52"/>
      <c r="U928" s="58"/>
      <c r="V928" s="57"/>
      <c r="W928" s="52"/>
      <c r="X928" s="52"/>
      <c r="Y928" s="58"/>
      <c r="Z928" s="57"/>
      <c r="AA928" s="52"/>
      <c r="AB928" s="52"/>
      <c r="AC928" s="58"/>
      <c r="AD928" s="57"/>
      <c r="AE928" s="52"/>
      <c r="AF928" s="52"/>
      <c r="AG928" s="58"/>
      <c r="AH928" s="57"/>
      <c r="AI928" s="52"/>
      <c r="AJ928" s="52"/>
      <c r="AK928" s="58"/>
      <c r="AL928" s="57"/>
      <c r="AM928" s="52"/>
      <c r="AN928" s="52"/>
      <c r="AO928" s="58"/>
      <c r="AP928" s="57"/>
      <c r="AQ928" s="52"/>
      <c r="AR928" s="52"/>
      <c r="AS928" s="58"/>
      <c r="AT928" s="57"/>
      <c r="AU928" s="52"/>
      <c r="AV928" s="52"/>
      <c r="AW928" s="58"/>
      <c r="AX928" s="33">
        <f t="shared" si="844"/>
        <v>0</v>
      </c>
      <c r="AY928" s="31">
        <f t="shared" si="845"/>
        <v>0</v>
      </c>
      <c r="AZ928" s="30">
        <f t="shared" si="846"/>
        <v>0</v>
      </c>
      <c r="BA928" s="34"/>
      <c r="BB928" s="34"/>
      <c r="BC928" s="34"/>
      <c r="BD928" s="76"/>
      <c r="BE928" s="34"/>
      <c r="BF928" s="34"/>
      <c r="BG928" s="34"/>
      <c r="BH928" s="34"/>
    </row>
    <row r="929" spans="1:60" s="17" customFormat="1" ht="19.5" customHeight="1" x14ac:dyDescent="0.35">
      <c r="A929" s="41">
        <f t="shared" ref="A929:B929" si="850">A928</f>
        <v>45442</v>
      </c>
      <c r="B929" s="37" t="str">
        <f t="shared" si="850"/>
        <v>BANT GİRİŞ</v>
      </c>
      <c r="C929" s="65">
        <f t="shared" si="842"/>
        <v>0</v>
      </c>
      <c r="D929" s="67">
        <f t="shared" si="843"/>
        <v>120</v>
      </c>
      <c r="E929" s="57"/>
      <c r="F929" s="52"/>
      <c r="G929" s="52"/>
      <c r="H929" s="58"/>
      <c r="I929" s="57"/>
      <c r="J929" s="52"/>
      <c r="K929" s="52"/>
      <c r="L929" s="58"/>
      <c r="M929" s="57"/>
      <c r="N929" s="52"/>
      <c r="O929" s="52"/>
      <c r="P929" s="58"/>
      <c r="Q929" s="57"/>
      <c r="R929" s="52"/>
      <c r="S929" s="52"/>
      <c r="T929" s="52"/>
      <c r="U929" s="58"/>
      <c r="V929" s="57"/>
      <c r="W929" s="52"/>
      <c r="X929" s="52"/>
      <c r="Y929" s="58"/>
      <c r="Z929" s="57"/>
      <c r="AA929" s="52"/>
      <c r="AB929" s="52"/>
      <c r="AC929" s="58"/>
      <c r="AD929" s="57"/>
      <c r="AE929" s="52"/>
      <c r="AF929" s="52"/>
      <c r="AG929" s="58"/>
      <c r="AH929" s="57"/>
      <c r="AI929" s="52"/>
      <c r="AJ929" s="52"/>
      <c r="AK929" s="58"/>
      <c r="AL929" s="57"/>
      <c r="AM929" s="52"/>
      <c r="AN929" s="52"/>
      <c r="AO929" s="58"/>
      <c r="AP929" s="57"/>
      <c r="AQ929" s="52"/>
      <c r="AR929" s="52"/>
      <c r="AS929" s="58"/>
      <c r="AT929" s="57"/>
      <c r="AU929" s="52"/>
      <c r="AV929" s="52"/>
      <c r="AW929" s="58"/>
      <c r="AX929" s="33">
        <f t="shared" si="844"/>
        <v>0</v>
      </c>
      <c r="AY929" s="31">
        <f t="shared" si="845"/>
        <v>0</v>
      </c>
      <c r="AZ929" s="30">
        <f t="shared" si="846"/>
        <v>0</v>
      </c>
      <c r="BA929" s="34"/>
      <c r="BB929" s="34"/>
      <c r="BC929" s="34"/>
      <c r="BD929" s="76"/>
      <c r="BE929" s="34"/>
      <c r="BF929" s="34"/>
      <c r="BG929" s="34"/>
      <c r="BH929" s="34"/>
    </row>
    <row r="930" spans="1:60" s="17" customFormat="1" ht="19.5" customHeight="1" thickBot="1" x14ac:dyDescent="0.4">
      <c r="A930" s="41">
        <f t="shared" ref="A930:B930" si="851">A929</f>
        <v>45442</v>
      </c>
      <c r="B930" s="37" t="str">
        <f t="shared" si="851"/>
        <v>BANT GİRİŞ</v>
      </c>
      <c r="C930" s="65">
        <f t="shared" si="842"/>
        <v>0</v>
      </c>
      <c r="D930" s="67">
        <f t="shared" si="843"/>
        <v>120</v>
      </c>
      <c r="E930" s="59"/>
      <c r="F930" s="60"/>
      <c r="G930" s="61"/>
      <c r="H930" s="62"/>
      <c r="I930" s="59"/>
      <c r="J930" s="60"/>
      <c r="K930" s="61"/>
      <c r="L930" s="62"/>
      <c r="M930" s="59"/>
      <c r="N930" s="60"/>
      <c r="O930" s="61"/>
      <c r="P930" s="62"/>
      <c r="Q930" s="64"/>
      <c r="R930" s="61"/>
      <c r="S930" s="61"/>
      <c r="T930" s="61"/>
      <c r="U930" s="62"/>
      <c r="V930" s="59"/>
      <c r="W930" s="60"/>
      <c r="X930" s="61"/>
      <c r="Y930" s="62"/>
      <c r="Z930" s="59"/>
      <c r="AA930" s="60"/>
      <c r="AB930" s="61"/>
      <c r="AC930" s="62"/>
      <c r="AD930" s="59"/>
      <c r="AE930" s="60"/>
      <c r="AF930" s="61"/>
      <c r="AG930" s="62"/>
      <c r="AH930" s="59"/>
      <c r="AI930" s="60"/>
      <c r="AJ930" s="61"/>
      <c r="AK930" s="62"/>
      <c r="AL930" s="59"/>
      <c r="AM930" s="60"/>
      <c r="AN930" s="61"/>
      <c r="AO930" s="62"/>
      <c r="AP930" s="59"/>
      <c r="AQ930" s="60"/>
      <c r="AR930" s="61"/>
      <c r="AS930" s="62"/>
      <c r="AT930" s="59"/>
      <c r="AU930" s="60"/>
      <c r="AV930" s="61"/>
      <c r="AW930" s="62"/>
      <c r="AX930" s="33">
        <f t="shared" si="844"/>
        <v>0</v>
      </c>
      <c r="AY930" s="31">
        <f t="shared" si="845"/>
        <v>0</v>
      </c>
      <c r="AZ930" s="30">
        <f t="shared" si="846"/>
        <v>0</v>
      </c>
      <c r="BA930" s="34"/>
      <c r="BB930" s="34"/>
      <c r="BC930" s="34"/>
      <c r="BD930" s="76"/>
      <c r="BE930" s="34"/>
      <c r="BF930" s="34"/>
      <c r="BG930" s="34"/>
      <c r="BH930" s="34"/>
    </row>
    <row r="931" spans="1:60" s="17" customFormat="1" ht="19.5" customHeight="1" thickBot="1" x14ac:dyDescent="0.45">
      <c r="A931" s="41">
        <f t="shared" ref="A931" si="852">A930</f>
        <v>45442</v>
      </c>
      <c r="B931" s="139" t="str">
        <f>B924</f>
        <v>BANT GİRİŞ</v>
      </c>
      <c r="C931" s="140"/>
      <c r="D931" s="40">
        <f>C886/8</f>
        <v>500</v>
      </c>
      <c r="E931" s="147">
        <f>SUM(E924:H930)</f>
        <v>0</v>
      </c>
      <c r="F931" s="148"/>
      <c r="G931" s="148"/>
      <c r="H931" s="149"/>
      <c r="I931" s="147">
        <f>SUM(I924:L930)</f>
        <v>0</v>
      </c>
      <c r="J931" s="148"/>
      <c r="K931" s="148"/>
      <c r="L931" s="149"/>
      <c r="M931" s="147">
        <f>SUM(M924:P930)</f>
        <v>0</v>
      </c>
      <c r="N931" s="148"/>
      <c r="O931" s="148"/>
      <c r="P931" s="149"/>
      <c r="Q931" s="147">
        <f>SUM(Q924:U930)</f>
        <v>0</v>
      </c>
      <c r="R931" s="148"/>
      <c r="S931" s="148"/>
      <c r="T931" s="148"/>
      <c r="U931" s="149"/>
      <c r="V931" s="147">
        <f>SUM(V924:Y930)</f>
        <v>0</v>
      </c>
      <c r="W931" s="148"/>
      <c r="X931" s="148"/>
      <c r="Y931" s="149"/>
      <c r="Z931" s="147">
        <f>SUM(Z924:AC930)</f>
        <v>0</v>
      </c>
      <c r="AA931" s="148"/>
      <c r="AB931" s="148"/>
      <c r="AC931" s="149"/>
      <c r="AD931" s="147">
        <f>SUM(AD924:AG930)</f>
        <v>0</v>
      </c>
      <c r="AE931" s="148"/>
      <c r="AF931" s="148"/>
      <c r="AG931" s="149"/>
      <c r="AH931" s="147">
        <f>SUM(AH924:AK930)</f>
        <v>0</v>
      </c>
      <c r="AI931" s="148"/>
      <c r="AJ931" s="148"/>
      <c r="AK931" s="149"/>
      <c r="AL931" s="147">
        <f>SUM(AL924:AO930)</f>
        <v>0</v>
      </c>
      <c r="AM931" s="148"/>
      <c r="AN931" s="148"/>
      <c r="AO931" s="149"/>
      <c r="AP931" s="147">
        <f>SUM(AP924:AS930)</f>
        <v>0</v>
      </c>
      <c r="AQ931" s="148"/>
      <c r="AR931" s="148"/>
      <c r="AS931" s="149"/>
      <c r="AT931" s="147">
        <f>SUM(AT924:AW930)</f>
        <v>0</v>
      </c>
      <c r="AU931" s="148"/>
      <c r="AV931" s="148"/>
      <c r="AW931" s="149"/>
      <c r="AX931" s="87">
        <f>SUM(AX924:AX930)</f>
        <v>0</v>
      </c>
      <c r="AY931" s="88">
        <f>IFERROR(AVERAGEIF(E931:AV931,"&lt;&gt;0",(E931:AV931)),)</f>
        <v>0</v>
      </c>
      <c r="AZ931" s="46">
        <f>IFERROR(AX931/BB925,0)</f>
        <v>0</v>
      </c>
      <c r="BA931" s="34"/>
      <c r="BB931" s="34"/>
      <c r="BC931" s="34"/>
      <c r="BD931" s="76"/>
      <c r="BE931" s="34"/>
      <c r="BF931" s="34"/>
      <c r="BG931" s="34"/>
      <c r="BH931" s="34"/>
    </row>
    <row r="932" spans="1:60" s="17" customFormat="1" ht="19.5" customHeight="1" thickBot="1" x14ac:dyDescent="0.4">
      <c r="A932" s="42">
        <f>A923</f>
        <v>45442</v>
      </c>
      <c r="B932" s="38" t="str">
        <f>B933</f>
        <v>Omuz Çatma</v>
      </c>
      <c r="C932" s="39" t="s">
        <v>180</v>
      </c>
      <c r="D932" s="69" t="s">
        <v>181</v>
      </c>
      <c r="E932" s="48">
        <v>0.34375</v>
      </c>
      <c r="F932" s="49">
        <v>0.35416666666666669</v>
      </c>
      <c r="G932" s="49">
        <v>0.36458333333333331</v>
      </c>
      <c r="H932" s="50">
        <v>0.375</v>
      </c>
      <c r="I932" s="48">
        <v>0.38541666666666702</v>
      </c>
      <c r="J932" s="49">
        <v>0.39583333333333298</v>
      </c>
      <c r="K932" s="49">
        <v>0.40625</v>
      </c>
      <c r="L932" s="50">
        <v>0.41666666666666702</v>
      </c>
      <c r="M932" s="48">
        <v>0.4375</v>
      </c>
      <c r="N932" s="49">
        <v>0.44791666666666702</v>
      </c>
      <c r="O932" s="49">
        <v>0.45833333333333398</v>
      </c>
      <c r="P932" s="50">
        <v>0.46875</v>
      </c>
      <c r="Q932" s="48">
        <v>0.47916666666666702</v>
      </c>
      <c r="R932" s="49">
        <v>0.48958333333333398</v>
      </c>
      <c r="S932" s="49">
        <v>0.5</v>
      </c>
      <c r="T932" s="50">
        <v>0.51041666666666696</v>
      </c>
      <c r="U932" s="51">
        <v>0.52083333333333204</v>
      </c>
      <c r="V932" s="48">
        <v>0.5625</v>
      </c>
      <c r="W932" s="49">
        <v>0.57291666666666663</v>
      </c>
      <c r="X932" s="49">
        <v>0.58333333333333304</v>
      </c>
      <c r="Y932" s="50">
        <v>0.59375</v>
      </c>
      <c r="Z932" s="48">
        <v>0.60416666666666696</v>
      </c>
      <c r="AA932" s="49">
        <v>0.61458333333333304</v>
      </c>
      <c r="AB932" s="49">
        <v>0.625</v>
      </c>
      <c r="AC932" s="50">
        <v>0.63541666666666596</v>
      </c>
      <c r="AD932" s="48">
        <v>0.65625</v>
      </c>
      <c r="AE932" s="49">
        <v>0.66666666666666663</v>
      </c>
      <c r="AF932" s="49">
        <v>0.67708333333333304</v>
      </c>
      <c r="AG932" s="50">
        <v>0.6875</v>
      </c>
      <c r="AH932" s="48">
        <v>0.69791666666666696</v>
      </c>
      <c r="AI932" s="49">
        <v>0.70833333333333304</v>
      </c>
      <c r="AJ932" s="49">
        <v>0.71875</v>
      </c>
      <c r="AK932" s="50">
        <v>0.72916666666666696</v>
      </c>
      <c r="AL932" s="48">
        <v>0.73958333333333404</v>
      </c>
      <c r="AM932" s="49">
        <v>0.750000000000001</v>
      </c>
      <c r="AN932" s="49">
        <v>0.76041666666666796</v>
      </c>
      <c r="AO932" s="50">
        <v>0.77083333333333504</v>
      </c>
      <c r="AP932" s="48">
        <v>0.781250000000002</v>
      </c>
      <c r="AQ932" s="49">
        <v>0.79166666666666896</v>
      </c>
      <c r="AR932" s="49">
        <v>0.80208333333333603</v>
      </c>
      <c r="AS932" s="50">
        <v>0.812500000000003</v>
      </c>
      <c r="AT932" s="48">
        <v>0.82291666666666996</v>
      </c>
      <c r="AU932" s="49">
        <v>0.83333333333333703</v>
      </c>
      <c r="AV932" s="49">
        <v>0.843750000000004</v>
      </c>
      <c r="AW932" s="50">
        <v>0.85416666666666663</v>
      </c>
      <c r="AX932" s="68" t="s">
        <v>260</v>
      </c>
      <c r="AY932" s="28" t="s">
        <v>261</v>
      </c>
      <c r="AZ932" s="29" t="s">
        <v>262</v>
      </c>
      <c r="BA932" s="136" t="str">
        <f>B933</f>
        <v>Omuz Çatma</v>
      </c>
      <c r="BB932" s="137"/>
      <c r="BC932" s="137"/>
      <c r="BD932" s="137"/>
      <c r="BE932" s="137"/>
      <c r="BF932" s="137"/>
      <c r="BG932" s="137"/>
      <c r="BH932" s="138"/>
    </row>
    <row r="933" spans="1:60" s="17" customFormat="1" ht="19.5" customHeight="1" thickBot="1" x14ac:dyDescent="0.4">
      <c r="A933" s="41">
        <f t="shared" ref="A933" si="853">A932</f>
        <v>45442</v>
      </c>
      <c r="B933" s="37" t="str">
        <f>B757</f>
        <v>Omuz Çatma</v>
      </c>
      <c r="C933" s="65" t="str">
        <f>C757</f>
        <v>SELDA TAŞ</v>
      </c>
      <c r="D933" s="70">
        <f>D757</f>
        <v>60</v>
      </c>
      <c r="E933" s="63">
        <v>50</v>
      </c>
      <c r="F933" s="55"/>
      <c r="G933" s="55"/>
      <c r="H933" s="56">
        <v>50</v>
      </c>
      <c r="I933" s="63">
        <v>50</v>
      </c>
      <c r="J933" s="55">
        <v>50</v>
      </c>
      <c r="K933" s="55">
        <v>35</v>
      </c>
      <c r="L933" s="56">
        <v>55</v>
      </c>
      <c r="M933" s="63">
        <v>50</v>
      </c>
      <c r="N933" s="55">
        <v>60</v>
      </c>
      <c r="O933" s="55">
        <v>40</v>
      </c>
      <c r="P933" s="56">
        <v>60</v>
      </c>
      <c r="Q933" s="63">
        <v>55</v>
      </c>
      <c r="R933" s="55">
        <v>50</v>
      </c>
      <c r="S933" s="55">
        <v>40</v>
      </c>
      <c r="T933" s="55">
        <v>60</v>
      </c>
      <c r="U933" s="56">
        <v>50</v>
      </c>
      <c r="V933" s="63">
        <v>40</v>
      </c>
      <c r="W933" s="55">
        <v>55</v>
      </c>
      <c r="X933" s="55">
        <v>60</v>
      </c>
      <c r="Y933" s="56">
        <v>55</v>
      </c>
      <c r="Z933" s="63">
        <v>40</v>
      </c>
      <c r="AA933" s="55">
        <v>55</v>
      </c>
      <c r="AB933" s="55">
        <v>55</v>
      </c>
      <c r="AC933" s="56">
        <v>60</v>
      </c>
      <c r="AD933" s="63">
        <v>45</v>
      </c>
      <c r="AE933" s="55">
        <v>30</v>
      </c>
      <c r="AF933" s="55">
        <v>40</v>
      </c>
      <c r="AG933" s="56"/>
      <c r="AH933" s="63"/>
      <c r="AI933" s="55"/>
      <c r="AJ933" s="55"/>
      <c r="AK933" s="56"/>
      <c r="AL933" s="63"/>
      <c r="AM933" s="55"/>
      <c r="AN933" s="55"/>
      <c r="AO933" s="56"/>
      <c r="AP933" s="63"/>
      <c r="AQ933" s="54"/>
      <c r="AR933" s="55"/>
      <c r="AS933" s="56"/>
      <c r="AT933" s="53"/>
      <c r="AU933" s="54"/>
      <c r="AV933" s="55"/>
      <c r="AW933" s="56"/>
      <c r="AX933" s="33">
        <f>SUM(E933:AW933)</f>
        <v>1290</v>
      </c>
      <c r="AY933" s="31">
        <f>IFERROR(AVERAGEIF(E933:AW933,"&lt;&gt;0",(E933:AW933)),)</f>
        <v>49.615384615384613</v>
      </c>
      <c r="AZ933" s="30">
        <f>IFERROR(AY933/D933,0)</f>
        <v>0.82692307692307687</v>
      </c>
      <c r="BA933" s="103" t="s">
        <v>182</v>
      </c>
      <c r="BB933" s="100" t="s">
        <v>183</v>
      </c>
      <c r="BC933" s="100" t="s">
        <v>184</v>
      </c>
      <c r="BD933" s="101" t="s">
        <v>185</v>
      </c>
      <c r="BE933" s="100" t="s">
        <v>186</v>
      </c>
      <c r="BF933" s="102" t="s">
        <v>187</v>
      </c>
      <c r="BG933" s="100" t="s">
        <v>188</v>
      </c>
      <c r="BH933" s="102" t="s">
        <v>189</v>
      </c>
    </row>
    <row r="934" spans="1:60" s="17" customFormat="1" ht="19.5" customHeight="1" thickBot="1" x14ac:dyDescent="0.4">
      <c r="A934" s="41">
        <f t="shared" ref="A934:B934" si="854">A933</f>
        <v>45442</v>
      </c>
      <c r="B934" s="37" t="str">
        <f t="shared" si="854"/>
        <v>Omuz Çatma</v>
      </c>
      <c r="C934" s="65" t="str">
        <f t="shared" ref="C934:C939" si="855">C758</f>
        <v>FATMA BALCI</v>
      </c>
      <c r="D934" s="67">
        <f t="shared" ref="D934:D939" si="856">D933</f>
        <v>60</v>
      </c>
      <c r="E934" s="57"/>
      <c r="F934" s="52"/>
      <c r="G934" s="52"/>
      <c r="H934" s="58"/>
      <c r="I934" s="57"/>
      <c r="J934" s="52"/>
      <c r="K934" s="52">
        <v>23</v>
      </c>
      <c r="L934" s="58">
        <v>40</v>
      </c>
      <c r="M934" s="57">
        <v>45</v>
      </c>
      <c r="N934" s="52">
        <v>35</v>
      </c>
      <c r="O934" s="52">
        <v>35</v>
      </c>
      <c r="P934" s="58">
        <v>40</v>
      </c>
      <c r="Q934" s="57">
        <v>40</v>
      </c>
      <c r="R934" s="52">
        <v>40</v>
      </c>
      <c r="S934" s="52">
        <v>20</v>
      </c>
      <c r="T934" s="52">
        <v>40</v>
      </c>
      <c r="U934" s="58">
        <v>40</v>
      </c>
      <c r="V934" s="57">
        <v>37</v>
      </c>
      <c r="W934" s="52">
        <v>45</v>
      </c>
      <c r="X934" s="52">
        <v>40</v>
      </c>
      <c r="Y934" s="58">
        <v>45</v>
      </c>
      <c r="Z934" s="57">
        <v>20</v>
      </c>
      <c r="AA934" s="52">
        <v>40</v>
      </c>
      <c r="AB934" s="52">
        <v>40</v>
      </c>
      <c r="AC934" s="58">
        <v>40</v>
      </c>
      <c r="AD934" s="57">
        <v>40</v>
      </c>
      <c r="AE934" s="52">
        <v>20</v>
      </c>
      <c r="AF934" s="52">
        <v>40</v>
      </c>
      <c r="AG934" s="58">
        <v>35</v>
      </c>
      <c r="AH934" s="57">
        <v>20</v>
      </c>
      <c r="AI934" s="52">
        <v>40</v>
      </c>
      <c r="AJ934" s="52">
        <v>40</v>
      </c>
      <c r="AK934" s="58">
        <v>30</v>
      </c>
      <c r="AL934" s="57">
        <v>40</v>
      </c>
      <c r="AM934" s="52">
        <v>40</v>
      </c>
      <c r="AN934" s="52">
        <v>25</v>
      </c>
      <c r="AO934" s="58"/>
      <c r="AP934" s="57"/>
      <c r="AQ934" s="52"/>
      <c r="AR934" s="52"/>
      <c r="AS934" s="58"/>
      <c r="AT934" s="57"/>
      <c r="AU934" s="52"/>
      <c r="AV934" s="52"/>
      <c r="AW934" s="58"/>
      <c r="AX934" s="33">
        <f t="shared" ref="AX934:AX939" si="857">SUM(E934:AW934)</f>
        <v>1075</v>
      </c>
      <c r="AY934" s="31">
        <f t="shared" ref="AY934:AY939" si="858">IFERROR(AVERAGEIF(E934:AW934,"&lt;&gt;0",(E934:AW934)),)</f>
        <v>35.833333333333336</v>
      </c>
      <c r="AZ934" s="30">
        <f t="shared" ref="AZ934:AZ939" si="859">IFERROR(AY934/D934,0)</f>
        <v>0.59722222222222221</v>
      </c>
      <c r="BA934" s="94">
        <f>AX940+BA758</f>
        <v>11329</v>
      </c>
      <c r="BB934" s="95">
        <f>(D940*8)</f>
        <v>4000</v>
      </c>
      <c r="BC934" s="96">
        <f>C885-BA934</f>
        <v>30982</v>
      </c>
      <c r="BD934" s="96">
        <f>BH925-BA934</f>
        <v>-11329</v>
      </c>
      <c r="BE934" s="97">
        <f>IFERROR(BC934/E940,0)</f>
        <v>158.88205128205129</v>
      </c>
      <c r="BF934" s="98">
        <f>IFERROR(BE934/9,0)</f>
        <v>17.653561253561254</v>
      </c>
      <c r="BG934" s="97">
        <f>IFERROR(BC934/AY940,0)</f>
        <v>87.62979258328096</v>
      </c>
      <c r="BH934" s="97">
        <f>IFERROR(BG934/9,0)</f>
        <v>9.7366436203645517</v>
      </c>
    </row>
    <row r="935" spans="1:60" s="17" customFormat="1" ht="19.5" customHeight="1" x14ac:dyDescent="0.35">
      <c r="A935" s="41">
        <f t="shared" ref="A935:B935" si="860">A934</f>
        <v>45442</v>
      </c>
      <c r="B935" s="37" t="str">
        <f t="shared" si="860"/>
        <v>Omuz Çatma</v>
      </c>
      <c r="C935" s="65" t="str">
        <f t="shared" si="855"/>
        <v>AYŞE ALTUN</v>
      </c>
      <c r="D935" s="67">
        <f t="shared" si="856"/>
        <v>60</v>
      </c>
      <c r="E935" s="57">
        <v>20</v>
      </c>
      <c r="F935" s="52">
        <v>25</v>
      </c>
      <c r="G935" s="52">
        <v>25</v>
      </c>
      <c r="H935" s="58">
        <v>25</v>
      </c>
      <c r="I935" s="57">
        <v>25</v>
      </c>
      <c r="J935" s="52">
        <v>25</v>
      </c>
      <c r="K935" s="52">
        <v>25</v>
      </c>
      <c r="L935" s="58">
        <v>25</v>
      </c>
      <c r="M935" s="57">
        <v>25</v>
      </c>
      <c r="N935" s="52">
        <v>25</v>
      </c>
      <c r="O935" s="52">
        <v>20</v>
      </c>
      <c r="P935" s="58">
        <v>25</v>
      </c>
      <c r="Q935" s="57">
        <v>25</v>
      </c>
      <c r="R935" s="52">
        <v>20</v>
      </c>
      <c r="S935" s="52">
        <v>20</v>
      </c>
      <c r="T935" s="52">
        <v>20</v>
      </c>
      <c r="U935" s="58">
        <v>20</v>
      </c>
      <c r="V935" s="57">
        <v>25</v>
      </c>
      <c r="W935" s="52">
        <v>22</v>
      </c>
      <c r="X935" s="52">
        <v>25</v>
      </c>
      <c r="Y935" s="58">
        <v>25</v>
      </c>
      <c r="Z935" s="57">
        <v>15</v>
      </c>
      <c r="AA935" s="52">
        <v>20</v>
      </c>
      <c r="AB935" s="52">
        <v>25</v>
      </c>
      <c r="AC935" s="58">
        <v>25</v>
      </c>
      <c r="AD935" s="57">
        <v>20</v>
      </c>
      <c r="AE935" s="52">
        <v>16</v>
      </c>
      <c r="AF935" s="52">
        <v>20</v>
      </c>
      <c r="AG935" s="58">
        <v>20</v>
      </c>
      <c r="AH935" s="57">
        <v>20</v>
      </c>
      <c r="AI935" s="52">
        <v>20</v>
      </c>
      <c r="AJ935" s="52">
        <v>22</v>
      </c>
      <c r="AK935" s="58">
        <v>20</v>
      </c>
      <c r="AL935" s="57">
        <v>20</v>
      </c>
      <c r="AM935" s="52">
        <v>22</v>
      </c>
      <c r="AN935" s="52">
        <v>10</v>
      </c>
      <c r="AO935" s="58"/>
      <c r="AP935" s="57"/>
      <c r="AQ935" s="52"/>
      <c r="AR935" s="52"/>
      <c r="AS935" s="58"/>
      <c r="AT935" s="57"/>
      <c r="AU935" s="52"/>
      <c r="AV935" s="52"/>
      <c r="AW935" s="58"/>
      <c r="AX935" s="33">
        <f t="shared" si="857"/>
        <v>787</v>
      </c>
      <c r="AY935" s="31">
        <f t="shared" si="858"/>
        <v>21.861111111111111</v>
      </c>
      <c r="AZ935" s="30">
        <f t="shared" si="859"/>
        <v>0.36435185185185187</v>
      </c>
      <c r="BA935" s="34"/>
      <c r="BB935" s="34"/>
      <c r="BC935" s="34"/>
      <c r="BD935" s="76"/>
      <c r="BE935" s="34"/>
      <c r="BF935" s="34"/>
      <c r="BG935" s="34"/>
      <c r="BH935" s="34"/>
    </row>
    <row r="936" spans="1:60" s="17" customFormat="1" ht="19.5" customHeight="1" x14ac:dyDescent="0.35">
      <c r="A936" s="41">
        <f t="shared" ref="A936:B936" si="861">A935</f>
        <v>45442</v>
      </c>
      <c r="B936" s="37" t="str">
        <f t="shared" si="861"/>
        <v>Omuz Çatma</v>
      </c>
      <c r="C936" s="65" t="s">
        <v>40</v>
      </c>
      <c r="D936" s="67">
        <f t="shared" si="856"/>
        <v>60</v>
      </c>
      <c r="E936" s="57"/>
      <c r="F936" s="52"/>
      <c r="G936" s="52"/>
      <c r="H936" s="58"/>
      <c r="I936" s="57"/>
      <c r="J936" s="52"/>
      <c r="K936" s="52"/>
      <c r="L936" s="58"/>
      <c r="M936" s="57"/>
      <c r="N936" s="52"/>
      <c r="O936" s="52"/>
      <c r="P936" s="58"/>
      <c r="Q936" s="57"/>
      <c r="R936" s="52"/>
      <c r="S936" s="52"/>
      <c r="T936" s="52"/>
      <c r="U936" s="58"/>
      <c r="V936" s="57"/>
      <c r="W936" s="52"/>
      <c r="X936" s="52"/>
      <c r="Y936" s="58"/>
      <c r="Z936" s="57"/>
      <c r="AA936" s="52"/>
      <c r="AB936" s="52"/>
      <c r="AC936" s="58"/>
      <c r="AD936" s="57"/>
      <c r="AE936" s="52"/>
      <c r="AF936" s="52"/>
      <c r="AG936" s="58"/>
      <c r="AH936" s="57"/>
      <c r="AI936" s="52"/>
      <c r="AJ936" s="52"/>
      <c r="AK936" s="58"/>
      <c r="AL936" s="57"/>
      <c r="AM936" s="52"/>
      <c r="AN936" s="52">
        <v>30</v>
      </c>
      <c r="AO936" s="58"/>
      <c r="AP936" s="57"/>
      <c r="AQ936" s="52"/>
      <c r="AR936" s="52"/>
      <c r="AS936" s="58"/>
      <c r="AT936" s="57"/>
      <c r="AU936" s="52"/>
      <c r="AV936" s="52"/>
      <c r="AW936" s="58"/>
      <c r="AX936" s="33">
        <f t="shared" si="857"/>
        <v>30</v>
      </c>
      <c r="AY936" s="31">
        <f t="shared" si="858"/>
        <v>30</v>
      </c>
      <c r="AZ936" s="30">
        <f t="shared" si="859"/>
        <v>0.5</v>
      </c>
      <c r="BA936" s="34"/>
      <c r="BB936" s="34"/>
      <c r="BC936" s="34"/>
      <c r="BD936" s="76"/>
      <c r="BE936" s="34"/>
      <c r="BF936" s="34"/>
      <c r="BG936" s="34"/>
      <c r="BH936" s="34"/>
    </row>
    <row r="937" spans="1:60" s="17" customFormat="1" ht="19.5" customHeight="1" x14ac:dyDescent="0.35">
      <c r="A937" s="41">
        <f>A934</f>
        <v>45442</v>
      </c>
      <c r="B937" s="37" t="str">
        <f t="shared" ref="B937" si="862">B936</f>
        <v>Omuz Çatma</v>
      </c>
      <c r="C937" s="65">
        <f t="shared" si="855"/>
        <v>0</v>
      </c>
      <c r="D937" s="67">
        <f t="shared" si="856"/>
        <v>60</v>
      </c>
      <c r="E937" s="57"/>
      <c r="F937" s="52"/>
      <c r="G937" s="52"/>
      <c r="H937" s="58"/>
      <c r="I937" s="57"/>
      <c r="J937" s="52"/>
      <c r="K937" s="52"/>
      <c r="L937" s="58"/>
      <c r="M937" s="57"/>
      <c r="N937" s="52"/>
      <c r="O937" s="52"/>
      <c r="P937" s="58"/>
      <c r="Q937" s="57"/>
      <c r="R937" s="52"/>
      <c r="S937" s="52"/>
      <c r="T937" s="52"/>
      <c r="U937" s="58"/>
      <c r="V937" s="57"/>
      <c r="W937" s="52"/>
      <c r="X937" s="52"/>
      <c r="Y937" s="58"/>
      <c r="Z937" s="57"/>
      <c r="AA937" s="52"/>
      <c r="AB937" s="52"/>
      <c r="AC937" s="58"/>
      <c r="AD937" s="57"/>
      <c r="AE937" s="52"/>
      <c r="AF937" s="52"/>
      <c r="AG937" s="58"/>
      <c r="AH937" s="57"/>
      <c r="AI937" s="52"/>
      <c r="AJ937" s="52"/>
      <c r="AK937" s="58"/>
      <c r="AL937" s="57"/>
      <c r="AM937" s="52"/>
      <c r="AN937" s="52"/>
      <c r="AO937" s="58"/>
      <c r="AP937" s="57"/>
      <c r="AQ937" s="52"/>
      <c r="AR937" s="52"/>
      <c r="AS937" s="58"/>
      <c r="AT937" s="57"/>
      <c r="AU937" s="52"/>
      <c r="AV937" s="52"/>
      <c r="AW937" s="58"/>
      <c r="AX937" s="33">
        <f t="shared" si="857"/>
        <v>0</v>
      </c>
      <c r="AY937" s="31">
        <f t="shared" si="858"/>
        <v>0</v>
      </c>
      <c r="AZ937" s="30">
        <f t="shared" si="859"/>
        <v>0</v>
      </c>
      <c r="BA937" s="34"/>
      <c r="BB937" s="34"/>
      <c r="BC937" s="34"/>
      <c r="BD937" s="76"/>
      <c r="BE937" s="34"/>
      <c r="BF937" s="34"/>
      <c r="BG937" s="34"/>
      <c r="BH937" s="34"/>
    </row>
    <row r="938" spans="1:60" s="17" customFormat="1" ht="19.5" customHeight="1" x14ac:dyDescent="0.35">
      <c r="A938" s="41">
        <f>A937</f>
        <v>45442</v>
      </c>
      <c r="B938" s="37" t="str">
        <f t="shared" ref="B938" si="863">B937</f>
        <v>Omuz Çatma</v>
      </c>
      <c r="C938" s="65">
        <f t="shared" si="855"/>
        <v>0</v>
      </c>
      <c r="D938" s="67">
        <f t="shared" si="856"/>
        <v>60</v>
      </c>
      <c r="E938" s="57"/>
      <c r="F938" s="52"/>
      <c r="G938" s="52"/>
      <c r="H938" s="58"/>
      <c r="I938" s="57"/>
      <c r="J938" s="52"/>
      <c r="K938" s="52"/>
      <c r="L938" s="58"/>
      <c r="M938" s="57"/>
      <c r="N938" s="52"/>
      <c r="O938" s="52"/>
      <c r="P938" s="58"/>
      <c r="Q938" s="57"/>
      <c r="R938" s="52"/>
      <c r="S938" s="52"/>
      <c r="T938" s="52"/>
      <c r="U938" s="58"/>
      <c r="V938" s="57"/>
      <c r="W938" s="52"/>
      <c r="X938" s="52"/>
      <c r="Y938" s="58"/>
      <c r="Z938" s="57"/>
      <c r="AA938" s="52"/>
      <c r="AB938" s="52"/>
      <c r="AC938" s="58"/>
      <c r="AD938" s="57"/>
      <c r="AE938" s="52"/>
      <c r="AF938" s="52"/>
      <c r="AG938" s="58"/>
      <c r="AH938" s="57"/>
      <c r="AI938" s="52"/>
      <c r="AJ938" s="52"/>
      <c r="AK938" s="58"/>
      <c r="AL938" s="57"/>
      <c r="AM938" s="52"/>
      <c r="AN938" s="52"/>
      <c r="AO938" s="58"/>
      <c r="AP938" s="57"/>
      <c r="AQ938" s="52"/>
      <c r="AR938" s="52"/>
      <c r="AS938" s="58"/>
      <c r="AT938" s="57"/>
      <c r="AU938" s="52"/>
      <c r="AV938" s="52"/>
      <c r="AW938" s="58"/>
      <c r="AX938" s="33">
        <f t="shared" si="857"/>
        <v>0</v>
      </c>
      <c r="AY938" s="31">
        <f t="shared" si="858"/>
        <v>0</v>
      </c>
      <c r="AZ938" s="30">
        <f t="shared" si="859"/>
        <v>0</v>
      </c>
      <c r="BA938" s="34"/>
      <c r="BB938" s="34"/>
      <c r="BC938" s="34"/>
      <c r="BD938" s="76"/>
      <c r="BE938" s="34"/>
      <c r="BF938" s="34"/>
      <c r="BG938" s="34"/>
      <c r="BH938" s="34"/>
    </row>
    <row r="939" spans="1:60" s="17" customFormat="1" ht="19.5" customHeight="1" thickBot="1" x14ac:dyDescent="0.4">
      <c r="A939" s="41">
        <f>A938</f>
        <v>45442</v>
      </c>
      <c r="B939" s="37" t="str">
        <f t="shared" ref="B939" si="864">B938</f>
        <v>Omuz Çatma</v>
      </c>
      <c r="C939" s="65">
        <f t="shared" si="855"/>
        <v>0</v>
      </c>
      <c r="D939" s="67">
        <f t="shared" si="856"/>
        <v>60</v>
      </c>
      <c r="E939" s="59"/>
      <c r="F939" s="60"/>
      <c r="G939" s="61"/>
      <c r="H939" s="62"/>
      <c r="I939" s="59"/>
      <c r="J939" s="60"/>
      <c r="K939" s="61"/>
      <c r="L939" s="62"/>
      <c r="M939" s="59"/>
      <c r="N939" s="60"/>
      <c r="O939" s="61"/>
      <c r="P939" s="62"/>
      <c r="Q939" s="64"/>
      <c r="R939" s="61"/>
      <c r="S939" s="61"/>
      <c r="T939" s="61"/>
      <c r="U939" s="62"/>
      <c r="V939" s="59"/>
      <c r="W939" s="60"/>
      <c r="X939" s="61"/>
      <c r="Y939" s="62"/>
      <c r="Z939" s="59"/>
      <c r="AA939" s="60"/>
      <c r="AB939" s="61"/>
      <c r="AC939" s="62"/>
      <c r="AD939" s="59"/>
      <c r="AE939" s="60"/>
      <c r="AF939" s="61"/>
      <c r="AG939" s="62"/>
      <c r="AH939" s="59"/>
      <c r="AI939" s="60"/>
      <c r="AJ939" s="61"/>
      <c r="AK939" s="62"/>
      <c r="AL939" s="59"/>
      <c r="AM939" s="60"/>
      <c r="AN939" s="61"/>
      <c r="AO939" s="62"/>
      <c r="AP939" s="59"/>
      <c r="AQ939" s="60"/>
      <c r="AR939" s="61"/>
      <c r="AS939" s="62"/>
      <c r="AT939" s="59"/>
      <c r="AU939" s="60"/>
      <c r="AV939" s="61"/>
      <c r="AW939" s="62"/>
      <c r="AX939" s="33">
        <f t="shared" si="857"/>
        <v>0</v>
      </c>
      <c r="AY939" s="31">
        <f t="shared" si="858"/>
        <v>0</v>
      </c>
      <c r="AZ939" s="30">
        <f t="shared" si="859"/>
        <v>0</v>
      </c>
      <c r="BA939" s="34"/>
      <c r="BB939" s="34"/>
      <c r="BC939" s="34"/>
      <c r="BD939" s="76"/>
      <c r="BE939" s="34"/>
      <c r="BF939" s="34"/>
      <c r="BG939" s="34"/>
      <c r="BH939" s="34"/>
    </row>
    <row r="940" spans="1:60" s="17" customFormat="1" ht="19.5" customHeight="1" thickBot="1" x14ac:dyDescent="0.45">
      <c r="A940" s="41">
        <f>A939</f>
        <v>45442</v>
      </c>
      <c r="B940" s="139" t="str">
        <f>B933</f>
        <v>Omuz Çatma</v>
      </c>
      <c r="C940" s="140"/>
      <c r="D940" s="40">
        <f>C886/8</f>
        <v>500</v>
      </c>
      <c r="E940" s="147">
        <f>SUM(E933:H939)</f>
        <v>195</v>
      </c>
      <c r="F940" s="148"/>
      <c r="G940" s="148"/>
      <c r="H940" s="149"/>
      <c r="I940" s="147">
        <f>SUM(I933:L939)</f>
        <v>353</v>
      </c>
      <c r="J940" s="148"/>
      <c r="K940" s="148"/>
      <c r="L940" s="149"/>
      <c r="M940" s="147">
        <f>SUM(M933:P939)</f>
        <v>460</v>
      </c>
      <c r="N940" s="148"/>
      <c r="O940" s="148"/>
      <c r="P940" s="149"/>
      <c r="Q940" s="147">
        <f>SUM(Q933:U939)</f>
        <v>540</v>
      </c>
      <c r="R940" s="148"/>
      <c r="S940" s="148"/>
      <c r="T940" s="148"/>
      <c r="U940" s="149"/>
      <c r="V940" s="147">
        <f>SUM(V933:Y939)</f>
        <v>474</v>
      </c>
      <c r="W940" s="148"/>
      <c r="X940" s="148"/>
      <c r="Y940" s="149"/>
      <c r="Z940" s="147">
        <f>SUM(Z933:AC939)</f>
        <v>435</v>
      </c>
      <c r="AA940" s="148"/>
      <c r="AB940" s="148"/>
      <c r="AC940" s="149"/>
      <c r="AD940" s="147">
        <f>SUM(AD933:AG939)</f>
        <v>326</v>
      </c>
      <c r="AE940" s="148"/>
      <c r="AF940" s="148"/>
      <c r="AG940" s="149"/>
      <c r="AH940" s="147">
        <f>SUM(AH933:AK939)</f>
        <v>212</v>
      </c>
      <c r="AI940" s="148"/>
      <c r="AJ940" s="148"/>
      <c r="AK940" s="149"/>
      <c r="AL940" s="147">
        <f>SUM(AL933:AO939)</f>
        <v>187</v>
      </c>
      <c r="AM940" s="148"/>
      <c r="AN940" s="148"/>
      <c r="AO940" s="149"/>
      <c r="AP940" s="147">
        <f>SUM(AP933:AS939)</f>
        <v>0</v>
      </c>
      <c r="AQ940" s="148"/>
      <c r="AR940" s="148"/>
      <c r="AS940" s="149"/>
      <c r="AT940" s="147">
        <f>SUM(AT933:AW939)</f>
        <v>0</v>
      </c>
      <c r="AU940" s="148"/>
      <c r="AV940" s="148"/>
      <c r="AW940" s="149"/>
      <c r="AX940" s="87">
        <f>SUM(AX933:AX939)</f>
        <v>3182</v>
      </c>
      <c r="AY940" s="88">
        <f>IFERROR(AVERAGEIF(E940:AV940,"&lt;&gt;0",(E940:AV940)),)</f>
        <v>353.55555555555554</v>
      </c>
      <c r="AZ940" s="46">
        <f>IFERROR(AX940/BB934,0)</f>
        <v>0.79549999999999998</v>
      </c>
      <c r="BA940" s="34"/>
      <c r="BB940" s="34"/>
      <c r="BC940" s="34"/>
      <c r="BD940" s="76"/>
      <c r="BE940" s="34"/>
      <c r="BF940" s="34"/>
      <c r="BG940" s="34"/>
      <c r="BH940" s="34"/>
    </row>
    <row r="941" spans="1:60" s="17" customFormat="1" ht="19.5" customHeight="1" thickBot="1" x14ac:dyDescent="0.4">
      <c r="A941" s="42">
        <f>A932</f>
        <v>45442</v>
      </c>
      <c r="B941" s="38" t="str">
        <f>B942</f>
        <v>Yaka Takma</v>
      </c>
      <c r="C941" s="39" t="s">
        <v>180</v>
      </c>
      <c r="D941" s="69" t="s">
        <v>181</v>
      </c>
      <c r="E941" s="48">
        <v>0.34375</v>
      </c>
      <c r="F941" s="49">
        <v>0.35416666666666669</v>
      </c>
      <c r="G941" s="49">
        <v>0.36458333333333331</v>
      </c>
      <c r="H941" s="50">
        <v>0.375</v>
      </c>
      <c r="I941" s="48">
        <v>0.38541666666666702</v>
      </c>
      <c r="J941" s="49">
        <v>0.39583333333333298</v>
      </c>
      <c r="K941" s="49">
        <v>0.40625</v>
      </c>
      <c r="L941" s="50">
        <v>0.41666666666666702</v>
      </c>
      <c r="M941" s="48">
        <v>0.4375</v>
      </c>
      <c r="N941" s="49">
        <v>0.44791666666666702</v>
      </c>
      <c r="O941" s="49">
        <v>0.45833333333333398</v>
      </c>
      <c r="P941" s="50">
        <v>0.46875</v>
      </c>
      <c r="Q941" s="48">
        <v>0.47916666666666702</v>
      </c>
      <c r="R941" s="49">
        <v>0.48958333333333398</v>
      </c>
      <c r="S941" s="49">
        <v>0.5</v>
      </c>
      <c r="T941" s="50">
        <v>0.51041666666666696</v>
      </c>
      <c r="U941" s="51">
        <v>0.52083333333333204</v>
      </c>
      <c r="V941" s="48">
        <v>0.5625</v>
      </c>
      <c r="W941" s="49">
        <v>0.57291666666666663</v>
      </c>
      <c r="X941" s="49">
        <v>0.58333333333333304</v>
      </c>
      <c r="Y941" s="50">
        <v>0.59375</v>
      </c>
      <c r="Z941" s="48">
        <v>0.60416666666666696</v>
      </c>
      <c r="AA941" s="49">
        <v>0.61458333333333304</v>
      </c>
      <c r="AB941" s="49">
        <v>0.625</v>
      </c>
      <c r="AC941" s="50">
        <v>0.63541666666666596</v>
      </c>
      <c r="AD941" s="48">
        <v>0.65625</v>
      </c>
      <c r="AE941" s="49">
        <v>0.66666666666666663</v>
      </c>
      <c r="AF941" s="49">
        <v>0.67708333333333304</v>
      </c>
      <c r="AG941" s="50">
        <v>0.6875</v>
      </c>
      <c r="AH941" s="48">
        <v>0.69791666666666696</v>
      </c>
      <c r="AI941" s="49">
        <v>0.70833333333333304</v>
      </c>
      <c r="AJ941" s="49">
        <v>0.71875</v>
      </c>
      <c r="AK941" s="50">
        <v>0.72916666666666696</v>
      </c>
      <c r="AL941" s="48">
        <v>0.73958333333333404</v>
      </c>
      <c r="AM941" s="49">
        <v>0.750000000000001</v>
      </c>
      <c r="AN941" s="49">
        <v>0.76041666666666796</v>
      </c>
      <c r="AO941" s="50">
        <v>0.77083333333333504</v>
      </c>
      <c r="AP941" s="48">
        <v>0.781250000000002</v>
      </c>
      <c r="AQ941" s="49">
        <v>0.79166666666666896</v>
      </c>
      <c r="AR941" s="49">
        <v>0.80208333333333603</v>
      </c>
      <c r="AS941" s="50">
        <v>0.812500000000003</v>
      </c>
      <c r="AT941" s="48">
        <v>0.82291666666666996</v>
      </c>
      <c r="AU941" s="49">
        <v>0.83333333333333703</v>
      </c>
      <c r="AV941" s="49">
        <v>0.843750000000004</v>
      </c>
      <c r="AW941" s="50">
        <v>0.85416666666666663</v>
      </c>
      <c r="AX941" s="68" t="s">
        <v>260</v>
      </c>
      <c r="AY941" s="28" t="s">
        <v>261</v>
      </c>
      <c r="AZ941" s="29" t="s">
        <v>262</v>
      </c>
      <c r="BA941" s="136" t="str">
        <f>B942</f>
        <v>Yaka Takma</v>
      </c>
      <c r="BB941" s="137"/>
      <c r="BC941" s="137"/>
      <c r="BD941" s="137"/>
      <c r="BE941" s="137"/>
      <c r="BF941" s="137"/>
      <c r="BG941" s="137"/>
      <c r="BH941" s="138"/>
    </row>
    <row r="942" spans="1:60" s="17" customFormat="1" ht="19.5" customHeight="1" thickBot="1" x14ac:dyDescent="0.4">
      <c r="A942" s="41">
        <f>A941</f>
        <v>45442</v>
      </c>
      <c r="B942" s="37" t="str">
        <f>B766</f>
        <v>Yaka Takma</v>
      </c>
      <c r="C942" s="65" t="str">
        <f>C766</f>
        <v>FATMA KIZILTAN</v>
      </c>
      <c r="D942" s="70">
        <f>D766</f>
        <v>70</v>
      </c>
      <c r="E942" s="53">
        <v>55</v>
      </c>
      <c r="F942" s="54">
        <v>55</v>
      </c>
      <c r="G942" s="55">
        <v>50</v>
      </c>
      <c r="H942" s="56">
        <v>50</v>
      </c>
      <c r="I942" s="53">
        <v>45</v>
      </c>
      <c r="J942" s="54">
        <v>50</v>
      </c>
      <c r="K942" s="55">
        <v>50</v>
      </c>
      <c r="L942" s="56">
        <v>60</v>
      </c>
      <c r="M942" s="53">
        <v>65</v>
      </c>
      <c r="N942" s="54">
        <v>60</v>
      </c>
      <c r="O942" s="55">
        <v>50</v>
      </c>
      <c r="P942" s="56">
        <v>60</v>
      </c>
      <c r="Q942" s="63">
        <v>60</v>
      </c>
      <c r="R942" s="55">
        <v>45</v>
      </c>
      <c r="S942" s="55">
        <v>30</v>
      </c>
      <c r="T942" s="55">
        <v>60</v>
      </c>
      <c r="U942" s="56">
        <v>60</v>
      </c>
      <c r="V942" s="53">
        <v>60</v>
      </c>
      <c r="W942" s="54">
        <v>37</v>
      </c>
      <c r="X942" s="55">
        <v>60</v>
      </c>
      <c r="Y942" s="56">
        <v>60</v>
      </c>
      <c r="Z942" s="53">
        <v>62</v>
      </c>
      <c r="AA942" s="54">
        <v>50</v>
      </c>
      <c r="AB942" s="55">
        <v>65</v>
      </c>
      <c r="AC942" s="4">
        <v>14</v>
      </c>
      <c r="AD942" s="53">
        <v>50</v>
      </c>
      <c r="AE942" s="54">
        <v>35</v>
      </c>
      <c r="AF942" s="55">
        <v>60</v>
      </c>
      <c r="AG942" s="56">
        <v>60</v>
      </c>
      <c r="AH942" s="53">
        <v>60</v>
      </c>
      <c r="AI942" s="54">
        <v>55</v>
      </c>
      <c r="AJ942" s="3"/>
      <c r="AK942" s="4"/>
      <c r="AL942" s="2"/>
      <c r="AM942" s="3"/>
      <c r="AN942" s="3"/>
      <c r="AO942" s="56"/>
      <c r="AP942" s="53"/>
      <c r="AQ942" s="54"/>
      <c r="AR942" s="55"/>
      <c r="AS942" s="56"/>
      <c r="AT942" s="53"/>
      <c r="AU942" s="54"/>
      <c r="AV942" s="55"/>
      <c r="AW942" s="56"/>
      <c r="AX942" s="33">
        <f>SUM(E942:AW942)</f>
        <v>1633</v>
      </c>
      <c r="AY942" s="31">
        <f>IFERROR(AVERAGEIF(E942:AW942,"&lt;&gt;0",(E942:AW942)),)</f>
        <v>52.677419354838712</v>
      </c>
      <c r="AZ942" s="30">
        <f>IFERROR(AY942/D942,0)</f>
        <v>0.75253456221198156</v>
      </c>
      <c r="BA942" s="103" t="s">
        <v>182</v>
      </c>
      <c r="BB942" s="100" t="s">
        <v>183</v>
      </c>
      <c r="BC942" s="100" t="s">
        <v>184</v>
      </c>
      <c r="BD942" s="101" t="s">
        <v>185</v>
      </c>
      <c r="BE942" s="100" t="s">
        <v>186</v>
      </c>
      <c r="BF942" s="102" t="s">
        <v>187</v>
      </c>
      <c r="BG942" s="100" t="s">
        <v>188</v>
      </c>
      <c r="BH942" s="102" t="s">
        <v>189</v>
      </c>
    </row>
    <row r="943" spans="1:60" s="17" customFormat="1" ht="19.5" customHeight="1" thickBot="1" x14ac:dyDescent="0.4">
      <c r="A943" s="41">
        <f>A942</f>
        <v>45442</v>
      </c>
      <c r="B943" s="37" t="str">
        <f t="shared" ref="B943:B948" si="865">B942</f>
        <v>Yaka Takma</v>
      </c>
      <c r="C943" s="65" t="str">
        <f t="shared" ref="C943:C948" si="866">C767</f>
        <v>AYŞENUR YETER</v>
      </c>
      <c r="D943" s="67">
        <f t="shared" ref="D943:D948" si="867">D942</f>
        <v>70</v>
      </c>
      <c r="E943" s="57"/>
      <c r="F943" s="52"/>
      <c r="G943" s="52"/>
      <c r="H943" s="58"/>
      <c r="I943" s="57"/>
      <c r="J943" s="52">
        <v>70</v>
      </c>
      <c r="K943" s="52">
        <v>70</v>
      </c>
      <c r="L943" s="58">
        <v>30</v>
      </c>
      <c r="M943" s="57">
        <v>65</v>
      </c>
      <c r="N943" s="52">
        <v>65</v>
      </c>
      <c r="O943" s="52">
        <v>70</v>
      </c>
      <c r="P943" s="58">
        <v>70</v>
      </c>
      <c r="Q943" s="57">
        <v>70</v>
      </c>
      <c r="R943" s="52">
        <v>60</v>
      </c>
      <c r="S943" s="52">
        <v>30</v>
      </c>
      <c r="T943" s="52">
        <v>60</v>
      </c>
      <c r="U943" s="58">
        <v>60</v>
      </c>
      <c r="V943" s="57">
        <v>20</v>
      </c>
      <c r="W943" s="52">
        <v>60</v>
      </c>
      <c r="X943" s="52">
        <v>0</v>
      </c>
      <c r="Y943" s="58">
        <v>70</v>
      </c>
      <c r="Z943" s="57">
        <v>70</v>
      </c>
      <c r="AA943" s="52">
        <v>70</v>
      </c>
      <c r="AB943" s="52">
        <v>70</v>
      </c>
      <c r="AC943" s="58">
        <v>35</v>
      </c>
      <c r="AD943" s="57">
        <v>70</v>
      </c>
      <c r="AE943" s="52">
        <v>30</v>
      </c>
      <c r="AF943" s="52">
        <v>65</v>
      </c>
      <c r="AG943" s="58">
        <v>65</v>
      </c>
      <c r="AH943" s="57">
        <v>65</v>
      </c>
      <c r="AI943" s="52">
        <v>30</v>
      </c>
      <c r="AJ943" s="52">
        <v>65</v>
      </c>
      <c r="AK943" s="58">
        <v>50</v>
      </c>
      <c r="AL943" s="57">
        <v>60</v>
      </c>
      <c r="AM943" s="52">
        <v>50</v>
      </c>
      <c r="AN943" s="52">
        <v>50</v>
      </c>
      <c r="AO943" s="58"/>
      <c r="AP943" s="57"/>
      <c r="AQ943" s="52"/>
      <c r="AR943" s="52"/>
      <c r="AS943" s="58"/>
      <c r="AT943" s="57"/>
      <c r="AU943" s="52"/>
      <c r="AV943" s="52"/>
      <c r="AW943" s="58"/>
      <c r="AX943" s="33">
        <f t="shared" ref="AX943:AX948" si="868">SUM(E943:AW943)</f>
        <v>1715</v>
      </c>
      <c r="AY943" s="31">
        <f t="shared" ref="AY943:AY948" si="869">IFERROR(AVERAGEIF(E943:AW943,"&lt;&gt;0",(E943:AW943)),)</f>
        <v>57.166666666666664</v>
      </c>
      <c r="AZ943" s="30">
        <f t="shared" ref="AZ943:AZ948" si="870">IFERROR(AY943/D943,0)</f>
        <v>0.81666666666666665</v>
      </c>
      <c r="BA943" s="94">
        <f>AX949+BA767</f>
        <v>11095</v>
      </c>
      <c r="BB943" s="95">
        <f>(D949*8)</f>
        <v>4000</v>
      </c>
      <c r="BC943" s="96">
        <f>C885-BA943</f>
        <v>31216</v>
      </c>
      <c r="BD943" s="96">
        <f>BA934-BA943</f>
        <v>234</v>
      </c>
      <c r="BE943" s="97">
        <f>IFERROR(BC943/E949,0)</f>
        <v>148.64761904761906</v>
      </c>
      <c r="BF943" s="98">
        <f>IFERROR(BE943/9,0)</f>
        <v>16.516402116402119</v>
      </c>
      <c r="BG943" s="97">
        <f>IFERROR(BC943/AY949,0)</f>
        <v>83.913978494623649</v>
      </c>
      <c r="BH943" s="97">
        <f>IFERROR(BG943/9,0)</f>
        <v>9.3237753882915158</v>
      </c>
    </row>
    <row r="944" spans="1:60" s="17" customFormat="1" ht="19.5" customHeight="1" x14ac:dyDescent="0.35">
      <c r="A944" s="41">
        <f>A943</f>
        <v>45442</v>
      </c>
      <c r="B944" s="37" t="str">
        <f t="shared" si="865"/>
        <v>Yaka Takma</v>
      </c>
      <c r="C944" s="65">
        <f t="shared" si="866"/>
        <v>0</v>
      </c>
      <c r="D944" s="67">
        <f t="shared" si="867"/>
        <v>70</v>
      </c>
      <c r="E944" s="57"/>
      <c r="F944" s="52"/>
      <c r="G944" s="52"/>
      <c r="H944" s="58"/>
      <c r="I944" s="57"/>
      <c r="J944" s="52"/>
      <c r="K944" s="52"/>
      <c r="L944" s="58"/>
      <c r="M944" s="57"/>
      <c r="N944" s="52"/>
      <c r="O944" s="52"/>
      <c r="P944" s="58"/>
      <c r="Q944" s="57"/>
      <c r="R944" s="52"/>
      <c r="S944" s="52"/>
      <c r="T944" s="52"/>
      <c r="U944" s="58"/>
      <c r="V944" s="57"/>
      <c r="W944" s="52"/>
      <c r="X944" s="52"/>
      <c r="Y944" s="58"/>
      <c r="Z944" s="57"/>
      <c r="AA944" s="52"/>
      <c r="AB944" s="52"/>
      <c r="AC944" s="58"/>
      <c r="AD944" s="57"/>
      <c r="AE944" s="52"/>
      <c r="AF944" s="52"/>
      <c r="AG944" s="58"/>
      <c r="AH944" s="57"/>
      <c r="AI944" s="52"/>
      <c r="AJ944" s="52"/>
      <c r="AK944" s="58"/>
      <c r="AL944" s="57"/>
      <c r="AM944" s="52"/>
      <c r="AN944" s="52"/>
      <c r="AO944" s="58"/>
      <c r="AP944" s="57"/>
      <c r="AQ944" s="52"/>
      <c r="AR944" s="52"/>
      <c r="AS944" s="58"/>
      <c r="AT944" s="57"/>
      <c r="AU944" s="52"/>
      <c r="AV944" s="52"/>
      <c r="AW944" s="58"/>
      <c r="AX944" s="33">
        <f t="shared" si="868"/>
        <v>0</v>
      </c>
      <c r="AY944" s="31">
        <f t="shared" si="869"/>
        <v>0</v>
      </c>
      <c r="AZ944" s="30">
        <f t="shared" si="870"/>
        <v>0</v>
      </c>
      <c r="BA944" s="34"/>
      <c r="BB944" s="34"/>
      <c r="BC944" s="34"/>
      <c r="BD944" s="76"/>
      <c r="BE944" s="34"/>
      <c r="BF944" s="34"/>
      <c r="BG944" s="34"/>
      <c r="BH944" s="34"/>
    </row>
    <row r="945" spans="1:60" s="17" customFormat="1" ht="19.5" customHeight="1" x14ac:dyDescent="0.35">
      <c r="A945" s="41">
        <f>A944</f>
        <v>45442</v>
      </c>
      <c r="B945" s="37" t="str">
        <f t="shared" si="865"/>
        <v>Yaka Takma</v>
      </c>
      <c r="C945" s="65">
        <f t="shared" si="866"/>
        <v>0</v>
      </c>
      <c r="D945" s="67">
        <f t="shared" si="867"/>
        <v>70</v>
      </c>
      <c r="E945" s="57"/>
      <c r="F945" s="52"/>
      <c r="G945" s="52"/>
      <c r="H945" s="58"/>
      <c r="I945" s="57"/>
      <c r="J945" s="52"/>
      <c r="K945" s="52"/>
      <c r="L945" s="58"/>
      <c r="M945" s="57"/>
      <c r="N945" s="52"/>
      <c r="O945" s="52"/>
      <c r="P945" s="58"/>
      <c r="Q945" s="57"/>
      <c r="R945" s="52"/>
      <c r="S945" s="52"/>
      <c r="T945" s="52"/>
      <c r="U945" s="58"/>
      <c r="V945" s="57"/>
      <c r="W945" s="52"/>
      <c r="X945" s="52"/>
      <c r="Y945" s="58"/>
      <c r="Z945" s="57"/>
      <c r="AA945" s="52"/>
      <c r="AB945" s="52"/>
      <c r="AC945" s="58"/>
      <c r="AD945" s="57"/>
      <c r="AE945" s="52"/>
      <c r="AF945" s="52"/>
      <c r="AG945" s="58"/>
      <c r="AH945" s="57"/>
      <c r="AI945" s="52"/>
      <c r="AJ945" s="52"/>
      <c r="AK945" s="58"/>
      <c r="AL945" s="57"/>
      <c r="AM945" s="52"/>
      <c r="AN945" s="52"/>
      <c r="AO945" s="58"/>
      <c r="AP945" s="57"/>
      <c r="AQ945" s="52"/>
      <c r="AR945" s="52"/>
      <c r="AS945" s="58"/>
      <c r="AT945" s="57"/>
      <c r="AU945" s="52"/>
      <c r="AV945" s="52"/>
      <c r="AW945" s="58"/>
      <c r="AX945" s="33">
        <f t="shared" si="868"/>
        <v>0</v>
      </c>
      <c r="AY945" s="31">
        <f t="shared" si="869"/>
        <v>0</v>
      </c>
      <c r="AZ945" s="30">
        <f t="shared" si="870"/>
        <v>0</v>
      </c>
      <c r="BA945" s="34"/>
      <c r="BB945" s="34"/>
      <c r="BC945" s="34"/>
      <c r="BD945" s="76"/>
      <c r="BE945" s="34"/>
      <c r="BF945" s="34"/>
      <c r="BG945" s="34"/>
      <c r="BH945" s="34"/>
    </row>
    <row r="946" spans="1:60" s="17" customFormat="1" ht="19.5" customHeight="1" x14ac:dyDescent="0.35">
      <c r="A946" s="41">
        <f>A943</f>
        <v>45442</v>
      </c>
      <c r="B946" s="37" t="str">
        <f t="shared" si="865"/>
        <v>Yaka Takma</v>
      </c>
      <c r="C946" s="65">
        <f t="shared" si="866"/>
        <v>0</v>
      </c>
      <c r="D946" s="67">
        <f t="shared" si="867"/>
        <v>70</v>
      </c>
      <c r="E946" s="57"/>
      <c r="F946" s="52"/>
      <c r="G946" s="52"/>
      <c r="H946" s="58"/>
      <c r="I946" s="57"/>
      <c r="J946" s="52"/>
      <c r="K946" s="52"/>
      <c r="L946" s="58"/>
      <c r="M946" s="57"/>
      <c r="N946" s="52"/>
      <c r="O946" s="52"/>
      <c r="P946" s="58"/>
      <c r="Q946" s="57"/>
      <c r="R946" s="52"/>
      <c r="S946" s="52"/>
      <c r="T946" s="52"/>
      <c r="U946" s="58"/>
      <c r="V946" s="57"/>
      <c r="W946" s="52"/>
      <c r="X946" s="52"/>
      <c r="Y946" s="58"/>
      <c r="Z946" s="57"/>
      <c r="AA946" s="52"/>
      <c r="AB946" s="52"/>
      <c r="AC946" s="58"/>
      <c r="AD946" s="57"/>
      <c r="AE946" s="52"/>
      <c r="AF946" s="52"/>
      <c r="AG946" s="58"/>
      <c r="AH946" s="57"/>
      <c r="AI946" s="52"/>
      <c r="AJ946" s="52"/>
      <c r="AK946" s="58"/>
      <c r="AL946" s="57"/>
      <c r="AM946" s="52"/>
      <c r="AN946" s="52"/>
      <c r="AO946" s="58"/>
      <c r="AP946" s="57"/>
      <c r="AQ946" s="52"/>
      <c r="AR946" s="52"/>
      <c r="AS946" s="58"/>
      <c r="AT946" s="57"/>
      <c r="AU946" s="52"/>
      <c r="AV946" s="52"/>
      <c r="AW946" s="58"/>
      <c r="AX946" s="33">
        <f t="shared" si="868"/>
        <v>0</v>
      </c>
      <c r="AY946" s="31">
        <f t="shared" si="869"/>
        <v>0</v>
      </c>
      <c r="AZ946" s="30">
        <f t="shared" si="870"/>
        <v>0</v>
      </c>
      <c r="BA946" s="34"/>
      <c r="BB946" s="34"/>
      <c r="BC946" s="34"/>
      <c r="BD946" s="76"/>
      <c r="BE946" s="34"/>
      <c r="BF946" s="34"/>
      <c r="BG946" s="34"/>
      <c r="BH946" s="34"/>
    </row>
    <row r="947" spans="1:60" s="17" customFormat="1" ht="19.5" customHeight="1" x14ac:dyDescent="0.35">
      <c r="A947" s="41">
        <f t="shared" ref="A947:A951" si="871">A946</f>
        <v>45442</v>
      </c>
      <c r="B947" s="37" t="str">
        <f t="shared" si="865"/>
        <v>Yaka Takma</v>
      </c>
      <c r="C947" s="65">
        <f t="shared" si="866"/>
        <v>0</v>
      </c>
      <c r="D947" s="67">
        <f t="shared" si="867"/>
        <v>70</v>
      </c>
      <c r="E947" s="57"/>
      <c r="F947" s="52"/>
      <c r="G947" s="52"/>
      <c r="H947" s="58"/>
      <c r="I947" s="57"/>
      <c r="J947" s="52"/>
      <c r="K947" s="52"/>
      <c r="L947" s="58"/>
      <c r="M947" s="57"/>
      <c r="N947" s="52"/>
      <c r="O947" s="52"/>
      <c r="P947" s="58"/>
      <c r="Q947" s="57"/>
      <c r="R947" s="52"/>
      <c r="S947" s="52"/>
      <c r="T947" s="52"/>
      <c r="U947" s="58"/>
      <c r="V947" s="57"/>
      <c r="W947" s="52"/>
      <c r="X947" s="52"/>
      <c r="Y947" s="58"/>
      <c r="Z947" s="57"/>
      <c r="AA947" s="52"/>
      <c r="AB947" s="52"/>
      <c r="AC947" s="58"/>
      <c r="AD947" s="57"/>
      <c r="AE947" s="52"/>
      <c r="AF947" s="52"/>
      <c r="AG947" s="58"/>
      <c r="AH947" s="57"/>
      <c r="AI947" s="52"/>
      <c r="AJ947" s="52"/>
      <c r="AK947" s="58"/>
      <c r="AL947" s="57"/>
      <c r="AM947" s="52"/>
      <c r="AN947" s="52"/>
      <c r="AO947" s="58"/>
      <c r="AP947" s="57"/>
      <c r="AQ947" s="52"/>
      <c r="AR947" s="52"/>
      <c r="AS947" s="58"/>
      <c r="AT947" s="57"/>
      <c r="AU947" s="52"/>
      <c r="AV947" s="52"/>
      <c r="AW947" s="58"/>
      <c r="AX947" s="33">
        <f t="shared" si="868"/>
        <v>0</v>
      </c>
      <c r="AY947" s="31">
        <f t="shared" si="869"/>
        <v>0</v>
      </c>
      <c r="AZ947" s="30">
        <f t="shared" si="870"/>
        <v>0</v>
      </c>
      <c r="BA947" s="34"/>
      <c r="BB947" s="34"/>
      <c r="BC947" s="34"/>
      <c r="BD947" s="76"/>
      <c r="BE947" s="34"/>
      <c r="BF947" s="34"/>
      <c r="BG947" s="34"/>
      <c r="BH947" s="34"/>
    </row>
    <row r="948" spans="1:60" s="17" customFormat="1" ht="19.5" customHeight="1" thickBot="1" x14ac:dyDescent="0.4">
      <c r="A948" s="41">
        <f t="shared" si="871"/>
        <v>45442</v>
      </c>
      <c r="B948" s="37" t="str">
        <f t="shared" si="865"/>
        <v>Yaka Takma</v>
      </c>
      <c r="C948" s="65">
        <f t="shared" si="866"/>
        <v>0</v>
      </c>
      <c r="D948" s="67">
        <f t="shared" si="867"/>
        <v>70</v>
      </c>
      <c r="E948" s="59"/>
      <c r="F948" s="60"/>
      <c r="G948" s="61"/>
      <c r="H948" s="62"/>
      <c r="I948" s="59"/>
      <c r="J948" s="60"/>
      <c r="K948" s="61"/>
      <c r="L948" s="62"/>
      <c r="M948" s="59"/>
      <c r="N948" s="60"/>
      <c r="O948" s="61"/>
      <c r="P948" s="62"/>
      <c r="Q948" s="64"/>
      <c r="R948" s="61"/>
      <c r="S948" s="61"/>
      <c r="T948" s="61"/>
      <c r="U948" s="62"/>
      <c r="V948" s="59"/>
      <c r="W948" s="60"/>
      <c r="X948" s="61"/>
      <c r="Y948" s="62"/>
      <c r="Z948" s="59"/>
      <c r="AA948" s="60"/>
      <c r="AB948" s="61"/>
      <c r="AC948" s="62"/>
      <c r="AD948" s="59"/>
      <c r="AE948" s="60"/>
      <c r="AF948" s="61"/>
      <c r="AG948" s="62"/>
      <c r="AH948" s="59"/>
      <c r="AI948" s="60"/>
      <c r="AJ948" s="61"/>
      <c r="AK948" s="62"/>
      <c r="AL948" s="59"/>
      <c r="AM948" s="60"/>
      <c r="AN948" s="61"/>
      <c r="AO948" s="62"/>
      <c r="AP948" s="59"/>
      <c r="AQ948" s="60"/>
      <c r="AR948" s="61"/>
      <c r="AS948" s="62"/>
      <c r="AT948" s="59"/>
      <c r="AU948" s="60"/>
      <c r="AV948" s="61"/>
      <c r="AW948" s="62"/>
      <c r="AX948" s="33">
        <f t="shared" si="868"/>
        <v>0</v>
      </c>
      <c r="AY948" s="31">
        <f t="shared" si="869"/>
        <v>0</v>
      </c>
      <c r="AZ948" s="30">
        <f t="shared" si="870"/>
        <v>0</v>
      </c>
      <c r="BA948" s="34"/>
      <c r="BB948" s="34"/>
      <c r="BC948" s="34"/>
      <c r="BD948" s="76"/>
      <c r="BE948" s="34"/>
      <c r="BF948" s="34"/>
      <c r="BG948" s="34"/>
      <c r="BH948" s="34"/>
    </row>
    <row r="949" spans="1:60" s="17" customFormat="1" ht="19.5" customHeight="1" thickBot="1" x14ac:dyDescent="0.45">
      <c r="A949" s="41">
        <f t="shared" si="871"/>
        <v>45442</v>
      </c>
      <c r="B949" s="139" t="str">
        <f>B942</f>
        <v>Yaka Takma</v>
      </c>
      <c r="C949" s="140"/>
      <c r="D949" s="40">
        <f>C886/8</f>
        <v>500</v>
      </c>
      <c r="E949" s="147">
        <f>SUM(E942:H948)</f>
        <v>210</v>
      </c>
      <c r="F949" s="148"/>
      <c r="G949" s="148"/>
      <c r="H949" s="149"/>
      <c r="I949" s="147">
        <f>SUM(I942:L948)</f>
        <v>375</v>
      </c>
      <c r="J949" s="148"/>
      <c r="K949" s="148"/>
      <c r="L949" s="149"/>
      <c r="M949" s="147">
        <f>SUM(M942:P948)</f>
        <v>505</v>
      </c>
      <c r="N949" s="148"/>
      <c r="O949" s="148"/>
      <c r="P949" s="149"/>
      <c r="Q949" s="147">
        <f>SUM(Q942:U948)</f>
        <v>535</v>
      </c>
      <c r="R949" s="148"/>
      <c r="S949" s="148"/>
      <c r="T949" s="148"/>
      <c r="U949" s="149"/>
      <c r="V949" s="147">
        <f>SUM(V942:Y948)</f>
        <v>367</v>
      </c>
      <c r="W949" s="148"/>
      <c r="X949" s="148"/>
      <c r="Y949" s="149"/>
      <c r="Z949" s="147">
        <f>SUM(Z942:AC948)</f>
        <v>436</v>
      </c>
      <c r="AA949" s="148"/>
      <c r="AB949" s="148"/>
      <c r="AC949" s="149"/>
      <c r="AD949" s="147">
        <f>SUM(AD942:AG948)</f>
        <v>435</v>
      </c>
      <c r="AE949" s="148"/>
      <c r="AF949" s="148"/>
      <c r="AG949" s="149"/>
      <c r="AH949" s="147">
        <f>SUM(AH942:AK948)</f>
        <v>325</v>
      </c>
      <c r="AI949" s="148"/>
      <c r="AJ949" s="148"/>
      <c r="AK949" s="149"/>
      <c r="AL949" s="147">
        <f>SUM(AL942:AO948)</f>
        <v>160</v>
      </c>
      <c r="AM949" s="148"/>
      <c r="AN949" s="148"/>
      <c r="AO949" s="149"/>
      <c r="AP949" s="147">
        <f>SUM(AP942:AS948)</f>
        <v>0</v>
      </c>
      <c r="AQ949" s="148"/>
      <c r="AR949" s="148"/>
      <c r="AS949" s="149"/>
      <c r="AT949" s="147">
        <f>SUM(AT942:AW948)</f>
        <v>0</v>
      </c>
      <c r="AU949" s="148"/>
      <c r="AV949" s="148"/>
      <c r="AW949" s="149"/>
      <c r="AX949" s="87">
        <f>SUM(AX942:AX948)</f>
        <v>3348</v>
      </c>
      <c r="AY949" s="88">
        <f>IFERROR(AVERAGEIF(E949:AV949,"&lt;&gt;0",(E949:AV949)),)</f>
        <v>372</v>
      </c>
      <c r="AZ949" s="46">
        <f>IFERROR(AX949/BB943,0)</f>
        <v>0.83699999999999997</v>
      </c>
      <c r="BA949" s="34"/>
      <c r="BB949" s="34"/>
      <c r="BC949" s="34"/>
      <c r="BD949" s="76"/>
      <c r="BE949" s="34"/>
      <c r="BF949" s="34"/>
      <c r="BG949" s="34"/>
      <c r="BH949" s="34"/>
    </row>
    <row r="950" spans="1:60" s="17" customFormat="1" ht="19.5" customHeight="1" thickBot="1" x14ac:dyDescent="0.4">
      <c r="A950" s="42">
        <f t="shared" si="871"/>
        <v>45442</v>
      </c>
      <c r="B950" s="38" t="str">
        <f>B951</f>
        <v>Ense Biye</v>
      </c>
      <c r="C950" s="39" t="s">
        <v>180</v>
      </c>
      <c r="D950" s="69" t="s">
        <v>181</v>
      </c>
      <c r="E950" s="48">
        <v>0.34375</v>
      </c>
      <c r="F950" s="49">
        <v>0.35416666666666669</v>
      </c>
      <c r="G950" s="49">
        <v>0.36458333333333331</v>
      </c>
      <c r="H950" s="50">
        <v>0.375</v>
      </c>
      <c r="I950" s="48">
        <v>0.38541666666666702</v>
      </c>
      <c r="J950" s="49">
        <v>0.39583333333333298</v>
      </c>
      <c r="K950" s="49">
        <v>0.40625</v>
      </c>
      <c r="L950" s="50">
        <v>0.41666666666666702</v>
      </c>
      <c r="M950" s="48">
        <v>0.4375</v>
      </c>
      <c r="N950" s="49">
        <v>0.44791666666666702</v>
      </c>
      <c r="O950" s="49">
        <v>0.45833333333333398</v>
      </c>
      <c r="P950" s="50">
        <v>0.46875</v>
      </c>
      <c r="Q950" s="48">
        <v>0.47916666666666702</v>
      </c>
      <c r="R950" s="49">
        <v>0.48958333333333398</v>
      </c>
      <c r="S950" s="49">
        <v>0.5</v>
      </c>
      <c r="T950" s="50">
        <v>0.51041666666666696</v>
      </c>
      <c r="U950" s="51">
        <v>0.52083333333333204</v>
      </c>
      <c r="V950" s="48">
        <v>0.5625</v>
      </c>
      <c r="W950" s="49">
        <v>0.57291666666666663</v>
      </c>
      <c r="X950" s="49">
        <v>0.58333333333333304</v>
      </c>
      <c r="Y950" s="50">
        <v>0.59375</v>
      </c>
      <c r="Z950" s="48">
        <v>0.60416666666666696</v>
      </c>
      <c r="AA950" s="49">
        <v>0.61458333333333304</v>
      </c>
      <c r="AB950" s="49">
        <v>0.625</v>
      </c>
      <c r="AC950" s="50">
        <v>0.63541666666666596</v>
      </c>
      <c r="AD950" s="48">
        <v>0.65625</v>
      </c>
      <c r="AE950" s="49">
        <v>0.66666666666666663</v>
      </c>
      <c r="AF950" s="49">
        <v>0.67708333333333304</v>
      </c>
      <c r="AG950" s="50">
        <v>0.6875</v>
      </c>
      <c r="AH950" s="48">
        <v>0.69791666666666696</v>
      </c>
      <c r="AI950" s="49">
        <v>0.70833333333333304</v>
      </c>
      <c r="AJ950" s="49">
        <v>0.71875</v>
      </c>
      <c r="AK950" s="50">
        <v>0.72916666666666696</v>
      </c>
      <c r="AL950" s="48">
        <v>0.73958333333333404</v>
      </c>
      <c r="AM950" s="49">
        <v>0.750000000000001</v>
      </c>
      <c r="AN950" s="49">
        <v>0.76041666666666796</v>
      </c>
      <c r="AO950" s="50">
        <v>0.77083333333333504</v>
      </c>
      <c r="AP950" s="48">
        <v>0.781250000000002</v>
      </c>
      <c r="AQ950" s="49">
        <v>0.79166666666666896</v>
      </c>
      <c r="AR950" s="49">
        <v>0.80208333333333603</v>
      </c>
      <c r="AS950" s="50">
        <v>0.812500000000003</v>
      </c>
      <c r="AT950" s="48">
        <v>0.82291666666666996</v>
      </c>
      <c r="AU950" s="49">
        <v>0.83333333333333703</v>
      </c>
      <c r="AV950" s="49">
        <v>0.843750000000004</v>
      </c>
      <c r="AW950" s="50">
        <v>0.85416666666666663</v>
      </c>
      <c r="AX950" s="68" t="s">
        <v>260</v>
      </c>
      <c r="AY950" s="28" t="s">
        <v>261</v>
      </c>
      <c r="AZ950" s="29" t="s">
        <v>262</v>
      </c>
      <c r="BA950" s="136" t="str">
        <f>B951</f>
        <v>Ense Biye</v>
      </c>
      <c r="BB950" s="137"/>
      <c r="BC950" s="137"/>
      <c r="BD950" s="137"/>
      <c r="BE950" s="137"/>
      <c r="BF950" s="137"/>
      <c r="BG950" s="137"/>
      <c r="BH950" s="138"/>
    </row>
    <row r="951" spans="1:60" s="17" customFormat="1" ht="19.5" customHeight="1" thickBot="1" x14ac:dyDescent="0.4">
      <c r="A951" s="41">
        <f t="shared" si="871"/>
        <v>45442</v>
      </c>
      <c r="B951" s="37" t="str">
        <f>B775</f>
        <v>Ense Biye</v>
      </c>
      <c r="C951" s="65" t="s">
        <v>102</v>
      </c>
      <c r="D951" s="70">
        <f>D775</f>
        <v>100</v>
      </c>
      <c r="E951" s="63">
        <v>20</v>
      </c>
      <c r="F951" s="55">
        <v>95</v>
      </c>
      <c r="G951" s="55">
        <v>0</v>
      </c>
      <c r="H951" s="56">
        <v>50</v>
      </c>
      <c r="I951" s="63">
        <v>85</v>
      </c>
      <c r="J951" s="55">
        <v>75</v>
      </c>
      <c r="K951" s="55">
        <v>90</v>
      </c>
      <c r="L951" s="56">
        <v>95</v>
      </c>
      <c r="M951" s="63">
        <v>95</v>
      </c>
      <c r="N951" s="55">
        <v>80</v>
      </c>
      <c r="O951" s="55">
        <v>100</v>
      </c>
      <c r="P951" s="56">
        <v>100</v>
      </c>
      <c r="Q951" s="63">
        <v>100</v>
      </c>
      <c r="R951" s="55">
        <v>90</v>
      </c>
      <c r="S951" s="55">
        <v>100</v>
      </c>
      <c r="T951" s="55">
        <v>90</v>
      </c>
      <c r="U951" s="56">
        <v>95</v>
      </c>
      <c r="V951" s="63">
        <v>105</v>
      </c>
      <c r="W951" s="55">
        <v>105</v>
      </c>
      <c r="X951" s="55">
        <v>95</v>
      </c>
      <c r="Y951" s="56">
        <v>100</v>
      </c>
      <c r="Z951" s="63">
        <v>100</v>
      </c>
      <c r="AA951" s="55">
        <v>95</v>
      </c>
      <c r="AB951" s="55">
        <v>100</v>
      </c>
      <c r="AC951" s="4">
        <v>80</v>
      </c>
      <c r="AD951" s="63">
        <v>100</v>
      </c>
      <c r="AE951" s="55">
        <v>60</v>
      </c>
      <c r="AF951" s="55">
        <v>100</v>
      </c>
      <c r="AG951" s="56">
        <v>100</v>
      </c>
      <c r="AH951" s="63">
        <v>100</v>
      </c>
      <c r="AI951" s="55">
        <v>0</v>
      </c>
      <c r="AJ951" s="55">
        <v>100</v>
      </c>
      <c r="AK951" s="56">
        <v>100</v>
      </c>
      <c r="AL951" s="63">
        <v>100</v>
      </c>
      <c r="AM951" s="55">
        <v>80</v>
      </c>
      <c r="AN951" s="55">
        <v>70</v>
      </c>
      <c r="AO951" s="56"/>
      <c r="AP951" s="53"/>
      <c r="AQ951" s="54"/>
      <c r="AR951" s="55"/>
      <c r="AS951" s="56"/>
      <c r="AT951" s="53"/>
      <c r="AU951" s="54"/>
      <c r="AV951" s="55"/>
      <c r="AW951" s="56"/>
      <c r="AX951" s="33">
        <f>SUM(E951:AW951)</f>
        <v>3050</v>
      </c>
      <c r="AY951" s="31">
        <f>IFERROR(AVERAGEIF(E951:AW951,"&lt;&gt;0",(E951:AW951)),)</f>
        <v>89.705882352941174</v>
      </c>
      <c r="AZ951" s="30">
        <f>IFERROR(AY951/D951,0)</f>
        <v>0.89705882352941169</v>
      </c>
      <c r="BA951" s="103" t="s">
        <v>182</v>
      </c>
      <c r="BB951" s="100" t="s">
        <v>183</v>
      </c>
      <c r="BC951" s="100" t="s">
        <v>184</v>
      </c>
      <c r="BD951" s="101" t="s">
        <v>185</v>
      </c>
      <c r="BE951" s="100" t="s">
        <v>186</v>
      </c>
      <c r="BF951" s="102" t="s">
        <v>187</v>
      </c>
      <c r="BG951" s="100" t="s">
        <v>188</v>
      </c>
      <c r="BH951" s="102" t="s">
        <v>189</v>
      </c>
    </row>
    <row r="952" spans="1:60" s="17" customFormat="1" ht="19.5" customHeight="1" thickBot="1" x14ac:dyDescent="0.4">
      <c r="A952" s="41">
        <f t="shared" ref="A952:B952" si="872">A951</f>
        <v>45442</v>
      </c>
      <c r="B952" s="37" t="str">
        <f t="shared" si="872"/>
        <v>Ense Biye</v>
      </c>
      <c r="C952" s="65" t="s">
        <v>264</v>
      </c>
      <c r="D952" s="67">
        <f t="shared" ref="D952:D957" si="873">D951</f>
        <v>100</v>
      </c>
      <c r="E952" s="57"/>
      <c r="F952" s="52"/>
      <c r="G952" s="52"/>
      <c r="H952" s="58"/>
      <c r="I952" s="57"/>
      <c r="J952" s="52"/>
      <c r="K952" s="52"/>
      <c r="L952" s="58"/>
      <c r="M952" s="57"/>
      <c r="N952" s="52"/>
      <c r="O952" s="52"/>
      <c r="P952" s="58"/>
      <c r="Q952" s="57"/>
      <c r="R952" s="52">
        <v>35</v>
      </c>
      <c r="S952" s="52">
        <v>40</v>
      </c>
      <c r="T952" s="52">
        <v>70</v>
      </c>
      <c r="U952" s="58">
        <v>80</v>
      </c>
      <c r="V952" s="57">
        <v>0</v>
      </c>
      <c r="W952" s="52">
        <v>0</v>
      </c>
      <c r="X952" s="52">
        <v>100</v>
      </c>
      <c r="Y952" s="58">
        <v>70</v>
      </c>
      <c r="Z952" s="57">
        <v>115</v>
      </c>
      <c r="AA952" s="52"/>
      <c r="AB952" s="52"/>
      <c r="AC952" s="58">
        <v>0</v>
      </c>
      <c r="AD952" s="57"/>
      <c r="AE952" s="52"/>
      <c r="AF952" s="52"/>
      <c r="AG952" s="58"/>
      <c r="AH952" s="57"/>
      <c r="AI952" s="52"/>
      <c r="AJ952" s="52"/>
      <c r="AK952" s="58"/>
      <c r="AL952" s="57"/>
      <c r="AM952" s="52"/>
      <c r="AN952" s="52">
        <v>0</v>
      </c>
      <c r="AO952" s="58"/>
      <c r="AP952" s="57"/>
      <c r="AQ952" s="52"/>
      <c r="AR952" s="52"/>
      <c r="AS952" s="58"/>
      <c r="AT952" s="57"/>
      <c r="AU952" s="52"/>
      <c r="AV952" s="52"/>
      <c r="AW952" s="58"/>
      <c r="AX952" s="33">
        <f t="shared" ref="AX952:AX957" si="874">SUM(E952:AW952)</f>
        <v>510</v>
      </c>
      <c r="AY952" s="31">
        <f t="shared" ref="AY952:AY957" si="875">IFERROR(AVERAGEIF(E952:AW952,"&lt;&gt;0",(E952:AW952)),)</f>
        <v>72.857142857142861</v>
      </c>
      <c r="AZ952" s="30">
        <f t="shared" ref="AZ952:AZ957" si="876">IFERROR(AY952/D952,0)</f>
        <v>0.72857142857142865</v>
      </c>
      <c r="BA952" s="94">
        <f>AX958+BA776</f>
        <v>11003</v>
      </c>
      <c r="BB952" s="95">
        <f>(D958*8)</f>
        <v>4000</v>
      </c>
      <c r="BC952" s="96">
        <f>C885-BA952</f>
        <v>31308</v>
      </c>
      <c r="BD952" s="96">
        <f>BA943-BA952</f>
        <v>92</v>
      </c>
      <c r="BE952" s="97">
        <f>IFERROR(BC952/E958,0)</f>
        <v>189.74545454545455</v>
      </c>
      <c r="BF952" s="98">
        <f>IFERROR(BE952/9,0)</f>
        <v>21.082828282828284</v>
      </c>
      <c r="BG952" s="97">
        <f>IFERROR(BC952/AY958,0)</f>
        <v>79.149438202247197</v>
      </c>
      <c r="BH952" s="97">
        <f>IFERROR(BG952/9,0)</f>
        <v>8.7943820224719111</v>
      </c>
    </row>
    <row r="953" spans="1:60" s="17" customFormat="1" ht="19.5" customHeight="1" x14ac:dyDescent="0.35">
      <c r="A953" s="41">
        <f t="shared" ref="A953:B953" si="877">A952</f>
        <v>45442</v>
      </c>
      <c r="B953" s="37" t="str">
        <f t="shared" si="877"/>
        <v>Ense Biye</v>
      </c>
      <c r="C953" s="65">
        <f t="shared" ref="C953:C957" si="878">C777</f>
        <v>0</v>
      </c>
      <c r="D953" s="67">
        <f t="shared" si="873"/>
        <v>100</v>
      </c>
      <c r="E953" s="57"/>
      <c r="F953" s="52"/>
      <c r="G953" s="52"/>
      <c r="H953" s="58"/>
      <c r="I953" s="57"/>
      <c r="J953" s="52"/>
      <c r="K953" s="52"/>
      <c r="L953" s="58"/>
      <c r="M953" s="57"/>
      <c r="N953" s="52"/>
      <c r="O953" s="52"/>
      <c r="P953" s="58"/>
      <c r="Q953" s="57"/>
      <c r="R953" s="52"/>
      <c r="S953" s="52"/>
      <c r="T953" s="52"/>
      <c r="U953" s="58"/>
      <c r="V953" s="57"/>
      <c r="W953" s="52"/>
      <c r="X953" s="52"/>
      <c r="Y953" s="58"/>
      <c r="Z953" s="57"/>
      <c r="AA953" s="52"/>
      <c r="AB953" s="52"/>
      <c r="AC953" s="58"/>
      <c r="AD953" s="57"/>
      <c r="AE953" s="52"/>
      <c r="AF953" s="52"/>
      <c r="AG953" s="58"/>
      <c r="AH953" s="57"/>
      <c r="AI953" s="52"/>
      <c r="AJ953" s="52"/>
      <c r="AK953" s="58"/>
      <c r="AL953" s="57"/>
      <c r="AM953" s="52"/>
      <c r="AN953" s="52"/>
      <c r="AO953" s="58"/>
      <c r="AP953" s="57"/>
      <c r="AQ953" s="52"/>
      <c r="AR953" s="52"/>
      <c r="AS953" s="58"/>
      <c r="AT953" s="57"/>
      <c r="AU953" s="52"/>
      <c r="AV953" s="52"/>
      <c r="AW953" s="58"/>
      <c r="AX953" s="33">
        <f t="shared" si="874"/>
        <v>0</v>
      </c>
      <c r="AY953" s="31">
        <f t="shared" si="875"/>
        <v>0</v>
      </c>
      <c r="AZ953" s="30">
        <f t="shared" si="876"/>
        <v>0</v>
      </c>
      <c r="BA953" s="34"/>
      <c r="BB953" s="34"/>
      <c r="BC953" s="34"/>
      <c r="BD953" s="76"/>
      <c r="BE953" s="34"/>
      <c r="BF953" s="34"/>
      <c r="BG953" s="34"/>
      <c r="BH953" s="34"/>
    </row>
    <row r="954" spans="1:60" s="17" customFormat="1" ht="19.5" customHeight="1" x14ac:dyDescent="0.35">
      <c r="A954" s="41">
        <f t="shared" ref="A954:B954" si="879">A953</f>
        <v>45442</v>
      </c>
      <c r="B954" s="37" t="str">
        <f t="shared" si="879"/>
        <v>Ense Biye</v>
      </c>
      <c r="C954" s="65">
        <f t="shared" si="878"/>
        <v>0</v>
      </c>
      <c r="D954" s="67">
        <f t="shared" si="873"/>
        <v>100</v>
      </c>
      <c r="E954" s="57"/>
      <c r="F954" s="52"/>
      <c r="G954" s="52"/>
      <c r="H954" s="58"/>
      <c r="I954" s="57"/>
      <c r="J954" s="52"/>
      <c r="K954" s="52"/>
      <c r="L954" s="58"/>
      <c r="M954" s="57"/>
      <c r="N954" s="52"/>
      <c r="O954" s="52"/>
      <c r="P954" s="58"/>
      <c r="Q954" s="57"/>
      <c r="R954" s="52"/>
      <c r="S954" s="52"/>
      <c r="T954" s="52"/>
      <c r="U954" s="58"/>
      <c r="V954" s="57"/>
      <c r="W954" s="52"/>
      <c r="X954" s="52"/>
      <c r="Y954" s="58"/>
      <c r="Z954" s="57"/>
      <c r="AA954" s="52"/>
      <c r="AB954" s="52"/>
      <c r="AC954" s="58"/>
      <c r="AD954" s="57"/>
      <c r="AE954" s="52"/>
      <c r="AF954" s="52"/>
      <c r="AG954" s="58"/>
      <c r="AH954" s="57"/>
      <c r="AI954" s="52"/>
      <c r="AJ954" s="52"/>
      <c r="AK954" s="58"/>
      <c r="AL954" s="57"/>
      <c r="AM954" s="52"/>
      <c r="AN954" s="52"/>
      <c r="AO954" s="58"/>
      <c r="AP954" s="57"/>
      <c r="AQ954" s="52"/>
      <c r="AR954" s="52"/>
      <c r="AS954" s="58"/>
      <c r="AT954" s="57"/>
      <c r="AU954" s="52"/>
      <c r="AV954" s="52"/>
      <c r="AW954" s="58"/>
      <c r="AX954" s="33">
        <f t="shared" si="874"/>
        <v>0</v>
      </c>
      <c r="AY954" s="31">
        <f t="shared" si="875"/>
        <v>0</v>
      </c>
      <c r="AZ954" s="30">
        <f t="shared" si="876"/>
        <v>0</v>
      </c>
      <c r="BA954" s="34"/>
      <c r="BB954" s="34"/>
      <c r="BC954" s="34"/>
      <c r="BD954" s="76"/>
      <c r="BE954" s="34"/>
      <c r="BF954" s="34"/>
      <c r="BG954" s="34"/>
      <c r="BH954" s="34"/>
    </row>
    <row r="955" spans="1:60" s="17" customFormat="1" ht="19.5" customHeight="1" x14ac:dyDescent="0.35">
      <c r="A955" s="41">
        <f>A952</f>
        <v>45442</v>
      </c>
      <c r="B955" s="37" t="str">
        <f t="shared" ref="B955" si="880">B954</f>
        <v>Ense Biye</v>
      </c>
      <c r="C955" s="65">
        <f t="shared" si="878"/>
        <v>0</v>
      </c>
      <c r="D955" s="67">
        <f t="shared" si="873"/>
        <v>100</v>
      </c>
      <c r="E955" s="57"/>
      <c r="F955" s="52"/>
      <c r="G955" s="52"/>
      <c r="H955" s="58"/>
      <c r="I955" s="57"/>
      <c r="J955" s="52"/>
      <c r="K955" s="52"/>
      <c r="L955" s="58"/>
      <c r="M955" s="57"/>
      <c r="N955" s="52"/>
      <c r="O955" s="52"/>
      <c r="P955" s="58"/>
      <c r="Q955" s="57"/>
      <c r="R955" s="52"/>
      <c r="S955" s="52"/>
      <c r="T955" s="52"/>
      <c r="U955" s="58"/>
      <c r="V955" s="57"/>
      <c r="W955" s="52"/>
      <c r="X955" s="52"/>
      <c r="Y955" s="58"/>
      <c r="Z955" s="57"/>
      <c r="AA955" s="52"/>
      <c r="AB955" s="52"/>
      <c r="AC955" s="58"/>
      <c r="AD955" s="57"/>
      <c r="AE955" s="52"/>
      <c r="AF955" s="52"/>
      <c r="AG955" s="58"/>
      <c r="AH955" s="57"/>
      <c r="AI955" s="52"/>
      <c r="AJ955" s="52"/>
      <c r="AK955" s="58"/>
      <c r="AL955" s="57"/>
      <c r="AM955" s="52"/>
      <c r="AN955" s="52"/>
      <c r="AO955" s="58"/>
      <c r="AP955" s="57"/>
      <c r="AQ955" s="52"/>
      <c r="AR955" s="52"/>
      <c r="AS955" s="58"/>
      <c r="AT955" s="57"/>
      <c r="AU955" s="52"/>
      <c r="AV955" s="52"/>
      <c r="AW955" s="58"/>
      <c r="AX955" s="33">
        <f t="shared" si="874"/>
        <v>0</v>
      </c>
      <c r="AY955" s="31">
        <f t="shared" si="875"/>
        <v>0</v>
      </c>
      <c r="AZ955" s="30">
        <f t="shared" si="876"/>
        <v>0</v>
      </c>
      <c r="BA955" s="34"/>
      <c r="BB955" s="34"/>
      <c r="BC955" s="34"/>
      <c r="BD955" s="76"/>
      <c r="BE955" s="34"/>
      <c r="BF955" s="34"/>
      <c r="BG955" s="34"/>
      <c r="BH955" s="34"/>
    </row>
    <row r="956" spans="1:60" s="17" customFormat="1" ht="19.5" customHeight="1" x14ac:dyDescent="0.35">
      <c r="A956" s="41">
        <f>A955</f>
        <v>45442</v>
      </c>
      <c r="B956" s="37" t="str">
        <f t="shared" ref="B956" si="881">B955</f>
        <v>Ense Biye</v>
      </c>
      <c r="C956" s="65">
        <f t="shared" si="878"/>
        <v>0</v>
      </c>
      <c r="D956" s="67">
        <f t="shared" si="873"/>
        <v>100</v>
      </c>
      <c r="E956" s="57"/>
      <c r="F956" s="52"/>
      <c r="G956" s="52"/>
      <c r="H956" s="58"/>
      <c r="I956" s="57"/>
      <c r="J956" s="52"/>
      <c r="K956" s="52"/>
      <c r="L956" s="58"/>
      <c r="M956" s="57"/>
      <c r="N956" s="52"/>
      <c r="O956" s="52"/>
      <c r="P956" s="58"/>
      <c r="Q956" s="57"/>
      <c r="R956" s="52"/>
      <c r="S956" s="52"/>
      <c r="T956" s="52"/>
      <c r="U956" s="58"/>
      <c r="V956" s="57"/>
      <c r="W956" s="52"/>
      <c r="X956" s="52"/>
      <c r="Y956" s="58"/>
      <c r="Z956" s="57"/>
      <c r="AA956" s="52"/>
      <c r="AB956" s="52"/>
      <c r="AC956" s="58"/>
      <c r="AD956" s="57"/>
      <c r="AE956" s="52"/>
      <c r="AF956" s="52"/>
      <c r="AG956" s="58"/>
      <c r="AH956" s="57"/>
      <c r="AI956" s="52"/>
      <c r="AJ956" s="52"/>
      <c r="AK956" s="58"/>
      <c r="AL956" s="57"/>
      <c r="AM956" s="52"/>
      <c r="AN956" s="52"/>
      <c r="AO956" s="58"/>
      <c r="AP956" s="57"/>
      <c r="AQ956" s="52"/>
      <c r="AR956" s="52"/>
      <c r="AS956" s="58"/>
      <c r="AT956" s="57"/>
      <c r="AU956" s="52"/>
      <c r="AV956" s="52"/>
      <c r="AW956" s="58"/>
      <c r="AX956" s="33">
        <f t="shared" si="874"/>
        <v>0</v>
      </c>
      <c r="AY956" s="31">
        <f t="shared" si="875"/>
        <v>0</v>
      </c>
      <c r="AZ956" s="30">
        <f t="shared" si="876"/>
        <v>0</v>
      </c>
      <c r="BA956" s="34"/>
      <c r="BB956" s="34"/>
      <c r="BC956" s="34"/>
      <c r="BD956" s="76"/>
      <c r="BE956" s="34"/>
      <c r="BF956" s="34"/>
      <c r="BG956" s="34"/>
      <c r="BH956" s="34"/>
    </row>
    <row r="957" spans="1:60" s="17" customFormat="1" ht="19.5" customHeight="1" thickBot="1" x14ac:dyDescent="0.4">
      <c r="A957" s="41">
        <f>A956</f>
        <v>45442</v>
      </c>
      <c r="B957" s="37" t="str">
        <f t="shared" ref="B957" si="882">B956</f>
        <v>Ense Biye</v>
      </c>
      <c r="C957" s="65">
        <f t="shared" si="878"/>
        <v>0</v>
      </c>
      <c r="D957" s="67">
        <f t="shared" si="873"/>
        <v>100</v>
      </c>
      <c r="E957" s="59"/>
      <c r="F957" s="60"/>
      <c r="G957" s="61"/>
      <c r="H957" s="62"/>
      <c r="I957" s="59"/>
      <c r="J957" s="60"/>
      <c r="K957" s="61"/>
      <c r="L957" s="62"/>
      <c r="M957" s="59"/>
      <c r="N957" s="60"/>
      <c r="O957" s="61"/>
      <c r="P957" s="62"/>
      <c r="Q957" s="64"/>
      <c r="R957" s="61"/>
      <c r="S957" s="61"/>
      <c r="T957" s="61"/>
      <c r="U957" s="62"/>
      <c r="V957" s="59"/>
      <c r="W957" s="60"/>
      <c r="X957" s="61"/>
      <c r="Y957" s="62"/>
      <c r="Z957" s="59"/>
      <c r="AA957" s="60"/>
      <c r="AB957" s="61"/>
      <c r="AC957" s="62"/>
      <c r="AD957" s="59"/>
      <c r="AE957" s="60"/>
      <c r="AF957" s="61"/>
      <c r="AG957" s="62"/>
      <c r="AH957" s="59"/>
      <c r="AI957" s="60"/>
      <c r="AJ957" s="61"/>
      <c r="AK957" s="62"/>
      <c r="AL957" s="59"/>
      <c r="AM957" s="60"/>
      <c r="AN957" s="61"/>
      <c r="AO957" s="62"/>
      <c r="AP957" s="59"/>
      <c r="AQ957" s="60"/>
      <c r="AR957" s="61"/>
      <c r="AS957" s="62"/>
      <c r="AT957" s="59"/>
      <c r="AU957" s="60"/>
      <c r="AV957" s="61"/>
      <c r="AW957" s="62"/>
      <c r="AX957" s="33">
        <f t="shared" si="874"/>
        <v>0</v>
      </c>
      <c r="AY957" s="31">
        <f t="shared" si="875"/>
        <v>0</v>
      </c>
      <c r="AZ957" s="30">
        <f t="shared" si="876"/>
        <v>0</v>
      </c>
      <c r="BA957" s="34"/>
      <c r="BB957" s="34"/>
      <c r="BC957" s="34"/>
      <c r="BD957" s="76"/>
      <c r="BE957" s="34"/>
      <c r="BF957" s="34"/>
      <c r="BG957" s="34"/>
      <c r="BH957" s="34"/>
    </row>
    <row r="958" spans="1:60" s="17" customFormat="1" ht="19.5" customHeight="1" thickBot="1" x14ac:dyDescent="0.45">
      <c r="A958" s="41">
        <f>A957</f>
        <v>45442</v>
      </c>
      <c r="B958" s="139" t="str">
        <f>B951</f>
        <v>Ense Biye</v>
      </c>
      <c r="C958" s="140"/>
      <c r="D958" s="40">
        <f>C886/8</f>
        <v>500</v>
      </c>
      <c r="E958" s="147">
        <f>SUM(E951:H957)</f>
        <v>165</v>
      </c>
      <c r="F958" s="148"/>
      <c r="G958" s="148"/>
      <c r="H958" s="149"/>
      <c r="I958" s="147">
        <f>SUM(I951:L957)</f>
        <v>345</v>
      </c>
      <c r="J958" s="148"/>
      <c r="K958" s="148"/>
      <c r="L958" s="149"/>
      <c r="M958" s="147">
        <f>SUM(M951:P957)</f>
        <v>375</v>
      </c>
      <c r="N958" s="148"/>
      <c r="O958" s="148"/>
      <c r="P958" s="149"/>
      <c r="Q958" s="147">
        <f>SUM(Q951:U957)</f>
        <v>700</v>
      </c>
      <c r="R958" s="148"/>
      <c r="S958" s="148"/>
      <c r="T958" s="148"/>
      <c r="U958" s="149"/>
      <c r="V958" s="147">
        <f>SUM(V951:Y957)</f>
        <v>575</v>
      </c>
      <c r="W958" s="148"/>
      <c r="X958" s="148"/>
      <c r="Y958" s="149"/>
      <c r="Z958" s="147">
        <f>SUM(Z951:AC957)</f>
        <v>490</v>
      </c>
      <c r="AA958" s="148"/>
      <c r="AB958" s="148"/>
      <c r="AC958" s="149"/>
      <c r="AD958" s="147">
        <f>SUM(AD951:AG957)</f>
        <v>360</v>
      </c>
      <c r="AE958" s="148"/>
      <c r="AF958" s="148"/>
      <c r="AG958" s="149"/>
      <c r="AH958" s="147">
        <f>SUM(AH951:AK957)</f>
        <v>300</v>
      </c>
      <c r="AI958" s="148"/>
      <c r="AJ958" s="148"/>
      <c r="AK958" s="149"/>
      <c r="AL958" s="147">
        <f>SUM(AL951:AO957)</f>
        <v>250</v>
      </c>
      <c r="AM958" s="148"/>
      <c r="AN958" s="148"/>
      <c r="AO958" s="149"/>
      <c r="AP958" s="147">
        <f>SUM(AP951:AS957)</f>
        <v>0</v>
      </c>
      <c r="AQ958" s="148"/>
      <c r="AR958" s="148"/>
      <c r="AS958" s="149"/>
      <c r="AT958" s="147">
        <f>SUM(AT951:AW957)</f>
        <v>0</v>
      </c>
      <c r="AU958" s="148"/>
      <c r="AV958" s="148"/>
      <c r="AW958" s="149"/>
      <c r="AX958" s="87">
        <f>SUM(AX951:AX957)</f>
        <v>3560</v>
      </c>
      <c r="AY958" s="88">
        <f>IFERROR(AVERAGEIF(E958:AV958,"&lt;&gt;0",(E958:AV958)),)</f>
        <v>395.55555555555554</v>
      </c>
      <c r="AZ958" s="46">
        <f>IFERROR(AX958/BB952,0)</f>
        <v>0.89</v>
      </c>
      <c r="BA958" s="34"/>
      <c r="BB958" s="34"/>
      <c r="BC958" s="34"/>
      <c r="BD958" s="76"/>
      <c r="BE958" s="34"/>
      <c r="BF958" s="34"/>
      <c r="BG958" s="34"/>
      <c r="BH958" s="34"/>
    </row>
    <row r="959" spans="1:60" s="17" customFormat="1" ht="19.5" customHeight="1" thickBot="1" x14ac:dyDescent="0.4">
      <c r="A959" s="42">
        <f>A949</f>
        <v>45442</v>
      </c>
      <c r="B959" s="38" t="str">
        <f>B960</f>
        <v>Yaka Basma 1 Et.(Beden)</v>
      </c>
      <c r="C959" s="39" t="s">
        <v>180</v>
      </c>
      <c r="D959" s="69" t="s">
        <v>181</v>
      </c>
      <c r="E959" s="48">
        <v>0.34375</v>
      </c>
      <c r="F959" s="49">
        <v>0.35416666666666669</v>
      </c>
      <c r="G959" s="49">
        <v>0.36458333333333331</v>
      </c>
      <c r="H959" s="50">
        <v>0.375</v>
      </c>
      <c r="I959" s="48">
        <v>0.38541666666666702</v>
      </c>
      <c r="J959" s="49">
        <v>0.39583333333333298</v>
      </c>
      <c r="K959" s="49">
        <v>0.40625</v>
      </c>
      <c r="L959" s="50">
        <v>0.41666666666666702</v>
      </c>
      <c r="M959" s="48">
        <v>0.4375</v>
      </c>
      <c r="N959" s="49">
        <v>0.44791666666666702</v>
      </c>
      <c r="O959" s="49">
        <v>0.45833333333333398</v>
      </c>
      <c r="P959" s="50">
        <v>0.46875</v>
      </c>
      <c r="Q959" s="48">
        <v>0.47916666666666702</v>
      </c>
      <c r="R959" s="49">
        <v>0.48958333333333398</v>
      </c>
      <c r="S959" s="49">
        <v>0.5</v>
      </c>
      <c r="T959" s="50">
        <v>0.51041666666666696</v>
      </c>
      <c r="U959" s="51">
        <v>0.52083333333333204</v>
      </c>
      <c r="V959" s="48">
        <v>0.5625</v>
      </c>
      <c r="W959" s="49">
        <v>0.57291666666666663</v>
      </c>
      <c r="X959" s="49">
        <v>0.58333333333333304</v>
      </c>
      <c r="Y959" s="50">
        <v>0.59375</v>
      </c>
      <c r="Z959" s="48">
        <v>0.60416666666666696</v>
      </c>
      <c r="AA959" s="49">
        <v>0.61458333333333304</v>
      </c>
      <c r="AB959" s="49">
        <v>0.625</v>
      </c>
      <c r="AC959" s="50">
        <v>0.63541666666666596</v>
      </c>
      <c r="AD959" s="48">
        <v>0.65625</v>
      </c>
      <c r="AE959" s="49">
        <v>0.66666666666666663</v>
      </c>
      <c r="AF959" s="49">
        <v>0.67708333333333304</v>
      </c>
      <c r="AG959" s="50">
        <v>0.6875</v>
      </c>
      <c r="AH959" s="48">
        <v>0.69791666666666696</v>
      </c>
      <c r="AI959" s="49">
        <v>0.70833333333333304</v>
      </c>
      <c r="AJ959" s="49">
        <v>0.71875</v>
      </c>
      <c r="AK959" s="50">
        <v>0.72916666666666696</v>
      </c>
      <c r="AL959" s="48">
        <v>0.73958333333333404</v>
      </c>
      <c r="AM959" s="49">
        <v>0.750000000000001</v>
      </c>
      <c r="AN959" s="49">
        <v>0.76041666666666796</v>
      </c>
      <c r="AO959" s="50">
        <v>0.77083333333333504</v>
      </c>
      <c r="AP959" s="48">
        <v>0.781250000000002</v>
      </c>
      <c r="AQ959" s="49">
        <v>0.79166666666666896</v>
      </c>
      <c r="AR959" s="49">
        <v>0.80208333333333603</v>
      </c>
      <c r="AS959" s="50">
        <v>0.812500000000003</v>
      </c>
      <c r="AT959" s="48">
        <v>0.82291666666666996</v>
      </c>
      <c r="AU959" s="49">
        <v>0.83333333333333703</v>
      </c>
      <c r="AV959" s="49">
        <v>0.843750000000004</v>
      </c>
      <c r="AW959" s="50">
        <v>0.85416666666666663</v>
      </c>
      <c r="AX959" s="68" t="s">
        <v>260</v>
      </c>
      <c r="AY959" s="28" t="s">
        <v>261</v>
      </c>
      <c r="AZ959" s="29" t="s">
        <v>262</v>
      </c>
      <c r="BA959" s="136" t="str">
        <f>B960</f>
        <v>Yaka Basma 1 Et.(Beden)</v>
      </c>
      <c r="BB959" s="137"/>
      <c r="BC959" s="137"/>
      <c r="BD959" s="137"/>
      <c r="BE959" s="137"/>
      <c r="BF959" s="137"/>
      <c r="BG959" s="137"/>
      <c r="BH959" s="138"/>
    </row>
    <row r="960" spans="1:60" s="17" customFormat="1" ht="19.5" customHeight="1" thickBot="1" x14ac:dyDescent="0.4">
      <c r="A960" s="41">
        <f t="shared" ref="A960" si="883">A959</f>
        <v>45442</v>
      </c>
      <c r="B960" s="37" t="str">
        <f>B784</f>
        <v>Yaka Basma 1 Et.(Beden)</v>
      </c>
      <c r="C960" s="65" t="str">
        <f>C784</f>
        <v>NESRİN ALTUNSÖZ</v>
      </c>
      <c r="D960" s="70">
        <f>D784</f>
        <v>60</v>
      </c>
      <c r="E960" s="63">
        <v>40</v>
      </c>
      <c r="F960" s="55">
        <v>47</v>
      </c>
      <c r="G960" s="55">
        <v>52</v>
      </c>
      <c r="H960" s="56">
        <v>52</v>
      </c>
      <c r="I960" s="63">
        <v>56</v>
      </c>
      <c r="J960" s="55">
        <v>50</v>
      </c>
      <c r="K960" s="55">
        <v>55</v>
      </c>
      <c r="L960" s="56">
        <v>55</v>
      </c>
      <c r="M960" s="63">
        <v>50</v>
      </c>
      <c r="N960" s="55">
        <v>40</v>
      </c>
      <c r="O960" s="55">
        <v>55</v>
      </c>
      <c r="P960" s="56">
        <v>62</v>
      </c>
      <c r="Q960" s="63">
        <v>60</v>
      </c>
      <c r="R960" s="55">
        <v>70</v>
      </c>
      <c r="S960" s="55">
        <v>70</v>
      </c>
      <c r="T960" s="55">
        <v>60</v>
      </c>
      <c r="U960" s="56">
        <v>60</v>
      </c>
      <c r="V960" s="63">
        <v>52</v>
      </c>
      <c r="W960" s="55">
        <v>55</v>
      </c>
      <c r="X960" s="55">
        <v>60</v>
      </c>
      <c r="Y960" s="56">
        <v>65</v>
      </c>
      <c r="Z960" s="63">
        <v>45</v>
      </c>
      <c r="AA960" s="55">
        <v>45</v>
      </c>
      <c r="AB960" s="55">
        <v>62</v>
      </c>
      <c r="AC960" s="56">
        <v>60</v>
      </c>
      <c r="AD960" s="63">
        <v>50</v>
      </c>
      <c r="AE960" s="55">
        <v>40</v>
      </c>
      <c r="AF960" s="55">
        <v>50</v>
      </c>
      <c r="AG960" s="56">
        <v>30</v>
      </c>
      <c r="AH960" s="63">
        <v>60</v>
      </c>
      <c r="AI960" s="55">
        <v>70</v>
      </c>
      <c r="AJ960" s="55">
        <v>60</v>
      </c>
      <c r="AK960" s="56">
        <v>0</v>
      </c>
      <c r="AL960" s="63">
        <v>0</v>
      </c>
      <c r="AM960" s="55">
        <v>0</v>
      </c>
      <c r="AN960" s="55">
        <v>0</v>
      </c>
      <c r="AO960" s="56"/>
      <c r="AP960" s="63"/>
      <c r="AQ960" s="55"/>
      <c r="AR960" s="55"/>
      <c r="AS960" s="56"/>
      <c r="AT960" s="53"/>
      <c r="AU960" s="54"/>
      <c r="AV960" s="55"/>
      <c r="AW960" s="56"/>
      <c r="AX960" s="33">
        <f>SUM(E960:AW960)</f>
        <v>1738</v>
      </c>
      <c r="AY960" s="31">
        <f>IFERROR(AVERAGEIF(E960:AW960,"&lt;&gt;0",(E960:AW960)),)</f>
        <v>54.3125</v>
      </c>
      <c r="AZ960" s="30">
        <f>IFERROR(AY960/D960,0)</f>
        <v>0.90520833333333328</v>
      </c>
      <c r="BA960" s="103" t="s">
        <v>182</v>
      </c>
      <c r="BB960" s="100" t="s">
        <v>183</v>
      </c>
      <c r="BC960" s="100" t="s">
        <v>184</v>
      </c>
      <c r="BD960" s="101" t="s">
        <v>185</v>
      </c>
      <c r="BE960" s="100" t="s">
        <v>186</v>
      </c>
      <c r="BF960" s="102" t="s">
        <v>187</v>
      </c>
      <c r="BG960" s="100" t="s">
        <v>188</v>
      </c>
      <c r="BH960" s="102" t="s">
        <v>189</v>
      </c>
    </row>
    <row r="961" spans="1:60" s="17" customFormat="1" ht="19.5" customHeight="1" thickBot="1" x14ac:dyDescent="0.4">
      <c r="A961" s="41">
        <f t="shared" ref="A961:B961" si="884">A960</f>
        <v>45442</v>
      </c>
      <c r="B961" s="37" t="str">
        <f t="shared" si="884"/>
        <v>Yaka Basma 1 Et.(Beden)</v>
      </c>
      <c r="C961" s="65" t="str">
        <f t="shared" ref="C961:C966" si="885">C785</f>
        <v>SERPİL ÇİMEN</v>
      </c>
      <c r="D961" s="67">
        <f t="shared" ref="D961:D966" si="886">D960</f>
        <v>60</v>
      </c>
      <c r="E961" s="57">
        <v>55</v>
      </c>
      <c r="F961" s="52">
        <v>60</v>
      </c>
      <c r="G961" s="52">
        <v>60</v>
      </c>
      <c r="H961" s="7">
        <v>32</v>
      </c>
      <c r="I961" s="57">
        <v>0</v>
      </c>
      <c r="J961" s="52">
        <v>0</v>
      </c>
      <c r="K961" s="52">
        <v>0</v>
      </c>
      <c r="L961" s="58">
        <v>0</v>
      </c>
      <c r="M961" s="57"/>
      <c r="N961" s="52"/>
      <c r="O961" s="52">
        <v>60</v>
      </c>
      <c r="P961" s="58">
        <v>60</v>
      </c>
      <c r="Q961" s="57">
        <v>35</v>
      </c>
      <c r="R961" s="52">
        <v>70</v>
      </c>
      <c r="S961" s="52">
        <v>70</v>
      </c>
      <c r="T961" s="52"/>
      <c r="U961" s="58">
        <v>0</v>
      </c>
      <c r="V961" s="57">
        <v>62</v>
      </c>
      <c r="W961" s="52">
        <v>60</v>
      </c>
      <c r="X961" s="52">
        <v>40</v>
      </c>
      <c r="Y961" s="58">
        <v>60</v>
      </c>
      <c r="Z961" s="57">
        <v>60</v>
      </c>
      <c r="AA961" s="52">
        <v>55</v>
      </c>
      <c r="AB961" s="52">
        <v>60</v>
      </c>
      <c r="AC961" s="58">
        <v>60</v>
      </c>
      <c r="AD961" s="57">
        <v>60</v>
      </c>
      <c r="AE961" s="52">
        <v>33</v>
      </c>
      <c r="AF961" s="52"/>
      <c r="AG961" s="58"/>
      <c r="AH961" s="57"/>
      <c r="AI961" s="52"/>
      <c r="AJ961" s="52"/>
      <c r="AK961" s="58"/>
      <c r="AL961" s="57"/>
      <c r="AM961" s="52"/>
      <c r="AN961" s="52">
        <v>0</v>
      </c>
      <c r="AO961" s="58"/>
      <c r="AP961" s="57"/>
      <c r="AQ961" s="52"/>
      <c r="AR961" s="52"/>
      <c r="AS961" s="58"/>
      <c r="AT961" s="57"/>
      <c r="AU961" s="52"/>
      <c r="AV961" s="52"/>
      <c r="AW961" s="58"/>
      <c r="AX961" s="33">
        <f t="shared" ref="AX961:AX966" si="887">SUM(E961:AW961)</f>
        <v>1052</v>
      </c>
      <c r="AY961" s="31">
        <f t="shared" ref="AY961:AY966" si="888">IFERROR(AVERAGEIF(E961:AW961,"&lt;&gt;0",(E961:AW961)),)</f>
        <v>55.368421052631582</v>
      </c>
      <c r="AZ961" s="30">
        <f t="shared" ref="AZ961:AZ966" si="889">IFERROR(AY961/D961,0)</f>
        <v>0.92280701754385974</v>
      </c>
      <c r="BA961" s="94">
        <f>AX967+BA785</f>
        <v>10494</v>
      </c>
      <c r="BB961" s="95">
        <f>(D967*8)</f>
        <v>4000</v>
      </c>
      <c r="BC961" s="96">
        <f>C885-BA961</f>
        <v>31817</v>
      </c>
      <c r="BD961" s="96">
        <f>BA952-BA961</f>
        <v>509</v>
      </c>
      <c r="BE961" s="97">
        <f>IFERROR(BC961/E967,0)</f>
        <v>79.942211055276388</v>
      </c>
      <c r="BF961" s="98">
        <f>IFERROR(BE961/9,0)</f>
        <v>8.8824678950307092</v>
      </c>
      <c r="BG961" s="97">
        <f>IFERROR(BC961/AY967,0)</f>
        <v>85.991891891891896</v>
      </c>
      <c r="BH961" s="97">
        <f>IFERROR(BG961/9,0)</f>
        <v>9.5546546546546551</v>
      </c>
    </row>
    <row r="962" spans="1:60" s="17" customFormat="1" ht="19.5" customHeight="1" x14ac:dyDescent="0.35">
      <c r="A962" s="41">
        <f t="shared" ref="A962:B962" si="890">A961</f>
        <v>45442</v>
      </c>
      <c r="B962" s="37" t="str">
        <f t="shared" si="890"/>
        <v>Yaka Basma 1 Et.(Beden)</v>
      </c>
      <c r="C962" s="65" t="s">
        <v>85</v>
      </c>
      <c r="D962" s="67">
        <f t="shared" si="886"/>
        <v>60</v>
      </c>
      <c r="E962" s="57"/>
      <c r="F962" s="52"/>
      <c r="G962" s="52"/>
      <c r="H962" s="58"/>
      <c r="I962" s="57"/>
      <c r="J962" s="52"/>
      <c r="K962" s="52"/>
      <c r="L962" s="58"/>
      <c r="M962" s="57"/>
      <c r="N962" s="52"/>
      <c r="O962" s="52"/>
      <c r="P962" s="58"/>
      <c r="Q962" s="57"/>
      <c r="R962" s="52"/>
      <c r="S962" s="52"/>
      <c r="T962" s="52"/>
      <c r="U962" s="58"/>
      <c r="V962" s="57"/>
      <c r="W962" s="52"/>
      <c r="X962" s="52"/>
      <c r="Y962" s="58"/>
      <c r="Z962" s="57"/>
      <c r="AA962" s="52"/>
      <c r="AB962" s="52"/>
      <c r="AC962" s="58"/>
      <c r="AD962" s="57"/>
      <c r="AE962" s="52"/>
      <c r="AF962" s="52"/>
      <c r="AG962" s="58">
        <v>55</v>
      </c>
      <c r="AH962" s="57">
        <v>75</v>
      </c>
      <c r="AI962" s="52">
        <v>80</v>
      </c>
      <c r="AJ962" s="52">
        <v>80</v>
      </c>
      <c r="AK962" s="58">
        <v>60</v>
      </c>
      <c r="AL962" s="57">
        <v>45</v>
      </c>
      <c r="AM962" s="52">
        <v>70</v>
      </c>
      <c r="AN962" s="52">
        <v>75</v>
      </c>
      <c r="AO962" s="58"/>
      <c r="AP962" s="57"/>
      <c r="AQ962" s="52"/>
      <c r="AR962" s="52"/>
      <c r="AS962" s="58"/>
      <c r="AT962" s="57"/>
      <c r="AU962" s="52"/>
      <c r="AV962" s="52"/>
      <c r="AW962" s="58"/>
      <c r="AX962" s="33">
        <f t="shared" si="887"/>
        <v>540</v>
      </c>
      <c r="AY962" s="31">
        <f t="shared" si="888"/>
        <v>67.5</v>
      </c>
      <c r="AZ962" s="30">
        <f t="shared" si="889"/>
        <v>1.125</v>
      </c>
      <c r="BA962" s="34"/>
      <c r="BB962" s="34"/>
      <c r="BC962" s="34"/>
      <c r="BD962" s="76"/>
      <c r="BE962" s="34"/>
      <c r="BF962" s="34"/>
      <c r="BG962" s="34"/>
      <c r="BH962" s="34"/>
    </row>
    <row r="963" spans="1:60" s="17" customFormat="1" ht="19.5" customHeight="1" x14ac:dyDescent="0.35">
      <c r="A963" s="41">
        <f t="shared" ref="A963:B963" si="891">A962</f>
        <v>45442</v>
      </c>
      <c r="B963" s="37" t="str">
        <f t="shared" si="891"/>
        <v>Yaka Basma 1 Et.(Beden)</v>
      </c>
      <c r="C963" s="65">
        <f t="shared" si="885"/>
        <v>0</v>
      </c>
      <c r="D963" s="67">
        <f t="shared" si="886"/>
        <v>60</v>
      </c>
      <c r="E963" s="57"/>
      <c r="F963" s="52"/>
      <c r="G963" s="52"/>
      <c r="H963" s="58"/>
      <c r="I963" s="57"/>
      <c r="J963" s="52"/>
      <c r="K963" s="52"/>
      <c r="L963" s="58"/>
      <c r="M963" s="57"/>
      <c r="N963" s="52"/>
      <c r="O963" s="52"/>
      <c r="P963" s="58"/>
      <c r="Q963" s="57"/>
      <c r="R963" s="52"/>
      <c r="S963" s="52"/>
      <c r="T963" s="52"/>
      <c r="U963" s="58"/>
      <c r="V963" s="57"/>
      <c r="W963" s="52"/>
      <c r="X963" s="52"/>
      <c r="Y963" s="58"/>
      <c r="Z963" s="57"/>
      <c r="AA963" s="52"/>
      <c r="AB963" s="52"/>
      <c r="AC963" s="58"/>
      <c r="AD963" s="57"/>
      <c r="AE963" s="52"/>
      <c r="AF963" s="52"/>
      <c r="AG963" s="58"/>
      <c r="AH963" s="57"/>
      <c r="AI963" s="52"/>
      <c r="AJ963" s="52"/>
      <c r="AK963" s="58"/>
      <c r="AL963" s="57"/>
      <c r="AM963" s="52"/>
      <c r="AN963" s="52"/>
      <c r="AO963" s="58"/>
      <c r="AP963" s="57"/>
      <c r="AQ963" s="52"/>
      <c r="AR963" s="52"/>
      <c r="AS963" s="58"/>
      <c r="AT963" s="57"/>
      <c r="AU963" s="52"/>
      <c r="AV963" s="52"/>
      <c r="AW963" s="58"/>
      <c r="AX963" s="33">
        <f t="shared" si="887"/>
        <v>0</v>
      </c>
      <c r="AY963" s="31">
        <f t="shared" si="888"/>
        <v>0</v>
      </c>
      <c r="AZ963" s="30">
        <f t="shared" si="889"/>
        <v>0</v>
      </c>
      <c r="BA963" s="34"/>
      <c r="BB963" s="34"/>
      <c r="BC963" s="34"/>
      <c r="BD963" s="76"/>
      <c r="BE963" s="34"/>
      <c r="BF963" s="34"/>
      <c r="BG963" s="34"/>
      <c r="BH963" s="34"/>
    </row>
    <row r="964" spans="1:60" s="17" customFormat="1" ht="19.5" customHeight="1" x14ac:dyDescent="0.35">
      <c r="A964" s="41">
        <f>A961</f>
        <v>45442</v>
      </c>
      <c r="B964" s="37" t="str">
        <f t="shared" ref="B964" si="892">B963</f>
        <v>Yaka Basma 1 Et.(Beden)</v>
      </c>
      <c r="C964" s="65">
        <f t="shared" si="885"/>
        <v>0</v>
      </c>
      <c r="D964" s="67">
        <f t="shared" si="886"/>
        <v>60</v>
      </c>
      <c r="E964" s="57"/>
      <c r="F964" s="52"/>
      <c r="G964" s="52"/>
      <c r="H964" s="58"/>
      <c r="I964" s="57"/>
      <c r="J964" s="52"/>
      <c r="K964" s="52"/>
      <c r="L964" s="58"/>
      <c r="M964" s="57"/>
      <c r="N964" s="52"/>
      <c r="O964" s="52"/>
      <c r="P964" s="58"/>
      <c r="Q964" s="57"/>
      <c r="R964" s="52"/>
      <c r="S964" s="52"/>
      <c r="T964" s="52"/>
      <c r="U964" s="58"/>
      <c r="V964" s="57"/>
      <c r="W964" s="52"/>
      <c r="X964" s="52"/>
      <c r="Y964" s="58"/>
      <c r="Z964" s="57"/>
      <c r="AA964" s="52"/>
      <c r="AB964" s="52"/>
      <c r="AC964" s="58"/>
      <c r="AD964" s="57"/>
      <c r="AE964" s="52"/>
      <c r="AF964" s="52"/>
      <c r="AG964" s="58"/>
      <c r="AH964" s="57"/>
      <c r="AI964" s="52"/>
      <c r="AJ964" s="52"/>
      <c r="AK964" s="58"/>
      <c r="AL964" s="57"/>
      <c r="AM964" s="52"/>
      <c r="AN964" s="52"/>
      <c r="AO964" s="58"/>
      <c r="AP964" s="57"/>
      <c r="AQ964" s="52"/>
      <c r="AR964" s="52"/>
      <c r="AS964" s="58"/>
      <c r="AT964" s="57"/>
      <c r="AU964" s="52"/>
      <c r="AV964" s="52"/>
      <c r="AW964" s="58"/>
      <c r="AX964" s="33">
        <f t="shared" si="887"/>
        <v>0</v>
      </c>
      <c r="AY964" s="31">
        <f t="shared" si="888"/>
        <v>0</v>
      </c>
      <c r="AZ964" s="30">
        <f t="shared" si="889"/>
        <v>0</v>
      </c>
      <c r="BA964" s="34"/>
      <c r="BB964" s="34"/>
      <c r="BC964" s="34"/>
      <c r="BD964" s="76"/>
      <c r="BE964" s="34"/>
      <c r="BF964" s="34"/>
      <c r="BG964" s="34"/>
      <c r="BH964" s="34"/>
    </row>
    <row r="965" spans="1:60" s="17" customFormat="1" ht="19.5" customHeight="1" x14ac:dyDescent="0.35">
      <c r="A965" s="41">
        <f t="shared" ref="A965:B965" si="893">A964</f>
        <v>45442</v>
      </c>
      <c r="B965" s="37" t="str">
        <f t="shared" si="893"/>
        <v>Yaka Basma 1 Et.(Beden)</v>
      </c>
      <c r="C965" s="65">
        <f t="shared" si="885"/>
        <v>0</v>
      </c>
      <c r="D965" s="67">
        <f t="shared" si="886"/>
        <v>60</v>
      </c>
      <c r="E965" s="57"/>
      <c r="F965" s="52"/>
      <c r="G965" s="52"/>
      <c r="H965" s="58"/>
      <c r="I965" s="57"/>
      <c r="J965" s="52"/>
      <c r="K965" s="52"/>
      <c r="L965" s="58"/>
      <c r="M965" s="57"/>
      <c r="N965" s="52"/>
      <c r="O965" s="52"/>
      <c r="P965" s="58"/>
      <c r="Q965" s="57"/>
      <c r="R965" s="52"/>
      <c r="S965" s="52"/>
      <c r="T965" s="52"/>
      <c r="U965" s="58"/>
      <c r="V965" s="57"/>
      <c r="W965" s="52"/>
      <c r="X965" s="52"/>
      <c r="Y965" s="58"/>
      <c r="Z965" s="57"/>
      <c r="AA965" s="52"/>
      <c r="AB965" s="52"/>
      <c r="AC965" s="58"/>
      <c r="AD965" s="57"/>
      <c r="AE965" s="52"/>
      <c r="AF965" s="52"/>
      <c r="AG965" s="58"/>
      <c r="AH965" s="57"/>
      <c r="AI965" s="52"/>
      <c r="AJ965" s="52"/>
      <c r="AK965" s="58"/>
      <c r="AL965" s="57"/>
      <c r="AM965" s="52"/>
      <c r="AN965" s="52"/>
      <c r="AO965" s="58"/>
      <c r="AP965" s="57"/>
      <c r="AQ965" s="52"/>
      <c r="AR965" s="52"/>
      <c r="AS965" s="58"/>
      <c r="AT965" s="57"/>
      <c r="AU965" s="52"/>
      <c r="AV965" s="52"/>
      <c r="AW965" s="58"/>
      <c r="AX965" s="33">
        <f t="shared" si="887"/>
        <v>0</v>
      </c>
      <c r="AY965" s="31">
        <f t="shared" si="888"/>
        <v>0</v>
      </c>
      <c r="AZ965" s="30">
        <f t="shared" si="889"/>
        <v>0</v>
      </c>
      <c r="BA965" s="34"/>
      <c r="BB965" s="34"/>
      <c r="BC965" s="34"/>
      <c r="BD965" s="76"/>
      <c r="BE965" s="34"/>
      <c r="BF965" s="34"/>
      <c r="BG965" s="34"/>
      <c r="BH965" s="34"/>
    </row>
    <row r="966" spans="1:60" s="17" customFormat="1" ht="19.5" customHeight="1" thickBot="1" x14ac:dyDescent="0.4">
      <c r="A966" s="41">
        <f t="shared" ref="A966:B966" si="894">A965</f>
        <v>45442</v>
      </c>
      <c r="B966" s="37" t="str">
        <f t="shared" si="894"/>
        <v>Yaka Basma 1 Et.(Beden)</v>
      </c>
      <c r="C966" s="65">
        <f t="shared" si="885"/>
        <v>0</v>
      </c>
      <c r="D966" s="67">
        <f t="shared" si="886"/>
        <v>60</v>
      </c>
      <c r="E966" s="59"/>
      <c r="F966" s="60"/>
      <c r="G966" s="61"/>
      <c r="H966" s="62"/>
      <c r="I966" s="59"/>
      <c r="J966" s="60"/>
      <c r="K966" s="61"/>
      <c r="L966" s="62"/>
      <c r="M966" s="59"/>
      <c r="N966" s="60"/>
      <c r="O966" s="61"/>
      <c r="P966" s="62"/>
      <c r="Q966" s="64"/>
      <c r="R966" s="61"/>
      <c r="S966" s="61"/>
      <c r="T966" s="61"/>
      <c r="U966" s="62"/>
      <c r="V966" s="59"/>
      <c r="W966" s="60"/>
      <c r="X966" s="61"/>
      <c r="Y966" s="62"/>
      <c r="Z966" s="59"/>
      <c r="AA966" s="60"/>
      <c r="AB966" s="61"/>
      <c r="AC966" s="62"/>
      <c r="AD966" s="59"/>
      <c r="AE966" s="60"/>
      <c r="AF966" s="61"/>
      <c r="AG966" s="62"/>
      <c r="AH966" s="59"/>
      <c r="AI966" s="60"/>
      <c r="AJ966" s="61"/>
      <c r="AK966" s="62"/>
      <c r="AL966" s="59"/>
      <c r="AM966" s="60"/>
      <c r="AN966" s="61"/>
      <c r="AO966" s="62"/>
      <c r="AP966" s="59"/>
      <c r="AQ966" s="60"/>
      <c r="AR966" s="61"/>
      <c r="AS966" s="62"/>
      <c r="AT966" s="59"/>
      <c r="AU966" s="60"/>
      <c r="AV966" s="61"/>
      <c r="AW966" s="62"/>
      <c r="AX966" s="33">
        <f t="shared" si="887"/>
        <v>0</v>
      </c>
      <c r="AY966" s="31">
        <f t="shared" si="888"/>
        <v>0</v>
      </c>
      <c r="AZ966" s="30">
        <f t="shared" si="889"/>
        <v>0</v>
      </c>
      <c r="BA966" s="34"/>
      <c r="BB966" s="34"/>
      <c r="BC966" s="34"/>
      <c r="BD966" s="76"/>
      <c r="BE966" s="34"/>
      <c r="BF966" s="34"/>
      <c r="BG966" s="34"/>
      <c r="BH966" s="34"/>
    </row>
    <row r="967" spans="1:60" s="17" customFormat="1" ht="19.5" customHeight="1" thickBot="1" x14ac:dyDescent="0.45">
      <c r="A967" s="41">
        <f t="shared" ref="A967" si="895">A966</f>
        <v>45442</v>
      </c>
      <c r="B967" s="139" t="str">
        <f>B960</f>
        <v>Yaka Basma 1 Et.(Beden)</v>
      </c>
      <c r="C967" s="140"/>
      <c r="D967" s="40">
        <f>C886/8</f>
        <v>500</v>
      </c>
      <c r="E967" s="147">
        <f>SUM(E960:H966)</f>
        <v>398</v>
      </c>
      <c r="F967" s="148"/>
      <c r="G967" s="148"/>
      <c r="H967" s="149"/>
      <c r="I967" s="147">
        <f>SUM(I960:L966)</f>
        <v>216</v>
      </c>
      <c r="J967" s="148"/>
      <c r="K967" s="148"/>
      <c r="L967" s="149"/>
      <c r="M967" s="147">
        <f>SUM(M960:P966)</f>
        <v>327</v>
      </c>
      <c r="N967" s="148"/>
      <c r="O967" s="148"/>
      <c r="P967" s="149"/>
      <c r="Q967" s="147">
        <f>SUM(Q960:U966)</f>
        <v>495</v>
      </c>
      <c r="R967" s="148"/>
      <c r="S967" s="148"/>
      <c r="T967" s="148"/>
      <c r="U967" s="149"/>
      <c r="V967" s="147">
        <f>SUM(V960:Y966)</f>
        <v>454</v>
      </c>
      <c r="W967" s="148"/>
      <c r="X967" s="148"/>
      <c r="Y967" s="149"/>
      <c r="Z967" s="147">
        <f>SUM(Z960:AC966)</f>
        <v>447</v>
      </c>
      <c r="AA967" s="148"/>
      <c r="AB967" s="148"/>
      <c r="AC967" s="149"/>
      <c r="AD967" s="147">
        <f>SUM(AD960:AG966)</f>
        <v>318</v>
      </c>
      <c r="AE967" s="148"/>
      <c r="AF967" s="148"/>
      <c r="AG967" s="149"/>
      <c r="AH967" s="147">
        <f>SUM(AH960:AK966)</f>
        <v>485</v>
      </c>
      <c r="AI967" s="148"/>
      <c r="AJ967" s="148"/>
      <c r="AK967" s="149"/>
      <c r="AL967" s="147">
        <f>SUM(AL960:AO966)</f>
        <v>190</v>
      </c>
      <c r="AM967" s="148"/>
      <c r="AN967" s="148"/>
      <c r="AO967" s="149"/>
      <c r="AP967" s="147">
        <f>SUM(AP960:AS966)</f>
        <v>0</v>
      </c>
      <c r="AQ967" s="148"/>
      <c r="AR967" s="148"/>
      <c r="AS967" s="149"/>
      <c r="AT967" s="147">
        <f>SUM(AT960:AW966)</f>
        <v>0</v>
      </c>
      <c r="AU967" s="148"/>
      <c r="AV967" s="148"/>
      <c r="AW967" s="149"/>
      <c r="AX967" s="87">
        <f>SUM(AX960:AX966)</f>
        <v>3330</v>
      </c>
      <c r="AY967" s="88">
        <f>IFERROR(AVERAGEIF(E967:AV967,"&lt;&gt;0",(E967:AV967)),)</f>
        <v>370</v>
      </c>
      <c r="AZ967" s="46">
        <f>IFERROR(AX967/BB961,0)</f>
        <v>0.83250000000000002</v>
      </c>
      <c r="BA967" s="34"/>
      <c r="BB967" s="34"/>
      <c r="BC967" s="34"/>
      <c r="BD967" s="76"/>
      <c r="BE967" s="34"/>
      <c r="BF967" s="34"/>
      <c r="BG967" s="34"/>
      <c r="BH967" s="34"/>
    </row>
    <row r="968" spans="1:60" s="17" customFormat="1" ht="19.5" customHeight="1" thickBot="1" x14ac:dyDescent="0.4">
      <c r="A968" s="42">
        <f>A959</f>
        <v>45442</v>
      </c>
      <c r="B968" s="38" t="str">
        <f>B969</f>
        <v>Yaka Çıma</v>
      </c>
      <c r="C968" s="39" t="s">
        <v>180</v>
      </c>
      <c r="D968" s="69" t="s">
        <v>181</v>
      </c>
      <c r="E968" s="48">
        <v>0.34375</v>
      </c>
      <c r="F968" s="49">
        <v>0.35416666666666669</v>
      </c>
      <c r="G968" s="49">
        <v>0.36458333333333331</v>
      </c>
      <c r="H968" s="50">
        <v>0.375</v>
      </c>
      <c r="I968" s="48">
        <v>0.38541666666666702</v>
      </c>
      <c r="J968" s="49">
        <v>0.39583333333333298</v>
      </c>
      <c r="K968" s="49">
        <v>0.40625</v>
      </c>
      <c r="L968" s="50">
        <v>0.41666666666666702</v>
      </c>
      <c r="M968" s="48">
        <v>0.4375</v>
      </c>
      <c r="N968" s="49">
        <v>0.44791666666666702</v>
      </c>
      <c r="O968" s="49">
        <v>0.45833333333333398</v>
      </c>
      <c r="P968" s="50">
        <v>0.46875</v>
      </c>
      <c r="Q968" s="48">
        <v>0.47916666666666702</v>
      </c>
      <c r="R968" s="49">
        <v>0.48958333333333398</v>
      </c>
      <c r="S968" s="49">
        <v>0.5</v>
      </c>
      <c r="T968" s="50">
        <v>0.51041666666666696</v>
      </c>
      <c r="U968" s="51">
        <v>0.52083333333333204</v>
      </c>
      <c r="V968" s="48">
        <v>0.5625</v>
      </c>
      <c r="W968" s="49">
        <v>0.57291666666666663</v>
      </c>
      <c r="X968" s="49">
        <v>0.58333333333333304</v>
      </c>
      <c r="Y968" s="50">
        <v>0.59375</v>
      </c>
      <c r="Z968" s="48">
        <v>0.60416666666666696</v>
      </c>
      <c r="AA968" s="49">
        <v>0.61458333333333304</v>
      </c>
      <c r="AB968" s="49">
        <v>0.625</v>
      </c>
      <c r="AC968" s="50">
        <v>0.63541666666666596</v>
      </c>
      <c r="AD968" s="48">
        <v>0.65625</v>
      </c>
      <c r="AE968" s="49">
        <v>0.66666666666666663</v>
      </c>
      <c r="AF968" s="49">
        <v>0.67708333333333304</v>
      </c>
      <c r="AG968" s="50">
        <v>0.6875</v>
      </c>
      <c r="AH968" s="48">
        <v>0.69791666666666696</v>
      </c>
      <c r="AI968" s="49">
        <v>0.70833333333333304</v>
      </c>
      <c r="AJ968" s="49">
        <v>0.71875</v>
      </c>
      <c r="AK968" s="50">
        <v>0.72916666666666696</v>
      </c>
      <c r="AL968" s="48">
        <v>0.73958333333333404</v>
      </c>
      <c r="AM968" s="49">
        <v>0.750000000000001</v>
      </c>
      <c r="AN968" s="49">
        <v>0.76041666666666796</v>
      </c>
      <c r="AO968" s="50">
        <v>0.77083333333333504</v>
      </c>
      <c r="AP968" s="48">
        <v>0.781250000000002</v>
      </c>
      <c r="AQ968" s="49">
        <v>0.79166666666666896</v>
      </c>
      <c r="AR968" s="49">
        <v>0.80208333333333603</v>
      </c>
      <c r="AS968" s="50">
        <v>0.812500000000003</v>
      </c>
      <c r="AT968" s="48">
        <v>0.82291666666666996</v>
      </c>
      <c r="AU968" s="49">
        <v>0.83333333333333703</v>
      </c>
      <c r="AV968" s="49">
        <v>0.843750000000004</v>
      </c>
      <c r="AW968" s="50">
        <v>0.85416666666666663</v>
      </c>
      <c r="AX968" s="68" t="s">
        <v>260</v>
      </c>
      <c r="AY968" s="28" t="s">
        <v>261</v>
      </c>
      <c r="AZ968" s="29" t="s">
        <v>262</v>
      </c>
      <c r="BA968" s="136" t="str">
        <f>B969</f>
        <v>Yaka Çıma</v>
      </c>
      <c r="BB968" s="137"/>
      <c r="BC968" s="137"/>
      <c r="BD968" s="137"/>
      <c r="BE968" s="137"/>
      <c r="BF968" s="137"/>
      <c r="BG968" s="137"/>
      <c r="BH968" s="138"/>
    </row>
    <row r="969" spans="1:60" s="17" customFormat="1" ht="19.5" customHeight="1" thickBot="1" x14ac:dyDescent="0.4">
      <c r="A969" s="41">
        <f t="shared" ref="A969" si="896">A968</f>
        <v>45442</v>
      </c>
      <c r="B969" s="37" t="str">
        <f>B793</f>
        <v>Yaka Çıma</v>
      </c>
      <c r="C969" s="65" t="str">
        <f>C793</f>
        <v>KADER ÖNLÜ</v>
      </c>
      <c r="D969" s="70">
        <f>D793</f>
        <v>120</v>
      </c>
      <c r="E969" s="63">
        <v>70</v>
      </c>
      <c r="F969" s="55">
        <v>100</v>
      </c>
      <c r="G969" s="55">
        <v>100</v>
      </c>
      <c r="H969" s="56">
        <v>110</v>
      </c>
      <c r="I969" s="63">
        <v>120</v>
      </c>
      <c r="J969" s="55">
        <v>110</v>
      </c>
      <c r="K969" s="55">
        <v>120</v>
      </c>
      <c r="L969" s="56">
        <v>100</v>
      </c>
      <c r="M969" s="63">
        <v>120</v>
      </c>
      <c r="N969" s="3">
        <v>0</v>
      </c>
      <c r="O969" s="3">
        <v>0</v>
      </c>
      <c r="P969" s="4">
        <v>50</v>
      </c>
      <c r="Q969" s="63">
        <v>110</v>
      </c>
      <c r="R969" s="55">
        <v>100</v>
      </c>
      <c r="S969" s="55">
        <v>110</v>
      </c>
      <c r="T969" s="55">
        <v>110</v>
      </c>
      <c r="U969" s="56">
        <v>100</v>
      </c>
      <c r="V969" s="63">
        <v>100</v>
      </c>
      <c r="W969" s="55">
        <v>120</v>
      </c>
      <c r="X969" s="55">
        <v>130</v>
      </c>
      <c r="Y969" s="56">
        <v>130</v>
      </c>
      <c r="Z969" s="63">
        <v>110</v>
      </c>
      <c r="AA969" s="55">
        <v>130</v>
      </c>
      <c r="AB969" s="55">
        <v>130</v>
      </c>
      <c r="AC969" s="56">
        <v>130</v>
      </c>
      <c r="AD969" s="63">
        <v>120</v>
      </c>
      <c r="AE969" s="3">
        <v>0</v>
      </c>
      <c r="AF969" s="3">
        <v>0</v>
      </c>
      <c r="AG969" s="56">
        <v>130</v>
      </c>
      <c r="AH969" s="63">
        <v>130</v>
      </c>
      <c r="AI969" s="55">
        <v>130</v>
      </c>
      <c r="AJ969" s="55">
        <v>120</v>
      </c>
      <c r="AK969" s="56">
        <v>60</v>
      </c>
      <c r="AL969" s="63">
        <v>100</v>
      </c>
      <c r="AM969" s="55">
        <v>100</v>
      </c>
      <c r="AN969" s="55"/>
      <c r="AO969" s="56"/>
      <c r="AP969" s="63"/>
      <c r="AQ969" s="55"/>
      <c r="AR969" s="55"/>
      <c r="AS969" s="56"/>
      <c r="AT969" s="53"/>
      <c r="AU969" s="54"/>
      <c r="AV969" s="55"/>
      <c r="AW969" s="56"/>
      <c r="AX969" s="33">
        <f>SUM(E969:AW969)</f>
        <v>3400</v>
      </c>
      <c r="AY969" s="31">
        <f>IFERROR(AVERAGEIF(E969:AW969,"&lt;&gt;0",(E969:AW969)),)</f>
        <v>109.6774193548387</v>
      </c>
      <c r="AZ969" s="30">
        <f>IFERROR(AY969/D969,0)</f>
        <v>0.91397849462365588</v>
      </c>
      <c r="BA969" s="103" t="s">
        <v>182</v>
      </c>
      <c r="BB969" s="100" t="s">
        <v>183</v>
      </c>
      <c r="BC969" s="100" t="s">
        <v>184</v>
      </c>
      <c r="BD969" s="101" t="s">
        <v>185</v>
      </c>
      <c r="BE969" s="100" t="s">
        <v>186</v>
      </c>
      <c r="BF969" s="102" t="s">
        <v>187</v>
      </c>
      <c r="BG969" s="100" t="s">
        <v>188</v>
      </c>
      <c r="BH969" s="102" t="s">
        <v>189</v>
      </c>
    </row>
    <row r="970" spans="1:60" s="17" customFormat="1" ht="19.5" customHeight="1" thickBot="1" x14ac:dyDescent="0.4">
      <c r="A970" s="41">
        <f t="shared" ref="A970:B970" si="897">A969</f>
        <v>45442</v>
      </c>
      <c r="B970" s="37" t="str">
        <f t="shared" si="897"/>
        <v>Yaka Çıma</v>
      </c>
      <c r="C970" s="65" t="str">
        <f t="shared" ref="C970:C975" si="898">C794</f>
        <v>ÖZLEM KAHRAMAN</v>
      </c>
      <c r="D970" s="67">
        <f t="shared" ref="D970:D975" si="899">D969</f>
        <v>120</v>
      </c>
      <c r="E970" s="57"/>
      <c r="F970" s="52"/>
      <c r="G970" s="52"/>
      <c r="H970" s="58"/>
      <c r="I970" s="57"/>
      <c r="J970" s="52"/>
      <c r="K970" s="52"/>
      <c r="L970" s="58"/>
      <c r="M970" s="57"/>
      <c r="N970" s="52"/>
      <c r="O970" s="52"/>
      <c r="P970" s="58"/>
      <c r="Q970" s="57"/>
      <c r="R970" s="52"/>
      <c r="S970" s="52"/>
      <c r="T970" s="52"/>
      <c r="U970" s="58"/>
      <c r="V970" s="57"/>
      <c r="W970" s="52"/>
      <c r="X970" s="52"/>
      <c r="Y970" s="58"/>
      <c r="Z970" s="57"/>
      <c r="AA970" s="52"/>
      <c r="AB970" s="52"/>
      <c r="AC970" s="58"/>
      <c r="AD970" s="57"/>
      <c r="AE970" s="52"/>
      <c r="AF970" s="52"/>
      <c r="AG970" s="58"/>
      <c r="AH970" s="57"/>
      <c r="AI970" s="52"/>
      <c r="AJ970" s="52"/>
      <c r="AK970" s="58"/>
      <c r="AL970" s="57"/>
      <c r="AM970" s="52"/>
      <c r="AN970" s="52"/>
      <c r="AO970" s="58"/>
      <c r="AP970" s="57"/>
      <c r="AQ970" s="52"/>
      <c r="AR970" s="52"/>
      <c r="AS970" s="58"/>
      <c r="AT970" s="57"/>
      <c r="AU970" s="52"/>
      <c r="AV970" s="52"/>
      <c r="AW970" s="58"/>
      <c r="AX970" s="33">
        <f t="shared" ref="AX970:AX975" si="900">SUM(E970:AW970)</f>
        <v>0</v>
      </c>
      <c r="AY970" s="31">
        <f t="shared" ref="AY970:AY975" si="901">IFERROR(AVERAGEIF(E970:AW970,"&lt;&gt;0",(E970:AW970)),)</f>
        <v>0</v>
      </c>
      <c r="AZ970" s="30">
        <f t="shared" ref="AZ970:AZ975" si="902">IFERROR(AY970/D970,0)</f>
        <v>0</v>
      </c>
      <c r="BA970" s="94">
        <f>AX976+BA794</f>
        <v>10374</v>
      </c>
      <c r="BB970" s="95">
        <f>(D976*8)</f>
        <v>4000</v>
      </c>
      <c r="BC970" s="96">
        <f>C885-BA970</f>
        <v>31937</v>
      </c>
      <c r="BD970" s="96">
        <f>BA961-BA970</f>
        <v>120</v>
      </c>
      <c r="BE970" s="97">
        <f>IFERROR(BC970/E976,0)</f>
        <v>84.044736842105266</v>
      </c>
      <c r="BF970" s="98">
        <f>IFERROR(BE970/9,0)</f>
        <v>9.3383040935672526</v>
      </c>
      <c r="BG970" s="97">
        <f>IFERROR(BC970/AY976,0)</f>
        <v>84.539117647058831</v>
      </c>
      <c r="BH970" s="97">
        <f>IFERROR(BG970/9,0)</f>
        <v>9.3932352941176482</v>
      </c>
    </row>
    <row r="971" spans="1:60" s="17" customFormat="1" ht="19.5" customHeight="1" x14ac:dyDescent="0.35">
      <c r="A971" s="41">
        <f t="shared" ref="A971:B971" si="903">A970</f>
        <v>45442</v>
      </c>
      <c r="B971" s="37" t="str">
        <f t="shared" si="903"/>
        <v>Yaka Çıma</v>
      </c>
      <c r="C971" s="65">
        <f t="shared" si="898"/>
        <v>0</v>
      </c>
      <c r="D971" s="67">
        <f t="shared" si="899"/>
        <v>120</v>
      </c>
      <c r="E971" s="57"/>
      <c r="F971" s="52"/>
      <c r="G971" s="52"/>
      <c r="H971" s="58"/>
      <c r="I971" s="57"/>
      <c r="J971" s="52"/>
      <c r="K971" s="52"/>
      <c r="L971" s="58"/>
      <c r="M971" s="57"/>
      <c r="N971" s="52"/>
      <c r="O971" s="52"/>
      <c r="P971" s="58"/>
      <c r="Q971" s="57"/>
      <c r="R971" s="52"/>
      <c r="S971" s="52"/>
      <c r="T971" s="52"/>
      <c r="U971" s="58"/>
      <c r="V971" s="57"/>
      <c r="W971" s="52"/>
      <c r="X971" s="52"/>
      <c r="Y971" s="58"/>
      <c r="Z971" s="57"/>
      <c r="AA971" s="52"/>
      <c r="AB971" s="52"/>
      <c r="AC971" s="58"/>
      <c r="AD971" s="57"/>
      <c r="AE971" s="52"/>
      <c r="AF971" s="52"/>
      <c r="AG971" s="58"/>
      <c r="AH971" s="57"/>
      <c r="AI971" s="52"/>
      <c r="AJ971" s="52"/>
      <c r="AK971" s="58"/>
      <c r="AL971" s="57"/>
      <c r="AM971" s="52"/>
      <c r="AN971" s="52"/>
      <c r="AO971" s="58"/>
      <c r="AP971" s="57"/>
      <c r="AQ971" s="52"/>
      <c r="AR971" s="52"/>
      <c r="AS971" s="58"/>
      <c r="AT971" s="57"/>
      <c r="AU971" s="52"/>
      <c r="AV971" s="52"/>
      <c r="AW971" s="58"/>
      <c r="AX971" s="33">
        <f t="shared" si="900"/>
        <v>0</v>
      </c>
      <c r="AY971" s="31">
        <f t="shared" si="901"/>
        <v>0</v>
      </c>
      <c r="AZ971" s="30">
        <f t="shared" si="902"/>
        <v>0</v>
      </c>
      <c r="BA971" s="34"/>
      <c r="BB971" s="34"/>
      <c r="BC971" s="34"/>
      <c r="BD971" s="76"/>
      <c r="BE971" s="34"/>
      <c r="BF971" s="34"/>
      <c r="BG971" s="34"/>
      <c r="BH971" s="34"/>
    </row>
    <row r="972" spans="1:60" s="17" customFormat="1" ht="19.5" customHeight="1" x14ac:dyDescent="0.35">
      <c r="A972" s="41">
        <f t="shared" ref="A972:B972" si="904">A971</f>
        <v>45442</v>
      </c>
      <c r="B972" s="37" t="str">
        <f t="shared" si="904"/>
        <v>Yaka Çıma</v>
      </c>
      <c r="C972" s="65">
        <f t="shared" si="898"/>
        <v>0</v>
      </c>
      <c r="D972" s="67">
        <f t="shared" si="899"/>
        <v>120</v>
      </c>
      <c r="E972" s="57"/>
      <c r="F972" s="52"/>
      <c r="G972" s="52"/>
      <c r="H972" s="58"/>
      <c r="I972" s="57"/>
      <c r="J972" s="52"/>
      <c r="K972" s="52"/>
      <c r="L972" s="58"/>
      <c r="M972" s="57"/>
      <c r="N972" s="52"/>
      <c r="O972" s="52"/>
      <c r="P972" s="58"/>
      <c r="Q972" s="57"/>
      <c r="R972" s="52"/>
      <c r="S972" s="52"/>
      <c r="T972" s="52"/>
      <c r="U972" s="58"/>
      <c r="V972" s="57"/>
      <c r="W972" s="52"/>
      <c r="X972" s="52"/>
      <c r="Y972" s="58"/>
      <c r="Z972" s="57"/>
      <c r="AA972" s="52"/>
      <c r="AB972" s="52"/>
      <c r="AC972" s="58"/>
      <c r="AD972" s="57"/>
      <c r="AE972" s="52"/>
      <c r="AF972" s="52"/>
      <c r="AG972" s="58"/>
      <c r="AH972" s="57"/>
      <c r="AI972" s="52"/>
      <c r="AJ972" s="52"/>
      <c r="AK972" s="58"/>
      <c r="AL972" s="57"/>
      <c r="AM972" s="52"/>
      <c r="AN972" s="52"/>
      <c r="AO972" s="58"/>
      <c r="AP972" s="57"/>
      <c r="AQ972" s="52"/>
      <c r="AR972" s="52"/>
      <c r="AS972" s="58"/>
      <c r="AT972" s="57"/>
      <c r="AU972" s="52"/>
      <c r="AV972" s="52"/>
      <c r="AW972" s="58"/>
      <c r="AX972" s="33">
        <f t="shared" si="900"/>
        <v>0</v>
      </c>
      <c r="AY972" s="31">
        <f t="shared" si="901"/>
        <v>0</v>
      </c>
      <c r="AZ972" s="30">
        <f t="shared" si="902"/>
        <v>0</v>
      </c>
      <c r="BA972" s="34"/>
      <c r="BB972" s="34"/>
      <c r="BC972" s="34"/>
      <c r="BD972" s="76"/>
      <c r="BE972" s="34"/>
      <c r="BF972" s="34"/>
      <c r="BG972" s="34"/>
      <c r="BH972" s="34"/>
    </row>
    <row r="973" spans="1:60" s="17" customFormat="1" ht="19.5" customHeight="1" x14ac:dyDescent="0.35">
      <c r="A973" s="41">
        <f>A970</f>
        <v>45442</v>
      </c>
      <c r="B973" s="37" t="str">
        <f t="shared" ref="B973" si="905">B972</f>
        <v>Yaka Çıma</v>
      </c>
      <c r="C973" s="65">
        <f t="shared" si="898"/>
        <v>0</v>
      </c>
      <c r="D973" s="67">
        <f t="shared" si="899"/>
        <v>120</v>
      </c>
      <c r="E973" s="57"/>
      <c r="F973" s="52"/>
      <c r="G973" s="52"/>
      <c r="H973" s="58"/>
      <c r="I973" s="57"/>
      <c r="J973" s="52"/>
      <c r="K973" s="52"/>
      <c r="L973" s="58"/>
      <c r="M973" s="57"/>
      <c r="N973" s="52"/>
      <c r="O973" s="52"/>
      <c r="P973" s="58"/>
      <c r="Q973" s="57"/>
      <c r="R973" s="52"/>
      <c r="S973" s="52"/>
      <c r="T973" s="52"/>
      <c r="U973" s="58"/>
      <c r="V973" s="57"/>
      <c r="W973" s="52"/>
      <c r="X973" s="52"/>
      <c r="Y973" s="58"/>
      <c r="Z973" s="57"/>
      <c r="AA973" s="52"/>
      <c r="AB973" s="52"/>
      <c r="AC973" s="58"/>
      <c r="AD973" s="57"/>
      <c r="AE973" s="52"/>
      <c r="AF973" s="52"/>
      <c r="AG973" s="58"/>
      <c r="AH973" s="57"/>
      <c r="AI973" s="52"/>
      <c r="AJ973" s="52"/>
      <c r="AK973" s="58"/>
      <c r="AL973" s="57"/>
      <c r="AM973" s="52"/>
      <c r="AN973" s="52"/>
      <c r="AO973" s="58"/>
      <c r="AP973" s="57"/>
      <c r="AQ973" s="52"/>
      <c r="AR973" s="52"/>
      <c r="AS973" s="58"/>
      <c r="AT973" s="57"/>
      <c r="AU973" s="52"/>
      <c r="AV973" s="52"/>
      <c r="AW973" s="58"/>
      <c r="AX973" s="33">
        <f t="shared" si="900"/>
        <v>0</v>
      </c>
      <c r="AY973" s="31">
        <f t="shared" si="901"/>
        <v>0</v>
      </c>
      <c r="AZ973" s="30">
        <f t="shared" si="902"/>
        <v>0</v>
      </c>
      <c r="BA973" s="34"/>
      <c r="BB973" s="34"/>
      <c r="BC973" s="34"/>
      <c r="BD973" s="76"/>
      <c r="BE973" s="34"/>
      <c r="BF973" s="34"/>
      <c r="BG973" s="34"/>
      <c r="BH973" s="34"/>
    </row>
    <row r="974" spans="1:60" s="17" customFormat="1" ht="19.5" customHeight="1" x14ac:dyDescent="0.35">
      <c r="A974" s="41">
        <f t="shared" ref="A974:B974" si="906">A973</f>
        <v>45442</v>
      </c>
      <c r="B974" s="37" t="str">
        <f t="shared" si="906"/>
        <v>Yaka Çıma</v>
      </c>
      <c r="C974" s="65">
        <f t="shared" si="898"/>
        <v>0</v>
      </c>
      <c r="D974" s="67">
        <f t="shared" si="899"/>
        <v>120</v>
      </c>
      <c r="E974" s="57"/>
      <c r="F974" s="52"/>
      <c r="G974" s="52"/>
      <c r="H974" s="58"/>
      <c r="I974" s="57"/>
      <c r="J974" s="52"/>
      <c r="K974" s="52"/>
      <c r="L974" s="58"/>
      <c r="M974" s="57"/>
      <c r="N974" s="52"/>
      <c r="O974" s="52"/>
      <c r="P974" s="58"/>
      <c r="Q974" s="57"/>
      <c r="R974" s="52"/>
      <c r="S974" s="52"/>
      <c r="T974" s="52"/>
      <c r="U974" s="58"/>
      <c r="V974" s="57"/>
      <c r="W974" s="52"/>
      <c r="X974" s="52"/>
      <c r="Y974" s="58"/>
      <c r="Z974" s="57"/>
      <c r="AA974" s="52"/>
      <c r="AB974" s="52"/>
      <c r="AC974" s="58"/>
      <c r="AD974" s="57"/>
      <c r="AE974" s="52"/>
      <c r="AF974" s="52"/>
      <c r="AG974" s="58"/>
      <c r="AH974" s="57"/>
      <c r="AI974" s="52"/>
      <c r="AJ974" s="52"/>
      <c r="AK974" s="58"/>
      <c r="AL974" s="57"/>
      <c r="AM974" s="52"/>
      <c r="AN974" s="52"/>
      <c r="AO974" s="58"/>
      <c r="AP974" s="57"/>
      <c r="AQ974" s="52"/>
      <c r="AR974" s="52"/>
      <c r="AS974" s="58"/>
      <c r="AT974" s="57"/>
      <c r="AU974" s="52"/>
      <c r="AV974" s="52"/>
      <c r="AW974" s="58"/>
      <c r="AX974" s="33">
        <f t="shared" si="900"/>
        <v>0</v>
      </c>
      <c r="AY974" s="31">
        <f t="shared" si="901"/>
        <v>0</v>
      </c>
      <c r="AZ974" s="30">
        <f t="shared" si="902"/>
        <v>0</v>
      </c>
      <c r="BA974" s="34"/>
      <c r="BB974" s="34"/>
      <c r="BC974" s="34"/>
      <c r="BD974" s="76"/>
      <c r="BE974" s="34"/>
      <c r="BF974" s="34"/>
      <c r="BG974" s="34"/>
      <c r="BH974" s="34"/>
    </row>
    <row r="975" spans="1:60" s="17" customFormat="1" ht="19.5" customHeight="1" thickBot="1" x14ac:dyDescent="0.4">
      <c r="A975" s="41">
        <f t="shared" ref="A975:B975" si="907">A974</f>
        <v>45442</v>
      </c>
      <c r="B975" s="37" t="str">
        <f t="shared" si="907"/>
        <v>Yaka Çıma</v>
      </c>
      <c r="C975" s="65">
        <f t="shared" si="898"/>
        <v>0</v>
      </c>
      <c r="D975" s="67">
        <f t="shared" si="899"/>
        <v>120</v>
      </c>
      <c r="E975" s="59"/>
      <c r="F975" s="60"/>
      <c r="G975" s="61"/>
      <c r="H975" s="62"/>
      <c r="I975" s="59"/>
      <c r="J975" s="60"/>
      <c r="K975" s="61"/>
      <c r="L975" s="62"/>
      <c r="M975" s="59"/>
      <c r="N975" s="60"/>
      <c r="O975" s="61"/>
      <c r="P975" s="62"/>
      <c r="Q975" s="64"/>
      <c r="R975" s="61"/>
      <c r="S975" s="61"/>
      <c r="T975" s="61"/>
      <c r="U975" s="62"/>
      <c r="V975" s="59"/>
      <c r="W975" s="60"/>
      <c r="X975" s="61"/>
      <c r="Y975" s="62"/>
      <c r="Z975" s="59"/>
      <c r="AA975" s="60"/>
      <c r="AB975" s="61"/>
      <c r="AC975" s="62"/>
      <c r="AD975" s="59"/>
      <c r="AE975" s="60"/>
      <c r="AF975" s="61"/>
      <c r="AG975" s="62"/>
      <c r="AH975" s="59"/>
      <c r="AI975" s="60"/>
      <c r="AJ975" s="61"/>
      <c r="AK975" s="62"/>
      <c r="AL975" s="59"/>
      <c r="AM975" s="60"/>
      <c r="AN975" s="61"/>
      <c r="AO975" s="62"/>
      <c r="AP975" s="59"/>
      <c r="AQ975" s="60"/>
      <c r="AR975" s="61"/>
      <c r="AS975" s="62"/>
      <c r="AT975" s="59"/>
      <c r="AU975" s="60"/>
      <c r="AV975" s="61"/>
      <c r="AW975" s="62"/>
      <c r="AX975" s="33">
        <f t="shared" si="900"/>
        <v>0</v>
      </c>
      <c r="AY975" s="31">
        <f t="shared" si="901"/>
        <v>0</v>
      </c>
      <c r="AZ975" s="30">
        <f t="shared" si="902"/>
        <v>0</v>
      </c>
      <c r="BA975" s="34"/>
      <c r="BB975" s="34"/>
      <c r="BC975" s="34"/>
      <c r="BD975" s="76"/>
      <c r="BE975" s="34"/>
      <c r="BF975" s="34"/>
      <c r="BG975" s="34"/>
      <c r="BH975" s="34"/>
    </row>
    <row r="976" spans="1:60" s="17" customFormat="1" ht="19.5" customHeight="1" thickBot="1" x14ac:dyDescent="0.45">
      <c r="A976" s="41">
        <f t="shared" ref="A976" si="908">A975</f>
        <v>45442</v>
      </c>
      <c r="B976" s="139" t="str">
        <f>B969</f>
        <v>Yaka Çıma</v>
      </c>
      <c r="C976" s="140"/>
      <c r="D976" s="40">
        <f>C886/8</f>
        <v>500</v>
      </c>
      <c r="E976" s="147">
        <f>SUM(E969:H975)</f>
        <v>380</v>
      </c>
      <c r="F976" s="148"/>
      <c r="G976" s="148"/>
      <c r="H976" s="149"/>
      <c r="I976" s="147">
        <f>SUM(I969:L975)</f>
        <v>450</v>
      </c>
      <c r="J976" s="148"/>
      <c r="K976" s="148"/>
      <c r="L976" s="149"/>
      <c r="M976" s="147">
        <f>SUM(M969:P975)</f>
        <v>170</v>
      </c>
      <c r="N976" s="148"/>
      <c r="O976" s="148"/>
      <c r="P976" s="149"/>
      <c r="Q976" s="147">
        <f>SUM(Q969:U975)</f>
        <v>530</v>
      </c>
      <c r="R976" s="148"/>
      <c r="S976" s="148"/>
      <c r="T976" s="148"/>
      <c r="U976" s="149"/>
      <c r="V976" s="147">
        <f>SUM(V969:Y975)</f>
        <v>480</v>
      </c>
      <c r="W976" s="148"/>
      <c r="X976" s="148"/>
      <c r="Y976" s="149"/>
      <c r="Z976" s="147">
        <f>SUM(Z969:AC975)</f>
        <v>500</v>
      </c>
      <c r="AA976" s="148"/>
      <c r="AB976" s="148"/>
      <c r="AC976" s="149"/>
      <c r="AD976" s="147">
        <f>SUM(AD969:AG975)</f>
        <v>250</v>
      </c>
      <c r="AE976" s="148"/>
      <c r="AF976" s="148"/>
      <c r="AG976" s="149"/>
      <c r="AH976" s="147">
        <f>SUM(AH969:AK975)</f>
        <v>440</v>
      </c>
      <c r="AI976" s="148"/>
      <c r="AJ976" s="148"/>
      <c r="AK976" s="149"/>
      <c r="AL976" s="147">
        <f>SUM(AL969:AO975)</f>
        <v>200</v>
      </c>
      <c r="AM976" s="148"/>
      <c r="AN976" s="148"/>
      <c r="AO976" s="149"/>
      <c r="AP976" s="147">
        <f>SUM(AP969:AS975)</f>
        <v>0</v>
      </c>
      <c r="AQ976" s="148"/>
      <c r="AR976" s="148"/>
      <c r="AS976" s="149"/>
      <c r="AT976" s="147">
        <f>SUM(AT969:AW975)</f>
        <v>0</v>
      </c>
      <c r="AU976" s="148"/>
      <c r="AV976" s="148"/>
      <c r="AW976" s="149"/>
      <c r="AX976" s="87">
        <f>SUM(AX969:AX975)</f>
        <v>3400</v>
      </c>
      <c r="AY976" s="88">
        <f>IFERROR(AVERAGEIF(E976:AV976,"&lt;&gt;0",(E976:AV976)),)</f>
        <v>377.77777777777777</v>
      </c>
      <c r="AZ976" s="46">
        <f>IFERROR(AX976/BB970,0)</f>
        <v>0.85</v>
      </c>
      <c r="BA976" s="34"/>
      <c r="BB976" s="34"/>
      <c r="BC976" s="34"/>
      <c r="BD976" s="76"/>
      <c r="BE976" s="34"/>
      <c r="BF976" s="34"/>
      <c r="BG976" s="34"/>
      <c r="BH976" s="34"/>
    </row>
    <row r="977" spans="1:60" s="17" customFormat="1" ht="19.5" customHeight="1" thickBot="1" x14ac:dyDescent="0.4">
      <c r="A977" s="42">
        <f>A959</f>
        <v>45442</v>
      </c>
      <c r="B977" s="38" t="str">
        <f>B978</f>
        <v>Kol Takma</v>
      </c>
      <c r="C977" s="39" t="s">
        <v>180</v>
      </c>
      <c r="D977" s="69" t="s">
        <v>181</v>
      </c>
      <c r="E977" s="48">
        <v>0.34375</v>
      </c>
      <c r="F977" s="49">
        <v>0.35416666666666669</v>
      </c>
      <c r="G977" s="49">
        <v>0.36458333333333331</v>
      </c>
      <c r="H977" s="50">
        <v>0.375</v>
      </c>
      <c r="I977" s="48">
        <v>0.38541666666666702</v>
      </c>
      <c r="J977" s="49">
        <v>0.39583333333333298</v>
      </c>
      <c r="K977" s="49">
        <v>0.40625</v>
      </c>
      <c r="L977" s="50">
        <v>0.41666666666666702</v>
      </c>
      <c r="M977" s="48">
        <v>0.4375</v>
      </c>
      <c r="N977" s="49">
        <v>0.44791666666666702</v>
      </c>
      <c r="O977" s="49">
        <v>0.45833333333333398</v>
      </c>
      <c r="P977" s="50">
        <v>0.46875</v>
      </c>
      <c r="Q977" s="48">
        <v>0.47916666666666702</v>
      </c>
      <c r="R977" s="49">
        <v>0.48958333333333398</v>
      </c>
      <c r="S977" s="49">
        <v>0.5</v>
      </c>
      <c r="T977" s="50">
        <v>0.51041666666666696</v>
      </c>
      <c r="U977" s="51">
        <v>0.52083333333333204</v>
      </c>
      <c r="V977" s="48">
        <v>0.5625</v>
      </c>
      <c r="W977" s="49">
        <v>0.57291666666666663</v>
      </c>
      <c r="X977" s="49">
        <v>0.58333333333333304</v>
      </c>
      <c r="Y977" s="50">
        <v>0.59375</v>
      </c>
      <c r="Z977" s="48">
        <v>0.60416666666666696</v>
      </c>
      <c r="AA977" s="49">
        <v>0.61458333333333304</v>
      </c>
      <c r="AB977" s="49">
        <v>0.625</v>
      </c>
      <c r="AC977" s="50">
        <v>0.63541666666666596</v>
      </c>
      <c r="AD977" s="48">
        <v>0.65625</v>
      </c>
      <c r="AE977" s="49">
        <v>0.66666666666666663</v>
      </c>
      <c r="AF977" s="49">
        <v>0.67708333333333304</v>
      </c>
      <c r="AG977" s="50">
        <v>0.6875</v>
      </c>
      <c r="AH977" s="48">
        <v>0.69791666666666696</v>
      </c>
      <c r="AI977" s="49">
        <v>0.70833333333333304</v>
      </c>
      <c r="AJ977" s="49">
        <v>0.71875</v>
      </c>
      <c r="AK977" s="50">
        <v>0.72916666666666696</v>
      </c>
      <c r="AL977" s="48">
        <v>0.73958333333333404</v>
      </c>
      <c r="AM977" s="49">
        <v>0.750000000000001</v>
      </c>
      <c r="AN977" s="49">
        <v>0.76041666666666796</v>
      </c>
      <c r="AO977" s="50">
        <v>0.77083333333333504</v>
      </c>
      <c r="AP977" s="48">
        <v>0.781250000000002</v>
      </c>
      <c r="AQ977" s="49">
        <v>0.79166666666666896</v>
      </c>
      <c r="AR977" s="49">
        <v>0.80208333333333603</v>
      </c>
      <c r="AS977" s="50">
        <v>0.812500000000003</v>
      </c>
      <c r="AT977" s="48">
        <v>0.82291666666666996</v>
      </c>
      <c r="AU977" s="49">
        <v>0.83333333333333703</v>
      </c>
      <c r="AV977" s="49">
        <v>0.843750000000004</v>
      </c>
      <c r="AW977" s="50">
        <v>0.85416666666666663</v>
      </c>
      <c r="AX977" s="68" t="s">
        <v>260</v>
      </c>
      <c r="AY977" s="28" t="s">
        <v>261</v>
      </c>
      <c r="AZ977" s="29" t="s">
        <v>262</v>
      </c>
      <c r="BA977" s="136" t="str">
        <f>B978</f>
        <v>Kol Takma</v>
      </c>
      <c r="BB977" s="137"/>
      <c r="BC977" s="137"/>
      <c r="BD977" s="137"/>
      <c r="BE977" s="137"/>
      <c r="BF977" s="137"/>
      <c r="BG977" s="137"/>
      <c r="BH977" s="138"/>
    </row>
    <row r="978" spans="1:60" s="17" customFormat="1" ht="19.5" customHeight="1" thickBot="1" x14ac:dyDescent="0.4">
      <c r="A978" s="41">
        <f t="shared" ref="A978" si="909">A977</f>
        <v>45442</v>
      </c>
      <c r="B978" s="37" t="str">
        <f>B802</f>
        <v>Kol Takma</v>
      </c>
      <c r="C978" s="65" t="str">
        <f>C802</f>
        <v>EBRU CANSU</v>
      </c>
      <c r="D978" s="70">
        <f>D802</f>
        <v>35</v>
      </c>
      <c r="E978" s="63"/>
      <c r="F978" s="55"/>
      <c r="G978" s="55"/>
      <c r="H978" s="56"/>
      <c r="I978" s="63"/>
      <c r="J978" s="55"/>
      <c r="K978" s="55"/>
      <c r="L978" s="56">
        <v>0</v>
      </c>
      <c r="M978" s="63"/>
      <c r="N978" s="55"/>
      <c r="O978" s="55"/>
      <c r="P978" s="56"/>
      <c r="Q978" s="63"/>
      <c r="R978" s="55">
        <v>25</v>
      </c>
      <c r="S978" s="55">
        <v>26</v>
      </c>
      <c r="T978" s="55">
        <v>10</v>
      </c>
      <c r="U978" s="56">
        <v>25</v>
      </c>
      <c r="V978" s="63">
        <v>25</v>
      </c>
      <c r="W978" s="55">
        <v>32</v>
      </c>
      <c r="X978" s="55">
        <v>30</v>
      </c>
      <c r="Y978" s="56">
        <v>35</v>
      </c>
      <c r="Z978" s="63">
        <v>40</v>
      </c>
      <c r="AA978" s="55">
        <v>33</v>
      </c>
      <c r="AB978" s="55">
        <v>40</v>
      </c>
      <c r="AC978" s="56">
        <v>40</v>
      </c>
      <c r="AD978" s="63">
        <v>37</v>
      </c>
      <c r="AE978" s="55">
        <v>35</v>
      </c>
      <c r="AF978" s="55">
        <v>35</v>
      </c>
      <c r="AG978" s="56">
        <v>36</v>
      </c>
      <c r="AH978" s="63">
        <v>35</v>
      </c>
      <c r="AI978" s="55">
        <v>15</v>
      </c>
      <c r="AJ978" s="55">
        <v>35</v>
      </c>
      <c r="AK978" s="56">
        <v>22</v>
      </c>
      <c r="AL978" s="63">
        <v>30</v>
      </c>
      <c r="AM978" s="55">
        <v>30</v>
      </c>
      <c r="AN978" s="55">
        <v>35</v>
      </c>
      <c r="AO978" s="56"/>
      <c r="AP978" s="63"/>
      <c r="AQ978" s="55"/>
      <c r="AR978" s="55"/>
      <c r="AS978" s="56"/>
      <c r="AT978" s="53"/>
      <c r="AU978" s="54"/>
      <c r="AV978" s="55"/>
      <c r="AW978" s="56"/>
      <c r="AX978" s="33">
        <f>SUM(E978:AW978)</f>
        <v>706</v>
      </c>
      <c r="AY978" s="31">
        <f>IFERROR(AVERAGEIF(E978:AW978,"&lt;&gt;0",(E978:AW978)),)</f>
        <v>30.695652173913043</v>
      </c>
      <c r="AZ978" s="30">
        <f>IFERROR(AY978/D978,0)</f>
        <v>0.87701863354037268</v>
      </c>
      <c r="BA978" s="103" t="s">
        <v>182</v>
      </c>
      <c r="BB978" s="100" t="s">
        <v>183</v>
      </c>
      <c r="BC978" s="100" t="s">
        <v>184</v>
      </c>
      <c r="BD978" s="101" t="s">
        <v>185</v>
      </c>
      <c r="BE978" s="100" t="s">
        <v>186</v>
      </c>
      <c r="BF978" s="102" t="s">
        <v>187</v>
      </c>
      <c r="BG978" s="100" t="s">
        <v>188</v>
      </c>
      <c r="BH978" s="102" t="s">
        <v>189</v>
      </c>
    </row>
    <row r="979" spans="1:60" s="17" customFormat="1" ht="19.5" customHeight="1" thickBot="1" x14ac:dyDescent="0.4">
      <c r="A979" s="41">
        <f t="shared" ref="A979:B979" si="910">A978</f>
        <v>45442</v>
      </c>
      <c r="B979" s="37" t="str">
        <f t="shared" si="910"/>
        <v>Kol Takma</v>
      </c>
      <c r="C979" s="65" t="str">
        <f t="shared" ref="C979:C984" si="911">C803</f>
        <v>GÜLER SAĞCAN</v>
      </c>
      <c r="D979" s="67">
        <f t="shared" ref="D979:D984" si="912">D978</f>
        <v>35</v>
      </c>
      <c r="E979" s="57">
        <v>33</v>
      </c>
      <c r="F979" s="52">
        <v>35</v>
      </c>
      <c r="G979" s="52">
        <v>32</v>
      </c>
      <c r="H979" s="58">
        <v>33</v>
      </c>
      <c r="I979" s="57">
        <v>33</v>
      </c>
      <c r="J979" s="52">
        <v>16</v>
      </c>
      <c r="K979" s="52">
        <v>30</v>
      </c>
      <c r="L979" s="58">
        <v>28</v>
      </c>
      <c r="M979" s="57">
        <v>30</v>
      </c>
      <c r="N979" s="52">
        <v>30</v>
      </c>
      <c r="O979" s="52">
        <v>30</v>
      </c>
      <c r="P979" s="58">
        <v>27</v>
      </c>
      <c r="Q979" s="57">
        <v>26</v>
      </c>
      <c r="R979" s="52">
        <v>28</v>
      </c>
      <c r="S979" s="52">
        <v>30</v>
      </c>
      <c r="T979" s="52">
        <v>27</v>
      </c>
      <c r="U979" s="58">
        <v>23</v>
      </c>
      <c r="V979" s="57">
        <v>30</v>
      </c>
      <c r="W979" s="52">
        <v>30</v>
      </c>
      <c r="X979" s="52">
        <v>23</v>
      </c>
      <c r="Y979" s="58">
        <v>30</v>
      </c>
      <c r="Z979" s="57">
        <v>28</v>
      </c>
      <c r="AA979" s="52">
        <v>30</v>
      </c>
      <c r="AB979" s="52">
        <v>30</v>
      </c>
      <c r="AC979" s="58">
        <v>18</v>
      </c>
      <c r="AD979" s="57">
        <v>30</v>
      </c>
      <c r="AE979" s="52">
        <v>30</v>
      </c>
      <c r="AF979" s="52">
        <v>32</v>
      </c>
      <c r="AG979" s="58">
        <v>33</v>
      </c>
      <c r="AH979" s="57">
        <v>32</v>
      </c>
      <c r="AI979" s="52">
        <v>30</v>
      </c>
      <c r="AJ979" s="52">
        <v>28</v>
      </c>
      <c r="AK979" s="58">
        <v>30</v>
      </c>
      <c r="AL979" s="57">
        <v>25</v>
      </c>
      <c r="AM979" s="52">
        <v>11</v>
      </c>
      <c r="AN979" s="52">
        <v>27</v>
      </c>
      <c r="AO979" s="58"/>
      <c r="AP979" s="57"/>
      <c r="AQ979" s="52"/>
      <c r="AR979" s="52"/>
      <c r="AS979" s="58"/>
      <c r="AT979" s="57"/>
      <c r="AU979" s="52"/>
      <c r="AV979" s="52"/>
      <c r="AW979" s="58"/>
      <c r="AX979" s="33">
        <f t="shared" ref="AX979:AX984" si="913">SUM(E979:AW979)</f>
        <v>1018</v>
      </c>
      <c r="AY979" s="31">
        <f t="shared" ref="AY979:AY984" si="914">IFERROR(AVERAGEIF(E979:AW979,"&lt;&gt;0",(E979:AW979)),)</f>
        <v>28.277777777777779</v>
      </c>
      <c r="AZ979" s="30">
        <f t="shared" ref="AZ979:AZ984" si="915">IFERROR(AY979/D979,0)</f>
        <v>0.80793650793650795</v>
      </c>
      <c r="BA979" s="94">
        <f>AX985+BA803</f>
        <v>9759</v>
      </c>
      <c r="BB979" s="95">
        <f>(D985*8)</f>
        <v>4000</v>
      </c>
      <c r="BC979" s="96">
        <f>C885-BA979</f>
        <v>32552</v>
      </c>
      <c r="BD979" s="96">
        <f>BA970-BA979</f>
        <v>615</v>
      </c>
      <c r="BE979" s="97">
        <f>IFERROR(BC979/E985,0)</f>
        <v>139.11111111111111</v>
      </c>
      <c r="BF979" s="98">
        <f>IFERROR(BE979/9,0)</f>
        <v>15.456790123456791</v>
      </c>
      <c r="BG979" s="97">
        <f>IFERROR(BC979/AY985,0)</f>
        <v>93.391138029964935</v>
      </c>
      <c r="BH979" s="97">
        <f>IFERROR(BG979/9,0)</f>
        <v>10.376793114440549</v>
      </c>
    </row>
    <row r="980" spans="1:60" s="17" customFormat="1" ht="19.5" customHeight="1" x14ac:dyDescent="0.35">
      <c r="A980" s="41">
        <f t="shared" ref="A980:B980" si="916">A979</f>
        <v>45442</v>
      </c>
      <c r="B980" s="37" t="str">
        <f t="shared" si="916"/>
        <v>Kol Takma</v>
      </c>
      <c r="C980" s="65" t="str">
        <f t="shared" si="911"/>
        <v>ÖZLEM KAHRAMAN</v>
      </c>
      <c r="D980" s="67">
        <f t="shared" si="912"/>
        <v>35</v>
      </c>
      <c r="E980" s="57"/>
      <c r="F980" s="52"/>
      <c r="G980" s="52"/>
      <c r="H980" s="58"/>
      <c r="I980" s="57"/>
      <c r="J980" s="52"/>
      <c r="K980" s="52"/>
      <c r="L980" s="58">
        <v>0</v>
      </c>
      <c r="M980" s="57"/>
      <c r="N980" s="52"/>
      <c r="O980" s="52"/>
      <c r="P980" s="58"/>
      <c r="Q980" s="57"/>
      <c r="R980" s="52"/>
      <c r="S980" s="52"/>
      <c r="T980" s="52"/>
      <c r="U980" s="58">
        <v>0</v>
      </c>
      <c r="V980" s="57">
        <v>35</v>
      </c>
      <c r="W980" s="52">
        <v>35</v>
      </c>
      <c r="X980" s="52">
        <v>35</v>
      </c>
      <c r="Y980" s="58">
        <v>35</v>
      </c>
      <c r="Z980" s="57">
        <v>35</v>
      </c>
      <c r="AA980" s="52">
        <v>35</v>
      </c>
      <c r="AB980" s="52">
        <v>35</v>
      </c>
      <c r="AC980" s="58">
        <v>30</v>
      </c>
      <c r="AD980" s="57">
        <v>30</v>
      </c>
      <c r="AE980" s="52">
        <v>0</v>
      </c>
      <c r="AF980" s="52">
        <v>0</v>
      </c>
      <c r="AG980" s="58">
        <v>35</v>
      </c>
      <c r="AH980" s="57">
        <v>35</v>
      </c>
      <c r="AI980" s="52">
        <v>30</v>
      </c>
      <c r="AJ980" s="52">
        <v>30</v>
      </c>
      <c r="AK980" s="58">
        <v>30</v>
      </c>
      <c r="AL980" s="57">
        <v>30</v>
      </c>
      <c r="AM980" s="52">
        <v>30</v>
      </c>
      <c r="AN980" s="52">
        <v>30</v>
      </c>
      <c r="AO980" s="58"/>
      <c r="AP980" s="57"/>
      <c r="AQ980" s="52"/>
      <c r="AR980" s="52"/>
      <c r="AS980" s="58"/>
      <c r="AT980" s="57"/>
      <c r="AU980" s="52"/>
      <c r="AV980" s="52"/>
      <c r="AW980" s="58"/>
      <c r="AX980" s="33">
        <f t="shared" si="913"/>
        <v>555</v>
      </c>
      <c r="AY980" s="31">
        <f t="shared" si="914"/>
        <v>32.647058823529413</v>
      </c>
      <c r="AZ980" s="30">
        <f t="shared" si="915"/>
        <v>0.9327731092436975</v>
      </c>
      <c r="BA980" s="34"/>
      <c r="BB980" s="34"/>
      <c r="BC980" s="34"/>
      <c r="BD980" s="76"/>
      <c r="BE980" s="34"/>
      <c r="BF980" s="34"/>
      <c r="BG980" s="34"/>
      <c r="BH980" s="34"/>
    </row>
    <row r="981" spans="1:60" s="17" customFormat="1" ht="19.5" customHeight="1" x14ac:dyDescent="0.35">
      <c r="A981" s="41">
        <f t="shared" ref="A981:B981" si="917">A980</f>
        <v>45442</v>
      </c>
      <c r="B981" s="37" t="str">
        <f t="shared" si="917"/>
        <v>Kol Takma</v>
      </c>
      <c r="C981" s="65" t="str">
        <f t="shared" si="911"/>
        <v>HATİCE ÖZDİL</v>
      </c>
      <c r="D981" s="67">
        <f t="shared" si="912"/>
        <v>35</v>
      </c>
      <c r="E981" s="57">
        <v>25</v>
      </c>
      <c r="F981" s="52">
        <v>25</v>
      </c>
      <c r="G981" s="52">
        <v>25</v>
      </c>
      <c r="H981" s="58">
        <v>26</v>
      </c>
      <c r="I981" s="57">
        <v>15</v>
      </c>
      <c r="J981" s="52">
        <v>20</v>
      </c>
      <c r="K981" s="52">
        <v>21</v>
      </c>
      <c r="L981" s="58">
        <v>21</v>
      </c>
      <c r="M981" s="57">
        <v>25</v>
      </c>
      <c r="N981" s="52">
        <v>25</v>
      </c>
      <c r="O981" s="52">
        <v>25</v>
      </c>
      <c r="P981" s="58">
        <v>0</v>
      </c>
      <c r="Q981" s="57">
        <v>20</v>
      </c>
      <c r="R981" s="52">
        <v>25</v>
      </c>
      <c r="S981" s="52">
        <v>25</v>
      </c>
      <c r="T981" s="52">
        <v>25</v>
      </c>
      <c r="U981" s="58">
        <v>25</v>
      </c>
      <c r="V981" s="57">
        <v>25</v>
      </c>
      <c r="W981" s="52">
        <v>26</v>
      </c>
      <c r="X981" s="52">
        <v>25</v>
      </c>
      <c r="Y981" s="58">
        <v>30</v>
      </c>
      <c r="Z981" s="57">
        <v>30</v>
      </c>
      <c r="AA981" s="52">
        <v>20</v>
      </c>
      <c r="AB981" s="52">
        <v>30</v>
      </c>
      <c r="AC981" s="58">
        <v>25</v>
      </c>
      <c r="AD981" s="57">
        <v>26</v>
      </c>
      <c r="AE981" s="52">
        <v>30</v>
      </c>
      <c r="AF981" s="52">
        <v>20</v>
      </c>
      <c r="AG981" s="58">
        <v>20</v>
      </c>
      <c r="AH981" s="57">
        <v>27</v>
      </c>
      <c r="AI981" s="52">
        <v>22</v>
      </c>
      <c r="AJ981" s="52">
        <v>25</v>
      </c>
      <c r="AK981" s="58">
        <v>22</v>
      </c>
      <c r="AL981" s="57">
        <v>25</v>
      </c>
      <c r="AM981" s="52">
        <v>30</v>
      </c>
      <c r="AN981" s="52">
        <v>27</v>
      </c>
      <c r="AO981" s="58"/>
      <c r="AP981" s="57"/>
      <c r="AQ981" s="52"/>
      <c r="AR981" s="52"/>
      <c r="AS981" s="58"/>
      <c r="AT981" s="57"/>
      <c r="AU981" s="52"/>
      <c r="AV981" s="52"/>
      <c r="AW981" s="58"/>
      <c r="AX981" s="33">
        <f t="shared" si="913"/>
        <v>858</v>
      </c>
      <c r="AY981" s="31">
        <f t="shared" si="914"/>
        <v>24.514285714285716</v>
      </c>
      <c r="AZ981" s="30">
        <f t="shared" si="915"/>
        <v>0.70040816326530619</v>
      </c>
      <c r="BA981" s="34"/>
      <c r="BB981" s="34"/>
      <c r="BC981" s="34"/>
      <c r="BD981" s="76"/>
      <c r="BE981" s="34"/>
      <c r="BF981" s="34"/>
      <c r="BG981" s="34"/>
      <c r="BH981" s="34"/>
    </row>
    <row r="982" spans="1:60" s="17" customFormat="1" ht="19.5" customHeight="1" x14ac:dyDescent="0.35">
      <c r="A982" s="41">
        <f>A979</f>
        <v>45442</v>
      </c>
      <c r="B982" s="37" t="str">
        <f t="shared" ref="B982" si="918">B981</f>
        <v>Kol Takma</v>
      </c>
      <c r="C982" s="65"/>
      <c r="D982" s="67">
        <f t="shared" si="912"/>
        <v>35</v>
      </c>
      <c r="E982" s="57"/>
      <c r="F982" s="52"/>
      <c r="G982" s="52"/>
      <c r="H982" s="58"/>
      <c r="I982" s="57"/>
      <c r="J982" s="52"/>
      <c r="K982" s="52"/>
      <c r="L982" s="58"/>
      <c r="M982" s="57"/>
      <c r="N982" s="52"/>
      <c r="O982" s="52"/>
      <c r="P982" s="58"/>
      <c r="Q982" s="57"/>
      <c r="R982" s="52"/>
      <c r="S982" s="52"/>
      <c r="T982" s="52"/>
      <c r="U982" s="58"/>
      <c r="V982" s="57"/>
      <c r="W982" s="52"/>
      <c r="X982" s="52"/>
      <c r="Y982" s="58"/>
      <c r="Z982" s="57"/>
      <c r="AA982" s="52"/>
      <c r="AB982" s="52"/>
      <c r="AC982" s="58"/>
      <c r="AD982" s="57"/>
      <c r="AE982" s="52"/>
      <c r="AF982" s="52"/>
      <c r="AG982" s="58"/>
      <c r="AH982" s="57"/>
      <c r="AI982" s="52"/>
      <c r="AJ982" s="52"/>
      <c r="AK982" s="58"/>
      <c r="AL982" s="57"/>
      <c r="AM982" s="52"/>
      <c r="AN982" s="52"/>
      <c r="AO982" s="58"/>
      <c r="AP982" s="57"/>
      <c r="AQ982" s="52"/>
      <c r="AR982" s="52"/>
      <c r="AS982" s="58"/>
      <c r="AT982" s="57"/>
      <c r="AU982" s="52"/>
      <c r="AV982" s="52"/>
      <c r="AW982" s="58"/>
      <c r="AX982" s="33">
        <f t="shared" si="913"/>
        <v>0</v>
      </c>
      <c r="AY982" s="31">
        <f t="shared" si="914"/>
        <v>0</v>
      </c>
      <c r="AZ982" s="30">
        <f t="shared" si="915"/>
        <v>0</v>
      </c>
      <c r="BA982" s="34"/>
      <c r="BB982" s="34"/>
      <c r="BC982" s="34"/>
      <c r="BD982" s="76"/>
      <c r="BE982" s="34"/>
      <c r="BF982" s="34"/>
      <c r="BG982" s="34"/>
      <c r="BH982" s="34"/>
    </row>
    <row r="983" spans="1:60" s="17" customFormat="1" ht="19.5" customHeight="1" x14ac:dyDescent="0.35">
      <c r="A983" s="41">
        <f t="shared" ref="A983:B983" si="919">A982</f>
        <v>45442</v>
      </c>
      <c r="B983" s="37" t="str">
        <f t="shared" si="919"/>
        <v>Kol Takma</v>
      </c>
      <c r="C983" s="65">
        <f t="shared" si="911"/>
        <v>0</v>
      </c>
      <c r="D983" s="67">
        <f t="shared" si="912"/>
        <v>35</v>
      </c>
      <c r="E983" s="57"/>
      <c r="F983" s="52"/>
      <c r="G983" s="52"/>
      <c r="H983" s="58"/>
      <c r="I983" s="57"/>
      <c r="J983" s="52"/>
      <c r="K983" s="52"/>
      <c r="L983" s="58"/>
      <c r="M983" s="57"/>
      <c r="N983" s="52"/>
      <c r="O983" s="52"/>
      <c r="P983" s="58"/>
      <c r="Q983" s="57"/>
      <c r="R983" s="52"/>
      <c r="S983" s="52"/>
      <c r="T983" s="52"/>
      <c r="U983" s="58"/>
      <c r="V983" s="57"/>
      <c r="W983" s="52"/>
      <c r="X983" s="52"/>
      <c r="Y983" s="58"/>
      <c r="Z983" s="57"/>
      <c r="AA983" s="52"/>
      <c r="AB983" s="52"/>
      <c r="AC983" s="58"/>
      <c r="AD983" s="57"/>
      <c r="AE983" s="52"/>
      <c r="AF983" s="52"/>
      <c r="AG983" s="58"/>
      <c r="AH983" s="57"/>
      <c r="AI983" s="52"/>
      <c r="AJ983" s="52"/>
      <c r="AK983" s="58"/>
      <c r="AL983" s="57"/>
      <c r="AM983" s="52"/>
      <c r="AN983" s="52"/>
      <c r="AO983" s="58"/>
      <c r="AP983" s="57"/>
      <c r="AQ983" s="52"/>
      <c r="AR983" s="52"/>
      <c r="AS983" s="58"/>
      <c r="AT983" s="57"/>
      <c r="AU983" s="52"/>
      <c r="AV983" s="52"/>
      <c r="AW983" s="58"/>
      <c r="AX983" s="33">
        <f t="shared" si="913"/>
        <v>0</v>
      </c>
      <c r="AY983" s="31">
        <f t="shared" si="914"/>
        <v>0</v>
      </c>
      <c r="AZ983" s="30">
        <f t="shared" si="915"/>
        <v>0</v>
      </c>
      <c r="BA983" s="34"/>
      <c r="BB983" s="34"/>
      <c r="BC983" s="34"/>
      <c r="BD983" s="76"/>
      <c r="BE983" s="34"/>
      <c r="BF983" s="34"/>
      <c r="BG983" s="34"/>
      <c r="BH983" s="34"/>
    </row>
    <row r="984" spans="1:60" s="17" customFormat="1" ht="19.5" customHeight="1" thickBot="1" x14ac:dyDescent="0.4">
      <c r="A984" s="41">
        <f t="shared" ref="A984:B984" si="920">A983</f>
        <v>45442</v>
      </c>
      <c r="B984" s="37" t="str">
        <f t="shared" si="920"/>
        <v>Kol Takma</v>
      </c>
      <c r="C984" s="65">
        <f t="shared" si="911"/>
        <v>0</v>
      </c>
      <c r="D984" s="67">
        <f t="shared" si="912"/>
        <v>35</v>
      </c>
      <c r="E984" s="59"/>
      <c r="F984" s="60"/>
      <c r="G984" s="61"/>
      <c r="H984" s="62"/>
      <c r="I984" s="59"/>
      <c r="J984" s="60"/>
      <c r="K984" s="61"/>
      <c r="L984" s="62"/>
      <c r="M984" s="59"/>
      <c r="N984" s="60"/>
      <c r="O984" s="61"/>
      <c r="P984" s="62"/>
      <c r="Q984" s="64"/>
      <c r="R984" s="61"/>
      <c r="S984" s="61"/>
      <c r="T984" s="61"/>
      <c r="U984" s="62"/>
      <c r="V984" s="59"/>
      <c r="W984" s="60"/>
      <c r="X984" s="61"/>
      <c r="Y984" s="62"/>
      <c r="Z984" s="59"/>
      <c r="AA984" s="60"/>
      <c r="AB984" s="61"/>
      <c r="AC984" s="62"/>
      <c r="AD984" s="59"/>
      <c r="AE984" s="60"/>
      <c r="AF984" s="61"/>
      <c r="AG984" s="62"/>
      <c r="AH984" s="59"/>
      <c r="AI984" s="60"/>
      <c r="AJ984" s="61"/>
      <c r="AK984" s="62"/>
      <c r="AL984" s="59"/>
      <c r="AM984" s="60"/>
      <c r="AN984" s="61"/>
      <c r="AO984" s="62"/>
      <c r="AP984" s="59"/>
      <c r="AQ984" s="60"/>
      <c r="AR984" s="61"/>
      <c r="AS984" s="62"/>
      <c r="AT984" s="59"/>
      <c r="AU984" s="60"/>
      <c r="AV984" s="61"/>
      <c r="AW984" s="62"/>
      <c r="AX984" s="33">
        <f t="shared" si="913"/>
        <v>0</v>
      </c>
      <c r="AY984" s="31">
        <f t="shared" si="914"/>
        <v>0</v>
      </c>
      <c r="AZ984" s="30">
        <f t="shared" si="915"/>
        <v>0</v>
      </c>
      <c r="BA984" s="34"/>
      <c r="BB984" s="34"/>
      <c r="BC984" s="34"/>
      <c r="BD984" s="76"/>
      <c r="BE984" s="34"/>
      <c r="BF984" s="34"/>
      <c r="BG984" s="34"/>
      <c r="BH984" s="34"/>
    </row>
    <row r="985" spans="1:60" s="17" customFormat="1" ht="19.5" customHeight="1" thickBot="1" x14ac:dyDescent="0.45">
      <c r="A985" s="41">
        <f t="shared" ref="A985" si="921">A984</f>
        <v>45442</v>
      </c>
      <c r="B985" s="139" t="str">
        <f>B978</f>
        <v>Kol Takma</v>
      </c>
      <c r="C985" s="140"/>
      <c r="D985" s="40">
        <f>C886/8</f>
        <v>500</v>
      </c>
      <c r="E985" s="147">
        <f>SUM(E978:H984)</f>
        <v>234</v>
      </c>
      <c r="F985" s="148"/>
      <c r="G985" s="148"/>
      <c r="H985" s="149"/>
      <c r="I985" s="147">
        <f>SUM(I978:L984)</f>
        <v>184</v>
      </c>
      <c r="J985" s="148"/>
      <c r="K985" s="148"/>
      <c r="L985" s="149"/>
      <c r="M985" s="147">
        <f>SUM(M978:P984)</f>
        <v>192</v>
      </c>
      <c r="N985" s="148"/>
      <c r="O985" s="148"/>
      <c r="P985" s="149"/>
      <c r="Q985" s="147">
        <f>SUM(Q978:U984)</f>
        <v>340</v>
      </c>
      <c r="R985" s="148"/>
      <c r="S985" s="148"/>
      <c r="T985" s="148"/>
      <c r="U985" s="149"/>
      <c r="V985" s="147">
        <f>SUM(V978:Y984)</f>
        <v>481</v>
      </c>
      <c r="W985" s="148"/>
      <c r="X985" s="148"/>
      <c r="Y985" s="149"/>
      <c r="Z985" s="147">
        <f>SUM(Z978:AC984)</f>
        <v>499</v>
      </c>
      <c r="AA985" s="148"/>
      <c r="AB985" s="148"/>
      <c r="AC985" s="149"/>
      <c r="AD985" s="147">
        <f>SUM(AD978:AG984)</f>
        <v>429</v>
      </c>
      <c r="AE985" s="148"/>
      <c r="AF985" s="148"/>
      <c r="AG985" s="149"/>
      <c r="AH985" s="147">
        <f>SUM(AH978:AK984)</f>
        <v>448</v>
      </c>
      <c r="AI985" s="148"/>
      <c r="AJ985" s="148"/>
      <c r="AK985" s="149"/>
      <c r="AL985" s="147">
        <f>SUM(AL978:AO984)</f>
        <v>330</v>
      </c>
      <c r="AM985" s="148"/>
      <c r="AN985" s="148"/>
      <c r="AO985" s="149"/>
      <c r="AP985" s="147">
        <f>SUM(AP978:AS984)</f>
        <v>0</v>
      </c>
      <c r="AQ985" s="148"/>
      <c r="AR985" s="148"/>
      <c r="AS985" s="149"/>
      <c r="AT985" s="147">
        <f>SUM(AT978:AW984)</f>
        <v>0</v>
      </c>
      <c r="AU985" s="148"/>
      <c r="AV985" s="148"/>
      <c r="AW985" s="149"/>
      <c r="AX985" s="87">
        <f>SUM(AX978:AX984)</f>
        <v>3137</v>
      </c>
      <c r="AY985" s="88">
        <f>IFERROR(AVERAGEIF(E985:AV985,"&lt;&gt;0",(E985:AV985)),)</f>
        <v>348.55555555555554</v>
      </c>
      <c r="AZ985" s="46">
        <f>IFERROR(AX985/BB979,0)</f>
        <v>0.78425</v>
      </c>
      <c r="BA985" s="34"/>
      <c r="BB985" s="34"/>
      <c r="BC985" s="34"/>
      <c r="BD985" s="76"/>
      <c r="BE985" s="34"/>
      <c r="BF985" s="34"/>
      <c r="BG985" s="34"/>
      <c r="BH985" s="34"/>
    </row>
    <row r="986" spans="1:60" s="17" customFormat="1" ht="19.5" customHeight="1" thickBot="1" x14ac:dyDescent="0.4">
      <c r="A986" s="42">
        <f>A977</f>
        <v>45442</v>
      </c>
      <c r="B986" s="38" t="str">
        <f>B987</f>
        <v>Yan Kapama</v>
      </c>
      <c r="C986" s="39" t="s">
        <v>180</v>
      </c>
      <c r="D986" s="69" t="s">
        <v>181</v>
      </c>
      <c r="E986" s="48">
        <v>0.34375</v>
      </c>
      <c r="F986" s="49">
        <v>0.35416666666666669</v>
      </c>
      <c r="G986" s="49">
        <v>0.36458333333333331</v>
      </c>
      <c r="H986" s="50">
        <v>0.375</v>
      </c>
      <c r="I986" s="48">
        <v>0.38541666666666702</v>
      </c>
      <c r="J986" s="49">
        <v>0.39583333333333298</v>
      </c>
      <c r="K986" s="49">
        <v>0.40625</v>
      </c>
      <c r="L986" s="50">
        <v>0.41666666666666702</v>
      </c>
      <c r="M986" s="48">
        <v>0.4375</v>
      </c>
      <c r="N986" s="49">
        <v>0.44791666666666702</v>
      </c>
      <c r="O986" s="49">
        <v>0.45833333333333398</v>
      </c>
      <c r="P986" s="50">
        <v>0.46875</v>
      </c>
      <c r="Q986" s="82">
        <v>0.47916666666666702</v>
      </c>
      <c r="R986" s="83">
        <v>0.48958333333333398</v>
      </c>
      <c r="S986" s="83">
        <v>0.5</v>
      </c>
      <c r="T986" s="84">
        <v>0.51041666666666696</v>
      </c>
      <c r="U986" s="85">
        <v>0.52083333333333204</v>
      </c>
      <c r="V986" s="48">
        <v>0.5625</v>
      </c>
      <c r="W986" s="49">
        <v>0.57291666666666663</v>
      </c>
      <c r="X986" s="49">
        <v>0.58333333333333304</v>
      </c>
      <c r="Y986" s="50">
        <v>0.59375</v>
      </c>
      <c r="Z986" s="48">
        <v>0.60416666666666696</v>
      </c>
      <c r="AA986" s="49">
        <v>0.61458333333333304</v>
      </c>
      <c r="AB986" s="49">
        <v>0.625</v>
      </c>
      <c r="AC986" s="50">
        <v>0.63541666666666596</v>
      </c>
      <c r="AD986" s="48">
        <v>0.65625</v>
      </c>
      <c r="AE986" s="49">
        <v>0.66666666666666663</v>
      </c>
      <c r="AF986" s="49">
        <v>0.67708333333333304</v>
      </c>
      <c r="AG986" s="50">
        <v>0.6875</v>
      </c>
      <c r="AH986" s="48">
        <v>0.69791666666666696</v>
      </c>
      <c r="AI986" s="49">
        <v>0.70833333333333304</v>
      </c>
      <c r="AJ986" s="49">
        <v>0.71875</v>
      </c>
      <c r="AK986" s="50">
        <v>0.72916666666666696</v>
      </c>
      <c r="AL986" s="48">
        <v>0.73958333333333404</v>
      </c>
      <c r="AM986" s="49">
        <v>0.750000000000001</v>
      </c>
      <c r="AN986" s="49">
        <v>0.76041666666666796</v>
      </c>
      <c r="AO986" s="50">
        <v>0.77083333333333504</v>
      </c>
      <c r="AP986" s="48">
        <v>0.781250000000002</v>
      </c>
      <c r="AQ986" s="49">
        <v>0.79166666666666896</v>
      </c>
      <c r="AR986" s="49">
        <v>0.80208333333333603</v>
      </c>
      <c r="AS986" s="50">
        <v>0.812500000000003</v>
      </c>
      <c r="AT986" s="48">
        <v>0.82291666666666996</v>
      </c>
      <c r="AU986" s="49">
        <v>0.83333333333333703</v>
      </c>
      <c r="AV986" s="49">
        <v>0.843750000000004</v>
      </c>
      <c r="AW986" s="50">
        <v>0.85416666666666663</v>
      </c>
      <c r="AX986" s="68" t="s">
        <v>260</v>
      </c>
      <c r="AY986" s="28" t="s">
        <v>261</v>
      </c>
      <c r="AZ986" s="29" t="s">
        <v>262</v>
      </c>
      <c r="BA986" s="136" t="str">
        <f>B987</f>
        <v>Yan Kapama</v>
      </c>
      <c r="BB986" s="137"/>
      <c r="BC986" s="137"/>
      <c r="BD986" s="137"/>
      <c r="BE986" s="137"/>
      <c r="BF986" s="137"/>
      <c r="BG986" s="137"/>
      <c r="BH986" s="138"/>
    </row>
    <row r="987" spans="1:60" s="17" customFormat="1" ht="19.5" customHeight="1" thickBot="1" x14ac:dyDescent="0.4">
      <c r="A987" s="41">
        <f t="shared" ref="A987" si="922">A986</f>
        <v>45442</v>
      </c>
      <c r="B987" s="37" t="str">
        <f>B811</f>
        <v>Yan Kapama</v>
      </c>
      <c r="C987" s="65" t="s">
        <v>99</v>
      </c>
      <c r="D987" s="70">
        <f>D811</f>
        <v>40</v>
      </c>
      <c r="E987" s="63">
        <v>35</v>
      </c>
      <c r="F987" s="55">
        <v>36</v>
      </c>
      <c r="G987" s="55">
        <v>38</v>
      </c>
      <c r="H987" s="56">
        <v>35</v>
      </c>
      <c r="I987" s="63">
        <v>25</v>
      </c>
      <c r="J987" s="55">
        <v>35</v>
      </c>
      <c r="K987" s="55">
        <v>38</v>
      </c>
      <c r="L987" s="56">
        <v>35</v>
      </c>
      <c r="M987" s="63">
        <v>0</v>
      </c>
      <c r="N987" s="55">
        <v>30</v>
      </c>
      <c r="O987" s="55">
        <v>33</v>
      </c>
      <c r="P987" s="56">
        <v>35</v>
      </c>
      <c r="Q987" s="63">
        <v>37</v>
      </c>
      <c r="R987" s="55">
        <v>25</v>
      </c>
      <c r="S987" s="55">
        <v>25</v>
      </c>
      <c r="T987" s="3">
        <v>15</v>
      </c>
      <c r="U987" s="56">
        <v>30</v>
      </c>
      <c r="V987" s="63">
        <v>33</v>
      </c>
      <c r="W987" s="55">
        <v>30</v>
      </c>
      <c r="X987" s="55">
        <v>25</v>
      </c>
      <c r="Y987" s="56">
        <v>35</v>
      </c>
      <c r="Z987" s="63">
        <v>33</v>
      </c>
      <c r="AA987" s="55">
        <v>33</v>
      </c>
      <c r="AB987" s="55">
        <v>30</v>
      </c>
      <c r="AC987" s="56">
        <v>21</v>
      </c>
      <c r="AD987" s="63">
        <v>35</v>
      </c>
      <c r="AE987" s="55">
        <v>21</v>
      </c>
      <c r="AF987" s="55">
        <v>35</v>
      </c>
      <c r="AG987" s="56">
        <v>32</v>
      </c>
      <c r="AH987" s="63">
        <v>30</v>
      </c>
      <c r="AI987" s="55">
        <v>15</v>
      </c>
      <c r="AJ987" s="55">
        <v>25</v>
      </c>
      <c r="AK987" s="56">
        <v>35</v>
      </c>
      <c r="AL987" s="53">
        <v>30</v>
      </c>
      <c r="AM987" s="54">
        <v>20</v>
      </c>
      <c r="AN987" s="55">
        <v>30</v>
      </c>
      <c r="AO987" s="56"/>
      <c r="AP987" s="53"/>
      <c r="AQ987" s="54"/>
      <c r="AR987" s="55"/>
      <c r="AS987" s="56"/>
      <c r="AT987" s="53"/>
      <c r="AU987" s="54"/>
      <c r="AV987" s="55"/>
      <c r="AW987" s="56"/>
      <c r="AX987" s="33">
        <f>SUM(E987:AW987)</f>
        <v>1055</v>
      </c>
      <c r="AY987" s="31">
        <f>IFERROR(AVERAGEIF(E987:AW987,"&lt;&gt;0",(E987:AW987)),)</f>
        <v>30.142857142857142</v>
      </c>
      <c r="AZ987" s="30">
        <f>IFERROR(AY987/D987,0)</f>
        <v>0.75357142857142856</v>
      </c>
      <c r="BA987" s="103" t="s">
        <v>182</v>
      </c>
      <c r="BB987" s="100" t="s">
        <v>183</v>
      </c>
      <c r="BC987" s="100" t="s">
        <v>184</v>
      </c>
      <c r="BD987" s="101" t="s">
        <v>185</v>
      </c>
      <c r="BE987" s="100" t="s">
        <v>186</v>
      </c>
      <c r="BF987" s="102" t="s">
        <v>187</v>
      </c>
      <c r="BG987" s="100" t="s">
        <v>188</v>
      </c>
      <c r="BH987" s="102" t="s">
        <v>189</v>
      </c>
    </row>
    <row r="988" spans="1:60" s="17" customFormat="1" ht="19.5" customHeight="1" thickBot="1" x14ac:dyDescent="0.4">
      <c r="A988" s="41">
        <f t="shared" ref="A988:B988" si="923">A987</f>
        <v>45442</v>
      </c>
      <c r="B988" s="37" t="str">
        <f t="shared" si="923"/>
        <v>Yan Kapama</v>
      </c>
      <c r="C988" s="65" t="s">
        <v>278</v>
      </c>
      <c r="D988" s="67">
        <f t="shared" ref="D988:D993" si="924">D987</f>
        <v>40</v>
      </c>
      <c r="E988" s="57">
        <v>32</v>
      </c>
      <c r="F988" s="52">
        <v>40</v>
      </c>
      <c r="G988" s="52">
        <v>36</v>
      </c>
      <c r="H988" s="58">
        <v>40</v>
      </c>
      <c r="I988" s="57">
        <v>35</v>
      </c>
      <c r="J988" s="52">
        <v>38</v>
      </c>
      <c r="K988" s="52">
        <v>38</v>
      </c>
      <c r="L988" s="58">
        <v>33</v>
      </c>
      <c r="M988" s="57"/>
      <c r="N988" s="52"/>
      <c r="O988" s="52"/>
      <c r="P988" s="58"/>
      <c r="Q988" s="57"/>
      <c r="R988" s="52"/>
      <c r="S988" s="52"/>
      <c r="T988" s="52">
        <v>16</v>
      </c>
      <c r="U988" s="58">
        <v>35</v>
      </c>
      <c r="V988" s="57">
        <v>32</v>
      </c>
      <c r="W988" s="52">
        <v>30</v>
      </c>
      <c r="X988" s="52">
        <v>40</v>
      </c>
      <c r="Y988" s="58">
        <v>38</v>
      </c>
      <c r="Z988" s="57">
        <v>33</v>
      </c>
      <c r="AA988" s="52">
        <v>38</v>
      </c>
      <c r="AB988" s="52">
        <v>40</v>
      </c>
      <c r="AC988" s="58">
        <v>30</v>
      </c>
      <c r="AD988" s="57">
        <v>36</v>
      </c>
      <c r="AE988" s="52">
        <v>26</v>
      </c>
      <c r="AF988" s="52">
        <v>40</v>
      </c>
      <c r="AG988" s="58">
        <v>40</v>
      </c>
      <c r="AH988" s="57">
        <v>40</v>
      </c>
      <c r="AI988" s="52">
        <v>35</v>
      </c>
      <c r="AJ988" s="52">
        <v>36</v>
      </c>
      <c r="AK988" s="58"/>
      <c r="AL988" s="57"/>
      <c r="AM988" s="52"/>
      <c r="AN988" s="52"/>
      <c r="AO988" s="58"/>
      <c r="AP988" s="57"/>
      <c r="AQ988" s="52"/>
      <c r="AR988" s="52"/>
      <c r="AS988" s="58"/>
      <c r="AT988" s="57"/>
      <c r="AU988" s="52"/>
      <c r="AV988" s="52"/>
      <c r="AW988" s="58"/>
      <c r="AX988" s="33">
        <f t="shared" ref="AX988:AX993" si="925">SUM(E988:AW988)</f>
        <v>877</v>
      </c>
      <c r="AY988" s="31">
        <f t="shared" ref="AY988:AY993" si="926">IFERROR(AVERAGEIF(E988:AW988,"&lt;&gt;0",(E988:AW988)),)</f>
        <v>35.08</v>
      </c>
      <c r="AZ988" s="30">
        <f t="shared" ref="AZ988:AZ993" si="927">IFERROR(AY988/D988,0)</f>
        <v>0.877</v>
      </c>
      <c r="BA988" s="94">
        <f>AX994+BA812</f>
        <v>10082</v>
      </c>
      <c r="BB988" s="95">
        <f>(D994*8)</f>
        <v>4000</v>
      </c>
      <c r="BC988" s="96">
        <f>C885-BA988</f>
        <v>32229</v>
      </c>
      <c r="BD988" s="96">
        <f>BA979-BA988</f>
        <v>-323</v>
      </c>
      <c r="BE988" s="97">
        <f>IFERROR(BC988/E994,0)</f>
        <v>80.572500000000005</v>
      </c>
      <c r="BF988" s="98">
        <f>IFERROR(BE988/9,0)</f>
        <v>8.9525000000000006</v>
      </c>
      <c r="BG988" s="97">
        <f>IFERROR(BC988/AY994,0)</f>
        <v>91.733396584440229</v>
      </c>
      <c r="BH988" s="97">
        <f>IFERROR(BG988/9,0)</f>
        <v>10.192599620493359</v>
      </c>
    </row>
    <row r="989" spans="1:60" s="17" customFormat="1" ht="19.5" customHeight="1" x14ac:dyDescent="0.35">
      <c r="A989" s="41">
        <f t="shared" ref="A989:B989" si="928">A988</f>
        <v>45442</v>
      </c>
      <c r="B989" s="37" t="str">
        <f t="shared" si="928"/>
        <v>Yan Kapama</v>
      </c>
      <c r="C989" s="65" t="s">
        <v>28</v>
      </c>
      <c r="D989" s="67">
        <f t="shared" si="924"/>
        <v>40</v>
      </c>
      <c r="E989" s="57">
        <v>26</v>
      </c>
      <c r="F989" s="52">
        <v>25</v>
      </c>
      <c r="G989" s="52">
        <v>30</v>
      </c>
      <c r="H989" s="58">
        <v>27</v>
      </c>
      <c r="I989" s="57">
        <v>30</v>
      </c>
      <c r="J989" s="52">
        <v>30</v>
      </c>
      <c r="K989" s="52">
        <v>12</v>
      </c>
      <c r="L989" s="58">
        <v>0</v>
      </c>
      <c r="M989" s="57"/>
      <c r="N989" s="52"/>
      <c r="O989" s="52"/>
      <c r="P989" s="58"/>
      <c r="Q989" s="57"/>
      <c r="R989" s="52"/>
      <c r="S989" s="52"/>
      <c r="T989" s="52">
        <v>12</v>
      </c>
      <c r="U989" s="58">
        <v>27</v>
      </c>
      <c r="V989" s="57">
        <v>20</v>
      </c>
      <c r="W989" s="52">
        <v>10</v>
      </c>
      <c r="X989" s="52">
        <v>28</v>
      </c>
      <c r="Y989" s="58">
        <v>30</v>
      </c>
      <c r="Z989" s="57">
        <v>25</v>
      </c>
      <c r="AA989" s="52">
        <v>23</v>
      </c>
      <c r="AB989" s="52">
        <v>16</v>
      </c>
      <c r="AC989" s="58">
        <v>20</v>
      </c>
      <c r="AD989" s="57">
        <v>28</v>
      </c>
      <c r="AE989" s="52">
        <v>18</v>
      </c>
      <c r="AF989" s="52">
        <v>27</v>
      </c>
      <c r="AG989" s="58">
        <v>21</v>
      </c>
      <c r="AH989" s="57">
        <v>22</v>
      </c>
      <c r="AI989" s="52">
        <v>20</v>
      </c>
      <c r="AJ989" s="52">
        <v>30</v>
      </c>
      <c r="AK989" s="58">
        <v>26</v>
      </c>
      <c r="AL989" s="57">
        <v>25</v>
      </c>
      <c r="AM989" s="52">
        <v>20</v>
      </c>
      <c r="AN989" s="52">
        <v>18</v>
      </c>
      <c r="AO989" s="58"/>
      <c r="AP989" s="57"/>
      <c r="AQ989" s="52"/>
      <c r="AR989" s="52"/>
      <c r="AS989" s="58"/>
      <c r="AT989" s="57"/>
      <c r="AU989" s="52"/>
      <c r="AV989" s="52"/>
      <c r="AW989" s="58"/>
      <c r="AX989" s="33">
        <f t="shared" si="925"/>
        <v>646</v>
      </c>
      <c r="AY989" s="31">
        <f t="shared" si="926"/>
        <v>23.071428571428573</v>
      </c>
      <c r="AZ989" s="30">
        <f t="shared" si="927"/>
        <v>0.57678571428571435</v>
      </c>
      <c r="BA989" s="34"/>
      <c r="BB989" s="34"/>
      <c r="BC989" s="34"/>
      <c r="BD989" s="76"/>
      <c r="BE989" s="34"/>
      <c r="BF989" s="34"/>
      <c r="BG989" s="34"/>
      <c r="BH989" s="34"/>
    </row>
    <row r="990" spans="1:60" s="17" customFormat="1" ht="19.5" customHeight="1" x14ac:dyDescent="0.35">
      <c r="A990" s="41">
        <f t="shared" ref="A990:B990" si="929">A989</f>
        <v>45442</v>
      </c>
      <c r="B990" s="37" t="str">
        <f t="shared" si="929"/>
        <v>Yan Kapama</v>
      </c>
      <c r="C990" s="65" t="s">
        <v>54</v>
      </c>
      <c r="D990" s="67">
        <f t="shared" si="924"/>
        <v>40</v>
      </c>
      <c r="E990" s="57"/>
      <c r="F990" s="52"/>
      <c r="G990" s="52"/>
      <c r="H990" s="58"/>
      <c r="I990" s="57"/>
      <c r="J990" s="52"/>
      <c r="K990" s="52"/>
      <c r="L990" s="58"/>
      <c r="M990" s="57"/>
      <c r="N990" s="52"/>
      <c r="O990" s="52"/>
      <c r="P990" s="58"/>
      <c r="Q990" s="57"/>
      <c r="R990" s="52"/>
      <c r="S990" s="52"/>
      <c r="T990" s="52"/>
      <c r="U990" s="58">
        <v>27</v>
      </c>
      <c r="V990" s="57">
        <v>21</v>
      </c>
      <c r="W990" s="52">
        <v>32</v>
      </c>
      <c r="X990" s="52">
        <v>32</v>
      </c>
      <c r="Y990" s="58">
        <v>30</v>
      </c>
      <c r="Z990" s="57">
        <v>27</v>
      </c>
      <c r="AA990" s="52">
        <v>30</v>
      </c>
      <c r="AB990" s="52">
        <v>34</v>
      </c>
      <c r="AC990" s="58">
        <v>30</v>
      </c>
      <c r="AD990" s="57">
        <v>26</v>
      </c>
      <c r="AE990" s="52">
        <v>18</v>
      </c>
      <c r="AF990" s="52">
        <v>31</v>
      </c>
      <c r="AG990" s="58">
        <v>30</v>
      </c>
      <c r="AH990" s="57">
        <v>21</v>
      </c>
      <c r="AI990" s="52">
        <v>25</v>
      </c>
      <c r="AJ990" s="52">
        <v>35</v>
      </c>
      <c r="AK990" s="58">
        <v>30</v>
      </c>
      <c r="AL990" s="57">
        <v>32</v>
      </c>
      <c r="AM990" s="52">
        <v>28</v>
      </c>
      <c r="AN990" s="52">
        <v>25</v>
      </c>
      <c r="AO990" s="58"/>
      <c r="AP990" s="57"/>
      <c r="AQ990" s="52"/>
      <c r="AR990" s="52"/>
      <c r="AS990" s="58"/>
      <c r="AT990" s="57"/>
      <c r="AU990" s="52"/>
      <c r="AV990" s="52"/>
      <c r="AW990" s="58"/>
      <c r="AX990" s="33">
        <f t="shared" si="925"/>
        <v>564</v>
      </c>
      <c r="AY990" s="31">
        <f t="shared" si="926"/>
        <v>28.2</v>
      </c>
      <c r="AZ990" s="30">
        <f t="shared" si="927"/>
        <v>0.70499999999999996</v>
      </c>
      <c r="BA990" s="34"/>
      <c r="BB990" s="34"/>
      <c r="BC990" s="34"/>
      <c r="BD990" s="76"/>
      <c r="BE990" s="34"/>
      <c r="BF990" s="34"/>
      <c r="BG990" s="34"/>
      <c r="BH990" s="34"/>
    </row>
    <row r="991" spans="1:60" s="17" customFormat="1" ht="19.5" customHeight="1" x14ac:dyDescent="0.35">
      <c r="A991" s="41">
        <f>A988</f>
        <v>45442</v>
      </c>
      <c r="B991" s="37" t="str">
        <f t="shared" ref="B991" si="930">B990</f>
        <v>Yan Kapama</v>
      </c>
      <c r="C991" s="65" t="s">
        <v>266</v>
      </c>
      <c r="D991" s="67">
        <f t="shared" si="924"/>
        <v>40</v>
      </c>
      <c r="E991" s="57"/>
      <c r="F991" s="52"/>
      <c r="G991" s="52"/>
      <c r="H991" s="58"/>
      <c r="I991" s="57"/>
      <c r="J991" s="52"/>
      <c r="K991" s="52"/>
      <c r="L991" s="58"/>
      <c r="M991" s="57"/>
      <c r="N991" s="52"/>
      <c r="O991" s="52"/>
      <c r="P991" s="58"/>
      <c r="Q991" s="57"/>
      <c r="R991" s="52"/>
      <c r="S991" s="52"/>
      <c r="T991" s="52"/>
      <c r="U991" s="58"/>
      <c r="V991" s="57"/>
      <c r="W991" s="52"/>
      <c r="X991" s="52"/>
      <c r="Y991" s="58"/>
      <c r="Z991" s="57"/>
      <c r="AA991" s="52"/>
      <c r="AB991" s="52"/>
      <c r="AC991" s="58"/>
      <c r="AD991" s="57"/>
      <c r="AE991" s="52"/>
      <c r="AF991" s="52"/>
      <c r="AG991" s="58"/>
      <c r="AH991" s="57"/>
      <c r="AI991" s="52"/>
      <c r="AJ991" s="52"/>
      <c r="AK991" s="58"/>
      <c r="AL991" s="57"/>
      <c r="AM991" s="52"/>
      <c r="AN991" s="52">
        <v>20</v>
      </c>
      <c r="AO991" s="58"/>
      <c r="AP991" s="57"/>
      <c r="AQ991" s="52"/>
      <c r="AR991" s="52"/>
      <c r="AS991" s="58"/>
      <c r="AT991" s="57"/>
      <c r="AU991" s="52"/>
      <c r="AV991" s="52"/>
      <c r="AW991" s="58"/>
      <c r="AX991" s="33">
        <f t="shared" si="925"/>
        <v>20</v>
      </c>
      <c r="AY991" s="31">
        <f t="shared" si="926"/>
        <v>20</v>
      </c>
      <c r="AZ991" s="30">
        <f t="shared" si="927"/>
        <v>0.5</v>
      </c>
      <c r="BA991" s="34"/>
      <c r="BB991" s="34"/>
      <c r="BC991" s="34"/>
      <c r="BD991" s="76"/>
      <c r="BE991" s="34"/>
      <c r="BF991" s="34"/>
      <c r="BG991" s="34"/>
      <c r="BH991" s="34"/>
    </row>
    <row r="992" spans="1:60" s="17" customFormat="1" ht="19.5" customHeight="1" x14ac:dyDescent="0.35">
      <c r="A992" s="41">
        <f>A991</f>
        <v>45442</v>
      </c>
      <c r="B992" s="37" t="str">
        <f t="shared" ref="B992" si="931">B991</f>
        <v>Yan Kapama</v>
      </c>
      <c r="C992" s="65">
        <f t="shared" ref="C992:C993" si="932">C816</f>
        <v>0</v>
      </c>
      <c r="D992" s="67">
        <f t="shared" si="924"/>
        <v>40</v>
      </c>
      <c r="E992" s="57"/>
      <c r="F992" s="52"/>
      <c r="G992" s="52"/>
      <c r="H992" s="58"/>
      <c r="I992" s="57"/>
      <c r="J992" s="52"/>
      <c r="K992" s="52"/>
      <c r="L992" s="58"/>
      <c r="M992" s="57"/>
      <c r="N992" s="52"/>
      <c r="O992" s="52"/>
      <c r="P992" s="78"/>
      <c r="Q992" s="57"/>
      <c r="R992" s="52"/>
      <c r="S992" s="52"/>
      <c r="T992" s="52"/>
      <c r="U992" s="58"/>
      <c r="V992" s="80"/>
      <c r="W992" s="52"/>
      <c r="X992" s="52"/>
      <c r="Y992" s="58"/>
      <c r="Z992" s="57"/>
      <c r="AA992" s="52"/>
      <c r="AB992" s="52"/>
      <c r="AC992" s="58"/>
      <c r="AD992" s="57"/>
      <c r="AE992" s="52"/>
      <c r="AF992" s="52"/>
      <c r="AG992" s="58"/>
      <c r="AH992" s="57"/>
      <c r="AI992" s="52"/>
      <c r="AJ992" s="52"/>
      <c r="AK992" s="58"/>
      <c r="AL992" s="57"/>
      <c r="AM992" s="52"/>
      <c r="AN992" s="52"/>
      <c r="AO992" s="58"/>
      <c r="AP992" s="57"/>
      <c r="AQ992" s="52"/>
      <c r="AR992" s="52"/>
      <c r="AS992" s="58"/>
      <c r="AT992" s="57"/>
      <c r="AU992" s="52"/>
      <c r="AV992" s="52"/>
      <c r="AW992" s="58"/>
      <c r="AX992" s="33">
        <f t="shared" si="925"/>
        <v>0</v>
      </c>
      <c r="AY992" s="31">
        <f t="shared" si="926"/>
        <v>0</v>
      </c>
      <c r="AZ992" s="30">
        <f t="shared" si="927"/>
        <v>0</v>
      </c>
      <c r="BA992" s="34"/>
      <c r="BB992" s="34"/>
      <c r="BC992" s="34"/>
      <c r="BD992" s="76"/>
      <c r="BE992" s="34"/>
      <c r="BF992" s="34"/>
      <c r="BG992" s="34"/>
      <c r="BH992" s="34"/>
    </row>
    <row r="993" spans="1:60" s="17" customFormat="1" ht="19.5" customHeight="1" thickBot="1" x14ac:dyDescent="0.4">
      <c r="A993" s="41">
        <f>A992</f>
        <v>45442</v>
      </c>
      <c r="B993" s="37" t="str">
        <f t="shared" ref="B993" si="933">B992</f>
        <v>Yan Kapama</v>
      </c>
      <c r="C993" s="65">
        <f t="shared" si="932"/>
        <v>0</v>
      </c>
      <c r="D993" s="67">
        <f t="shared" si="924"/>
        <v>40</v>
      </c>
      <c r="E993" s="59"/>
      <c r="F993" s="60"/>
      <c r="G993" s="61"/>
      <c r="H993" s="62"/>
      <c r="I993" s="59"/>
      <c r="J993" s="60"/>
      <c r="K993" s="61"/>
      <c r="L993" s="62"/>
      <c r="M993" s="59"/>
      <c r="N993" s="60"/>
      <c r="O993" s="61"/>
      <c r="P993" s="79"/>
      <c r="Q993" s="64"/>
      <c r="R993" s="61"/>
      <c r="S993" s="61"/>
      <c r="T993" s="61"/>
      <c r="U993" s="62"/>
      <c r="V993" s="81"/>
      <c r="W993" s="60"/>
      <c r="X993" s="61"/>
      <c r="Y993" s="62"/>
      <c r="Z993" s="59"/>
      <c r="AA993" s="60"/>
      <c r="AB993" s="61"/>
      <c r="AC993" s="62"/>
      <c r="AD993" s="59"/>
      <c r="AE993" s="60"/>
      <c r="AF993" s="61"/>
      <c r="AG993" s="62"/>
      <c r="AH993" s="59"/>
      <c r="AI993" s="60"/>
      <c r="AJ993" s="61"/>
      <c r="AK993" s="62"/>
      <c r="AL993" s="59"/>
      <c r="AM993" s="60"/>
      <c r="AN993" s="61"/>
      <c r="AO993" s="62"/>
      <c r="AP993" s="59"/>
      <c r="AQ993" s="60"/>
      <c r="AR993" s="61"/>
      <c r="AS993" s="62"/>
      <c r="AT993" s="59"/>
      <c r="AU993" s="60"/>
      <c r="AV993" s="61"/>
      <c r="AW993" s="62"/>
      <c r="AX993" s="33">
        <f t="shared" si="925"/>
        <v>0</v>
      </c>
      <c r="AY993" s="31">
        <f t="shared" si="926"/>
        <v>0</v>
      </c>
      <c r="AZ993" s="30">
        <f t="shared" si="927"/>
        <v>0</v>
      </c>
      <c r="BA993" s="34"/>
      <c r="BB993" s="34"/>
      <c r="BC993" s="34"/>
      <c r="BD993" s="76"/>
      <c r="BE993" s="34"/>
      <c r="BF993" s="34"/>
      <c r="BG993" s="34"/>
      <c r="BH993" s="34"/>
    </row>
    <row r="994" spans="1:60" s="17" customFormat="1" ht="19.5" customHeight="1" thickBot="1" x14ac:dyDescent="0.45">
      <c r="A994" s="41">
        <f>A993</f>
        <v>45442</v>
      </c>
      <c r="B994" s="139" t="str">
        <f>B987</f>
        <v>Yan Kapama</v>
      </c>
      <c r="C994" s="140"/>
      <c r="D994" s="40">
        <f>C886/8</f>
        <v>500</v>
      </c>
      <c r="E994" s="147">
        <f>SUM(E987:H993)</f>
        <v>400</v>
      </c>
      <c r="F994" s="148"/>
      <c r="G994" s="148"/>
      <c r="H994" s="149"/>
      <c r="I994" s="147">
        <f>SUM(I987:L993)</f>
        <v>349</v>
      </c>
      <c r="J994" s="148"/>
      <c r="K994" s="148"/>
      <c r="L994" s="149"/>
      <c r="M994" s="147">
        <f>SUM(M987:P993)</f>
        <v>98</v>
      </c>
      <c r="N994" s="148"/>
      <c r="O994" s="148"/>
      <c r="P994" s="149"/>
      <c r="Q994" s="151">
        <f>SUM(Q987:U993)</f>
        <v>249</v>
      </c>
      <c r="R994" s="152"/>
      <c r="S994" s="152"/>
      <c r="T994" s="152"/>
      <c r="U994" s="153"/>
      <c r="V994" s="147">
        <f>SUM(V987:Y993)</f>
        <v>466</v>
      </c>
      <c r="W994" s="148"/>
      <c r="X994" s="148"/>
      <c r="Y994" s="149"/>
      <c r="Z994" s="147">
        <f>SUM(Z987:AC993)</f>
        <v>463</v>
      </c>
      <c r="AA994" s="148"/>
      <c r="AB994" s="148"/>
      <c r="AC994" s="149"/>
      <c r="AD994" s="147">
        <f>SUM(AD987:AG993)</f>
        <v>464</v>
      </c>
      <c r="AE994" s="148"/>
      <c r="AF994" s="148"/>
      <c r="AG994" s="149"/>
      <c r="AH994" s="147">
        <f>SUM(AH987:AK993)</f>
        <v>425</v>
      </c>
      <c r="AI994" s="148"/>
      <c r="AJ994" s="148"/>
      <c r="AK994" s="149"/>
      <c r="AL994" s="147">
        <f>SUM(AL987:AO993)</f>
        <v>248</v>
      </c>
      <c r="AM994" s="148"/>
      <c r="AN994" s="148"/>
      <c r="AO994" s="149"/>
      <c r="AP994" s="147">
        <f>SUM(AP987:AS993)</f>
        <v>0</v>
      </c>
      <c r="AQ994" s="148"/>
      <c r="AR994" s="148"/>
      <c r="AS994" s="149"/>
      <c r="AT994" s="147">
        <f>SUM(AT987:AW993)</f>
        <v>0</v>
      </c>
      <c r="AU994" s="148"/>
      <c r="AV994" s="148"/>
      <c r="AW994" s="149"/>
      <c r="AX994" s="87">
        <f>SUM(AX987:AX993)</f>
        <v>3162</v>
      </c>
      <c r="AY994" s="88">
        <f>IFERROR(AVERAGEIF(E994:AV994,"&lt;&gt;0",(E994:AV994)),)</f>
        <v>351.33333333333331</v>
      </c>
      <c r="AZ994" s="46">
        <f>IFERROR(AX994/BB988,0)</f>
        <v>0.79049999999999998</v>
      </c>
      <c r="BA994" s="34"/>
      <c r="BB994" s="34"/>
      <c r="BC994" s="34"/>
      <c r="BD994" s="76"/>
      <c r="BE994" s="34"/>
      <c r="BF994" s="34"/>
      <c r="BG994" s="34"/>
      <c r="BH994" s="34"/>
    </row>
    <row r="995" spans="1:60" s="17" customFormat="1" ht="19.5" customHeight="1" thickBot="1" x14ac:dyDescent="0.4">
      <c r="A995" s="42">
        <f>A986</f>
        <v>45442</v>
      </c>
      <c r="B995" s="38" t="str">
        <f>B996</f>
        <v>Yıkama Takma</v>
      </c>
      <c r="C995" s="39" t="s">
        <v>180</v>
      </c>
      <c r="D995" s="69" t="s">
        <v>181</v>
      </c>
      <c r="E995" s="48">
        <v>0.34375</v>
      </c>
      <c r="F995" s="49">
        <v>0.35416666666666669</v>
      </c>
      <c r="G995" s="49">
        <v>0.36458333333333331</v>
      </c>
      <c r="H995" s="50">
        <v>0.375</v>
      </c>
      <c r="I995" s="48">
        <v>0.38541666666666702</v>
      </c>
      <c r="J995" s="49">
        <v>0.39583333333333298</v>
      </c>
      <c r="K995" s="49">
        <v>0.40625</v>
      </c>
      <c r="L995" s="50">
        <v>0.41666666666666702</v>
      </c>
      <c r="M995" s="48">
        <v>0.4375</v>
      </c>
      <c r="N995" s="49">
        <v>0.44791666666666702</v>
      </c>
      <c r="O995" s="49">
        <v>0.45833333333333398</v>
      </c>
      <c r="P995" s="50">
        <v>0.46875</v>
      </c>
      <c r="Q995" s="48">
        <v>0.47916666666666702</v>
      </c>
      <c r="R995" s="49">
        <v>0.48958333333333398</v>
      </c>
      <c r="S995" s="49">
        <v>0.5</v>
      </c>
      <c r="T995" s="50">
        <v>0.51041666666666696</v>
      </c>
      <c r="U995" s="51">
        <v>0.52083333333333204</v>
      </c>
      <c r="V995" s="48">
        <v>0.5625</v>
      </c>
      <c r="W995" s="49">
        <v>0.57291666666666663</v>
      </c>
      <c r="X995" s="49">
        <v>0.58333333333333304</v>
      </c>
      <c r="Y995" s="50">
        <v>0.59375</v>
      </c>
      <c r="Z995" s="48">
        <v>0.60416666666666696</v>
      </c>
      <c r="AA995" s="49">
        <v>0.61458333333333304</v>
      </c>
      <c r="AB995" s="49">
        <v>0.625</v>
      </c>
      <c r="AC995" s="50">
        <v>0.63541666666666596</v>
      </c>
      <c r="AD995" s="48">
        <v>0.65625</v>
      </c>
      <c r="AE995" s="49">
        <v>0.66666666666666663</v>
      </c>
      <c r="AF995" s="49">
        <v>0.67708333333333304</v>
      </c>
      <c r="AG995" s="50">
        <v>0.6875</v>
      </c>
      <c r="AH995" s="48">
        <v>0.69791666666666696</v>
      </c>
      <c r="AI995" s="49">
        <v>0.70833333333333304</v>
      </c>
      <c r="AJ995" s="49">
        <v>0.71875</v>
      </c>
      <c r="AK995" s="50">
        <v>0.72916666666666696</v>
      </c>
      <c r="AL995" s="48">
        <v>0.73958333333333404</v>
      </c>
      <c r="AM995" s="49">
        <v>0.750000000000001</v>
      </c>
      <c r="AN995" s="49">
        <v>0.76041666666666796</v>
      </c>
      <c r="AO995" s="50">
        <v>0.77083333333333504</v>
      </c>
      <c r="AP995" s="48">
        <v>0.781250000000002</v>
      </c>
      <c r="AQ995" s="49">
        <v>0.79166666666666896</v>
      </c>
      <c r="AR995" s="49">
        <v>0.80208333333333603</v>
      </c>
      <c r="AS995" s="50">
        <v>0.812500000000003</v>
      </c>
      <c r="AT995" s="48">
        <v>0.82291666666666996</v>
      </c>
      <c r="AU995" s="49">
        <v>0.83333333333333703</v>
      </c>
      <c r="AV995" s="49">
        <v>0.843750000000004</v>
      </c>
      <c r="AW995" s="50">
        <v>0.85416666666666663</v>
      </c>
      <c r="AX995" s="68" t="s">
        <v>260</v>
      </c>
      <c r="AY995" s="28" t="s">
        <v>261</v>
      </c>
      <c r="AZ995" s="29" t="s">
        <v>262</v>
      </c>
      <c r="BA995" s="136" t="str">
        <f>B996</f>
        <v>Yıkama Takma</v>
      </c>
      <c r="BB995" s="137"/>
      <c r="BC995" s="137"/>
      <c r="BD995" s="137"/>
      <c r="BE995" s="137"/>
      <c r="BF995" s="137"/>
      <c r="BG995" s="137"/>
      <c r="BH995" s="138"/>
    </row>
    <row r="996" spans="1:60" s="17" customFormat="1" ht="19.5" customHeight="1" thickBot="1" x14ac:dyDescent="0.4">
      <c r="A996" s="41">
        <f t="shared" ref="A996" si="934">A995</f>
        <v>45442</v>
      </c>
      <c r="B996" s="37" t="str">
        <f>B820</f>
        <v>Yıkama Takma</v>
      </c>
      <c r="C996" s="65" t="str">
        <f>C820</f>
        <v>MEHMET SAĞ</v>
      </c>
      <c r="D996" s="70">
        <f>D820</f>
        <v>125</v>
      </c>
      <c r="E996" s="63">
        <v>0</v>
      </c>
      <c r="F996" s="55">
        <v>125</v>
      </c>
      <c r="G996" s="55">
        <v>130</v>
      </c>
      <c r="H996" s="56">
        <v>90</v>
      </c>
      <c r="I996" s="63">
        <v>60</v>
      </c>
      <c r="J996" s="55">
        <v>105</v>
      </c>
      <c r="K996" s="55">
        <v>0</v>
      </c>
      <c r="L996" s="56">
        <v>150</v>
      </c>
      <c r="M996" s="63">
        <v>0</v>
      </c>
      <c r="N996" s="55">
        <v>0</v>
      </c>
      <c r="O996" s="55">
        <v>80</v>
      </c>
      <c r="P996" s="56">
        <v>0</v>
      </c>
      <c r="Q996" s="63">
        <v>0</v>
      </c>
      <c r="R996" s="55">
        <v>110</v>
      </c>
      <c r="S996" s="55">
        <v>0</v>
      </c>
      <c r="T996" s="55">
        <v>40</v>
      </c>
      <c r="U996" s="56">
        <v>90</v>
      </c>
      <c r="V996" s="63">
        <v>0</v>
      </c>
      <c r="W996" s="55">
        <v>150</v>
      </c>
      <c r="X996" s="55">
        <v>130</v>
      </c>
      <c r="Y996" s="56">
        <v>0</v>
      </c>
      <c r="Z996" s="63">
        <v>140</v>
      </c>
      <c r="AA996" s="55">
        <v>135</v>
      </c>
      <c r="AB996" s="55">
        <v>125</v>
      </c>
      <c r="AC996" s="56">
        <v>130</v>
      </c>
      <c r="AD996" s="63">
        <v>0</v>
      </c>
      <c r="AE996" s="55">
        <v>90</v>
      </c>
      <c r="AF996" s="55">
        <v>130</v>
      </c>
      <c r="AG996" s="56">
        <v>125</v>
      </c>
      <c r="AH996" s="63">
        <v>135</v>
      </c>
      <c r="AI996" s="55">
        <v>0</v>
      </c>
      <c r="AJ996" s="55">
        <v>130</v>
      </c>
      <c r="AK996" s="56">
        <v>150</v>
      </c>
      <c r="AL996" s="63">
        <v>75</v>
      </c>
      <c r="AM996" s="55">
        <v>75</v>
      </c>
      <c r="AN996" s="55">
        <v>65</v>
      </c>
      <c r="AO996" s="56"/>
      <c r="AP996" s="63"/>
      <c r="AQ996" s="55"/>
      <c r="AR996" s="55"/>
      <c r="AS996" s="56"/>
      <c r="AT996" s="53"/>
      <c r="AU996" s="54"/>
      <c r="AV996" s="55"/>
      <c r="AW996" s="56"/>
      <c r="AX996" s="33">
        <f>SUM(E996:AW996)</f>
        <v>2765</v>
      </c>
      <c r="AY996" s="31">
        <f>IFERROR(AVERAGEIF(E996:AW996,"&lt;&gt;0",(E996:AW996)),)</f>
        <v>110.6</v>
      </c>
      <c r="AZ996" s="30">
        <f>IFERROR(AY996/D996,0)</f>
        <v>0.88479999999999992</v>
      </c>
      <c r="BA996" s="103" t="s">
        <v>182</v>
      </c>
      <c r="BB996" s="100" t="s">
        <v>183</v>
      </c>
      <c r="BC996" s="100" t="s">
        <v>184</v>
      </c>
      <c r="BD996" s="101" t="s">
        <v>185</v>
      </c>
      <c r="BE996" s="100" t="s">
        <v>186</v>
      </c>
      <c r="BF996" s="102" t="s">
        <v>187</v>
      </c>
      <c r="BG996" s="100" t="s">
        <v>188</v>
      </c>
      <c r="BH996" s="102" t="s">
        <v>189</v>
      </c>
    </row>
    <row r="997" spans="1:60" s="17" customFormat="1" ht="19.5" customHeight="1" thickBot="1" x14ac:dyDescent="0.4">
      <c r="A997" s="41">
        <f t="shared" ref="A997:B997" si="935">A996</f>
        <v>45442</v>
      </c>
      <c r="B997" s="37" t="str">
        <f t="shared" si="935"/>
        <v>Yıkama Takma</v>
      </c>
      <c r="C997" s="65">
        <f t="shared" ref="C997:C1002" si="936">C821</f>
        <v>0</v>
      </c>
      <c r="D997" s="67">
        <f t="shared" ref="D997:D1002" si="937">D996</f>
        <v>125</v>
      </c>
      <c r="E997" s="57"/>
      <c r="F997" s="52"/>
      <c r="G997" s="52"/>
      <c r="H997" s="58"/>
      <c r="I997" s="57"/>
      <c r="J997" s="52"/>
      <c r="K997" s="52"/>
      <c r="L997" s="58"/>
      <c r="M997" s="57"/>
      <c r="N997" s="52"/>
      <c r="O997" s="52"/>
      <c r="P997" s="58"/>
      <c r="Q997" s="57"/>
      <c r="R997" s="52"/>
      <c r="S997" s="52"/>
      <c r="T997" s="52"/>
      <c r="U997" s="58"/>
      <c r="V997" s="57"/>
      <c r="W997" s="52"/>
      <c r="X997" s="52"/>
      <c r="Y997" s="58"/>
      <c r="Z997" s="57"/>
      <c r="AA997" s="52"/>
      <c r="AB997" s="52"/>
      <c r="AC997" s="58"/>
      <c r="AD997" s="57"/>
      <c r="AE997" s="52"/>
      <c r="AF997" s="52"/>
      <c r="AG997" s="58"/>
      <c r="AH997" s="57"/>
      <c r="AI997" s="52"/>
      <c r="AJ997" s="52"/>
      <c r="AK997" s="58"/>
      <c r="AL997" s="57"/>
      <c r="AM997" s="52"/>
      <c r="AN997" s="52"/>
      <c r="AO997" s="58"/>
      <c r="AP997" s="57"/>
      <c r="AQ997" s="52"/>
      <c r="AR997" s="52"/>
      <c r="AS997" s="58"/>
      <c r="AT997" s="57"/>
      <c r="AU997" s="52"/>
      <c r="AV997" s="52"/>
      <c r="AW997" s="58"/>
      <c r="AX997" s="33">
        <f t="shared" ref="AX997:AX1002" si="938">SUM(E997:AW997)</f>
        <v>0</v>
      </c>
      <c r="AY997" s="31">
        <f t="shared" ref="AY997:AY1002" si="939">IFERROR(AVERAGEIF(E997:AW997,"&lt;&gt;0",(E997:AW997)),)</f>
        <v>0</v>
      </c>
      <c r="AZ997" s="30">
        <f t="shared" ref="AZ997:AZ1002" si="940">IFERROR(AY997/D997,0)</f>
        <v>0</v>
      </c>
      <c r="BA997" s="94">
        <f>AX1003+BA821</f>
        <v>9025</v>
      </c>
      <c r="BB997" s="95">
        <f>(D1003*8)</f>
        <v>4000</v>
      </c>
      <c r="BC997" s="96">
        <f>C885-BA997</f>
        <v>33286</v>
      </c>
      <c r="BD997" s="96">
        <f>BA988-BA997</f>
        <v>1057</v>
      </c>
      <c r="BE997" s="97">
        <f>IFERROR(BC997/E1003,0)</f>
        <v>96.481159420289856</v>
      </c>
      <c r="BF997" s="98">
        <f>IFERROR(BE997/9,0)</f>
        <v>10.720128824476651</v>
      </c>
      <c r="BG997" s="97">
        <f>IFERROR(BC997/AY1003,0)</f>
        <v>108.34502712477396</v>
      </c>
      <c r="BH997" s="97">
        <f>IFERROR(BG997/9,0)</f>
        <v>12.038336347197108</v>
      </c>
    </row>
    <row r="998" spans="1:60" s="17" customFormat="1" ht="19.5" customHeight="1" x14ac:dyDescent="0.35">
      <c r="A998" s="41">
        <f t="shared" ref="A998:B998" si="941">A997</f>
        <v>45442</v>
      </c>
      <c r="B998" s="37" t="str">
        <f t="shared" si="941"/>
        <v>Yıkama Takma</v>
      </c>
      <c r="C998" s="65">
        <f t="shared" si="936"/>
        <v>0</v>
      </c>
      <c r="D998" s="67">
        <f t="shared" si="937"/>
        <v>125</v>
      </c>
      <c r="E998" s="57"/>
      <c r="F998" s="52"/>
      <c r="G998" s="52"/>
      <c r="H998" s="58"/>
      <c r="I998" s="57"/>
      <c r="J998" s="52"/>
      <c r="K998" s="52"/>
      <c r="L998" s="58"/>
      <c r="M998" s="57"/>
      <c r="N998" s="52"/>
      <c r="O998" s="52"/>
      <c r="P998" s="58"/>
      <c r="Q998" s="57"/>
      <c r="R998" s="52"/>
      <c r="S998" s="52"/>
      <c r="T998" s="52"/>
      <c r="U998" s="58"/>
      <c r="V998" s="57"/>
      <c r="W998" s="52"/>
      <c r="X998" s="52"/>
      <c r="Y998" s="58"/>
      <c r="Z998" s="57"/>
      <c r="AA998" s="52"/>
      <c r="AB998" s="52"/>
      <c r="AC998" s="58"/>
      <c r="AD998" s="57"/>
      <c r="AE998" s="52"/>
      <c r="AF998" s="52"/>
      <c r="AG998" s="58"/>
      <c r="AH998" s="57"/>
      <c r="AI998" s="52"/>
      <c r="AJ998" s="52"/>
      <c r="AK998" s="58"/>
      <c r="AL998" s="57"/>
      <c r="AM998" s="52"/>
      <c r="AN998" s="52"/>
      <c r="AO998" s="58"/>
      <c r="AP998" s="57"/>
      <c r="AQ998" s="52"/>
      <c r="AR998" s="52"/>
      <c r="AS998" s="58"/>
      <c r="AT998" s="57"/>
      <c r="AU998" s="52"/>
      <c r="AV998" s="52"/>
      <c r="AW998" s="58"/>
      <c r="AX998" s="33">
        <f t="shared" si="938"/>
        <v>0</v>
      </c>
      <c r="AY998" s="31">
        <f t="shared" si="939"/>
        <v>0</v>
      </c>
      <c r="AZ998" s="30">
        <f t="shared" si="940"/>
        <v>0</v>
      </c>
      <c r="BA998" s="34"/>
      <c r="BB998" s="34"/>
      <c r="BC998" s="34"/>
      <c r="BD998" s="76"/>
      <c r="BE998" s="34"/>
      <c r="BF998" s="34"/>
      <c r="BG998" s="34"/>
      <c r="BH998" s="34"/>
    </row>
    <row r="999" spans="1:60" s="17" customFormat="1" ht="19.5" customHeight="1" x14ac:dyDescent="0.35">
      <c r="A999" s="41">
        <f t="shared" ref="A999:B999" si="942">A998</f>
        <v>45442</v>
      </c>
      <c r="B999" s="37" t="str">
        <f t="shared" si="942"/>
        <v>Yıkama Takma</v>
      </c>
      <c r="C999" s="65">
        <f t="shared" si="936"/>
        <v>0</v>
      </c>
      <c r="D999" s="67">
        <f t="shared" si="937"/>
        <v>125</v>
      </c>
      <c r="E999" s="57"/>
      <c r="F999" s="52"/>
      <c r="G999" s="52"/>
      <c r="H999" s="58"/>
      <c r="I999" s="57"/>
      <c r="J999" s="52"/>
      <c r="K999" s="52"/>
      <c r="L999" s="58"/>
      <c r="M999" s="57"/>
      <c r="N999" s="52"/>
      <c r="O999" s="52"/>
      <c r="P999" s="58"/>
      <c r="Q999" s="57"/>
      <c r="R999" s="52"/>
      <c r="S999" s="52"/>
      <c r="T999" s="52"/>
      <c r="U999" s="58"/>
      <c r="V999" s="57"/>
      <c r="W999" s="52"/>
      <c r="X999" s="52"/>
      <c r="Y999" s="58"/>
      <c r="Z999" s="57"/>
      <c r="AA999" s="52"/>
      <c r="AB999" s="52"/>
      <c r="AC999" s="58"/>
      <c r="AD999" s="57"/>
      <c r="AE999" s="52"/>
      <c r="AF999" s="52"/>
      <c r="AG999" s="58"/>
      <c r="AH999" s="57"/>
      <c r="AI999" s="52"/>
      <c r="AJ999" s="52"/>
      <c r="AK999" s="58"/>
      <c r="AL999" s="57"/>
      <c r="AM999" s="52"/>
      <c r="AN999" s="52"/>
      <c r="AO999" s="58"/>
      <c r="AP999" s="57"/>
      <c r="AQ999" s="52"/>
      <c r="AR999" s="52"/>
      <c r="AS999" s="58"/>
      <c r="AT999" s="57"/>
      <c r="AU999" s="52"/>
      <c r="AV999" s="52"/>
      <c r="AW999" s="58"/>
      <c r="AX999" s="33">
        <f t="shared" si="938"/>
        <v>0</v>
      </c>
      <c r="AY999" s="31">
        <f t="shared" si="939"/>
        <v>0</v>
      </c>
      <c r="AZ999" s="30">
        <f t="shared" si="940"/>
        <v>0</v>
      </c>
      <c r="BA999" s="34"/>
      <c r="BB999" s="34"/>
      <c r="BC999" s="34"/>
      <c r="BD999" s="76"/>
      <c r="BE999" s="34"/>
      <c r="BF999" s="34"/>
      <c r="BG999" s="34"/>
      <c r="BH999" s="34"/>
    </row>
    <row r="1000" spans="1:60" s="17" customFormat="1" ht="19.5" customHeight="1" x14ac:dyDescent="0.35">
      <c r="A1000" s="41">
        <f>A997</f>
        <v>45442</v>
      </c>
      <c r="B1000" s="37" t="str">
        <f t="shared" ref="B1000" si="943">B999</f>
        <v>Yıkama Takma</v>
      </c>
      <c r="C1000" s="65">
        <f t="shared" si="936"/>
        <v>0</v>
      </c>
      <c r="D1000" s="67">
        <f t="shared" si="937"/>
        <v>125</v>
      </c>
      <c r="E1000" s="57"/>
      <c r="F1000" s="52"/>
      <c r="G1000" s="52"/>
      <c r="H1000" s="58"/>
      <c r="I1000" s="57"/>
      <c r="J1000" s="52"/>
      <c r="K1000" s="52"/>
      <c r="L1000" s="58"/>
      <c r="M1000" s="57"/>
      <c r="N1000" s="52"/>
      <c r="O1000" s="52"/>
      <c r="P1000" s="58"/>
      <c r="Q1000" s="57"/>
      <c r="R1000" s="52"/>
      <c r="S1000" s="52"/>
      <c r="T1000" s="52"/>
      <c r="U1000" s="58"/>
      <c r="V1000" s="57"/>
      <c r="W1000" s="52"/>
      <c r="X1000" s="52"/>
      <c r="Y1000" s="58"/>
      <c r="Z1000" s="57"/>
      <c r="AA1000" s="52"/>
      <c r="AB1000" s="52"/>
      <c r="AC1000" s="58"/>
      <c r="AD1000" s="57"/>
      <c r="AE1000" s="52"/>
      <c r="AF1000" s="52"/>
      <c r="AG1000" s="58"/>
      <c r="AH1000" s="57"/>
      <c r="AI1000" s="52"/>
      <c r="AJ1000" s="52"/>
      <c r="AK1000" s="58"/>
      <c r="AL1000" s="57"/>
      <c r="AM1000" s="52"/>
      <c r="AN1000" s="52"/>
      <c r="AO1000" s="58"/>
      <c r="AP1000" s="57"/>
      <c r="AQ1000" s="52"/>
      <c r="AR1000" s="52"/>
      <c r="AS1000" s="58"/>
      <c r="AT1000" s="57"/>
      <c r="AU1000" s="52"/>
      <c r="AV1000" s="52"/>
      <c r="AW1000" s="58"/>
      <c r="AX1000" s="33">
        <f t="shared" si="938"/>
        <v>0</v>
      </c>
      <c r="AY1000" s="31">
        <f t="shared" si="939"/>
        <v>0</v>
      </c>
      <c r="AZ1000" s="30">
        <f t="shared" si="940"/>
        <v>0</v>
      </c>
      <c r="BA1000" s="34"/>
      <c r="BB1000" s="34"/>
      <c r="BC1000" s="34"/>
      <c r="BD1000" s="76"/>
      <c r="BE1000" s="34"/>
      <c r="BF1000" s="34"/>
      <c r="BG1000" s="34"/>
      <c r="BH1000" s="34"/>
    </row>
    <row r="1001" spans="1:60" s="17" customFormat="1" ht="19.5" customHeight="1" x14ac:dyDescent="0.35">
      <c r="A1001" s="41">
        <f t="shared" ref="A1001:B1001" si="944">A1000</f>
        <v>45442</v>
      </c>
      <c r="B1001" s="37" t="str">
        <f t="shared" si="944"/>
        <v>Yıkama Takma</v>
      </c>
      <c r="C1001" s="65">
        <f t="shared" si="936"/>
        <v>0</v>
      </c>
      <c r="D1001" s="67">
        <f t="shared" si="937"/>
        <v>125</v>
      </c>
      <c r="E1001" s="57"/>
      <c r="F1001" s="52"/>
      <c r="G1001" s="52"/>
      <c r="H1001" s="58"/>
      <c r="I1001" s="57"/>
      <c r="J1001" s="52"/>
      <c r="K1001" s="52"/>
      <c r="L1001" s="58"/>
      <c r="M1001" s="57"/>
      <c r="N1001" s="52"/>
      <c r="O1001" s="52"/>
      <c r="P1001" s="58"/>
      <c r="Q1001" s="57"/>
      <c r="R1001" s="52"/>
      <c r="S1001" s="52"/>
      <c r="T1001" s="52"/>
      <c r="U1001" s="58"/>
      <c r="V1001" s="57"/>
      <c r="W1001" s="52"/>
      <c r="X1001" s="52"/>
      <c r="Y1001" s="58"/>
      <c r="Z1001" s="57"/>
      <c r="AA1001" s="52"/>
      <c r="AB1001" s="52"/>
      <c r="AC1001" s="58"/>
      <c r="AD1001" s="57"/>
      <c r="AE1001" s="52"/>
      <c r="AF1001" s="52"/>
      <c r="AG1001" s="58"/>
      <c r="AH1001" s="57"/>
      <c r="AI1001" s="52"/>
      <c r="AJ1001" s="52"/>
      <c r="AK1001" s="58"/>
      <c r="AL1001" s="57"/>
      <c r="AM1001" s="52"/>
      <c r="AN1001" s="52"/>
      <c r="AO1001" s="58"/>
      <c r="AP1001" s="57"/>
      <c r="AQ1001" s="52"/>
      <c r="AR1001" s="52"/>
      <c r="AS1001" s="58"/>
      <c r="AT1001" s="57"/>
      <c r="AU1001" s="52"/>
      <c r="AV1001" s="52"/>
      <c r="AW1001" s="58"/>
      <c r="AX1001" s="33">
        <f t="shared" si="938"/>
        <v>0</v>
      </c>
      <c r="AY1001" s="31">
        <f t="shared" si="939"/>
        <v>0</v>
      </c>
      <c r="AZ1001" s="30">
        <f t="shared" si="940"/>
        <v>0</v>
      </c>
      <c r="BA1001" s="34"/>
      <c r="BB1001" s="34"/>
      <c r="BC1001" s="34"/>
      <c r="BD1001" s="76"/>
      <c r="BE1001" s="34"/>
      <c r="BF1001" s="34"/>
      <c r="BG1001" s="34"/>
      <c r="BH1001" s="34"/>
    </row>
    <row r="1002" spans="1:60" s="17" customFormat="1" ht="19.5" customHeight="1" thickBot="1" x14ac:dyDescent="0.4">
      <c r="A1002" s="41">
        <f t="shared" ref="A1002:B1002" si="945">A1001</f>
        <v>45442</v>
      </c>
      <c r="B1002" s="37" t="str">
        <f t="shared" si="945"/>
        <v>Yıkama Takma</v>
      </c>
      <c r="C1002" s="65">
        <f t="shared" si="936"/>
        <v>0</v>
      </c>
      <c r="D1002" s="67">
        <f t="shared" si="937"/>
        <v>125</v>
      </c>
      <c r="E1002" s="59"/>
      <c r="F1002" s="60"/>
      <c r="G1002" s="61"/>
      <c r="H1002" s="62"/>
      <c r="I1002" s="59"/>
      <c r="J1002" s="60"/>
      <c r="K1002" s="61"/>
      <c r="L1002" s="62"/>
      <c r="M1002" s="59"/>
      <c r="N1002" s="60"/>
      <c r="O1002" s="61"/>
      <c r="P1002" s="62"/>
      <c r="Q1002" s="64"/>
      <c r="R1002" s="61"/>
      <c r="S1002" s="61"/>
      <c r="T1002" s="61"/>
      <c r="U1002" s="62"/>
      <c r="V1002" s="59"/>
      <c r="W1002" s="60"/>
      <c r="X1002" s="61"/>
      <c r="Y1002" s="62"/>
      <c r="Z1002" s="59"/>
      <c r="AA1002" s="60"/>
      <c r="AB1002" s="61"/>
      <c r="AC1002" s="62"/>
      <c r="AD1002" s="59"/>
      <c r="AE1002" s="60"/>
      <c r="AF1002" s="61"/>
      <c r="AG1002" s="62"/>
      <c r="AH1002" s="59"/>
      <c r="AI1002" s="60"/>
      <c r="AJ1002" s="61"/>
      <c r="AK1002" s="62"/>
      <c r="AL1002" s="59"/>
      <c r="AM1002" s="60"/>
      <c r="AN1002" s="61"/>
      <c r="AO1002" s="62"/>
      <c r="AP1002" s="59"/>
      <c r="AQ1002" s="60"/>
      <c r="AR1002" s="61"/>
      <c r="AS1002" s="62"/>
      <c r="AT1002" s="59"/>
      <c r="AU1002" s="60"/>
      <c r="AV1002" s="61"/>
      <c r="AW1002" s="62"/>
      <c r="AX1002" s="33">
        <f t="shared" si="938"/>
        <v>0</v>
      </c>
      <c r="AY1002" s="31">
        <f t="shared" si="939"/>
        <v>0</v>
      </c>
      <c r="AZ1002" s="30">
        <f t="shared" si="940"/>
        <v>0</v>
      </c>
      <c r="BA1002" s="34"/>
      <c r="BB1002" s="34"/>
      <c r="BC1002" s="34"/>
      <c r="BD1002" s="76"/>
      <c r="BE1002" s="34"/>
      <c r="BF1002" s="34"/>
      <c r="BG1002" s="34"/>
      <c r="BH1002" s="34"/>
    </row>
    <row r="1003" spans="1:60" s="17" customFormat="1" ht="19.5" customHeight="1" thickBot="1" x14ac:dyDescent="0.45">
      <c r="A1003" s="41">
        <f t="shared" ref="A1003" si="946">A1002</f>
        <v>45442</v>
      </c>
      <c r="B1003" s="139" t="str">
        <f>B996</f>
        <v>Yıkama Takma</v>
      </c>
      <c r="C1003" s="140"/>
      <c r="D1003" s="40">
        <f>C886/8</f>
        <v>500</v>
      </c>
      <c r="E1003" s="147">
        <f>SUM(E996:H1002)</f>
        <v>345</v>
      </c>
      <c r="F1003" s="148"/>
      <c r="G1003" s="148"/>
      <c r="H1003" s="149"/>
      <c r="I1003" s="147">
        <f>SUM(I996:L1002)</f>
        <v>315</v>
      </c>
      <c r="J1003" s="148"/>
      <c r="K1003" s="148"/>
      <c r="L1003" s="149"/>
      <c r="M1003" s="147">
        <f>SUM(M996:P1002)</f>
        <v>80</v>
      </c>
      <c r="N1003" s="148"/>
      <c r="O1003" s="148"/>
      <c r="P1003" s="149"/>
      <c r="Q1003" s="147">
        <f>SUM(Q996:U1002)</f>
        <v>240</v>
      </c>
      <c r="R1003" s="148"/>
      <c r="S1003" s="148"/>
      <c r="T1003" s="148"/>
      <c r="U1003" s="149"/>
      <c r="V1003" s="147">
        <f>SUM(V996:Y1002)</f>
        <v>280</v>
      </c>
      <c r="W1003" s="148"/>
      <c r="X1003" s="148"/>
      <c r="Y1003" s="149"/>
      <c r="Z1003" s="147">
        <f>SUM(Z996:AC1002)</f>
        <v>530</v>
      </c>
      <c r="AA1003" s="148"/>
      <c r="AB1003" s="148"/>
      <c r="AC1003" s="149"/>
      <c r="AD1003" s="147">
        <f>SUM(AD996:AG1002)</f>
        <v>345</v>
      </c>
      <c r="AE1003" s="148"/>
      <c r="AF1003" s="148"/>
      <c r="AG1003" s="149"/>
      <c r="AH1003" s="147">
        <f>SUM(AH996:AK1002)</f>
        <v>415</v>
      </c>
      <c r="AI1003" s="148"/>
      <c r="AJ1003" s="148"/>
      <c r="AK1003" s="149"/>
      <c r="AL1003" s="147">
        <f>SUM(AL996:AO1002)</f>
        <v>215</v>
      </c>
      <c r="AM1003" s="148"/>
      <c r="AN1003" s="148"/>
      <c r="AO1003" s="149"/>
      <c r="AP1003" s="147">
        <f>SUM(AP996:AS1002)</f>
        <v>0</v>
      </c>
      <c r="AQ1003" s="148"/>
      <c r="AR1003" s="148"/>
      <c r="AS1003" s="149"/>
      <c r="AT1003" s="147">
        <f>SUM(AT996:AW1002)</f>
        <v>0</v>
      </c>
      <c r="AU1003" s="148"/>
      <c r="AV1003" s="148"/>
      <c r="AW1003" s="149"/>
      <c r="AX1003" s="87">
        <f>SUM(AX996:AX1002)</f>
        <v>2765</v>
      </c>
      <c r="AY1003" s="88">
        <f>IFERROR(AVERAGEIF(E1003:AV1003,"&lt;&gt;0",(E1003:AV1003)),)</f>
        <v>307.22222222222223</v>
      </c>
      <c r="AZ1003" s="46">
        <f>IFERROR(AX1003/BB997,0)</f>
        <v>0.69125000000000003</v>
      </c>
      <c r="BA1003" s="34"/>
      <c r="BB1003" s="34"/>
      <c r="BC1003" s="34"/>
      <c r="BD1003" s="76"/>
      <c r="BE1003" s="34"/>
      <c r="BF1003" s="34"/>
      <c r="BG1003" s="34"/>
      <c r="BH1003" s="34"/>
    </row>
    <row r="1004" spans="1:60" s="17" customFormat="1" ht="19.5" customHeight="1" thickBot="1" x14ac:dyDescent="0.4">
      <c r="A1004" s="42">
        <f>A995</f>
        <v>45442</v>
      </c>
      <c r="B1004" s="38" t="str">
        <f>B1005</f>
        <v>Kol Reçme</v>
      </c>
      <c r="C1004" s="39" t="s">
        <v>180</v>
      </c>
      <c r="D1004" s="69" t="s">
        <v>181</v>
      </c>
      <c r="E1004" s="48">
        <v>0.34375</v>
      </c>
      <c r="F1004" s="49">
        <v>0.35416666666666669</v>
      </c>
      <c r="G1004" s="49">
        <v>0.36458333333333331</v>
      </c>
      <c r="H1004" s="50">
        <v>0.375</v>
      </c>
      <c r="I1004" s="48">
        <v>0.38541666666666702</v>
      </c>
      <c r="J1004" s="49">
        <v>0.39583333333333298</v>
      </c>
      <c r="K1004" s="49">
        <v>0.40625</v>
      </c>
      <c r="L1004" s="50">
        <v>0.41666666666666702</v>
      </c>
      <c r="M1004" s="48">
        <v>0.4375</v>
      </c>
      <c r="N1004" s="49">
        <v>0.44791666666666702</v>
      </c>
      <c r="O1004" s="49">
        <v>0.45833333333333398</v>
      </c>
      <c r="P1004" s="50">
        <v>0.46875</v>
      </c>
      <c r="Q1004" s="82">
        <v>0.47916666666666702</v>
      </c>
      <c r="R1004" s="83">
        <v>0.48958333333333398</v>
      </c>
      <c r="S1004" s="83">
        <v>0.5</v>
      </c>
      <c r="T1004" s="84">
        <v>0.51041666666666696</v>
      </c>
      <c r="U1004" s="85">
        <v>0.52083333333333204</v>
      </c>
      <c r="V1004" s="48">
        <v>0.5625</v>
      </c>
      <c r="W1004" s="49">
        <v>0.57291666666666663</v>
      </c>
      <c r="X1004" s="49">
        <v>0.58333333333333304</v>
      </c>
      <c r="Y1004" s="50">
        <v>0.59375</v>
      </c>
      <c r="Z1004" s="48">
        <v>0.60416666666666696</v>
      </c>
      <c r="AA1004" s="49">
        <v>0.61458333333333304</v>
      </c>
      <c r="AB1004" s="49">
        <v>0.625</v>
      </c>
      <c r="AC1004" s="50">
        <v>0.63541666666666596</v>
      </c>
      <c r="AD1004" s="48">
        <v>0.65625</v>
      </c>
      <c r="AE1004" s="49">
        <v>0.66666666666666663</v>
      </c>
      <c r="AF1004" s="49">
        <v>0.67708333333333304</v>
      </c>
      <c r="AG1004" s="50">
        <v>0.6875</v>
      </c>
      <c r="AH1004" s="48">
        <v>0.69791666666666696</v>
      </c>
      <c r="AI1004" s="49">
        <v>0.70833333333333304</v>
      </c>
      <c r="AJ1004" s="49">
        <v>0.71875</v>
      </c>
      <c r="AK1004" s="50">
        <v>0.72916666666666696</v>
      </c>
      <c r="AL1004" s="48">
        <v>0.73958333333333404</v>
      </c>
      <c r="AM1004" s="49">
        <v>0.750000000000001</v>
      </c>
      <c r="AN1004" s="49">
        <v>0.76041666666666796</v>
      </c>
      <c r="AO1004" s="50">
        <v>0.77083333333333504</v>
      </c>
      <c r="AP1004" s="48">
        <v>0.781250000000002</v>
      </c>
      <c r="AQ1004" s="49">
        <v>0.79166666666666896</v>
      </c>
      <c r="AR1004" s="49">
        <v>0.80208333333333603</v>
      </c>
      <c r="AS1004" s="50">
        <v>0.812500000000003</v>
      </c>
      <c r="AT1004" s="48">
        <v>0.82291666666666996</v>
      </c>
      <c r="AU1004" s="49">
        <v>0.83333333333333703</v>
      </c>
      <c r="AV1004" s="49">
        <v>0.843750000000004</v>
      </c>
      <c r="AW1004" s="50">
        <v>0.85416666666666663</v>
      </c>
      <c r="AX1004" s="68" t="s">
        <v>260</v>
      </c>
      <c r="AY1004" s="28" t="s">
        <v>261</v>
      </c>
      <c r="AZ1004" s="29" t="s">
        <v>262</v>
      </c>
      <c r="BA1004" s="136" t="str">
        <f>B1005</f>
        <v>Kol Reçme</v>
      </c>
      <c r="BB1004" s="137"/>
      <c r="BC1004" s="137"/>
      <c r="BD1004" s="137"/>
      <c r="BE1004" s="137"/>
      <c r="BF1004" s="137"/>
      <c r="BG1004" s="137"/>
      <c r="BH1004" s="138"/>
    </row>
    <row r="1005" spans="1:60" s="17" customFormat="1" ht="19.5" customHeight="1" thickBot="1" x14ac:dyDescent="0.4">
      <c r="A1005" s="41">
        <f t="shared" ref="A1005" si="947">A1004</f>
        <v>45442</v>
      </c>
      <c r="B1005" s="37" t="str">
        <f>B829</f>
        <v>Kol Reçme</v>
      </c>
      <c r="C1005" s="65" t="s">
        <v>271</v>
      </c>
      <c r="D1005" s="70">
        <f>D829</f>
        <v>60</v>
      </c>
      <c r="E1005" s="63">
        <v>32</v>
      </c>
      <c r="F1005" s="55">
        <v>30</v>
      </c>
      <c r="G1005" s="55">
        <v>20</v>
      </c>
      <c r="H1005" s="56">
        <v>30</v>
      </c>
      <c r="I1005" s="63">
        <v>30</v>
      </c>
      <c r="J1005" s="55">
        <v>0</v>
      </c>
      <c r="K1005" s="55">
        <v>30</v>
      </c>
      <c r="L1005" s="56">
        <v>30</v>
      </c>
      <c r="M1005" s="63">
        <v>35</v>
      </c>
      <c r="N1005" s="55">
        <v>35</v>
      </c>
      <c r="O1005" s="55">
        <v>35</v>
      </c>
      <c r="P1005" s="56">
        <v>30</v>
      </c>
      <c r="Q1005" s="63">
        <v>35</v>
      </c>
      <c r="R1005" s="55">
        <v>25</v>
      </c>
      <c r="S1005" s="55">
        <v>12</v>
      </c>
      <c r="T1005" s="55">
        <v>30</v>
      </c>
      <c r="U1005" s="56">
        <v>30</v>
      </c>
      <c r="V1005" s="63">
        <v>35</v>
      </c>
      <c r="W1005" s="55">
        <v>30</v>
      </c>
      <c r="X1005" s="55">
        <v>30</v>
      </c>
      <c r="Y1005" s="56">
        <v>30</v>
      </c>
      <c r="Z1005" s="63">
        <v>33</v>
      </c>
      <c r="AA1005" s="55">
        <v>30</v>
      </c>
      <c r="AB1005" s="55">
        <v>30</v>
      </c>
      <c r="AC1005" s="56">
        <v>7</v>
      </c>
      <c r="AD1005" s="63">
        <v>32</v>
      </c>
      <c r="AE1005" s="55">
        <v>20</v>
      </c>
      <c r="AF1005" s="55">
        <v>25</v>
      </c>
      <c r="AG1005" s="56">
        <v>30</v>
      </c>
      <c r="AH1005" s="63">
        <v>25</v>
      </c>
      <c r="AI1005" s="55">
        <v>25</v>
      </c>
      <c r="AJ1005" s="55">
        <v>30</v>
      </c>
      <c r="AK1005" s="56">
        <v>15</v>
      </c>
      <c r="AL1005" s="53">
        <v>30</v>
      </c>
      <c r="AM1005" s="54">
        <v>30</v>
      </c>
      <c r="AN1005" s="55">
        <v>25</v>
      </c>
      <c r="AO1005" s="56"/>
      <c r="AP1005" s="53"/>
      <c r="AQ1005" s="54"/>
      <c r="AR1005" s="55"/>
      <c r="AS1005" s="56"/>
      <c r="AT1005" s="53"/>
      <c r="AU1005" s="54"/>
      <c r="AV1005" s="55"/>
      <c r="AW1005" s="56"/>
      <c r="AX1005" s="33">
        <f>SUM(E1005:AW1005)</f>
        <v>981</v>
      </c>
      <c r="AY1005" s="31">
        <f>IFERROR(AVERAGEIF(E1005:AW1005,"&lt;&gt;0",(E1005:AW1005)),)</f>
        <v>28.028571428571428</v>
      </c>
      <c r="AZ1005" s="30">
        <f>IFERROR(AY1005/D1005,0)</f>
        <v>0.46714285714285714</v>
      </c>
      <c r="BA1005" s="103" t="s">
        <v>182</v>
      </c>
      <c r="BB1005" s="100" t="s">
        <v>183</v>
      </c>
      <c r="BC1005" s="100" t="s">
        <v>184</v>
      </c>
      <c r="BD1005" s="101" t="s">
        <v>185</v>
      </c>
      <c r="BE1005" s="100" t="s">
        <v>186</v>
      </c>
      <c r="BF1005" s="102" t="s">
        <v>187</v>
      </c>
      <c r="BG1005" s="100" t="s">
        <v>188</v>
      </c>
      <c r="BH1005" s="102" t="s">
        <v>189</v>
      </c>
    </row>
    <row r="1006" spans="1:60" s="17" customFormat="1" ht="19.5" customHeight="1" thickBot="1" x14ac:dyDescent="0.4">
      <c r="A1006" s="41">
        <f t="shared" ref="A1006:B1006" si="948">A1005</f>
        <v>45442</v>
      </c>
      <c r="B1006" s="37" t="str">
        <f t="shared" si="948"/>
        <v>Kol Reçme</v>
      </c>
      <c r="C1006" s="65" t="s">
        <v>264</v>
      </c>
      <c r="D1006" s="67">
        <f t="shared" ref="D1006:D1011" si="949">D1005</f>
        <v>60</v>
      </c>
      <c r="E1006" s="57">
        <v>33</v>
      </c>
      <c r="F1006" s="52">
        <v>32</v>
      </c>
      <c r="G1006" s="52">
        <v>26</v>
      </c>
      <c r="H1006" s="58">
        <v>30</v>
      </c>
      <c r="I1006" s="57">
        <v>25</v>
      </c>
      <c r="J1006" s="52">
        <v>35</v>
      </c>
      <c r="K1006" s="52">
        <v>35</v>
      </c>
      <c r="L1006" s="58">
        <v>40</v>
      </c>
      <c r="M1006" s="57">
        <v>0</v>
      </c>
      <c r="N1006" s="52">
        <v>30</v>
      </c>
      <c r="O1006" s="52">
        <v>35</v>
      </c>
      <c r="P1006" s="58">
        <v>30</v>
      </c>
      <c r="Q1006" s="57">
        <v>33</v>
      </c>
      <c r="R1006" s="52"/>
      <c r="S1006" s="52"/>
      <c r="T1006" s="52"/>
      <c r="U1006" s="58">
        <v>0</v>
      </c>
      <c r="V1006" s="57"/>
      <c r="W1006" s="52"/>
      <c r="X1006" s="52"/>
      <c r="Y1006" s="58"/>
      <c r="Z1006" s="57"/>
      <c r="AA1006" s="52"/>
      <c r="AB1006" s="52"/>
      <c r="AC1006" s="58">
        <v>20</v>
      </c>
      <c r="AD1006" s="57">
        <v>30</v>
      </c>
      <c r="AE1006" s="52">
        <v>12</v>
      </c>
      <c r="AF1006" s="52">
        <v>25</v>
      </c>
      <c r="AG1006" s="58">
        <v>30</v>
      </c>
      <c r="AH1006" s="57">
        <v>25</v>
      </c>
      <c r="AI1006" s="52">
        <v>25</v>
      </c>
      <c r="AJ1006" s="52">
        <v>30</v>
      </c>
      <c r="AK1006" s="58">
        <v>27</v>
      </c>
      <c r="AL1006" s="57">
        <v>30</v>
      </c>
      <c r="AM1006" s="52">
        <v>30</v>
      </c>
      <c r="AN1006" s="52">
        <v>0</v>
      </c>
      <c r="AO1006" s="58"/>
      <c r="AP1006" s="57"/>
      <c r="AQ1006" s="52"/>
      <c r="AR1006" s="52"/>
      <c r="AS1006" s="58"/>
      <c r="AT1006" s="57"/>
      <c r="AU1006" s="52"/>
      <c r="AV1006" s="52"/>
      <c r="AW1006" s="58"/>
      <c r="AX1006" s="33">
        <f t="shared" ref="AX1006:AX1011" si="950">SUM(E1006:AW1006)</f>
        <v>668</v>
      </c>
      <c r="AY1006" s="31">
        <f t="shared" ref="AY1006:AY1011" si="951">IFERROR(AVERAGEIF(E1006:AW1006,"&lt;&gt;0",(E1006:AW1006)),)</f>
        <v>29.043478260869566</v>
      </c>
      <c r="AZ1006" s="30">
        <f t="shared" ref="AZ1006:AZ1011" si="952">IFERROR(AY1006/D1006,0)</f>
        <v>0.48405797101449277</v>
      </c>
      <c r="BA1006" s="94">
        <f>AX1012+BA830</f>
        <v>8409</v>
      </c>
      <c r="BB1006" s="95">
        <f>(D1012*8)</f>
        <v>4000</v>
      </c>
      <c r="BC1006" s="96">
        <f>C885-BA1006</f>
        <v>33902</v>
      </c>
      <c r="BD1006" s="96">
        <f>BA997-BA1006</f>
        <v>616</v>
      </c>
      <c r="BE1006" s="97">
        <f>IFERROR(BC1006/E1012,0)</f>
        <v>145.50214592274679</v>
      </c>
      <c r="BF1006" s="98">
        <f>IFERROR(BE1006/9,0)</f>
        <v>16.166905102527423</v>
      </c>
      <c r="BG1006" s="97">
        <f>IFERROR(BC1006/AY1012,0)</f>
        <v>142.3125</v>
      </c>
      <c r="BH1006" s="97">
        <f>IFERROR(BG1006/9,0)</f>
        <v>15.8125</v>
      </c>
    </row>
    <row r="1007" spans="1:60" s="17" customFormat="1" ht="19.5" customHeight="1" x14ac:dyDescent="0.35">
      <c r="A1007" s="41">
        <f t="shared" ref="A1007:B1007" si="953">A1006</f>
        <v>45442</v>
      </c>
      <c r="B1007" s="37" t="str">
        <f t="shared" si="953"/>
        <v>Kol Reçme</v>
      </c>
      <c r="C1007" s="65" t="s">
        <v>62</v>
      </c>
      <c r="D1007" s="67">
        <f t="shared" si="949"/>
        <v>60</v>
      </c>
      <c r="E1007" s="57"/>
      <c r="F1007" s="52"/>
      <c r="G1007" s="52"/>
      <c r="H1007" s="58"/>
      <c r="I1007" s="57"/>
      <c r="J1007" s="52"/>
      <c r="K1007" s="52"/>
      <c r="L1007" s="58">
        <v>0</v>
      </c>
      <c r="M1007" s="57"/>
      <c r="N1007" s="52"/>
      <c r="O1007" s="52"/>
      <c r="P1007" s="58"/>
      <c r="Q1007" s="57"/>
      <c r="R1007" s="52"/>
      <c r="S1007" s="52"/>
      <c r="T1007" s="52"/>
      <c r="U1007" s="58">
        <v>0</v>
      </c>
      <c r="V1007" s="57"/>
      <c r="W1007" s="52"/>
      <c r="X1007" s="52"/>
      <c r="Y1007" s="58"/>
      <c r="Z1007" s="57"/>
      <c r="AA1007" s="52">
        <v>45</v>
      </c>
      <c r="AB1007" s="52">
        <v>40</v>
      </c>
      <c r="AC1007" s="58">
        <v>40</v>
      </c>
      <c r="AD1007" s="57">
        <v>40</v>
      </c>
      <c r="AE1007" s="52">
        <v>15</v>
      </c>
      <c r="AF1007" s="52">
        <v>40</v>
      </c>
      <c r="AG1007" s="58">
        <v>25</v>
      </c>
      <c r="AH1007" s="57">
        <v>40</v>
      </c>
      <c r="AI1007" s="52">
        <v>10</v>
      </c>
      <c r="AJ1007" s="52">
        <v>40</v>
      </c>
      <c r="AK1007" s="58">
        <v>40</v>
      </c>
      <c r="AL1007" s="57">
        <v>40</v>
      </c>
      <c r="AM1007" s="52">
        <v>40</v>
      </c>
      <c r="AN1007" s="52">
        <v>40</v>
      </c>
      <c r="AO1007" s="58"/>
      <c r="AP1007" s="57"/>
      <c r="AQ1007" s="52"/>
      <c r="AR1007" s="52"/>
      <c r="AS1007" s="58"/>
      <c r="AT1007" s="57"/>
      <c r="AU1007" s="52"/>
      <c r="AV1007" s="52"/>
      <c r="AW1007" s="58"/>
      <c r="AX1007" s="33">
        <f t="shared" si="950"/>
        <v>495</v>
      </c>
      <c r="AY1007" s="31">
        <f t="shared" si="951"/>
        <v>35.357142857142854</v>
      </c>
      <c r="AZ1007" s="30">
        <f t="shared" si="952"/>
        <v>0.58928571428571419</v>
      </c>
      <c r="BA1007" s="34"/>
      <c r="BB1007" s="34"/>
      <c r="BC1007" s="34"/>
      <c r="BD1007" s="76"/>
      <c r="BE1007" s="34"/>
      <c r="BF1007" s="34"/>
      <c r="BG1007" s="34"/>
      <c r="BH1007" s="34"/>
    </row>
    <row r="1008" spans="1:60" s="17" customFormat="1" ht="19.5" customHeight="1" x14ac:dyDescent="0.35">
      <c r="A1008" s="41">
        <f t="shared" ref="A1008:B1008" si="954">A1007</f>
        <v>45442</v>
      </c>
      <c r="B1008" s="37" t="str">
        <f t="shared" si="954"/>
        <v>Kol Reçme</v>
      </c>
      <c r="C1008" s="65" t="s">
        <v>94</v>
      </c>
      <c r="D1008" s="67">
        <f t="shared" si="949"/>
        <v>60</v>
      </c>
      <c r="E1008" s="57"/>
      <c r="F1008" s="52"/>
      <c r="G1008" s="52"/>
      <c r="H1008" s="58"/>
      <c r="I1008" s="57"/>
      <c r="J1008" s="52"/>
      <c r="K1008" s="52"/>
      <c r="L1008" s="58">
        <v>0</v>
      </c>
      <c r="M1008" s="57"/>
      <c r="N1008" s="52"/>
      <c r="O1008" s="52"/>
      <c r="P1008" s="58"/>
      <c r="Q1008" s="57"/>
      <c r="R1008" s="52"/>
      <c r="S1008" s="52"/>
      <c r="T1008" s="52"/>
      <c r="U1008" s="58">
        <v>0</v>
      </c>
      <c r="V1008" s="57"/>
      <c r="W1008" s="52"/>
      <c r="X1008" s="52"/>
      <c r="Y1008" s="58"/>
      <c r="Z1008" s="57"/>
      <c r="AA1008" s="52"/>
      <c r="AB1008" s="52"/>
      <c r="AC1008" s="7"/>
      <c r="AD1008" s="5"/>
      <c r="AE1008" s="6"/>
      <c r="AF1008" s="6"/>
      <c r="AG1008" s="7"/>
      <c r="AH1008" s="5"/>
      <c r="AI1008" s="6"/>
      <c r="AJ1008" s="6"/>
      <c r="AK1008" s="7"/>
      <c r="AL1008" s="5"/>
      <c r="AM1008" s="6"/>
      <c r="AN1008" s="6"/>
      <c r="AO1008" s="58"/>
      <c r="AP1008" s="57"/>
      <c r="AQ1008" s="52"/>
      <c r="AR1008" s="52"/>
      <c r="AS1008" s="58"/>
      <c r="AT1008" s="57"/>
      <c r="AU1008" s="52"/>
      <c r="AV1008" s="52"/>
      <c r="AW1008" s="58"/>
      <c r="AX1008" s="33">
        <f t="shared" si="950"/>
        <v>0</v>
      </c>
      <c r="AY1008" s="31">
        <f t="shared" si="951"/>
        <v>0</v>
      </c>
      <c r="AZ1008" s="30">
        <f t="shared" si="952"/>
        <v>0</v>
      </c>
      <c r="BA1008" s="34"/>
      <c r="BB1008" s="34"/>
      <c r="BC1008" s="34"/>
      <c r="BD1008" s="76"/>
      <c r="BE1008" s="34"/>
      <c r="BF1008" s="34"/>
      <c r="BG1008" s="34"/>
      <c r="BH1008" s="34"/>
    </row>
    <row r="1009" spans="1:60" s="17" customFormat="1" ht="19.5" customHeight="1" x14ac:dyDescent="0.35">
      <c r="A1009" s="41">
        <f>A1006</f>
        <v>45442</v>
      </c>
      <c r="B1009" s="37" t="str">
        <f t="shared" ref="B1009" si="955">B1008</f>
        <v>Kol Reçme</v>
      </c>
      <c r="C1009" s="65">
        <f t="shared" ref="C1009:C1011" si="956">C833</f>
        <v>0</v>
      </c>
      <c r="D1009" s="67">
        <f t="shared" si="949"/>
        <v>60</v>
      </c>
      <c r="E1009" s="57"/>
      <c r="F1009" s="52"/>
      <c r="G1009" s="52"/>
      <c r="H1009" s="58"/>
      <c r="I1009" s="57"/>
      <c r="J1009" s="52"/>
      <c r="K1009" s="52"/>
      <c r="L1009" s="58"/>
      <c r="M1009" s="57"/>
      <c r="N1009" s="52"/>
      <c r="O1009" s="52"/>
      <c r="P1009" s="58"/>
      <c r="Q1009" s="57"/>
      <c r="R1009" s="52"/>
      <c r="S1009" s="52"/>
      <c r="T1009" s="52"/>
      <c r="U1009" s="58"/>
      <c r="V1009" s="57"/>
      <c r="W1009" s="52"/>
      <c r="X1009" s="52"/>
      <c r="Y1009" s="58"/>
      <c r="Z1009" s="57"/>
      <c r="AA1009" s="52"/>
      <c r="AB1009" s="52"/>
      <c r="AC1009" s="58"/>
      <c r="AD1009" s="57"/>
      <c r="AE1009" s="52"/>
      <c r="AF1009" s="52"/>
      <c r="AG1009" s="58"/>
      <c r="AH1009" s="57"/>
      <c r="AI1009" s="52"/>
      <c r="AJ1009" s="52"/>
      <c r="AK1009" s="58"/>
      <c r="AL1009" s="57"/>
      <c r="AM1009" s="52"/>
      <c r="AN1009" s="52"/>
      <c r="AO1009" s="58"/>
      <c r="AP1009" s="57"/>
      <c r="AQ1009" s="52"/>
      <c r="AR1009" s="52"/>
      <c r="AS1009" s="58"/>
      <c r="AT1009" s="57"/>
      <c r="AU1009" s="52"/>
      <c r="AV1009" s="52"/>
      <c r="AW1009" s="58"/>
      <c r="AX1009" s="33">
        <f t="shared" si="950"/>
        <v>0</v>
      </c>
      <c r="AY1009" s="31">
        <f t="shared" si="951"/>
        <v>0</v>
      </c>
      <c r="AZ1009" s="30">
        <f t="shared" si="952"/>
        <v>0</v>
      </c>
      <c r="BA1009" s="34"/>
      <c r="BB1009" s="34"/>
      <c r="BC1009" s="34"/>
      <c r="BD1009" s="76"/>
      <c r="BE1009" s="34"/>
      <c r="BF1009" s="34"/>
      <c r="BG1009" s="34"/>
      <c r="BH1009" s="34"/>
    </row>
    <row r="1010" spans="1:60" s="17" customFormat="1" ht="19.5" customHeight="1" x14ac:dyDescent="0.35">
      <c r="A1010" s="41">
        <f t="shared" ref="A1010:B1010" si="957">A1009</f>
        <v>45442</v>
      </c>
      <c r="B1010" s="37" t="str">
        <f t="shared" si="957"/>
        <v>Kol Reçme</v>
      </c>
      <c r="C1010" s="65">
        <f t="shared" si="956"/>
        <v>0</v>
      </c>
      <c r="D1010" s="67">
        <f t="shared" si="949"/>
        <v>60</v>
      </c>
      <c r="E1010" s="57"/>
      <c r="F1010" s="52"/>
      <c r="G1010" s="52"/>
      <c r="H1010" s="58"/>
      <c r="I1010" s="57"/>
      <c r="J1010" s="52"/>
      <c r="K1010" s="52"/>
      <c r="L1010" s="58"/>
      <c r="M1010" s="57"/>
      <c r="N1010" s="52"/>
      <c r="O1010" s="52"/>
      <c r="P1010" s="78"/>
      <c r="Q1010" s="57"/>
      <c r="R1010" s="52"/>
      <c r="S1010" s="52"/>
      <c r="T1010" s="52"/>
      <c r="U1010" s="58"/>
      <c r="V1010" s="80"/>
      <c r="W1010" s="52"/>
      <c r="X1010" s="52"/>
      <c r="Y1010" s="58"/>
      <c r="Z1010" s="57"/>
      <c r="AA1010" s="52"/>
      <c r="AB1010" s="52"/>
      <c r="AC1010" s="58"/>
      <c r="AD1010" s="57"/>
      <c r="AE1010" s="52"/>
      <c r="AF1010" s="52"/>
      <c r="AG1010" s="58"/>
      <c r="AH1010" s="57"/>
      <c r="AI1010" s="52"/>
      <c r="AJ1010" s="52"/>
      <c r="AK1010" s="58"/>
      <c r="AL1010" s="57"/>
      <c r="AM1010" s="52"/>
      <c r="AN1010" s="52"/>
      <c r="AO1010" s="58"/>
      <c r="AP1010" s="57"/>
      <c r="AQ1010" s="52"/>
      <c r="AR1010" s="52"/>
      <c r="AS1010" s="58"/>
      <c r="AT1010" s="57"/>
      <c r="AU1010" s="52"/>
      <c r="AV1010" s="52"/>
      <c r="AW1010" s="58"/>
      <c r="AX1010" s="33">
        <f t="shared" si="950"/>
        <v>0</v>
      </c>
      <c r="AY1010" s="31">
        <f t="shared" si="951"/>
        <v>0</v>
      </c>
      <c r="AZ1010" s="30">
        <f t="shared" si="952"/>
        <v>0</v>
      </c>
      <c r="BA1010" s="34"/>
      <c r="BB1010" s="34"/>
      <c r="BC1010" s="34"/>
      <c r="BD1010" s="76"/>
      <c r="BE1010" s="34"/>
      <c r="BF1010" s="34"/>
      <c r="BG1010" s="34"/>
      <c r="BH1010" s="34"/>
    </row>
    <row r="1011" spans="1:60" s="17" customFormat="1" ht="19.5" customHeight="1" thickBot="1" x14ac:dyDescent="0.4">
      <c r="A1011" s="41">
        <f t="shared" ref="A1011:B1011" si="958">A1010</f>
        <v>45442</v>
      </c>
      <c r="B1011" s="37" t="str">
        <f t="shared" si="958"/>
        <v>Kol Reçme</v>
      </c>
      <c r="C1011" s="65">
        <f t="shared" si="956"/>
        <v>0</v>
      </c>
      <c r="D1011" s="67">
        <f t="shared" si="949"/>
        <v>60</v>
      </c>
      <c r="E1011" s="59"/>
      <c r="F1011" s="60"/>
      <c r="G1011" s="61"/>
      <c r="H1011" s="62"/>
      <c r="I1011" s="59"/>
      <c r="J1011" s="60"/>
      <c r="K1011" s="61"/>
      <c r="L1011" s="62"/>
      <c r="M1011" s="59"/>
      <c r="N1011" s="60"/>
      <c r="O1011" s="61"/>
      <c r="P1011" s="79"/>
      <c r="Q1011" s="64"/>
      <c r="R1011" s="61"/>
      <c r="S1011" s="61"/>
      <c r="T1011" s="61"/>
      <c r="U1011" s="62"/>
      <c r="V1011" s="81"/>
      <c r="W1011" s="60"/>
      <c r="X1011" s="61"/>
      <c r="Y1011" s="62"/>
      <c r="Z1011" s="59"/>
      <c r="AA1011" s="60"/>
      <c r="AB1011" s="61"/>
      <c r="AC1011" s="62"/>
      <c r="AD1011" s="59"/>
      <c r="AE1011" s="60"/>
      <c r="AF1011" s="61"/>
      <c r="AG1011" s="62"/>
      <c r="AH1011" s="59"/>
      <c r="AI1011" s="60"/>
      <c r="AJ1011" s="61"/>
      <c r="AK1011" s="62"/>
      <c r="AL1011" s="59"/>
      <c r="AM1011" s="60"/>
      <c r="AN1011" s="61"/>
      <c r="AO1011" s="62"/>
      <c r="AP1011" s="59"/>
      <c r="AQ1011" s="60"/>
      <c r="AR1011" s="61"/>
      <c r="AS1011" s="62"/>
      <c r="AT1011" s="59"/>
      <c r="AU1011" s="60"/>
      <c r="AV1011" s="61"/>
      <c r="AW1011" s="62"/>
      <c r="AX1011" s="33">
        <f t="shared" si="950"/>
        <v>0</v>
      </c>
      <c r="AY1011" s="31">
        <f t="shared" si="951"/>
        <v>0</v>
      </c>
      <c r="AZ1011" s="30">
        <f t="shared" si="952"/>
        <v>0</v>
      </c>
      <c r="BA1011" s="34"/>
      <c r="BB1011" s="34"/>
      <c r="BC1011" s="34"/>
      <c r="BD1011" s="76"/>
      <c r="BE1011" s="34"/>
      <c r="BF1011" s="34"/>
      <c r="BG1011" s="34"/>
      <c r="BH1011" s="34"/>
    </row>
    <row r="1012" spans="1:60" s="17" customFormat="1" ht="19.5" customHeight="1" thickBot="1" x14ac:dyDescent="0.45">
      <c r="A1012" s="41">
        <f t="shared" ref="A1012" si="959">A1011</f>
        <v>45442</v>
      </c>
      <c r="B1012" s="139" t="str">
        <f>B1005</f>
        <v>Kol Reçme</v>
      </c>
      <c r="C1012" s="140"/>
      <c r="D1012" s="40">
        <f>C886/8</f>
        <v>500</v>
      </c>
      <c r="E1012" s="147">
        <f>SUM(E1005:H1011)</f>
        <v>233</v>
      </c>
      <c r="F1012" s="148"/>
      <c r="G1012" s="148"/>
      <c r="H1012" s="149"/>
      <c r="I1012" s="147">
        <f>SUM(I1005:L1011)</f>
        <v>225</v>
      </c>
      <c r="J1012" s="148"/>
      <c r="K1012" s="148"/>
      <c r="L1012" s="149"/>
      <c r="M1012" s="147">
        <f>SUM(M1005:P1011)</f>
        <v>230</v>
      </c>
      <c r="N1012" s="148"/>
      <c r="O1012" s="148"/>
      <c r="P1012" s="149"/>
      <c r="Q1012" s="151">
        <f>SUM(Q1005:U1011)</f>
        <v>165</v>
      </c>
      <c r="R1012" s="152"/>
      <c r="S1012" s="152"/>
      <c r="T1012" s="152"/>
      <c r="U1012" s="153"/>
      <c r="V1012" s="147">
        <f>SUM(V1005:Y1011)</f>
        <v>125</v>
      </c>
      <c r="W1012" s="148"/>
      <c r="X1012" s="148"/>
      <c r="Y1012" s="149"/>
      <c r="Z1012" s="147">
        <f>SUM(Z1005:AC1011)</f>
        <v>245</v>
      </c>
      <c r="AA1012" s="148"/>
      <c r="AB1012" s="148"/>
      <c r="AC1012" s="149"/>
      <c r="AD1012" s="147">
        <f>SUM(AD1005:AG1011)</f>
        <v>324</v>
      </c>
      <c r="AE1012" s="148"/>
      <c r="AF1012" s="148"/>
      <c r="AG1012" s="149"/>
      <c r="AH1012" s="147">
        <f>SUM(AH1005:AK1011)</f>
        <v>332</v>
      </c>
      <c r="AI1012" s="148"/>
      <c r="AJ1012" s="148"/>
      <c r="AK1012" s="149"/>
      <c r="AL1012" s="147">
        <f>SUM(AL1005:AO1011)</f>
        <v>265</v>
      </c>
      <c r="AM1012" s="148"/>
      <c r="AN1012" s="148"/>
      <c r="AO1012" s="149"/>
      <c r="AP1012" s="147">
        <f>SUM(AP1005:AS1011)</f>
        <v>0</v>
      </c>
      <c r="AQ1012" s="148"/>
      <c r="AR1012" s="148"/>
      <c r="AS1012" s="149"/>
      <c r="AT1012" s="147">
        <f>SUM(AT1005:AW1011)</f>
        <v>0</v>
      </c>
      <c r="AU1012" s="148"/>
      <c r="AV1012" s="148"/>
      <c r="AW1012" s="149"/>
      <c r="AX1012" s="87">
        <f>SUM(AX1005:AX1011)</f>
        <v>2144</v>
      </c>
      <c r="AY1012" s="88">
        <f>IFERROR(AVERAGEIF(E1012:AV1012,"&lt;&gt;0",(E1012:AV1012)),)</f>
        <v>238.22222222222223</v>
      </c>
      <c r="AZ1012" s="46">
        <f>IFERROR(AX1012/BB1006,0)</f>
        <v>0.53600000000000003</v>
      </c>
      <c r="BA1012" s="34"/>
      <c r="BB1012" s="34"/>
      <c r="BC1012" s="34"/>
      <c r="BD1012" s="76"/>
      <c r="BE1012" s="34"/>
      <c r="BF1012" s="34"/>
      <c r="BG1012" s="34"/>
      <c r="BH1012" s="34"/>
    </row>
    <row r="1013" spans="1:60" s="17" customFormat="1" ht="19.5" customHeight="1" thickBot="1" x14ac:dyDescent="0.4">
      <c r="A1013" s="42">
        <f>A1004</f>
        <v>45442</v>
      </c>
      <c r="B1013" s="38" t="str">
        <f>B1014</f>
        <v>Etek Reçme</v>
      </c>
      <c r="C1013" s="39" t="s">
        <v>180</v>
      </c>
      <c r="D1013" s="69" t="s">
        <v>181</v>
      </c>
      <c r="E1013" s="48">
        <v>0.34375</v>
      </c>
      <c r="F1013" s="49">
        <v>0.35416666666666669</v>
      </c>
      <c r="G1013" s="49">
        <v>0.36458333333333331</v>
      </c>
      <c r="H1013" s="50">
        <v>0.375</v>
      </c>
      <c r="I1013" s="48">
        <v>0.38541666666666702</v>
      </c>
      <c r="J1013" s="49">
        <v>0.39583333333333298</v>
      </c>
      <c r="K1013" s="49">
        <v>0.40625</v>
      </c>
      <c r="L1013" s="50">
        <v>0.41666666666666702</v>
      </c>
      <c r="M1013" s="48">
        <v>0.4375</v>
      </c>
      <c r="N1013" s="49">
        <v>0.44791666666666702</v>
      </c>
      <c r="O1013" s="49">
        <v>0.45833333333333398</v>
      </c>
      <c r="P1013" s="50">
        <v>0.46875</v>
      </c>
      <c r="Q1013" s="82">
        <v>0.47916666666666702</v>
      </c>
      <c r="R1013" s="83">
        <v>0.48958333333333398</v>
      </c>
      <c r="S1013" s="83">
        <v>0.5</v>
      </c>
      <c r="T1013" s="84">
        <v>0.51041666666666696</v>
      </c>
      <c r="U1013" s="85">
        <v>0.52083333333333204</v>
      </c>
      <c r="V1013" s="48">
        <v>0.5625</v>
      </c>
      <c r="W1013" s="49">
        <v>0.57291666666666663</v>
      </c>
      <c r="X1013" s="49">
        <v>0.58333333333333304</v>
      </c>
      <c r="Y1013" s="50">
        <v>0.59375</v>
      </c>
      <c r="Z1013" s="48">
        <v>0.60416666666666696</v>
      </c>
      <c r="AA1013" s="49">
        <v>0.61458333333333304</v>
      </c>
      <c r="AB1013" s="49">
        <v>0.625</v>
      </c>
      <c r="AC1013" s="50">
        <v>0.63541666666666596</v>
      </c>
      <c r="AD1013" s="48">
        <v>0.65625</v>
      </c>
      <c r="AE1013" s="49">
        <v>0.66666666666666663</v>
      </c>
      <c r="AF1013" s="49">
        <v>0.67708333333333304</v>
      </c>
      <c r="AG1013" s="50">
        <v>0.6875</v>
      </c>
      <c r="AH1013" s="48">
        <v>0.69791666666666696</v>
      </c>
      <c r="AI1013" s="49">
        <v>0.70833333333333304</v>
      </c>
      <c r="AJ1013" s="49">
        <v>0.71875</v>
      </c>
      <c r="AK1013" s="50">
        <v>0.72916666666666696</v>
      </c>
      <c r="AL1013" s="48">
        <v>0.73958333333333404</v>
      </c>
      <c r="AM1013" s="49">
        <v>0.750000000000001</v>
      </c>
      <c r="AN1013" s="49">
        <v>0.76041666666666796</v>
      </c>
      <c r="AO1013" s="50">
        <v>0.77083333333333504</v>
      </c>
      <c r="AP1013" s="48">
        <v>0.781250000000002</v>
      </c>
      <c r="AQ1013" s="49">
        <v>0.79166666666666896</v>
      </c>
      <c r="AR1013" s="49">
        <v>0.80208333333333603</v>
      </c>
      <c r="AS1013" s="50">
        <v>0.812500000000003</v>
      </c>
      <c r="AT1013" s="48">
        <v>0.82291666666666996</v>
      </c>
      <c r="AU1013" s="49">
        <v>0.83333333333333703</v>
      </c>
      <c r="AV1013" s="49">
        <v>0.843750000000004</v>
      </c>
      <c r="AW1013" s="50">
        <v>0.85416666666666663</v>
      </c>
      <c r="AX1013" s="68" t="s">
        <v>260</v>
      </c>
      <c r="AY1013" s="28" t="s">
        <v>261</v>
      </c>
      <c r="AZ1013" s="29" t="s">
        <v>262</v>
      </c>
      <c r="BA1013" s="136" t="str">
        <f>B1014</f>
        <v>Etek Reçme</v>
      </c>
      <c r="BB1013" s="137"/>
      <c r="BC1013" s="137"/>
      <c r="BD1013" s="137"/>
      <c r="BE1013" s="137"/>
      <c r="BF1013" s="137"/>
      <c r="BG1013" s="137"/>
      <c r="BH1013" s="138"/>
    </row>
    <row r="1014" spans="1:60" s="17" customFormat="1" ht="19.5" customHeight="1" thickBot="1" x14ac:dyDescent="0.4">
      <c r="A1014" s="41">
        <f t="shared" ref="A1014" si="960">A1013</f>
        <v>45442</v>
      </c>
      <c r="B1014" s="37" t="str">
        <f>B838</f>
        <v>Etek Reçme</v>
      </c>
      <c r="C1014" s="65" t="str">
        <f>C838</f>
        <v>BEGÜM DURMAZ</v>
      </c>
      <c r="D1014" s="70">
        <f>D838</f>
        <v>120</v>
      </c>
      <c r="E1014" s="63">
        <v>105</v>
      </c>
      <c r="F1014" s="55">
        <v>105</v>
      </c>
      <c r="G1014" s="55">
        <v>92</v>
      </c>
      <c r="H1014" s="56">
        <v>90</v>
      </c>
      <c r="I1014" s="63">
        <v>75</v>
      </c>
      <c r="J1014" s="55">
        <v>85</v>
      </c>
      <c r="K1014" s="55">
        <v>0</v>
      </c>
      <c r="L1014" s="56">
        <v>0</v>
      </c>
      <c r="M1014" s="63">
        <v>130</v>
      </c>
      <c r="N1014" s="55">
        <v>45</v>
      </c>
      <c r="O1014" s="55">
        <v>65</v>
      </c>
      <c r="P1014" s="56">
        <v>75</v>
      </c>
      <c r="Q1014" s="63">
        <v>58</v>
      </c>
      <c r="R1014" s="55">
        <v>98</v>
      </c>
      <c r="S1014" s="55">
        <v>50</v>
      </c>
      <c r="T1014" s="55">
        <v>50</v>
      </c>
      <c r="U1014" s="56">
        <v>0</v>
      </c>
      <c r="V1014" s="63">
        <v>78</v>
      </c>
      <c r="W1014" s="55">
        <v>45</v>
      </c>
      <c r="X1014" s="55">
        <v>57</v>
      </c>
      <c r="Y1014" s="56">
        <v>58</v>
      </c>
      <c r="Z1014" s="63">
        <v>60</v>
      </c>
      <c r="AA1014" s="55">
        <v>45</v>
      </c>
      <c r="AB1014" s="55">
        <v>45</v>
      </c>
      <c r="AC1014" s="56">
        <v>45</v>
      </c>
      <c r="AD1014" s="63">
        <v>60</v>
      </c>
      <c r="AE1014" s="55">
        <v>44</v>
      </c>
      <c r="AF1014" s="55">
        <v>90</v>
      </c>
      <c r="AG1014" s="56">
        <v>61</v>
      </c>
      <c r="AH1014" s="63">
        <v>60</v>
      </c>
      <c r="AI1014" s="55">
        <v>60</v>
      </c>
      <c r="AJ1014" s="55">
        <v>120</v>
      </c>
      <c r="AK1014" s="56">
        <v>55</v>
      </c>
      <c r="AL1014" s="53">
        <v>70</v>
      </c>
      <c r="AM1014" s="54">
        <v>70</v>
      </c>
      <c r="AN1014" s="55">
        <v>100</v>
      </c>
      <c r="AO1014" s="56"/>
      <c r="AP1014" s="53"/>
      <c r="AQ1014" s="54"/>
      <c r="AR1014" s="55"/>
      <c r="AS1014" s="56"/>
      <c r="AT1014" s="53"/>
      <c r="AU1014" s="54"/>
      <c r="AV1014" s="55"/>
      <c r="AW1014" s="56"/>
      <c r="AX1014" s="33">
        <f>SUM(E1014:AW1014)</f>
        <v>2346</v>
      </c>
      <c r="AY1014" s="31">
        <f>IFERROR(AVERAGEIF(E1014:AW1014,"&lt;&gt;0",(E1014:AW1014)),)</f>
        <v>71.090909090909093</v>
      </c>
      <c r="AZ1014" s="30">
        <f>IFERROR(AY1014/D1014,0)</f>
        <v>0.59242424242424241</v>
      </c>
      <c r="BA1014" s="103" t="s">
        <v>182</v>
      </c>
      <c r="BB1014" s="100" t="s">
        <v>183</v>
      </c>
      <c r="BC1014" s="100" t="s">
        <v>184</v>
      </c>
      <c r="BD1014" s="101" t="s">
        <v>185</v>
      </c>
      <c r="BE1014" s="100" t="s">
        <v>186</v>
      </c>
      <c r="BF1014" s="102" t="s">
        <v>187</v>
      </c>
      <c r="BG1014" s="100" t="s">
        <v>188</v>
      </c>
      <c r="BH1014" s="102" t="s">
        <v>189</v>
      </c>
    </row>
    <row r="1015" spans="1:60" s="17" customFormat="1" ht="19.5" customHeight="1" thickBot="1" x14ac:dyDescent="0.4">
      <c r="A1015" s="41">
        <f t="shared" ref="A1015:B1015" si="961">A1014</f>
        <v>45442</v>
      </c>
      <c r="B1015" s="37" t="str">
        <f t="shared" si="961"/>
        <v>Etek Reçme</v>
      </c>
      <c r="C1015" s="65">
        <f t="shared" ref="C1015:C1020" si="962">C839</f>
        <v>0</v>
      </c>
      <c r="D1015" s="67">
        <f t="shared" ref="D1015:D1020" si="963">D1014</f>
        <v>120</v>
      </c>
      <c r="E1015" s="57"/>
      <c r="F1015" s="52"/>
      <c r="G1015" s="52"/>
      <c r="H1015" s="58"/>
      <c r="I1015" s="57"/>
      <c r="J1015" s="52"/>
      <c r="K1015" s="52"/>
      <c r="L1015" s="58"/>
      <c r="M1015" s="57"/>
      <c r="N1015" s="52"/>
      <c r="O1015" s="52"/>
      <c r="P1015" s="58"/>
      <c r="Q1015" s="57"/>
      <c r="R1015" s="52"/>
      <c r="S1015" s="52"/>
      <c r="T1015" s="52"/>
      <c r="U1015" s="58"/>
      <c r="V1015" s="57"/>
      <c r="W1015" s="52"/>
      <c r="X1015" s="52"/>
      <c r="Y1015" s="58"/>
      <c r="Z1015" s="57"/>
      <c r="AA1015" s="52"/>
      <c r="AB1015" s="52"/>
      <c r="AC1015" s="58"/>
      <c r="AD1015" s="57"/>
      <c r="AE1015" s="52"/>
      <c r="AF1015" s="52"/>
      <c r="AG1015" s="58"/>
      <c r="AH1015" s="57"/>
      <c r="AI1015" s="52"/>
      <c r="AJ1015" s="52"/>
      <c r="AK1015" s="58"/>
      <c r="AL1015" s="57"/>
      <c r="AM1015" s="52"/>
      <c r="AN1015" s="52"/>
      <c r="AO1015" s="58"/>
      <c r="AP1015" s="57"/>
      <c r="AQ1015" s="52"/>
      <c r="AR1015" s="52"/>
      <c r="AS1015" s="58"/>
      <c r="AT1015" s="57"/>
      <c r="AU1015" s="52"/>
      <c r="AV1015" s="52"/>
      <c r="AW1015" s="58"/>
      <c r="AX1015" s="33">
        <f t="shared" ref="AX1015:AX1020" si="964">SUM(E1015:AW1015)</f>
        <v>0</v>
      </c>
      <c r="AY1015" s="31">
        <f t="shared" ref="AY1015:AY1020" si="965">IFERROR(AVERAGEIF(E1015:AW1015,"&lt;&gt;0",(E1015:AW1015)),)</f>
        <v>0</v>
      </c>
      <c r="AZ1015" s="30">
        <f t="shared" ref="AZ1015:AZ1020" si="966">IFERROR(AY1015/D1015,0)</f>
        <v>0</v>
      </c>
      <c r="BA1015" s="94">
        <f>AX1021+BA839</f>
        <v>8107</v>
      </c>
      <c r="BB1015" s="95">
        <f>(D1021*8)</f>
        <v>4000</v>
      </c>
      <c r="BC1015" s="96">
        <f>C885-BA1015</f>
        <v>34204</v>
      </c>
      <c r="BD1015" s="96">
        <f>BA1006-BA1015</f>
        <v>302</v>
      </c>
      <c r="BE1015" s="97">
        <f>IFERROR(BC1015/E1021,0)</f>
        <v>87.255102040816325</v>
      </c>
      <c r="BF1015" s="98">
        <f>IFERROR(BE1015/9,0)</f>
        <v>9.6950113378684808</v>
      </c>
      <c r="BG1015" s="97">
        <f>IFERROR(BC1015/AY1021,0)</f>
        <v>131.21739130434781</v>
      </c>
      <c r="BH1015" s="97">
        <f>IFERROR(BG1015/9,0)</f>
        <v>14.579710144927535</v>
      </c>
    </row>
    <row r="1016" spans="1:60" s="17" customFormat="1" ht="19.5" customHeight="1" x14ac:dyDescent="0.35">
      <c r="A1016" s="41">
        <f t="shared" ref="A1016:B1016" si="967">A1015</f>
        <v>45442</v>
      </c>
      <c r="B1016" s="37" t="str">
        <f t="shared" si="967"/>
        <v>Etek Reçme</v>
      </c>
      <c r="C1016" s="65">
        <f t="shared" si="962"/>
        <v>0</v>
      </c>
      <c r="D1016" s="67">
        <f t="shared" si="963"/>
        <v>120</v>
      </c>
      <c r="E1016" s="57"/>
      <c r="F1016" s="52"/>
      <c r="G1016" s="52"/>
      <c r="H1016" s="58"/>
      <c r="I1016" s="57"/>
      <c r="J1016" s="52"/>
      <c r="K1016" s="52"/>
      <c r="L1016" s="58"/>
      <c r="M1016" s="57"/>
      <c r="N1016" s="52"/>
      <c r="O1016" s="52"/>
      <c r="P1016" s="58"/>
      <c r="Q1016" s="57"/>
      <c r="R1016" s="52"/>
      <c r="S1016" s="52"/>
      <c r="T1016" s="52"/>
      <c r="U1016" s="58"/>
      <c r="V1016" s="57"/>
      <c r="W1016" s="52"/>
      <c r="X1016" s="52"/>
      <c r="Y1016" s="58"/>
      <c r="Z1016" s="57"/>
      <c r="AA1016" s="52"/>
      <c r="AB1016" s="52"/>
      <c r="AC1016" s="58"/>
      <c r="AD1016" s="57"/>
      <c r="AE1016" s="52"/>
      <c r="AF1016" s="52"/>
      <c r="AG1016" s="58"/>
      <c r="AH1016" s="57"/>
      <c r="AI1016" s="52"/>
      <c r="AJ1016" s="52"/>
      <c r="AK1016" s="58"/>
      <c r="AL1016" s="57"/>
      <c r="AM1016" s="52"/>
      <c r="AN1016" s="52"/>
      <c r="AO1016" s="58"/>
      <c r="AP1016" s="57"/>
      <c r="AQ1016" s="52"/>
      <c r="AR1016" s="52"/>
      <c r="AS1016" s="58"/>
      <c r="AT1016" s="57"/>
      <c r="AU1016" s="52"/>
      <c r="AV1016" s="52"/>
      <c r="AW1016" s="58"/>
      <c r="AX1016" s="33">
        <f t="shared" si="964"/>
        <v>0</v>
      </c>
      <c r="AY1016" s="31">
        <f t="shared" si="965"/>
        <v>0</v>
      </c>
      <c r="AZ1016" s="30">
        <f t="shared" si="966"/>
        <v>0</v>
      </c>
      <c r="BA1016" s="34"/>
      <c r="BB1016" s="34"/>
      <c r="BC1016" s="34"/>
      <c r="BD1016" s="76"/>
      <c r="BE1016" s="34"/>
      <c r="BF1016" s="34"/>
      <c r="BG1016" s="34"/>
      <c r="BH1016" s="34"/>
    </row>
    <row r="1017" spans="1:60" s="17" customFormat="1" ht="19.5" customHeight="1" x14ac:dyDescent="0.35">
      <c r="A1017" s="41">
        <f t="shared" ref="A1017:B1017" si="968">A1016</f>
        <v>45442</v>
      </c>
      <c r="B1017" s="37" t="str">
        <f t="shared" si="968"/>
        <v>Etek Reçme</v>
      </c>
      <c r="C1017" s="65">
        <f t="shared" si="962"/>
        <v>0</v>
      </c>
      <c r="D1017" s="67">
        <f t="shared" si="963"/>
        <v>120</v>
      </c>
      <c r="E1017" s="57"/>
      <c r="F1017" s="52"/>
      <c r="G1017" s="52"/>
      <c r="H1017" s="58"/>
      <c r="I1017" s="57"/>
      <c r="J1017" s="52"/>
      <c r="K1017" s="52"/>
      <c r="L1017" s="58"/>
      <c r="M1017" s="57"/>
      <c r="N1017" s="52"/>
      <c r="O1017" s="52"/>
      <c r="P1017" s="58"/>
      <c r="Q1017" s="57"/>
      <c r="R1017" s="52"/>
      <c r="S1017" s="52"/>
      <c r="T1017" s="52"/>
      <c r="U1017" s="58"/>
      <c r="V1017" s="57"/>
      <c r="W1017" s="52"/>
      <c r="X1017" s="52"/>
      <c r="Y1017" s="58"/>
      <c r="Z1017" s="57"/>
      <c r="AA1017" s="52"/>
      <c r="AB1017" s="52"/>
      <c r="AC1017" s="58"/>
      <c r="AD1017" s="57"/>
      <c r="AE1017" s="52"/>
      <c r="AF1017" s="52"/>
      <c r="AG1017" s="58"/>
      <c r="AH1017" s="57"/>
      <c r="AI1017" s="52"/>
      <c r="AJ1017" s="52"/>
      <c r="AK1017" s="58"/>
      <c r="AL1017" s="57"/>
      <c r="AM1017" s="52"/>
      <c r="AN1017" s="52"/>
      <c r="AO1017" s="58"/>
      <c r="AP1017" s="57"/>
      <c r="AQ1017" s="52"/>
      <c r="AR1017" s="52"/>
      <c r="AS1017" s="58"/>
      <c r="AT1017" s="57"/>
      <c r="AU1017" s="52"/>
      <c r="AV1017" s="52"/>
      <c r="AW1017" s="58"/>
      <c r="AX1017" s="33">
        <f t="shared" si="964"/>
        <v>0</v>
      </c>
      <c r="AY1017" s="31">
        <f t="shared" si="965"/>
        <v>0</v>
      </c>
      <c r="AZ1017" s="30">
        <f t="shared" si="966"/>
        <v>0</v>
      </c>
      <c r="BA1017" s="34"/>
      <c r="BB1017" s="34"/>
      <c r="BC1017" s="34"/>
      <c r="BD1017" s="76"/>
      <c r="BE1017" s="34"/>
      <c r="BF1017" s="34"/>
      <c r="BG1017" s="34"/>
      <c r="BH1017" s="34"/>
    </row>
    <row r="1018" spans="1:60" s="17" customFormat="1" ht="19.5" customHeight="1" x14ac:dyDescent="0.35">
      <c r="A1018" s="41">
        <f>A1015</f>
        <v>45442</v>
      </c>
      <c r="B1018" s="37" t="str">
        <f t="shared" ref="B1018" si="969">B1017</f>
        <v>Etek Reçme</v>
      </c>
      <c r="C1018" s="65">
        <f t="shared" si="962"/>
        <v>0</v>
      </c>
      <c r="D1018" s="67">
        <f t="shared" si="963"/>
        <v>120</v>
      </c>
      <c r="E1018" s="57"/>
      <c r="F1018" s="52"/>
      <c r="G1018" s="52"/>
      <c r="H1018" s="58"/>
      <c r="I1018" s="57"/>
      <c r="J1018" s="52"/>
      <c r="K1018" s="52"/>
      <c r="L1018" s="58"/>
      <c r="M1018" s="57"/>
      <c r="N1018" s="52"/>
      <c r="O1018" s="52"/>
      <c r="P1018" s="58"/>
      <c r="Q1018" s="57"/>
      <c r="R1018" s="52"/>
      <c r="S1018" s="52"/>
      <c r="T1018" s="52"/>
      <c r="U1018" s="58"/>
      <c r="V1018" s="57"/>
      <c r="W1018" s="52"/>
      <c r="X1018" s="52"/>
      <c r="Y1018" s="58"/>
      <c r="Z1018" s="57"/>
      <c r="AA1018" s="52"/>
      <c r="AB1018" s="52"/>
      <c r="AC1018" s="58"/>
      <c r="AD1018" s="57"/>
      <c r="AE1018" s="52"/>
      <c r="AF1018" s="52"/>
      <c r="AG1018" s="58"/>
      <c r="AH1018" s="57"/>
      <c r="AI1018" s="52"/>
      <c r="AJ1018" s="52"/>
      <c r="AK1018" s="58"/>
      <c r="AL1018" s="57"/>
      <c r="AM1018" s="52"/>
      <c r="AN1018" s="52"/>
      <c r="AO1018" s="58"/>
      <c r="AP1018" s="57"/>
      <c r="AQ1018" s="52"/>
      <c r="AR1018" s="52"/>
      <c r="AS1018" s="58"/>
      <c r="AT1018" s="57"/>
      <c r="AU1018" s="52"/>
      <c r="AV1018" s="52"/>
      <c r="AW1018" s="58"/>
      <c r="AX1018" s="33">
        <f t="shared" si="964"/>
        <v>0</v>
      </c>
      <c r="AY1018" s="31">
        <f t="shared" si="965"/>
        <v>0</v>
      </c>
      <c r="AZ1018" s="30">
        <f t="shared" si="966"/>
        <v>0</v>
      </c>
      <c r="BA1018" s="34"/>
      <c r="BB1018" s="34"/>
      <c r="BC1018" s="34"/>
      <c r="BD1018" s="76"/>
      <c r="BE1018" s="34"/>
      <c r="BF1018" s="34"/>
      <c r="BG1018" s="34"/>
      <c r="BH1018" s="34"/>
    </row>
    <row r="1019" spans="1:60" s="17" customFormat="1" ht="19.5" customHeight="1" x14ac:dyDescent="0.35">
      <c r="A1019" s="41">
        <f t="shared" ref="A1019:B1019" si="970">A1018</f>
        <v>45442</v>
      </c>
      <c r="B1019" s="37" t="str">
        <f t="shared" si="970"/>
        <v>Etek Reçme</v>
      </c>
      <c r="C1019" s="65">
        <f t="shared" si="962"/>
        <v>0</v>
      </c>
      <c r="D1019" s="67">
        <f t="shared" si="963"/>
        <v>120</v>
      </c>
      <c r="E1019" s="57"/>
      <c r="F1019" s="52"/>
      <c r="G1019" s="52"/>
      <c r="H1019" s="58"/>
      <c r="I1019" s="57"/>
      <c r="J1019" s="52"/>
      <c r="K1019" s="52"/>
      <c r="L1019" s="58"/>
      <c r="M1019" s="57"/>
      <c r="N1019" s="52"/>
      <c r="O1019" s="52"/>
      <c r="P1019" s="78"/>
      <c r="Q1019" s="57"/>
      <c r="R1019" s="52"/>
      <c r="S1019" s="52"/>
      <c r="T1019" s="52"/>
      <c r="U1019" s="58"/>
      <c r="V1019" s="80"/>
      <c r="W1019" s="52"/>
      <c r="X1019" s="52"/>
      <c r="Y1019" s="58"/>
      <c r="Z1019" s="57"/>
      <c r="AA1019" s="52"/>
      <c r="AB1019" s="52"/>
      <c r="AC1019" s="58"/>
      <c r="AD1019" s="57"/>
      <c r="AE1019" s="52"/>
      <c r="AF1019" s="52"/>
      <c r="AG1019" s="58"/>
      <c r="AH1019" s="57"/>
      <c r="AI1019" s="52"/>
      <c r="AJ1019" s="52"/>
      <c r="AK1019" s="58"/>
      <c r="AL1019" s="57"/>
      <c r="AM1019" s="52"/>
      <c r="AN1019" s="52"/>
      <c r="AO1019" s="58"/>
      <c r="AP1019" s="57"/>
      <c r="AQ1019" s="52"/>
      <c r="AR1019" s="52"/>
      <c r="AS1019" s="58"/>
      <c r="AT1019" s="57"/>
      <c r="AU1019" s="52"/>
      <c r="AV1019" s="52"/>
      <c r="AW1019" s="58"/>
      <c r="AX1019" s="33">
        <f t="shared" si="964"/>
        <v>0</v>
      </c>
      <c r="AY1019" s="31">
        <f t="shared" si="965"/>
        <v>0</v>
      </c>
      <c r="AZ1019" s="30">
        <f t="shared" si="966"/>
        <v>0</v>
      </c>
      <c r="BA1019" s="34"/>
      <c r="BB1019" s="34"/>
      <c r="BC1019" s="34"/>
      <c r="BD1019" s="76"/>
      <c r="BE1019" s="34"/>
      <c r="BF1019" s="34"/>
      <c r="BG1019" s="34"/>
      <c r="BH1019" s="34"/>
    </row>
    <row r="1020" spans="1:60" s="17" customFormat="1" ht="19.5" customHeight="1" thickBot="1" x14ac:dyDescent="0.4">
      <c r="A1020" s="41">
        <f t="shared" ref="A1020:B1020" si="971">A1019</f>
        <v>45442</v>
      </c>
      <c r="B1020" s="37" t="str">
        <f t="shared" si="971"/>
        <v>Etek Reçme</v>
      </c>
      <c r="C1020" s="65">
        <f t="shared" si="962"/>
        <v>0</v>
      </c>
      <c r="D1020" s="67">
        <f t="shared" si="963"/>
        <v>120</v>
      </c>
      <c r="E1020" s="59"/>
      <c r="F1020" s="60"/>
      <c r="G1020" s="61"/>
      <c r="H1020" s="62"/>
      <c r="I1020" s="59"/>
      <c r="J1020" s="60"/>
      <c r="K1020" s="61"/>
      <c r="L1020" s="62"/>
      <c r="M1020" s="59"/>
      <c r="N1020" s="60"/>
      <c r="O1020" s="61"/>
      <c r="P1020" s="79"/>
      <c r="Q1020" s="64"/>
      <c r="R1020" s="61"/>
      <c r="S1020" s="61"/>
      <c r="T1020" s="61"/>
      <c r="U1020" s="62"/>
      <c r="V1020" s="81"/>
      <c r="W1020" s="60"/>
      <c r="X1020" s="61"/>
      <c r="Y1020" s="62"/>
      <c r="Z1020" s="59"/>
      <c r="AA1020" s="60"/>
      <c r="AB1020" s="61"/>
      <c r="AC1020" s="62"/>
      <c r="AD1020" s="59"/>
      <c r="AE1020" s="60"/>
      <c r="AF1020" s="61"/>
      <c r="AG1020" s="62"/>
      <c r="AH1020" s="59"/>
      <c r="AI1020" s="60"/>
      <c r="AJ1020" s="61"/>
      <c r="AK1020" s="62"/>
      <c r="AL1020" s="59"/>
      <c r="AM1020" s="60"/>
      <c r="AN1020" s="61"/>
      <c r="AO1020" s="62"/>
      <c r="AP1020" s="59"/>
      <c r="AQ1020" s="60"/>
      <c r="AR1020" s="61"/>
      <c r="AS1020" s="62"/>
      <c r="AT1020" s="59"/>
      <c r="AU1020" s="60"/>
      <c r="AV1020" s="61"/>
      <c r="AW1020" s="62"/>
      <c r="AX1020" s="33">
        <f t="shared" si="964"/>
        <v>0</v>
      </c>
      <c r="AY1020" s="31">
        <f t="shared" si="965"/>
        <v>0</v>
      </c>
      <c r="AZ1020" s="30">
        <f t="shared" si="966"/>
        <v>0</v>
      </c>
      <c r="BA1020" s="34"/>
      <c r="BB1020" s="34"/>
      <c r="BC1020" s="34"/>
      <c r="BD1020" s="76"/>
      <c r="BE1020" s="34"/>
      <c r="BF1020" s="34"/>
      <c r="BG1020" s="34"/>
      <c r="BH1020" s="34"/>
    </row>
    <row r="1021" spans="1:60" s="17" customFormat="1" ht="19.5" customHeight="1" thickBot="1" x14ac:dyDescent="0.45">
      <c r="A1021" s="41">
        <f t="shared" ref="A1021" si="972">A1020</f>
        <v>45442</v>
      </c>
      <c r="B1021" s="139" t="str">
        <f>B1014</f>
        <v>Etek Reçme</v>
      </c>
      <c r="C1021" s="140"/>
      <c r="D1021" s="40">
        <f>C886/8</f>
        <v>500</v>
      </c>
      <c r="E1021" s="147">
        <f>SUM(E1014:H1020)</f>
        <v>392</v>
      </c>
      <c r="F1021" s="148"/>
      <c r="G1021" s="148"/>
      <c r="H1021" s="149"/>
      <c r="I1021" s="147">
        <f>SUM(I1014:L1020)</f>
        <v>160</v>
      </c>
      <c r="J1021" s="148"/>
      <c r="K1021" s="148"/>
      <c r="L1021" s="149"/>
      <c r="M1021" s="147">
        <f>SUM(M1014:P1020)</f>
        <v>315</v>
      </c>
      <c r="N1021" s="148"/>
      <c r="O1021" s="148"/>
      <c r="P1021" s="149"/>
      <c r="Q1021" s="151">
        <f>SUM(Q1014:U1020)</f>
        <v>256</v>
      </c>
      <c r="R1021" s="152"/>
      <c r="S1021" s="152"/>
      <c r="T1021" s="152"/>
      <c r="U1021" s="153"/>
      <c r="V1021" s="147">
        <f>SUM(V1014:Y1020)</f>
        <v>238</v>
      </c>
      <c r="W1021" s="148"/>
      <c r="X1021" s="148"/>
      <c r="Y1021" s="149"/>
      <c r="Z1021" s="147">
        <f>SUM(Z1014:AC1020)</f>
        <v>195</v>
      </c>
      <c r="AA1021" s="148"/>
      <c r="AB1021" s="148"/>
      <c r="AC1021" s="149"/>
      <c r="AD1021" s="147">
        <f>SUM(AD1014:AG1020)</f>
        <v>255</v>
      </c>
      <c r="AE1021" s="148"/>
      <c r="AF1021" s="148"/>
      <c r="AG1021" s="149"/>
      <c r="AH1021" s="147">
        <f>SUM(AH1014:AK1020)</f>
        <v>295</v>
      </c>
      <c r="AI1021" s="148"/>
      <c r="AJ1021" s="148"/>
      <c r="AK1021" s="149"/>
      <c r="AL1021" s="147">
        <f>SUM(AL1014:AO1020)</f>
        <v>240</v>
      </c>
      <c r="AM1021" s="148"/>
      <c r="AN1021" s="148"/>
      <c r="AO1021" s="149"/>
      <c r="AP1021" s="147">
        <f>SUM(AP1014:AS1020)</f>
        <v>0</v>
      </c>
      <c r="AQ1021" s="148"/>
      <c r="AR1021" s="148"/>
      <c r="AS1021" s="149"/>
      <c r="AT1021" s="147">
        <f>SUM(AT1014:AW1020)</f>
        <v>0</v>
      </c>
      <c r="AU1021" s="148"/>
      <c r="AV1021" s="148"/>
      <c r="AW1021" s="149"/>
      <c r="AX1021" s="87">
        <f>SUM(AX1014:AX1020)</f>
        <v>2346</v>
      </c>
      <c r="AY1021" s="88">
        <f>IFERROR(AVERAGEIF(E1021:AV1021,"&lt;&gt;0",(E1021:AV1021)),)</f>
        <v>260.66666666666669</v>
      </c>
      <c r="AZ1021" s="46">
        <f>IFERROR(AX1021/BB1015,0)</f>
        <v>0.58650000000000002</v>
      </c>
      <c r="BA1021" s="34"/>
      <c r="BB1021" s="34"/>
      <c r="BC1021" s="34"/>
      <c r="BD1021" s="76"/>
      <c r="BE1021" s="34"/>
      <c r="BF1021" s="34"/>
      <c r="BG1021" s="34"/>
      <c r="BH1021" s="34"/>
    </row>
    <row r="1022" spans="1:60" s="17" customFormat="1" ht="19.5" customHeight="1" thickBot="1" x14ac:dyDescent="0.4">
      <c r="A1022" s="42">
        <f>A986</f>
        <v>45442</v>
      </c>
      <c r="B1022" s="38" t="str">
        <f>B1023</f>
        <v>Çevirme</v>
      </c>
      <c r="C1022" s="39" t="s">
        <v>180</v>
      </c>
      <c r="D1022" s="69" t="s">
        <v>181</v>
      </c>
      <c r="E1022" s="48">
        <v>0.34375</v>
      </c>
      <c r="F1022" s="49">
        <v>0.35416666666666669</v>
      </c>
      <c r="G1022" s="49">
        <v>0.36458333333333331</v>
      </c>
      <c r="H1022" s="50">
        <v>0.375</v>
      </c>
      <c r="I1022" s="48">
        <v>0.38541666666666702</v>
      </c>
      <c r="J1022" s="49">
        <v>0.39583333333333298</v>
      </c>
      <c r="K1022" s="49">
        <v>0.40625</v>
      </c>
      <c r="L1022" s="50">
        <v>0.41666666666666702</v>
      </c>
      <c r="M1022" s="48">
        <v>0.4375</v>
      </c>
      <c r="N1022" s="49">
        <v>0.44791666666666702</v>
      </c>
      <c r="O1022" s="49">
        <v>0.45833333333333398</v>
      </c>
      <c r="P1022" s="50">
        <v>0.46875</v>
      </c>
      <c r="Q1022" s="48">
        <v>0.47916666666666702</v>
      </c>
      <c r="R1022" s="49">
        <v>0.48958333333333398</v>
      </c>
      <c r="S1022" s="49">
        <v>0.5</v>
      </c>
      <c r="T1022" s="50">
        <v>0.51041666666666696</v>
      </c>
      <c r="U1022" s="51">
        <v>0.52083333333333204</v>
      </c>
      <c r="V1022" s="48">
        <v>0.5625</v>
      </c>
      <c r="W1022" s="49">
        <v>0.57291666666666663</v>
      </c>
      <c r="X1022" s="49">
        <v>0.58333333333333304</v>
      </c>
      <c r="Y1022" s="50">
        <v>0.59375</v>
      </c>
      <c r="Z1022" s="48">
        <v>0.60416666666666696</v>
      </c>
      <c r="AA1022" s="49">
        <v>0.61458333333333304</v>
      </c>
      <c r="AB1022" s="49">
        <v>0.625</v>
      </c>
      <c r="AC1022" s="50">
        <v>0.63541666666666596</v>
      </c>
      <c r="AD1022" s="48">
        <v>0.65625</v>
      </c>
      <c r="AE1022" s="49">
        <v>0.66666666666666663</v>
      </c>
      <c r="AF1022" s="49">
        <v>0.67708333333333304</v>
      </c>
      <c r="AG1022" s="50">
        <v>0.6875</v>
      </c>
      <c r="AH1022" s="48">
        <v>0.69791666666666696</v>
      </c>
      <c r="AI1022" s="49">
        <v>0.70833333333333304</v>
      </c>
      <c r="AJ1022" s="49">
        <v>0.71875</v>
      </c>
      <c r="AK1022" s="50">
        <v>0.72916666666666696</v>
      </c>
      <c r="AL1022" s="48">
        <v>0.73958333333333404</v>
      </c>
      <c r="AM1022" s="49">
        <v>0.750000000000001</v>
      </c>
      <c r="AN1022" s="49">
        <v>0.76041666666666796</v>
      </c>
      <c r="AO1022" s="50">
        <v>0.77083333333333504</v>
      </c>
      <c r="AP1022" s="48">
        <v>0.781250000000002</v>
      </c>
      <c r="AQ1022" s="49">
        <v>0.79166666666666896</v>
      </c>
      <c r="AR1022" s="49">
        <v>0.80208333333333603</v>
      </c>
      <c r="AS1022" s="50">
        <v>0.812500000000003</v>
      </c>
      <c r="AT1022" s="48">
        <v>0.82291666666666996</v>
      </c>
      <c r="AU1022" s="49">
        <v>0.83333333333333703</v>
      </c>
      <c r="AV1022" s="49">
        <v>0.843750000000004</v>
      </c>
      <c r="AW1022" s="50">
        <v>0.85416666666666663</v>
      </c>
      <c r="AX1022" s="68" t="s">
        <v>260</v>
      </c>
      <c r="AY1022" s="28" t="s">
        <v>261</v>
      </c>
      <c r="AZ1022" s="29" t="s">
        <v>262</v>
      </c>
      <c r="BA1022" s="136" t="str">
        <f>B1023</f>
        <v>Çevirme</v>
      </c>
      <c r="BB1022" s="137"/>
      <c r="BC1022" s="137"/>
      <c r="BD1022" s="137"/>
      <c r="BE1022" s="137"/>
      <c r="BF1022" s="137"/>
      <c r="BG1022" s="137"/>
      <c r="BH1022" s="138"/>
    </row>
    <row r="1023" spans="1:60" s="17" customFormat="1" ht="19.5" customHeight="1" thickBot="1" x14ac:dyDescent="0.4">
      <c r="A1023" s="41">
        <f t="shared" ref="A1023" si="973">A1022</f>
        <v>45442</v>
      </c>
      <c r="B1023" s="37" t="str">
        <f>B847</f>
        <v>Çevirme</v>
      </c>
      <c r="C1023" s="65" t="str">
        <f>C847</f>
        <v>SEZER BOZKURT</v>
      </c>
      <c r="D1023" s="70">
        <f>D811</f>
        <v>40</v>
      </c>
      <c r="E1023" s="63">
        <v>35</v>
      </c>
      <c r="F1023" s="55">
        <v>40</v>
      </c>
      <c r="G1023" s="55">
        <v>51</v>
      </c>
      <c r="H1023" s="56"/>
      <c r="I1023" s="63"/>
      <c r="J1023" s="55"/>
      <c r="K1023" s="55"/>
      <c r="L1023" s="56"/>
      <c r="M1023" s="63"/>
      <c r="N1023" s="55"/>
      <c r="O1023" s="55">
        <v>30</v>
      </c>
      <c r="P1023" s="56">
        <v>33</v>
      </c>
      <c r="Q1023" s="63"/>
      <c r="R1023" s="55"/>
      <c r="S1023" s="55"/>
      <c r="T1023" s="55"/>
      <c r="U1023" s="56"/>
      <c r="V1023" s="63"/>
      <c r="W1023" s="55"/>
      <c r="X1023" s="55"/>
      <c r="Y1023" s="56">
        <v>35</v>
      </c>
      <c r="Z1023" s="63">
        <v>54</v>
      </c>
      <c r="AA1023" s="55">
        <v>55</v>
      </c>
      <c r="AB1023" s="55">
        <v>47</v>
      </c>
      <c r="AC1023" s="56"/>
      <c r="AD1023" s="63">
        <v>46</v>
      </c>
      <c r="AE1023" s="55">
        <v>34</v>
      </c>
      <c r="AF1023" s="55">
        <v>39</v>
      </c>
      <c r="AG1023" s="56">
        <v>38</v>
      </c>
      <c r="AH1023" s="63">
        <v>30</v>
      </c>
      <c r="AI1023" s="55">
        <v>36</v>
      </c>
      <c r="AJ1023" s="55">
        <v>44</v>
      </c>
      <c r="AK1023" s="56">
        <v>36</v>
      </c>
      <c r="AL1023" s="63">
        <v>37</v>
      </c>
      <c r="AM1023" s="55">
        <v>37</v>
      </c>
      <c r="AN1023" s="55">
        <v>37</v>
      </c>
      <c r="AO1023" s="56"/>
      <c r="AP1023" s="63"/>
      <c r="AQ1023" s="55"/>
      <c r="AR1023" s="55"/>
      <c r="AS1023" s="56"/>
      <c r="AT1023" s="53"/>
      <c r="AU1023" s="54"/>
      <c r="AV1023" s="55"/>
      <c r="AW1023" s="56"/>
      <c r="AX1023" s="33">
        <f>SUM(E1023:AW1023)</f>
        <v>794</v>
      </c>
      <c r="AY1023" s="31">
        <f>IFERROR(AVERAGEIF(E1023:AW1023,"&lt;&gt;0",(E1023:AW1023)),)</f>
        <v>39.700000000000003</v>
      </c>
      <c r="AZ1023" s="30">
        <f>IFERROR(AY1023/D1023,0)</f>
        <v>0.99250000000000005</v>
      </c>
      <c r="BA1023" s="103" t="s">
        <v>182</v>
      </c>
      <c r="BB1023" s="100" t="s">
        <v>183</v>
      </c>
      <c r="BC1023" s="100" t="s">
        <v>184</v>
      </c>
      <c r="BD1023" s="101" t="s">
        <v>185</v>
      </c>
      <c r="BE1023" s="100" t="s">
        <v>186</v>
      </c>
      <c r="BF1023" s="102" t="s">
        <v>187</v>
      </c>
      <c r="BG1023" s="100" t="s">
        <v>188</v>
      </c>
      <c r="BH1023" s="102" t="s">
        <v>189</v>
      </c>
    </row>
    <row r="1024" spans="1:60" s="17" customFormat="1" ht="19.5" customHeight="1" thickBot="1" x14ac:dyDescent="0.4">
      <c r="A1024" s="41">
        <f t="shared" ref="A1024:B1024" si="974">A1023</f>
        <v>45442</v>
      </c>
      <c r="B1024" s="37" t="str">
        <f t="shared" si="974"/>
        <v>Çevirme</v>
      </c>
      <c r="C1024" s="65" t="str">
        <f t="shared" ref="C1024:C1029" si="975">C848</f>
        <v>SEMRA ARAZ</v>
      </c>
      <c r="D1024" s="67">
        <f t="shared" ref="D1024:D1029" si="976">D1023</f>
        <v>40</v>
      </c>
      <c r="E1024" s="57">
        <v>55</v>
      </c>
      <c r="F1024" s="52">
        <v>55</v>
      </c>
      <c r="G1024" s="52">
        <v>50</v>
      </c>
      <c r="H1024" s="58">
        <v>53</v>
      </c>
      <c r="I1024" s="57">
        <v>50</v>
      </c>
      <c r="J1024" s="52">
        <v>50</v>
      </c>
      <c r="K1024" s="52">
        <v>52</v>
      </c>
      <c r="L1024" s="58">
        <v>54</v>
      </c>
      <c r="M1024" s="57">
        <v>54</v>
      </c>
      <c r="N1024" s="52">
        <v>50</v>
      </c>
      <c r="O1024" s="52">
        <v>65</v>
      </c>
      <c r="P1024" s="58">
        <v>65</v>
      </c>
      <c r="Q1024" s="57">
        <v>60</v>
      </c>
      <c r="R1024" s="52">
        <v>50</v>
      </c>
      <c r="S1024" s="52">
        <v>50</v>
      </c>
      <c r="T1024" s="52">
        <v>50</v>
      </c>
      <c r="U1024" s="58">
        <v>53</v>
      </c>
      <c r="V1024" s="57">
        <v>50</v>
      </c>
      <c r="W1024" s="52">
        <v>50</v>
      </c>
      <c r="X1024" s="52">
        <v>50</v>
      </c>
      <c r="Y1024" s="58">
        <v>50</v>
      </c>
      <c r="Z1024" s="57">
        <v>50</v>
      </c>
      <c r="AA1024" s="52">
        <v>53</v>
      </c>
      <c r="AB1024" s="52">
        <v>51</v>
      </c>
      <c r="AC1024" s="58">
        <v>52</v>
      </c>
      <c r="AD1024" s="57">
        <v>40</v>
      </c>
      <c r="AE1024" s="52">
        <v>50</v>
      </c>
      <c r="AF1024" s="52">
        <v>50</v>
      </c>
      <c r="AG1024" s="58">
        <v>55</v>
      </c>
      <c r="AH1024" s="57">
        <v>50</v>
      </c>
      <c r="AI1024" s="52">
        <v>55</v>
      </c>
      <c r="AJ1024" s="52">
        <v>50</v>
      </c>
      <c r="AK1024" s="58">
        <v>50</v>
      </c>
      <c r="AL1024" s="57">
        <v>50</v>
      </c>
      <c r="AM1024" s="52">
        <v>52</v>
      </c>
      <c r="AN1024" s="52">
        <v>50</v>
      </c>
      <c r="AO1024" s="58"/>
      <c r="AP1024" s="57"/>
      <c r="AQ1024" s="52"/>
      <c r="AR1024" s="52"/>
      <c r="AS1024" s="58"/>
      <c r="AT1024" s="57"/>
      <c r="AU1024" s="52"/>
      <c r="AV1024" s="52"/>
      <c r="AW1024" s="58"/>
      <c r="AX1024" s="33">
        <f t="shared" ref="AX1024:AX1029" si="977">SUM(E1024:AW1024)</f>
        <v>1874</v>
      </c>
      <c r="AY1024" s="31">
        <f t="shared" ref="AY1024:AY1029" si="978">IFERROR(AVERAGEIF(E1024:AW1024,"&lt;&gt;0",(E1024:AW1024)),)</f>
        <v>52.055555555555557</v>
      </c>
      <c r="AZ1024" s="30">
        <f t="shared" ref="AZ1024:AZ1029" si="979">IFERROR(AY1024/D1024,0)</f>
        <v>1.3013888888888889</v>
      </c>
      <c r="BA1024" s="94">
        <f>AX1030+BA848</f>
        <v>8455</v>
      </c>
      <c r="BB1024" s="95">
        <f>(D1030*8)</f>
        <v>4000</v>
      </c>
      <c r="BC1024" s="96">
        <f>C885-BA1024</f>
        <v>33856</v>
      </c>
      <c r="BD1024" s="96">
        <f>BA1006-BA1024</f>
        <v>-46</v>
      </c>
      <c r="BE1024" s="97">
        <f>IFERROR(BC1024/E1030,0)</f>
        <v>99.87020648967551</v>
      </c>
      <c r="BF1024" s="98">
        <f>IFERROR(BE1024/9,0)</f>
        <v>11.096689609963946</v>
      </c>
      <c r="BG1024" s="97">
        <f>IFERROR(BC1024/AY1030,0)</f>
        <v>114.20689655172413</v>
      </c>
      <c r="BH1024" s="97">
        <f>IFERROR(BG1024/9,0)</f>
        <v>12.689655172413792</v>
      </c>
    </row>
    <row r="1025" spans="1:60" s="17" customFormat="1" ht="19.5" customHeight="1" x14ac:dyDescent="0.35">
      <c r="A1025" s="41">
        <f t="shared" ref="A1025:B1025" si="980">A1024</f>
        <v>45442</v>
      </c>
      <c r="B1025" s="37" t="str">
        <f t="shared" si="980"/>
        <v>Çevirme</v>
      </c>
      <c r="C1025" s="65" t="str">
        <f t="shared" si="975"/>
        <v>NECLA KOÇ</v>
      </c>
      <c r="D1025" s="67">
        <f t="shared" si="976"/>
        <v>40</v>
      </c>
      <c r="E1025" s="57"/>
      <c r="F1025" s="52"/>
      <c r="G1025" s="52"/>
      <c r="H1025" s="58"/>
      <c r="I1025" s="57"/>
      <c r="J1025" s="52"/>
      <c r="K1025" s="52"/>
      <c r="L1025" s="58"/>
      <c r="M1025" s="57"/>
      <c r="N1025" s="52"/>
      <c r="O1025" s="52"/>
      <c r="P1025" s="58"/>
      <c r="Q1025" s="57"/>
      <c r="R1025" s="52"/>
      <c r="S1025" s="52"/>
      <c r="T1025" s="52"/>
      <c r="U1025" s="58"/>
      <c r="V1025" s="57"/>
      <c r="W1025" s="52"/>
      <c r="X1025" s="52"/>
      <c r="Y1025" s="58"/>
      <c r="Z1025" s="57"/>
      <c r="AA1025" s="52"/>
      <c r="AB1025" s="52"/>
      <c r="AC1025" s="58"/>
      <c r="AD1025" s="57"/>
      <c r="AE1025" s="52"/>
      <c r="AF1025" s="52"/>
      <c r="AG1025" s="58"/>
      <c r="AH1025" s="57"/>
      <c r="AI1025" s="52"/>
      <c r="AJ1025" s="52"/>
      <c r="AK1025" s="58"/>
      <c r="AL1025" s="57"/>
      <c r="AM1025" s="52"/>
      <c r="AN1025" s="52"/>
      <c r="AO1025" s="58"/>
      <c r="AP1025" s="57"/>
      <c r="AQ1025" s="52"/>
      <c r="AR1025" s="52"/>
      <c r="AS1025" s="58"/>
      <c r="AT1025" s="57"/>
      <c r="AU1025" s="52"/>
      <c r="AV1025" s="52"/>
      <c r="AW1025" s="58"/>
      <c r="AX1025" s="33">
        <f t="shared" si="977"/>
        <v>0</v>
      </c>
      <c r="AY1025" s="31">
        <f t="shared" si="978"/>
        <v>0</v>
      </c>
      <c r="AZ1025" s="30">
        <f t="shared" si="979"/>
        <v>0</v>
      </c>
      <c r="BA1025" s="34"/>
      <c r="BB1025" s="34"/>
      <c r="BC1025" s="34"/>
      <c r="BD1025" s="76"/>
      <c r="BE1025" s="34"/>
      <c r="BF1025" s="34"/>
      <c r="BG1025" s="34"/>
      <c r="BH1025" s="34"/>
    </row>
    <row r="1026" spans="1:60" s="17" customFormat="1" ht="19.5" customHeight="1" x14ac:dyDescent="0.35">
      <c r="A1026" s="41">
        <f t="shared" ref="A1026:B1026" si="981">A1025</f>
        <v>45442</v>
      </c>
      <c r="B1026" s="37" t="str">
        <f t="shared" si="981"/>
        <v>Çevirme</v>
      </c>
      <c r="C1026" s="65" t="str">
        <f t="shared" si="975"/>
        <v>ARZU ÖZÇAĞLAYAN</v>
      </c>
      <c r="D1026" s="67">
        <f t="shared" si="976"/>
        <v>40</v>
      </c>
      <c r="E1026" s="57"/>
      <c r="F1026" s="52"/>
      <c r="G1026" s="52"/>
      <c r="H1026" s="58"/>
      <c r="I1026" s="57"/>
      <c r="J1026" s="52"/>
      <c r="K1026" s="52"/>
      <c r="L1026" s="58"/>
      <c r="M1026" s="57"/>
      <c r="N1026" s="52"/>
      <c r="O1026" s="52"/>
      <c r="P1026" s="58"/>
      <c r="Q1026" s="57"/>
      <c r="R1026" s="52"/>
      <c r="S1026" s="52"/>
      <c r="T1026" s="52"/>
      <c r="U1026" s="58"/>
      <c r="V1026" s="57"/>
      <c r="W1026" s="52"/>
      <c r="X1026" s="52"/>
      <c r="Y1026" s="58"/>
      <c r="Z1026" s="57"/>
      <c r="AA1026" s="52"/>
      <c r="AB1026" s="52"/>
      <c r="AC1026" s="58"/>
      <c r="AD1026" s="57"/>
      <c r="AE1026" s="52"/>
      <c r="AF1026" s="52"/>
      <c r="AG1026" s="58"/>
      <c r="AH1026" s="57"/>
      <c r="AI1026" s="52"/>
      <c r="AJ1026" s="52"/>
      <c r="AK1026" s="58"/>
      <c r="AL1026" s="57"/>
      <c r="AM1026" s="52"/>
      <c r="AN1026" s="52"/>
      <c r="AO1026" s="58"/>
      <c r="AP1026" s="57"/>
      <c r="AQ1026" s="52"/>
      <c r="AR1026" s="52"/>
      <c r="AS1026" s="58"/>
      <c r="AT1026" s="57"/>
      <c r="AU1026" s="52"/>
      <c r="AV1026" s="52"/>
      <c r="AW1026" s="58"/>
      <c r="AX1026" s="33">
        <f t="shared" si="977"/>
        <v>0</v>
      </c>
      <c r="AY1026" s="31">
        <f t="shared" si="978"/>
        <v>0</v>
      </c>
      <c r="AZ1026" s="30">
        <f t="shared" si="979"/>
        <v>0</v>
      </c>
      <c r="BA1026" s="34"/>
      <c r="BB1026" s="34"/>
      <c r="BC1026" s="34"/>
      <c r="BD1026" s="76"/>
      <c r="BE1026" s="34"/>
      <c r="BF1026" s="34"/>
      <c r="BG1026" s="34"/>
      <c r="BH1026" s="34"/>
    </row>
    <row r="1027" spans="1:60" s="17" customFormat="1" ht="19.5" customHeight="1" x14ac:dyDescent="0.35">
      <c r="A1027" s="41">
        <f>A1024</f>
        <v>45442</v>
      </c>
      <c r="B1027" s="37" t="str">
        <f t="shared" ref="B1027" si="982">B1026</f>
        <v>Çevirme</v>
      </c>
      <c r="C1027" s="65">
        <f t="shared" si="975"/>
        <v>0</v>
      </c>
      <c r="D1027" s="67">
        <f t="shared" si="976"/>
        <v>40</v>
      </c>
      <c r="E1027" s="57"/>
      <c r="F1027" s="52"/>
      <c r="G1027" s="52"/>
      <c r="H1027" s="58"/>
      <c r="I1027" s="57"/>
      <c r="J1027" s="52"/>
      <c r="K1027" s="52"/>
      <c r="L1027" s="58"/>
      <c r="M1027" s="57"/>
      <c r="N1027" s="52"/>
      <c r="O1027" s="52"/>
      <c r="P1027" s="58"/>
      <c r="Q1027" s="57"/>
      <c r="R1027" s="52"/>
      <c r="S1027" s="52"/>
      <c r="T1027" s="52"/>
      <c r="U1027" s="58"/>
      <c r="V1027" s="57"/>
      <c r="W1027" s="52"/>
      <c r="X1027" s="52"/>
      <c r="Y1027" s="58"/>
      <c r="Z1027" s="57"/>
      <c r="AA1027" s="52"/>
      <c r="AB1027" s="52"/>
      <c r="AC1027" s="58"/>
      <c r="AD1027" s="57"/>
      <c r="AE1027" s="52"/>
      <c r="AF1027" s="52"/>
      <c r="AG1027" s="58"/>
      <c r="AH1027" s="57"/>
      <c r="AI1027" s="52"/>
      <c r="AJ1027" s="52"/>
      <c r="AK1027" s="58"/>
      <c r="AL1027" s="57"/>
      <c r="AM1027" s="52"/>
      <c r="AN1027" s="52"/>
      <c r="AO1027" s="58"/>
      <c r="AP1027" s="57"/>
      <c r="AQ1027" s="52"/>
      <c r="AR1027" s="52"/>
      <c r="AS1027" s="58"/>
      <c r="AT1027" s="57"/>
      <c r="AU1027" s="52"/>
      <c r="AV1027" s="52"/>
      <c r="AW1027" s="58"/>
      <c r="AX1027" s="33">
        <f t="shared" si="977"/>
        <v>0</v>
      </c>
      <c r="AY1027" s="31">
        <f t="shared" si="978"/>
        <v>0</v>
      </c>
      <c r="AZ1027" s="30">
        <f t="shared" si="979"/>
        <v>0</v>
      </c>
      <c r="BA1027" s="34"/>
      <c r="BB1027" s="34"/>
      <c r="BC1027" s="34"/>
      <c r="BD1027" s="76"/>
      <c r="BE1027" s="34"/>
      <c r="BF1027" s="34"/>
      <c r="BG1027" s="34"/>
      <c r="BH1027" s="34"/>
    </row>
    <row r="1028" spans="1:60" s="17" customFormat="1" ht="19.5" customHeight="1" x14ac:dyDescent="0.35">
      <c r="A1028" s="41">
        <f t="shared" ref="A1028:B1028" si="983">A1027</f>
        <v>45442</v>
      </c>
      <c r="B1028" s="37" t="str">
        <f t="shared" si="983"/>
        <v>Çevirme</v>
      </c>
      <c r="C1028" s="65">
        <f t="shared" si="975"/>
        <v>0</v>
      </c>
      <c r="D1028" s="67">
        <f t="shared" si="976"/>
        <v>40</v>
      </c>
      <c r="E1028" s="57"/>
      <c r="F1028" s="52"/>
      <c r="G1028" s="52"/>
      <c r="H1028" s="58"/>
      <c r="I1028" s="57"/>
      <c r="J1028" s="52"/>
      <c r="K1028" s="52"/>
      <c r="L1028" s="58"/>
      <c r="M1028" s="57"/>
      <c r="N1028" s="52"/>
      <c r="O1028" s="52"/>
      <c r="P1028" s="58"/>
      <c r="Q1028" s="57"/>
      <c r="R1028" s="52"/>
      <c r="S1028" s="52"/>
      <c r="T1028" s="52"/>
      <c r="U1028" s="58"/>
      <c r="V1028" s="57"/>
      <c r="W1028" s="52"/>
      <c r="X1028" s="52"/>
      <c r="Y1028" s="58"/>
      <c r="Z1028" s="57"/>
      <c r="AA1028" s="52"/>
      <c r="AB1028" s="52"/>
      <c r="AC1028" s="58"/>
      <c r="AD1028" s="57"/>
      <c r="AE1028" s="52"/>
      <c r="AF1028" s="52"/>
      <c r="AG1028" s="58"/>
      <c r="AH1028" s="57"/>
      <c r="AI1028" s="52"/>
      <c r="AJ1028" s="52"/>
      <c r="AK1028" s="58"/>
      <c r="AL1028" s="57"/>
      <c r="AM1028" s="52"/>
      <c r="AN1028" s="52"/>
      <c r="AO1028" s="58"/>
      <c r="AP1028" s="57"/>
      <c r="AQ1028" s="52"/>
      <c r="AR1028" s="52"/>
      <c r="AS1028" s="58"/>
      <c r="AT1028" s="57"/>
      <c r="AU1028" s="52"/>
      <c r="AV1028" s="52"/>
      <c r="AW1028" s="58"/>
      <c r="AX1028" s="33">
        <f t="shared" si="977"/>
        <v>0</v>
      </c>
      <c r="AY1028" s="31">
        <f t="shared" si="978"/>
        <v>0</v>
      </c>
      <c r="AZ1028" s="30">
        <f t="shared" si="979"/>
        <v>0</v>
      </c>
      <c r="BA1028" s="34"/>
      <c r="BB1028" s="34"/>
      <c r="BC1028" s="34"/>
      <c r="BD1028" s="76"/>
      <c r="BE1028" s="34"/>
      <c r="BF1028" s="34"/>
      <c r="BG1028" s="34"/>
      <c r="BH1028" s="34"/>
    </row>
    <row r="1029" spans="1:60" s="17" customFormat="1" ht="19.5" customHeight="1" thickBot="1" x14ac:dyDescent="0.4">
      <c r="A1029" s="41">
        <f t="shared" ref="A1029:B1029" si="984">A1028</f>
        <v>45442</v>
      </c>
      <c r="B1029" s="37" t="str">
        <f t="shared" si="984"/>
        <v>Çevirme</v>
      </c>
      <c r="C1029" s="65">
        <f t="shared" si="975"/>
        <v>0</v>
      </c>
      <c r="D1029" s="67">
        <f t="shared" si="976"/>
        <v>40</v>
      </c>
      <c r="E1029" s="59"/>
      <c r="F1029" s="60"/>
      <c r="G1029" s="61"/>
      <c r="H1029" s="62"/>
      <c r="I1029" s="59"/>
      <c r="J1029" s="60"/>
      <c r="K1029" s="61"/>
      <c r="L1029" s="62"/>
      <c r="M1029" s="59"/>
      <c r="N1029" s="60"/>
      <c r="O1029" s="61"/>
      <c r="P1029" s="62"/>
      <c r="Q1029" s="64"/>
      <c r="R1029" s="61"/>
      <c r="S1029" s="61"/>
      <c r="T1029" s="61"/>
      <c r="U1029" s="62"/>
      <c r="V1029" s="59"/>
      <c r="W1029" s="60"/>
      <c r="X1029" s="61"/>
      <c r="Y1029" s="62"/>
      <c r="Z1029" s="59"/>
      <c r="AA1029" s="60"/>
      <c r="AB1029" s="61"/>
      <c r="AC1029" s="62"/>
      <c r="AD1029" s="59"/>
      <c r="AE1029" s="60"/>
      <c r="AF1029" s="61"/>
      <c r="AG1029" s="62"/>
      <c r="AH1029" s="59"/>
      <c r="AI1029" s="60"/>
      <c r="AJ1029" s="61"/>
      <c r="AK1029" s="62"/>
      <c r="AL1029" s="59"/>
      <c r="AM1029" s="60"/>
      <c r="AN1029" s="61"/>
      <c r="AO1029" s="62"/>
      <c r="AP1029" s="59"/>
      <c r="AQ1029" s="60"/>
      <c r="AR1029" s="61"/>
      <c r="AS1029" s="62"/>
      <c r="AT1029" s="59"/>
      <c r="AU1029" s="60"/>
      <c r="AV1029" s="61"/>
      <c r="AW1029" s="62"/>
      <c r="AX1029" s="33">
        <f t="shared" si="977"/>
        <v>0</v>
      </c>
      <c r="AY1029" s="31">
        <f t="shared" si="978"/>
        <v>0</v>
      </c>
      <c r="AZ1029" s="30">
        <f t="shared" si="979"/>
        <v>0</v>
      </c>
      <c r="BA1029" s="34"/>
      <c r="BB1029" s="34"/>
      <c r="BC1029" s="34"/>
      <c r="BD1029" s="76"/>
      <c r="BE1029" s="34"/>
      <c r="BF1029" s="34"/>
      <c r="BG1029" s="34"/>
      <c r="BH1029" s="34"/>
    </row>
    <row r="1030" spans="1:60" s="17" customFormat="1" ht="19.5" customHeight="1" thickBot="1" x14ac:dyDescent="0.45">
      <c r="A1030" s="41">
        <f t="shared" ref="A1030" si="985">A1029</f>
        <v>45442</v>
      </c>
      <c r="B1030" s="139" t="str">
        <f>B1023</f>
        <v>Çevirme</v>
      </c>
      <c r="C1030" s="140"/>
      <c r="D1030" s="40">
        <f>C886/8</f>
        <v>500</v>
      </c>
      <c r="E1030" s="147">
        <f>SUM(E1023:H1029)</f>
        <v>339</v>
      </c>
      <c r="F1030" s="148"/>
      <c r="G1030" s="148"/>
      <c r="H1030" s="149"/>
      <c r="I1030" s="147">
        <f>SUM(I1023:L1029)</f>
        <v>206</v>
      </c>
      <c r="J1030" s="148"/>
      <c r="K1030" s="148"/>
      <c r="L1030" s="149"/>
      <c r="M1030" s="147">
        <f>SUM(M1023:P1029)</f>
        <v>297</v>
      </c>
      <c r="N1030" s="148"/>
      <c r="O1030" s="148"/>
      <c r="P1030" s="149"/>
      <c r="Q1030" s="147">
        <f>SUM(Q1023:U1029)</f>
        <v>263</v>
      </c>
      <c r="R1030" s="148"/>
      <c r="S1030" s="148"/>
      <c r="T1030" s="148"/>
      <c r="U1030" s="149"/>
      <c r="V1030" s="147">
        <f>SUM(V1023:Y1029)</f>
        <v>235</v>
      </c>
      <c r="W1030" s="148"/>
      <c r="X1030" s="148"/>
      <c r="Y1030" s="149"/>
      <c r="Z1030" s="147">
        <f>SUM(Z1023:AC1029)</f>
        <v>362</v>
      </c>
      <c r="AA1030" s="148"/>
      <c r="AB1030" s="148"/>
      <c r="AC1030" s="149"/>
      <c r="AD1030" s="147">
        <f>SUM(AD1023:AG1029)</f>
        <v>352</v>
      </c>
      <c r="AE1030" s="148"/>
      <c r="AF1030" s="148"/>
      <c r="AG1030" s="149"/>
      <c r="AH1030" s="147">
        <f>SUM(AH1023:AK1029)</f>
        <v>351</v>
      </c>
      <c r="AI1030" s="148"/>
      <c r="AJ1030" s="148"/>
      <c r="AK1030" s="149"/>
      <c r="AL1030" s="147">
        <f>SUM(AL1023:AO1029)</f>
        <v>263</v>
      </c>
      <c r="AM1030" s="148"/>
      <c r="AN1030" s="148"/>
      <c r="AO1030" s="149"/>
      <c r="AP1030" s="147">
        <f>SUM(AP1023:AS1029)</f>
        <v>0</v>
      </c>
      <c r="AQ1030" s="148"/>
      <c r="AR1030" s="148"/>
      <c r="AS1030" s="149"/>
      <c r="AT1030" s="147">
        <f>SUM(AT1023:AW1029)</f>
        <v>0</v>
      </c>
      <c r="AU1030" s="148"/>
      <c r="AV1030" s="148"/>
      <c r="AW1030" s="149"/>
      <c r="AX1030" s="87">
        <f>SUM(AX1023:AX1029)</f>
        <v>2668</v>
      </c>
      <c r="AY1030" s="88">
        <f>IFERROR(AVERAGEIF(E1030:AV1030,"&lt;&gt;0",(E1030:AV1030)),)</f>
        <v>296.44444444444446</v>
      </c>
      <c r="AZ1030" s="46">
        <f>IFERROR(AX1030/BB1024,0)</f>
        <v>0.66700000000000004</v>
      </c>
      <c r="BA1030" s="34"/>
      <c r="BB1030" s="34"/>
      <c r="BC1030" s="34"/>
      <c r="BD1030" s="76"/>
      <c r="BE1030" s="34"/>
      <c r="BF1030" s="34"/>
      <c r="BG1030" s="34"/>
      <c r="BH1030" s="34"/>
    </row>
    <row r="1031" spans="1:60" s="17" customFormat="1" ht="19.5" customHeight="1" thickBot="1" x14ac:dyDescent="0.4">
      <c r="A1031" s="42">
        <f>A1022</f>
        <v>45442</v>
      </c>
      <c r="B1031" s="38" t="str">
        <f>B1032</f>
        <v>ÇEVİRME BEDEN</v>
      </c>
      <c r="C1031" s="39" t="s">
        <v>180</v>
      </c>
      <c r="D1031" s="69" t="s">
        <v>181</v>
      </c>
      <c r="E1031" s="48">
        <v>0.34375</v>
      </c>
      <c r="F1031" s="49">
        <v>0.35416666666666669</v>
      </c>
      <c r="G1031" s="49">
        <v>0.36458333333333331</v>
      </c>
      <c r="H1031" s="50">
        <v>0.375</v>
      </c>
      <c r="I1031" s="48">
        <v>0.38541666666666702</v>
      </c>
      <c r="J1031" s="49">
        <v>0.39583333333333298</v>
      </c>
      <c r="K1031" s="49">
        <v>0.40625</v>
      </c>
      <c r="L1031" s="50">
        <v>0.41666666666666702</v>
      </c>
      <c r="M1031" s="48">
        <v>0.4375</v>
      </c>
      <c r="N1031" s="49">
        <v>0.44791666666666702</v>
      </c>
      <c r="O1031" s="49">
        <v>0.45833333333333398</v>
      </c>
      <c r="P1031" s="50">
        <v>0.46875</v>
      </c>
      <c r="Q1031" s="48">
        <v>0.47916666666666702</v>
      </c>
      <c r="R1031" s="49">
        <v>0.48958333333333398</v>
      </c>
      <c r="S1031" s="49">
        <v>0.5</v>
      </c>
      <c r="T1031" s="50">
        <v>0.51041666666666696</v>
      </c>
      <c r="U1031" s="51">
        <v>0.52083333333333204</v>
      </c>
      <c r="V1031" s="48">
        <v>0.5625</v>
      </c>
      <c r="W1031" s="49">
        <v>0.57291666666666663</v>
      </c>
      <c r="X1031" s="49">
        <v>0.58333333333333304</v>
      </c>
      <c r="Y1031" s="50">
        <v>0.59375</v>
      </c>
      <c r="Z1031" s="48">
        <v>0.60416666666666696</v>
      </c>
      <c r="AA1031" s="49">
        <v>0.61458333333333304</v>
      </c>
      <c r="AB1031" s="49">
        <v>0.625</v>
      </c>
      <c r="AC1031" s="50">
        <v>0.63541666666666596</v>
      </c>
      <c r="AD1031" s="48">
        <v>0.65625</v>
      </c>
      <c r="AE1031" s="49">
        <v>0.66666666666666663</v>
      </c>
      <c r="AF1031" s="49">
        <v>0.67708333333333304</v>
      </c>
      <c r="AG1031" s="50">
        <v>0.6875</v>
      </c>
      <c r="AH1031" s="48">
        <v>0.69791666666666696</v>
      </c>
      <c r="AI1031" s="49">
        <v>0.70833333333333304</v>
      </c>
      <c r="AJ1031" s="49">
        <v>0.71875</v>
      </c>
      <c r="AK1031" s="50">
        <v>0.72916666666666696</v>
      </c>
      <c r="AL1031" s="48">
        <v>0.73958333333333404</v>
      </c>
      <c r="AM1031" s="49">
        <v>0.750000000000001</v>
      </c>
      <c r="AN1031" s="49">
        <v>0.76041666666666796</v>
      </c>
      <c r="AO1031" s="50">
        <v>0.77083333333333504</v>
      </c>
      <c r="AP1031" s="48">
        <v>0.781250000000002</v>
      </c>
      <c r="AQ1031" s="49">
        <v>0.79166666666666896</v>
      </c>
      <c r="AR1031" s="49">
        <v>0.80208333333333603</v>
      </c>
      <c r="AS1031" s="50">
        <v>0.812500000000003</v>
      </c>
      <c r="AT1031" s="48">
        <v>0.82291666666666996</v>
      </c>
      <c r="AU1031" s="49">
        <v>0.83333333333333703</v>
      </c>
      <c r="AV1031" s="49">
        <v>0.843750000000004</v>
      </c>
      <c r="AW1031" s="50">
        <v>0.85416666666666663</v>
      </c>
      <c r="AX1031" s="68" t="s">
        <v>260</v>
      </c>
      <c r="AY1031" s="28" t="s">
        <v>261</v>
      </c>
      <c r="AZ1031" s="29" t="s">
        <v>262</v>
      </c>
      <c r="BA1031" s="136" t="str">
        <f>B1032</f>
        <v>ÇEVİRME BEDEN</v>
      </c>
      <c r="BB1031" s="137"/>
      <c r="BC1031" s="137"/>
      <c r="BD1031" s="137"/>
      <c r="BE1031" s="137"/>
      <c r="BF1031" s="137"/>
      <c r="BG1031" s="137"/>
      <c r="BH1031" s="138"/>
    </row>
    <row r="1032" spans="1:60" s="17" customFormat="1" ht="19.5" customHeight="1" thickBot="1" x14ac:dyDescent="0.4">
      <c r="A1032" s="41">
        <f t="shared" ref="A1032" si="986">A1031</f>
        <v>45442</v>
      </c>
      <c r="B1032" s="37" t="str">
        <f>B856</f>
        <v>ÇEVİRME BEDEN</v>
      </c>
      <c r="C1032" s="65" t="str">
        <f>C856</f>
        <v>ARZU ÖZÇAĞLAYAN</v>
      </c>
      <c r="D1032" s="70">
        <f>D847</f>
        <v>40</v>
      </c>
      <c r="E1032" s="63"/>
      <c r="F1032" s="55"/>
      <c r="G1032" s="55"/>
      <c r="H1032" s="56"/>
      <c r="I1032" s="63"/>
      <c r="J1032" s="55"/>
      <c r="K1032" s="55"/>
      <c r="L1032" s="56">
        <v>90</v>
      </c>
      <c r="M1032" s="63">
        <v>95</v>
      </c>
      <c r="N1032" s="55">
        <v>81</v>
      </c>
      <c r="O1032" s="55">
        <v>100</v>
      </c>
      <c r="P1032" s="56">
        <v>85</v>
      </c>
      <c r="Q1032" s="63">
        <v>85</v>
      </c>
      <c r="R1032" s="55">
        <v>80</v>
      </c>
      <c r="S1032" s="55">
        <v>100</v>
      </c>
      <c r="T1032" s="55">
        <v>100</v>
      </c>
      <c r="U1032" s="56">
        <v>100</v>
      </c>
      <c r="V1032" s="63">
        <v>85</v>
      </c>
      <c r="W1032" s="55">
        <v>80</v>
      </c>
      <c r="X1032" s="55">
        <v>100</v>
      </c>
      <c r="Y1032" s="56">
        <v>100</v>
      </c>
      <c r="Z1032" s="63">
        <v>85</v>
      </c>
      <c r="AA1032" s="55">
        <v>100</v>
      </c>
      <c r="AB1032" s="55">
        <v>100</v>
      </c>
      <c r="AC1032" s="56">
        <v>85</v>
      </c>
      <c r="AD1032" s="63">
        <v>100</v>
      </c>
      <c r="AE1032" s="55">
        <v>53</v>
      </c>
      <c r="AF1032" s="55">
        <v>100</v>
      </c>
      <c r="AG1032" s="56">
        <v>80</v>
      </c>
      <c r="AH1032" s="63">
        <v>82</v>
      </c>
      <c r="AI1032" s="55">
        <v>90</v>
      </c>
      <c r="AJ1032" s="55">
        <v>85</v>
      </c>
      <c r="AK1032" s="56">
        <v>85</v>
      </c>
      <c r="AL1032" s="63">
        <v>78</v>
      </c>
      <c r="AM1032" s="55">
        <v>80</v>
      </c>
      <c r="AN1032" s="55">
        <v>100</v>
      </c>
      <c r="AO1032" s="56"/>
      <c r="AP1032" s="63"/>
      <c r="AQ1032" s="55"/>
      <c r="AR1032" s="55"/>
      <c r="AS1032" s="56"/>
      <c r="AT1032" s="53"/>
      <c r="AU1032" s="54"/>
      <c r="AV1032" s="55"/>
      <c r="AW1032" s="56"/>
      <c r="AX1032" s="33">
        <f>SUM(E1032:AW1032)</f>
        <v>2584</v>
      </c>
      <c r="AY1032" s="31">
        <f>IFERROR(AVERAGEIF(E1032:AW1032,"&lt;&gt;0",(E1032:AW1032)),)</f>
        <v>89.103448275862064</v>
      </c>
      <c r="AZ1032" s="30">
        <f>IFERROR(AY1032/D1032,0)</f>
        <v>2.2275862068965515</v>
      </c>
      <c r="BA1032" s="93"/>
      <c r="BB1032" s="93" t="str">
        <f t="shared" ref="BB1032" si="987">BA886</f>
        <v>XS</v>
      </c>
      <c r="BC1032" s="93" t="str">
        <f t="shared" ref="BC1032" si="988">BB886</f>
        <v>S</v>
      </c>
      <c r="BD1032" s="93" t="str">
        <f t="shared" ref="BD1032" si="989">BC886</f>
        <v>M</v>
      </c>
      <c r="BE1032" s="93" t="str">
        <f t="shared" ref="BE1032" si="990">BD886</f>
        <v>L</v>
      </c>
      <c r="BF1032" s="93" t="str">
        <f t="shared" ref="BF1032" si="991">BE886</f>
        <v>XL</v>
      </c>
      <c r="BG1032" s="93" t="str">
        <f t="shared" ref="BG1032" si="992">BF886</f>
        <v>XXL</v>
      </c>
      <c r="BH1032" s="93"/>
    </row>
    <row r="1033" spans="1:60" s="17" customFormat="1" ht="19.5" customHeight="1" thickBot="1" x14ac:dyDescent="0.4">
      <c r="A1033" s="41">
        <f t="shared" ref="A1033:B1033" si="993">A1032</f>
        <v>45442</v>
      </c>
      <c r="B1033" s="37" t="str">
        <f t="shared" si="993"/>
        <v>ÇEVİRME BEDEN</v>
      </c>
      <c r="C1033" s="65" t="str">
        <f t="shared" ref="C1033:C1038" si="994">C857</f>
        <v>NECLA KOÇ</v>
      </c>
      <c r="D1033" s="67">
        <f t="shared" ref="D1033:D1038" si="995">D1032</f>
        <v>40</v>
      </c>
      <c r="E1033" s="57"/>
      <c r="F1033" s="52"/>
      <c r="G1033" s="52"/>
      <c r="H1033" s="58"/>
      <c r="I1033" s="57"/>
      <c r="J1033" s="52"/>
      <c r="K1033" s="52"/>
      <c r="L1033" s="58"/>
      <c r="M1033" s="57"/>
      <c r="N1033" s="52"/>
      <c r="O1033" s="52"/>
      <c r="P1033" s="58"/>
      <c r="Q1033" s="57"/>
      <c r="R1033" s="52"/>
      <c r="S1033" s="52"/>
      <c r="T1033" s="52"/>
      <c r="U1033" s="58"/>
      <c r="V1033" s="57"/>
      <c r="W1033" s="52"/>
      <c r="X1033" s="52"/>
      <c r="Y1033" s="58"/>
      <c r="Z1033" s="57"/>
      <c r="AA1033" s="52"/>
      <c r="AB1033" s="52"/>
      <c r="AC1033" s="58"/>
      <c r="AD1033" s="57"/>
      <c r="AE1033" s="52"/>
      <c r="AF1033" s="52"/>
      <c r="AG1033" s="58"/>
      <c r="AH1033" s="57"/>
      <c r="AI1033" s="52"/>
      <c r="AJ1033" s="52"/>
      <c r="AK1033" s="58"/>
      <c r="AL1033" s="57"/>
      <c r="AM1033" s="52"/>
      <c r="AN1033" s="52"/>
      <c r="AO1033" s="58"/>
      <c r="AP1033" s="57"/>
      <c r="AQ1033" s="52"/>
      <c r="AR1033" s="52"/>
      <c r="AS1033" s="58"/>
      <c r="AT1033" s="57"/>
      <c r="AU1033" s="52"/>
      <c r="AV1033" s="52"/>
      <c r="AW1033" s="58"/>
      <c r="AX1033" s="33">
        <f t="shared" ref="AX1033:AX1038" si="996">SUM(E1033:AW1033)</f>
        <v>0</v>
      </c>
      <c r="AY1033" s="31">
        <f t="shared" ref="AY1033:AY1038" si="997">IFERROR(AVERAGEIF(E1033:AW1033,"&lt;&gt;0",(E1033:AW1033)),)</f>
        <v>0</v>
      </c>
      <c r="AZ1033" s="30">
        <f t="shared" ref="AZ1033:AZ1038" si="998">IFERROR(AY1033/D1033,0)</f>
        <v>0</v>
      </c>
      <c r="BA1033" s="94" t="s">
        <v>194</v>
      </c>
      <c r="BB1033" s="96">
        <f t="shared" ref="BB1033:BG1033" si="999">BB925</f>
        <v>0</v>
      </c>
      <c r="BC1033" s="96">
        <f t="shared" si="999"/>
        <v>0</v>
      </c>
      <c r="BD1033" s="96">
        <f t="shared" si="999"/>
        <v>0</v>
      </c>
      <c r="BE1033" s="96">
        <f t="shared" si="999"/>
        <v>0</v>
      </c>
      <c r="BF1033" s="96">
        <f t="shared" si="999"/>
        <v>0</v>
      </c>
      <c r="BG1033" s="96">
        <f t="shared" si="999"/>
        <v>0</v>
      </c>
      <c r="BH1033" s="99">
        <f>SUM(BB1033:BG1033)</f>
        <v>0</v>
      </c>
    </row>
    <row r="1034" spans="1:60" s="17" customFormat="1" ht="19.5" customHeight="1" thickBot="1" x14ac:dyDescent="0.4">
      <c r="A1034" s="41">
        <f t="shared" ref="A1034:B1034" si="1000">A1033</f>
        <v>45442</v>
      </c>
      <c r="B1034" s="37" t="str">
        <f t="shared" si="1000"/>
        <v>ÇEVİRME BEDEN</v>
      </c>
      <c r="C1034" s="65" t="str">
        <f t="shared" si="994"/>
        <v>SEZER BOZKURT</v>
      </c>
      <c r="D1034" s="67">
        <f t="shared" si="995"/>
        <v>40</v>
      </c>
      <c r="E1034" s="57"/>
      <c r="F1034" s="52"/>
      <c r="G1034" s="52"/>
      <c r="H1034" s="58"/>
      <c r="I1034" s="57"/>
      <c r="J1034" s="52"/>
      <c r="K1034" s="52"/>
      <c r="L1034" s="58"/>
      <c r="M1034" s="57"/>
      <c r="N1034" s="52"/>
      <c r="O1034" s="52"/>
      <c r="P1034" s="58"/>
      <c r="Q1034" s="57"/>
      <c r="R1034" s="52"/>
      <c r="S1034" s="52"/>
      <c r="T1034" s="52"/>
      <c r="U1034" s="58"/>
      <c r="V1034" s="57"/>
      <c r="W1034" s="52"/>
      <c r="X1034" s="52"/>
      <c r="Y1034" s="58"/>
      <c r="Z1034" s="57"/>
      <c r="AA1034" s="52"/>
      <c r="AB1034" s="52"/>
      <c r="AC1034" s="58"/>
      <c r="AD1034" s="57"/>
      <c r="AE1034" s="52"/>
      <c r="AF1034" s="52"/>
      <c r="AG1034" s="58"/>
      <c r="AH1034" s="57"/>
      <c r="AI1034" s="52"/>
      <c r="AJ1034" s="52"/>
      <c r="AK1034" s="58"/>
      <c r="AL1034" s="57"/>
      <c r="AM1034" s="52"/>
      <c r="AN1034" s="52"/>
      <c r="AO1034" s="58"/>
      <c r="AP1034" s="57"/>
      <c r="AQ1034" s="52"/>
      <c r="AR1034" s="52"/>
      <c r="AS1034" s="58"/>
      <c r="AT1034" s="57"/>
      <c r="AU1034" s="52"/>
      <c r="AV1034" s="52"/>
      <c r="AW1034" s="58"/>
      <c r="AX1034" s="33">
        <f t="shared" si="996"/>
        <v>0</v>
      </c>
      <c r="AY1034" s="31">
        <f t="shared" si="997"/>
        <v>0</v>
      </c>
      <c r="AZ1034" s="30">
        <f t="shared" si="998"/>
        <v>0</v>
      </c>
      <c r="BA1034" s="94" t="s">
        <v>195</v>
      </c>
      <c r="BB1034" s="96">
        <f>SUMIF(C1032:C1038,BB1032,AX1032:AX1038)+BB858</f>
        <v>0</v>
      </c>
      <c r="BC1034" s="96">
        <f>SUMIF(C1032:C1038,BC1032,AX1032:AX1038)+BC858</f>
        <v>0</v>
      </c>
      <c r="BD1034" s="96">
        <f>SUMIF(C1032:C1038,BD1032,AX1032:AX1038)+BD858</f>
        <v>0</v>
      </c>
      <c r="BE1034" s="96">
        <f>SUMIF(C1032:C1038,BE1032,AX1032:AX1038)+BE858</f>
        <v>0</v>
      </c>
      <c r="BF1034" s="96">
        <f>SUMIF(C1032:C1038,BF1032,AX1032:AX1038)+BF858</f>
        <v>0</v>
      </c>
      <c r="BG1034" s="96">
        <f>SUMIF(C1032:C1038,BG1032,AX1032:AX1038)+BG858</f>
        <v>0</v>
      </c>
      <c r="BH1034" s="99">
        <f>SUM(BB1034:BG1034)</f>
        <v>0</v>
      </c>
    </row>
    <row r="1035" spans="1:60" s="17" customFormat="1" ht="19.5" customHeight="1" thickBot="1" x14ac:dyDescent="0.4">
      <c r="A1035" s="41">
        <f t="shared" ref="A1035:B1035" si="1001">A1034</f>
        <v>45442</v>
      </c>
      <c r="B1035" s="37" t="str">
        <f t="shared" si="1001"/>
        <v>ÇEVİRME BEDEN</v>
      </c>
      <c r="C1035" s="65" t="str">
        <f t="shared" si="994"/>
        <v>MELAHAT EROL</v>
      </c>
      <c r="D1035" s="67">
        <f t="shared" si="995"/>
        <v>40</v>
      </c>
      <c r="E1035" s="57"/>
      <c r="F1035" s="52"/>
      <c r="G1035" s="52"/>
      <c r="H1035" s="58"/>
      <c r="I1035" s="57"/>
      <c r="J1035" s="52"/>
      <c r="K1035" s="52"/>
      <c r="L1035" s="58"/>
      <c r="M1035" s="57"/>
      <c r="N1035" s="52"/>
      <c r="O1035" s="52"/>
      <c r="P1035" s="58"/>
      <c r="Q1035" s="57"/>
      <c r="R1035" s="52"/>
      <c r="S1035" s="52"/>
      <c r="T1035" s="52"/>
      <c r="U1035" s="58"/>
      <c r="V1035" s="57"/>
      <c r="W1035" s="52"/>
      <c r="X1035" s="52"/>
      <c r="Y1035" s="58"/>
      <c r="Z1035" s="57"/>
      <c r="AA1035" s="52"/>
      <c r="AB1035" s="52"/>
      <c r="AC1035" s="58"/>
      <c r="AD1035" s="57"/>
      <c r="AE1035" s="52"/>
      <c r="AF1035" s="52"/>
      <c r="AG1035" s="58"/>
      <c r="AH1035" s="57"/>
      <c r="AI1035" s="52"/>
      <c r="AJ1035" s="52"/>
      <c r="AK1035" s="58"/>
      <c r="AL1035" s="57"/>
      <c r="AM1035" s="52"/>
      <c r="AN1035" s="52"/>
      <c r="AO1035" s="58"/>
      <c r="AP1035" s="57"/>
      <c r="AQ1035" s="52"/>
      <c r="AR1035" s="52"/>
      <c r="AS1035" s="58"/>
      <c r="AT1035" s="57"/>
      <c r="AU1035" s="52"/>
      <c r="AV1035" s="52"/>
      <c r="AW1035" s="58"/>
      <c r="AX1035" s="33">
        <f t="shared" si="996"/>
        <v>0</v>
      </c>
      <c r="AY1035" s="31">
        <f t="shared" si="997"/>
        <v>0</v>
      </c>
      <c r="AZ1035" s="30">
        <f t="shared" si="998"/>
        <v>0</v>
      </c>
      <c r="BA1035" s="94" t="s">
        <v>196</v>
      </c>
      <c r="BB1035" s="96">
        <f t="shared" ref="BB1035:BG1035" si="1002">BB1033-BB1034</f>
        <v>0</v>
      </c>
      <c r="BC1035" s="96">
        <f t="shared" si="1002"/>
        <v>0</v>
      </c>
      <c r="BD1035" s="96">
        <f t="shared" si="1002"/>
        <v>0</v>
      </c>
      <c r="BE1035" s="96">
        <f t="shared" si="1002"/>
        <v>0</v>
      </c>
      <c r="BF1035" s="96">
        <f t="shared" si="1002"/>
        <v>0</v>
      </c>
      <c r="BG1035" s="96">
        <f t="shared" si="1002"/>
        <v>0</v>
      </c>
      <c r="BH1035" s="99">
        <f>SUM(BB1035:BG1035)</f>
        <v>0</v>
      </c>
    </row>
    <row r="1036" spans="1:60" s="17" customFormat="1" ht="19.5" customHeight="1" x14ac:dyDescent="0.35">
      <c r="A1036" s="41">
        <f>A1033</f>
        <v>45442</v>
      </c>
      <c r="B1036" s="37" t="str">
        <f t="shared" ref="B1036" si="1003">B1035</f>
        <v>ÇEVİRME BEDEN</v>
      </c>
      <c r="C1036" s="65">
        <f t="shared" si="994"/>
        <v>0</v>
      </c>
      <c r="D1036" s="67">
        <f t="shared" si="995"/>
        <v>40</v>
      </c>
      <c r="E1036" s="57"/>
      <c r="F1036" s="52"/>
      <c r="G1036" s="52"/>
      <c r="H1036" s="58"/>
      <c r="I1036" s="57"/>
      <c r="J1036" s="52"/>
      <c r="K1036" s="52"/>
      <c r="L1036" s="58"/>
      <c r="M1036" s="57"/>
      <c r="N1036" s="52"/>
      <c r="O1036" s="52"/>
      <c r="P1036" s="58"/>
      <c r="Q1036" s="57"/>
      <c r="R1036" s="52"/>
      <c r="S1036" s="52"/>
      <c r="T1036" s="52"/>
      <c r="U1036" s="58"/>
      <c r="V1036" s="57"/>
      <c r="W1036" s="52"/>
      <c r="X1036" s="52"/>
      <c r="Y1036" s="58"/>
      <c r="Z1036" s="57"/>
      <c r="AA1036" s="52"/>
      <c r="AB1036" s="52"/>
      <c r="AC1036" s="58"/>
      <c r="AD1036" s="57"/>
      <c r="AE1036" s="52"/>
      <c r="AF1036" s="52"/>
      <c r="AG1036" s="58"/>
      <c r="AH1036" s="57"/>
      <c r="AI1036" s="52"/>
      <c r="AJ1036" s="52"/>
      <c r="AK1036" s="58"/>
      <c r="AL1036" s="57"/>
      <c r="AM1036" s="52"/>
      <c r="AN1036" s="52"/>
      <c r="AO1036" s="58"/>
      <c r="AP1036" s="57"/>
      <c r="AQ1036" s="52"/>
      <c r="AR1036" s="52"/>
      <c r="AS1036" s="58"/>
      <c r="AT1036" s="57"/>
      <c r="AU1036" s="52"/>
      <c r="AV1036" s="52"/>
      <c r="AW1036" s="58"/>
      <c r="AX1036" s="33">
        <f t="shared" si="996"/>
        <v>0</v>
      </c>
      <c r="AY1036" s="31">
        <f t="shared" si="997"/>
        <v>0</v>
      </c>
      <c r="AZ1036" s="30">
        <f t="shared" si="998"/>
        <v>0</v>
      </c>
      <c r="BA1036" s="34"/>
      <c r="BB1036" s="34"/>
      <c r="BC1036" s="34"/>
      <c r="BD1036" s="76"/>
      <c r="BE1036" s="34"/>
      <c r="BF1036" s="34"/>
      <c r="BG1036" s="34"/>
      <c r="BH1036" s="34"/>
    </row>
    <row r="1037" spans="1:60" s="17" customFormat="1" ht="19.5" customHeight="1" x14ac:dyDescent="0.35">
      <c r="A1037" s="41">
        <f t="shared" ref="A1037:B1037" si="1004">A1036</f>
        <v>45442</v>
      </c>
      <c r="B1037" s="37" t="str">
        <f t="shared" si="1004"/>
        <v>ÇEVİRME BEDEN</v>
      </c>
      <c r="C1037" s="65">
        <f t="shared" si="994"/>
        <v>0</v>
      </c>
      <c r="D1037" s="67">
        <f t="shared" si="995"/>
        <v>40</v>
      </c>
      <c r="E1037" s="57"/>
      <c r="F1037" s="52"/>
      <c r="G1037" s="52"/>
      <c r="H1037" s="58"/>
      <c r="I1037" s="57"/>
      <c r="J1037" s="52"/>
      <c r="K1037" s="52"/>
      <c r="L1037" s="58"/>
      <c r="M1037" s="57"/>
      <c r="N1037" s="52"/>
      <c r="O1037" s="52"/>
      <c r="P1037" s="58"/>
      <c r="Q1037" s="57"/>
      <c r="R1037" s="52"/>
      <c r="S1037" s="52"/>
      <c r="T1037" s="52"/>
      <c r="U1037" s="58"/>
      <c r="V1037" s="57"/>
      <c r="W1037" s="52"/>
      <c r="X1037" s="52"/>
      <c r="Y1037" s="58"/>
      <c r="Z1037" s="57"/>
      <c r="AA1037" s="52"/>
      <c r="AB1037" s="52"/>
      <c r="AC1037" s="58"/>
      <c r="AD1037" s="57"/>
      <c r="AE1037" s="52"/>
      <c r="AF1037" s="52"/>
      <c r="AG1037" s="58"/>
      <c r="AH1037" s="57"/>
      <c r="AI1037" s="52"/>
      <c r="AJ1037" s="52"/>
      <c r="AK1037" s="58"/>
      <c r="AL1037" s="57"/>
      <c r="AM1037" s="52"/>
      <c r="AN1037" s="52"/>
      <c r="AO1037" s="58"/>
      <c r="AP1037" s="57"/>
      <c r="AQ1037" s="52"/>
      <c r="AR1037" s="52"/>
      <c r="AS1037" s="58"/>
      <c r="AT1037" s="57"/>
      <c r="AU1037" s="52"/>
      <c r="AV1037" s="52"/>
      <c r="AW1037" s="58"/>
      <c r="AX1037" s="33">
        <f t="shared" si="996"/>
        <v>0</v>
      </c>
      <c r="AY1037" s="31">
        <f t="shared" si="997"/>
        <v>0</v>
      </c>
      <c r="AZ1037" s="30">
        <f t="shared" si="998"/>
        <v>0</v>
      </c>
      <c r="BA1037" s="34"/>
      <c r="BB1037" s="34"/>
      <c r="BC1037" s="34"/>
      <c r="BD1037" s="76"/>
      <c r="BE1037" s="34"/>
      <c r="BF1037" s="34"/>
      <c r="BG1037" s="34"/>
      <c r="BH1037" s="34"/>
    </row>
    <row r="1038" spans="1:60" s="17" customFormat="1" ht="19.5" customHeight="1" thickBot="1" x14ac:dyDescent="0.4">
      <c r="A1038" s="41">
        <f t="shared" ref="A1038:B1038" si="1005">A1037</f>
        <v>45442</v>
      </c>
      <c r="B1038" s="37" t="str">
        <f t="shared" si="1005"/>
        <v>ÇEVİRME BEDEN</v>
      </c>
      <c r="C1038" s="65">
        <f t="shared" si="994"/>
        <v>0</v>
      </c>
      <c r="D1038" s="67">
        <f t="shared" si="995"/>
        <v>40</v>
      </c>
      <c r="E1038" s="59"/>
      <c r="F1038" s="60"/>
      <c r="G1038" s="61"/>
      <c r="H1038" s="62"/>
      <c r="I1038" s="59"/>
      <c r="J1038" s="60"/>
      <c r="K1038" s="61"/>
      <c r="L1038" s="62"/>
      <c r="M1038" s="59"/>
      <c r="N1038" s="60"/>
      <c r="O1038" s="61"/>
      <c r="P1038" s="62"/>
      <c r="Q1038" s="64"/>
      <c r="R1038" s="61"/>
      <c r="S1038" s="61"/>
      <c r="T1038" s="61"/>
      <c r="U1038" s="62"/>
      <c r="V1038" s="59"/>
      <c r="W1038" s="60"/>
      <c r="X1038" s="61"/>
      <c r="Y1038" s="62"/>
      <c r="Z1038" s="59"/>
      <c r="AA1038" s="60"/>
      <c r="AB1038" s="61"/>
      <c r="AC1038" s="62"/>
      <c r="AD1038" s="59"/>
      <c r="AE1038" s="60"/>
      <c r="AF1038" s="61"/>
      <c r="AG1038" s="62"/>
      <c r="AH1038" s="59"/>
      <c r="AI1038" s="60"/>
      <c r="AJ1038" s="61"/>
      <c r="AK1038" s="62"/>
      <c r="AL1038" s="59"/>
      <c r="AM1038" s="60"/>
      <c r="AN1038" s="61"/>
      <c r="AO1038" s="62"/>
      <c r="AP1038" s="59"/>
      <c r="AQ1038" s="60"/>
      <c r="AR1038" s="61"/>
      <c r="AS1038" s="62"/>
      <c r="AT1038" s="59"/>
      <c r="AU1038" s="60"/>
      <c r="AV1038" s="61"/>
      <c r="AW1038" s="62"/>
      <c r="AX1038" s="33">
        <f t="shared" si="996"/>
        <v>0</v>
      </c>
      <c r="AY1038" s="31">
        <f t="shared" si="997"/>
        <v>0</v>
      </c>
      <c r="AZ1038" s="30">
        <f t="shared" si="998"/>
        <v>0</v>
      </c>
      <c r="BA1038" s="34"/>
      <c r="BB1038" s="34"/>
      <c r="BC1038" s="34"/>
      <c r="BD1038" s="76"/>
      <c r="BE1038" s="34"/>
      <c r="BF1038" s="34"/>
      <c r="BG1038" s="34"/>
      <c r="BH1038" s="34"/>
    </row>
    <row r="1039" spans="1:60" s="17" customFormat="1" ht="19.5" customHeight="1" thickBot="1" x14ac:dyDescent="0.45">
      <c r="A1039" s="41">
        <f t="shared" ref="A1039" si="1006">A1038</f>
        <v>45442</v>
      </c>
      <c r="B1039" s="139" t="str">
        <f>B1032</f>
        <v>ÇEVİRME BEDEN</v>
      </c>
      <c r="C1039" s="140"/>
      <c r="D1039" s="40">
        <f>C886/8</f>
        <v>500</v>
      </c>
      <c r="E1039" s="147">
        <f>SUM(E1032:H1038)</f>
        <v>0</v>
      </c>
      <c r="F1039" s="148"/>
      <c r="G1039" s="148"/>
      <c r="H1039" s="149"/>
      <c r="I1039" s="147">
        <f>SUM(I1032:L1038)</f>
        <v>90</v>
      </c>
      <c r="J1039" s="148"/>
      <c r="K1039" s="148"/>
      <c r="L1039" s="149"/>
      <c r="M1039" s="147">
        <f>SUM(M1032:P1038)</f>
        <v>361</v>
      </c>
      <c r="N1039" s="148"/>
      <c r="O1039" s="148"/>
      <c r="P1039" s="149"/>
      <c r="Q1039" s="147">
        <f>SUM(Q1032:U1038)</f>
        <v>465</v>
      </c>
      <c r="R1039" s="148"/>
      <c r="S1039" s="148"/>
      <c r="T1039" s="148"/>
      <c r="U1039" s="149"/>
      <c r="V1039" s="147">
        <f>SUM(V1032:Y1038)</f>
        <v>365</v>
      </c>
      <c r="W1039" s="148"/>
      <c r="X1039" s="148"/>
      <c r="Y1039" s="149"/>
      <c r="Z1039" s="147">
        <f>SUM(Z1032:AC1038)</f>
        <v>370</v>
      </c>
      <c r="AA1039" s="148"/>
      <c r="AB1039" s="148"/>
      <c r="AC1039" s="149"/>
      <c r="AD1039" s="147">
        <f>SUM(AD1032:AG1038)</f>
        <v>333</v>
      </c>
      <c r="AE1039" s="148"/>
      <c r="AF1039" s="148"/>
      <c r="AG1039" s="149"/>
      <c r="AH1039" s="147">
        <f>SUM(AH1032:AK1038)</f>
        <v>342</v>
      </c>
      <c r="AI1039" s="148"/>
      <c r="AJ1039" s="148"/>
      <c r="AK1039" s="149"/>
      <c r="AL1039" s="147">
        <f>SUM(AL1032:AO1038)</f>
        <v>258</v>
      </c>
      <c r="AM1039" s="148"/>
      <c r="AN1039" s="148"/>
      <c r="AO1039" s="149"/>
      <c r="AP1039" s="147">
        <f>SUM(AP1032:AS1038)</f>
        <v>0</v>
      </c>
      <c r="AQ1039" s="148"/>
      <c r="AR1039" s="148"/>
      <c r="AS1039" s="149"/>
      <c r="AT1039" s="147">
        <f>SUM(AT1032:AW1038)</f>
        <v>0</v>
      </c>
      <c r="AU1039" s="148"/>
      <c r="AV1039" s="148"/>
      <c r="AW1039" s="149"/>
      <c r="AX1039" s="87">
        <f>SUM(AX1032:AX1038)</f>
        <v>2584</v>
      </c>
      <c r="AY1039" s="88">
        <f>IFERROR(AVERAGEIF(E1039:AV1039,"&lt;&gt;0",(E1039:AV1039)),)</f>
        <v>323</v>
      </c>
      <c r="AZ1039" s="46">
        <f>IFERROR(AX1039/BB1033,0)</f>
        <v>0</v>
      </c>
      <c r="BA1039" s="34"/>
      <c r="BB1039" s="34"/>
      <c r="BC1039" s="34"/>
      <c r="BD1039" s="76"/>
      <c r="BE1039" s="34"/>
      <c r="BF1039" s="34"/>
      <c r="BG1039" s="34"/>
      <c r="BH1039" s="34"/>
    </row>
    <row r="1040" spans="1:60" s="17" customFormat="1" ht="19.5" customHeight="1" thickBot="1" x14ac:dyDescent="0.4">
      <c r="A1040" s="42">
        <f>A1031</f>
        <v>45442</v>
      </c>
      <c r="B1040" s="38">
        <v>50</v>
      </c>
      <c r="C1040" s="39" t="s">
        <v>180</v>
      </c>
      <c r="D1040" s="69" t="s">
        <v>181</v>
      </c>
      <c r="E1040" s="48">
        <v>0.34375</v>
      </c>
      <c r="F1040" s="49">
        <v>0.35416666666666669</v>
      </c>
      <c r="G1040" s="49">
        <v>0.36458333333333331</v>
      </c>
      <c r="H1040" s="50">
        <v>0.375</v>
      </c>
      <c r="I1040" s="48">
        <v>0.38541666666666702</v>
      </c>
      <c r="J1040" s="49">
        <v>0.39583333333333298</v>
      </c>
      <c r="K1040" s="49">
        <v>0.40625</v>
      </c>
      <c r="L1040" s="50">
        <v>0.41666666666666702</v>
      </c>
      <c r="M1040" s="48">
        <v>0.4375</v>
      </c>
      <c r="N1040" s="49">
        <v>0.44791666666666702</v>
      </c>
      <c r="O1040" s="49">
        <v>0.45833333333333398</v>
      </c>
      <c r="P1040" s="50">
        <v>0.46875</v>
      </c>
      <c r="Q1040" s="82">
        <v>0.47916666666666702</v>
      </c>
      <c r="R1040" s="83">
        <v>0.48958333333333398</v>
      </c>
      <c r="S1040" s="83">
        <v>0.5</v>
      </c>
      <c r="T1040" s="84">
        <v>0.51041666666666696</v>
      </c>
      <c r="U1040" s="85">
        <v>0.52083333333333204</v>
      </c>
      <c r="V1040" s="48">
        <v>0.5625</v>
      </c>
      <c r="W1040" s="49">
        <v>0.57291666666666663</v>
      </c>
      <c r="X1040" s="49">
        <v>0.58333333333333304</v>
      </c>
      <c r="Y1040" s="50">
        <v>0.59375</v>
      </c>
      <c r="Z1040" s="48">
        <v>0.60416666666666696</v>
      </c>
      <c r="AA1040" s="49">
        <v>0.61458333333333304</v>
      </c>
      <c r="AB1040" s="49">
        <v>0.625</v>
      </c>
      <c r="AC1040" s="50">
        <v>0.63541666666666596</v>
      </c>
      <c r="AD1040" s="48">
        <v>0.65625</v>
      </c>
      <c r="AE1040" s="49">
        <v>0.66666666666666663</v>
      </c>
      <c r="AF1040" s="49">
        <v>0.67708333333333304</v>
      </c>
      <c r="AG1040" s="50">
        <v>0.6875</v>
      </c>
      <c r="AH1040" s="48">
        <v>0.69791666666666696</v>
      </c>
      <c r="AI1040" s="49">
        <v>0.70833333333333304</v>
      </c>
      <c r="AJ1040" s="49">
        <v>0.71875</v>
      </c>
      <c r="AK1040" s="50">
        <v>0.72916666666666696</v>
      </c>
      <c r="AL1040" s="48">
        <v>0.73958333333333404</v>
      </c>
      <c r="AM1040" s="49">
        <v>0.750000000000001</v>
      </c>
      <c r="AN1040" s="49">
        <v>0.76041666666666796</v>
      </c>
      <c r="AO1040" s="50">
        <v>0.77083333333333504</v>
      </c>
      <c r="AP1040" s="48">
        <v>0.781250000000002</v>
      </c>
      <c r="AQ1040" s="49">
        <v>0.79166666666666896</v>
      </c>
      <c r="AR1040" s="49">
        <v>0.80208333333333603</v>
      </c>
      <c r="AS1040" s="50">
        <v>0.812500000000003</v>
      </c>
      <c r="AT1040" s="48">
        <v>0.82291666666666996</v>
      </c>
      <c r="AU1040" s="49">
        <v>0.83333333333333703</v>
      </c>
      <c r="AV1040" s="49">
        <v>0.843750000000004</v>
      </c>
      <c r="AW1040" s="50">
        <v>0.85416666666666663</v>
      </c>
      <c r="AX1040" s="68" t="s">
        <v>260</v>
      </c>
      <c r="AY1040" s="28" t="s">
        <v>261</v>
      </c>
      <c r="AZ1040" s="29" t="s">
        <v>262</v>
      </c>
      <c r="BA1040" s="136" t="str">
        <f>B1041</f>
        <v>Ütü</v>
      </c>
      <c r="BB1040" s="137"/>
      <c r="BC1040" s="137"/>
      <c r="BD1040" s="137"/>
      <c r="BE1040" s="137"/>
      <c r="BF1040" s="137"/>
      <c r="BG1040" s="137"/>
      <c r="BH1040" s="138"/>
    </row>
    <row r="1041" spans="1:60" s="17" customFormat="1" ht="19.5" customHeight="1" thickBot="1" x14ac:dyDescent="0.4">
      <c r="A1041" s="41">
        <f t="shared" ref="A1041" si="1007">A1040</f>
        <v>45442</v>
      </c>
      <c r="B1041" s="37" t="str">
        <f>B865</f>
        <v>Ütü</v>
      </c>
      <c r="C1041" s="65" t="str">
        <f>C865</f>
        <v>FARUK BİÇER</v>
      </c>
      <c r="D1041" s="70">
        <f>D865</f>
        <v>45</v>
      </c>
      <c r="E1041" s="63">
        <v>46</v>
      </c>
      <c r="F1041" s="55">
        <v>31</v>
      </c>
      <c r="G1041" s="55">
        <v>53</v>
      </c>
      <c r="H1041" s="56">
        <v>50</v>
      </c>
      <c r="I1041" s="63">
        <v>47</v>
      </c>
      <c r="J1041" s="55">
        <v>21</v>
      </c>
      <c r="K1041" s="55">
        <v>40</v>
      </c>
      <c r="L1041" s="56">
        <v>45</v>
      </c>
      <c r="M1041" s="63">
        <v>48</v>
      </c>
      <c r="N1041" s="55">
        <v>50</v>
      </c>
      <c r="O1041" s="55">
        <v>46</v>
      </c>
      <c r="P1041" s="56">
        <v>47</v>
      </c>
      <c r="Q1041" s="63">
        <v>51</v>
      </c>
      <c r="R1041" s="55">
        <v>24</v>
      </c>
      <c r="S1041" s="55"/>
      <c r="T1041" s="55"/>
      <c r="U1041" s="56">
        <v>47</v>
      </c>
      <c r="V1041" s="63">
        <v>45</v>
      </c>
      <c r="W1041" s="55">
        <v>48</v>
      </c>
      <c r="X1041" s="55">
        <v>46</v>
      </c>
      <c r="Y1041" s="56">
        <v>47</v>
      </c>
      <c r="Z1041" s="63">
        <v>24</v>
      </c>
      <c r="AA1041" s="55">
        <v>50</v>
      </c>
      <c r="AB1041" s="55">
        <v>43</v>
      </c>
      <c r="AC1041" s="56">
        <v>45</v>
      </c>
      <c r="AD1041" s="63">
        <v>48</v>
      </c>
      <c r="AE1041" s="55">
        <v>22</v>
      </c>
      <c r="AF1041" s="55">
        <v>49</v>
      </c>
      <c r="AG1041" s="56">
        <v>50</v>
      </c>
      <c r="AH1041" s="63">
        <v>45</v>
      </c>
      <c r="AI1041" s="55">
        <v>26</v>
      </c>
      <c r="AJ1041" s="55">
        <v>53</v>
      </c>
      <c r="AK1041" s="56">
        <v>44</v>
      </c>
      <c r="AL1041" s="53">
        <v>25</v>
      </c>
      <c r="AM1041" s="54">
        <v>46</v>
      </c>
      <c r="AN1041" s="55">
        <v>45</v>
      </c>
      <c r="AO1041" s="56"/>
      <c r="AP1041" s="53"/>
      <c r="AQ1041" s="54"/>
      <c r="AR1041" s="55"/>
      <c r="AS1041" s="56"/>
      <c r="AT1041" s="53"/>
      <c r="AU1041" s="54"/>
      <c r="AV1041" s="55"/>
      <c r="AW1041" s="56"/>
      <c r="AX1041" s="33">
        <f>SUM(E1041:AW1041)</f>
        <v>1447</v>
      </c>
      <c r="AY1041" s="31">
        <f>IFERROR(AVERAGEIF(E1041:AW1041,"&lt;&gt;0",(E1041:AW1041)),)</f>
        <v>42.558823529411768</v>
      </c>
      <c r="AZ1041" s="30">
        <f>IFERROR(AY1041/D1041,0)</f>
        <v>0.94575163398692819</v>
      </c>
      <c r="BA1041" s="103" t="s">
        <v>182</v>
      </c>
      <c r="BB1041" s="100" t="s">
        <v>183</v>
      </c>
      <c r="BC1041" s="100" t="s">
        <v>184</v>
      </c>
      <c r="BD1041" s="101" t="s">
        <v>185</v>
      </c>
      <c r="BE1041" s="100" t="s">
        <v>186</v>
      </c>
      <c r="BF1041" s="102" t="s">
        <v>187</v>
      </c>
      <c r="BG1041" s="100" t="s">
        <v>188</v>
      </c>
      <c r="BH1041" s="102" t="s">
        <v>189</v>
      </c>
    </row>
    <row r="1042" spans="1:60" s="17" customFormat="1" ht="19.5" customHeight="1" thickBot="1" x14ac:dyDescent="0.4">
      <c r="A1042" s="41">
        <f t="shared" ref="A1042:B1042" si="1008">A1041</f>
        <v>45442</v>
      </c>
      <c r="B1042" s="37" t="str">
        <f t="shared" si="1008"/>
        <v>Ütü</v>
      </c>
      <c r="C1042" s="65" t="str">
        <f t="shared" ref="C1042:C1047" si="1009">C866</f>
        <v>HANİFE BOZKURT</v>
      </c>
      <c r="D1042" s="67">
        <f t="shared" ref="D1042:D1047" si="1010">D1041</f>
        <v>45</v>
      </c>
      <c r="E1042" s="57">
        <v>35</v>
      </c>
      <c r="F1042" s="52">
        <v>23</v>
      </c>
      <c r="G1042" s="52">
        <v>35</v>
      </c>
      <c r="H1042" s="58">
        <v>35</v>
      </c>
      <c r="I1042" s="57">
        <v>34</v>
      </c>
      <c r="J1042" s="52">
        <v>40</v>
      </c>
      <c r="K1042" s="52">
        <v>36</v>
      </c>
      <c r="L1042" s="58"/>
      <c r="M1042" s="57"/>
      <c r="N1042" s="52"/>
      <c r="O1042" s="52"/>
      <c r="P1042" s="58"/>
      <c r="Q1042" s="57">
        <v>36</v>
      </c>
      <c r="R1042" s="52">
        <v>36</v>
      </c>
      <c r="S1042" s="52">
        <v>37</v>
      </c>
      <c r="T1042" s="52"/>
      <c r="U1042" s="58"/>
      <c r="V1042" s="57">
        <v>27</v>
      </c>
      <c r="W1042" s="52"/>
      <c r="X1042" s="52"/>
      <c r="Y1042" s="58"/>
      <c r="Z1042" s="57"/>
      <c r="AA1042" s="52"/>
      <c r="AB1042" s="52"/>
      <c r="AC1042" s="58"/>
      <c r="AD1042" s="57"/>
      <c r="AE1042" s="52">
        <v>17</v>
      </c>
      <c r="AF1042" s="52"/>
      <c r="AG1042" s="58">
        <v>20</v>
      </c>
      <c r="AH1042" s="57">
        <v>30</v>
      </c>
      <c r="AI1042" s="52">
        <v>31</v>
      </c>
      <c r="AJ1042" s="52"/>
      <c r="AK1042" s="58"/>
      <c r="AL1042" s="57"/>
      <c r="AM1042" s="52"/>
      <c r="AN1042" s="52"/>
      <c r="AO1042" s="58"/>
      <c r="AP1042" s="57"/>
      <c r="AQ1042" s="52"/>
      <c r="AR1042" s="52"/>
      <c r="AS1042" s="58"/>
      <c r="AT1042" s="57"/>
      <c r="AU1042" s="52"/>
      <c r="AV1042" s="52"/>
      <c r="AW1042" s="58"/>
      <c r="AX1042" s="33">
        <f t="shared" ref="AX1042:AX1047" si="1011">SUM(E1042:AW1042)</f>
        <v>472</v>
      </c>
      <c r="AY1042" s="31">
        <f t="shared" ref="AY1042:AY1047" si="1012">IFERROR(AVERAGEIF(E1042:AW1042,"&lt;&gt;0",(E1042:AW1042)),)</f>
        <v>31.466666666666665</v>
      </c>
      <c r="AZ1042" s="30">
        <f t="shared" ref="AZ1042:AZ1047" si="1013">IFERROR(AY1042/D1042,0)</f>
        <v>0.69925925925925925</v>
      </c>
      <c r="BA1042" s="94">
        <f>AX1048+BA866</f>
        <v>7791</v>
      </c>
      <c r="BB1042" s="95">
        <f>(D1030*8)</f>
        <v>4000</v>
      </c>
      <c r="BC1042" s="96">
        <f>C885-BA1042</f>
        <v>34520</v>
      </c>
      <c r="BD1042" s="96">
        <f>BA1015-BA1042</f>
        <v>316</v>
      </c>
      <c r="BE1042" s="97">
        <f>IFERROR(BC1042/E1048,0)</f>
        <v>84.607843137254903</v>
      </c>
      <c r="BF1042" s="98">
        <f>IFERROR(BE1042/9,0)</f>
        <v>9.4008714596949901</v>
      </c>
      <c r="BG1042" s="97">
        <f>IFERROR(BC1042/AY1048,0)</f>
        <v>124.82121333869024</v>
      </c>
      <c r="BH1042" s="97">
        <f>IFERROR(BG1042/9,0)</f>
        <v>13.869023704298916</v>
      </c>
    </row>
    <row r="1043" spans="1:60" s="17" customFormat="1" ht="19.5" customHeight="1" x14ac:dyDescent="0.35">
      <c r="A1043" s="41">
        <f t="shared" ref="A1043:B1043" si="1014">A1042</f>
        <v>45442</v>
      </c>
      <c r="B1043" s="37" t="str">
        <f t="shared" si="1014"/>
        <v>Ütü</v>
      </c>
      <c r="C1043" s="65" t="str">
        <f t="shared" si="1009"/>
        <v>BAİSE KURTULDU</v>
      </c>
      <c r="D1043" s="67">
        <f t="shared" si="1010"/>
        <v>45</v>
      </c>
      <c r="E1043" s="57">
        <v>27</v>
      </c>
      <c r="F1043" s="52">
        <v>18</v>
      </c>
      <c r="G1043" s="52">
        <v>29</v>
      </c>
      <c r="H1043" s="58">
        <v>26</v>
      </c>
      <c r="I1043" s="57">
        <v>32</v>
      </c>
      <c r="J1043" s="52"/>
      <c r="K1043" s="52"/>
      <c r="L1043" s="58"/>
      <c r="M1043" s="57"/>
      <c r="N1043" s="52"/>
      <c r="O1043" s="52"/>
      <c r="P1043" s="58"/>
      <c r="Q1043" s="57"/>
      <c r="R1043" s="52"/>
      <c r="S1043" s="52">
        <v>32</v>
      </c>
      <c r="T1043" s="52"/>
      <c r="U1043" s="58"/>
      <c r="V1043" s="57"/>
      <c r="W1043" s="52">
        <v>31</v>
      </c>
      <c r="X1043" s="52"/>
      <c r="Y1043" s="58">
        <v>22</v>
      </c>
      <c r="Z1043" s="57">
        <v>30</v>
      </c>
      <c r="AA1043" s="52">
        <v>32</v>
      </c>
      <c r="AB1043" s="52">
        <v>30</v>
      </c>
      <c r="AC1043" s="58"/>
      <c r="AD1043" s="57"/>
      <c r="AE1043" s="52">
        <v>15</v>
      </c>
      <c r="AF1043" s="52">
        <v>29</v>
      </c>
      <c r="AG1043" s="58">
        <v>16</v>
      </c>
      <c r="AH1043" s="57">
        <v>29</v>
      </c>
      <c r="AI1043" s="52">
        <v>28</v>
      </c>
      <c r="AJ1043" s="52">
        <v>29</v>
      </c>
      <c r="AK1043" s="58">
        <v>31</v>
      </c>
      <c r="AL1043" s="57">
        <v>23</v>
      </c>
      <c r="AM1043" s="52">
        <v>31</v>
      </c>
      <c r="AN1043" s="52">
        <v>30</v>
      </c>
      <c r="AO1043" s="58"/>
      <c r="AP1043" s="57"/>
      <c r="AQ1043" s="52"/>
      <c r="AR1043" s="52"/>
      <c r="AS1043" s="58"/>
      <c r="AT1043" s="57"/>
      <c r="AU1043" s="52"/>
      <c r="AV1043" s="52"/>
      <c r="AW1043" s="58"/>
      <c r="AX1043" s="33">
        <f t="shared" si="1011"/>
        <v>570</v>
      </c>
      <c r="AY1043" s="31">
        <f t="shared" si="1012"/>
        <v>27.142857142857142</v>
      </c>
      <c r="AZ1043" s="30">
        <f t="shared" si="1013"/>
        <v>0.60317460317460314</v>
      </c>
      <c r="BA1043" s="34"/>
      <c r="BB1043" s="34"/>
      <c r="BC1043" s="34"/>
      <c r="BD1043" s="76"/>
      <c r="BE1043" s="34"/>
      <c r="BF1043" s="34"/>
      <c r="BG1043" s="34"/>
      <c r="BH1043" s="34"/>
    </row>
    <row r="1044" spans="1:60" s="17" customFormat="1" ht="19.5" customHeight="1" x14ac:dyDescent="0.35">
      <c r="A1044" s="41">
        <f t="shared" ref="A1044:B1044" si="1015">A1043</f>
        <v>45442</v>
      </c>
      <c r="B1044" s="37" t="str">
        <f t="shared" si="1015"/>
        <v>Ütü</v>
      </c>
      <c r="C1044" s="65" t="str">
        <f t="shared" si="1009"/>
        <v>DERYA KESKİN</v>
      </c>
      <c r="D1044" s="67">
        <f t="shared" si="1010"/>
        <v>45</v>
      </c>
      <c r="E1044" s="57"/>
      <c r="F1044" s="52"/>
      <c r="G1044" s="52"/>
      <c r="H1044" s="58"/>
      <c r="I1044" s="57"/>
      <c r="J1044" s="52"/>
      <c r="K1044" s="52"/>
      <c r="L1044" s="58"/>
      <c r="M1044" s="57"/>
      <c r="N1044" s="52"/>
      <c r="O1044" s="52"/>
      <c r="P1044" s="58"/>
      <c r="Q1044" s="57"/>
      <c r="R1044" s="52"/>
      <c r="S1044" s="52"/>
      <c r="T1044" s="52"/>
      <c r="U1044" s="58"/>
      <c r="V1044" s="57"/>
      <c r="W1044" s="52"/>
      <c r="X1044" s="52"/>
      <c r="Y1044" s="58"/>
      <c r="Z1044" s="57"/>
      <c r="AA1044" s="52"/>
      <c r="AB1044" s="52"/>
      <c r="AC1044" s="58"/>
      <c r="AD1044" s="57"/>
      <c r="AE1044" s="52"/>
      <c r="AF1044" s="52"/>
      <c r="AG1044" s="58"/>
      <c r="AH1044" s="57"/>
      <c r="AI1044" s="52"/>
      <c r="AJ1044" s="52"/>
      <c r="AK1044" s="58"/>
      <c r="AL1044" s="57"/>
      <c r="AM1044" s="52"/>
      <c r="AN1044" s="52"/>
      <c r="AO1044" s="58"/>
      <c r="AP1044" s="57"/>
      <c r="AQ1044" s="52"/>
      <c r="AR1044" s="52"/>
      <c r="AS1044" s="58"/>
      <c r="AT1044" s="57"/>
      <c r="AU1044" s="52"/>
      <c r="AV1044" s="52"/>
      <c r="AW1044" s="58"/>
      <c r="AX1044" s="33">
        <f t="shared" si="1011"/>
        <v>0</v>
      </c>
      <c r="AY1044" s="31">
        <f t="shared" si="1012"/>
        <v>0</v>
      </c>
      <c r="AZ1044" s="30">
        <f t="shared" si="1013"/>
        <v>0</v>
      </c>
      <c r="BA1044" s="34"/>
      <c r="BB1044" s="34"/>
      <c r="BC1044" s="34"/>
      <c r="BD1044" s="76"/>
      <c r="BE1044" s="34"/>
      <c r="BF1044" s="34"/>
      <c r="BG1044" s="34"/>
      <c r="BH1044" s="34"/>
    </row>
    <row r="1045" spans="1:60" s="17" customFormat="1" ht="19.5" customHeight="1" x14ac:dyDescent="0.35">
      <c r="A1045" s="41">
        <f>A1042</f>
        <v>45442</v>
      </c>
      <c r="B1045" s="37" t="str">
        <f t="shared" ref="B1045" si="1016">B1044</f>
        <v>Ütü</v>
      </c>
      <c r="C1045" s="65" t="str">
        <f t="shared" si="1009"/>
        <v>NEDİME KÖSE</v>
      </c>
      <c r="D1045" s="67">
        <f t="shared" si="1010"/>
        <v>45</v>
      </c>
      <c r="E1045" s="57"/>
      <c r="F1045" s="52"/>
      <c r="G1045" s="52"/>
      <c r="H1045" s="58"/>
      <c r="I1045" s="57"/>
      <c r="J1045" s="52"/>
      <c r="K1045" s="52"/>
      <c r="L1045" s="58"/>
      <c r="M1045" s="57"/>
      <c r="N1045" s="52"/>
      <c r="O1045" s="52"/>
      <c r="P1045" s="58"/>
      <c r="Q1045" s="57"/>
      <c r="R1045" s="52"/>
      <c r="S1045" s="52"/>
      <c r="T1045" s="52"/>
      <c r="U1045" s="58"/>
      <c r="V1045" s="57"/>
      <c r="W1045" s="52"/>
      <c r="X1045" s="52"/>
      <c r="Y1045" s="58"/>
      <c r="Z1045" s="57"/>
      <c r="AA1045" s="52"/>
      <c r="AB1045" s="52"/>
      <c r="AC1045" s="58"/>
      <c r="AD1045" s="57"/>
      <c r="AE1045" s="52"/>
      <c r="AF1045" s="52"/>
      <c r="AG1045" s="58"/>
      <c r="AH1045" s="57"/>
      <c r="AI1045" s="52"/>
      <c r="AJ1045" s="52"/>
      <c r="AK1045" s="58"/>
      <c r="AL1045" s="57"/>
      <c r="AM1045" s="52"/>
      <c r="AN1045" s="52"/>
      <c r="AO1045" s="58"/>
      <c r="AP1045" s="57"/>
      <c r="AQ1045" s="52"/>
      <c r="AR1045" s="52"/>
      <c r="AS1045" s="58"/>
      <c r="AT1045" s="57"/>
      <c r="AU1045" s="52"/>
      <c r="AV1045" s="52"/>
      <c r="AW1045" s="58"/>
      <c r="AX1045" s="33">
        <f t="shared" si="1011"/>
        <v>0</v>
      </c>
      <c r="AY1045" s="31">
        <f t="shared" si="1012"/>
        <v>0</v>
      </c>
      <c r="AZ1045" s="30">
        <f t="shared" si="1013"/>
        <v>0</v>
      </c>
      <c r="BA1045" s="34"/>
      <c r="BB1045" s="34"/>
      <c r="BC1045" s="34"/>
      <c r="BD1045" s="76"/>
      <c r="BE1045" s="34"/>
      <c r="BF1045" s="34"/>
      <c r="BG1045" s="34"/>
      <c r="BH1045" s="34"/>
    </row>
    <row r="1046" spans="1:60" s="17" customFormat="1" ht="19.5" customHeight="1" x14ac:dyDescent="0.35">
      <c r="A1046" s="41">
        <f t="shared" ref="A1046:B1046" si="1017">A1045</f>
        <v>45442</v>
      </c>
      <c r="B1046" s="37" t="str">
        <f t="shared" si="1017"/>
        <v>Ütü</v>
      </c>
      <c r="C1046" s="65">
        <f t="shared" si="1009"/>
        <v>0</v>
      </c>
      <c r="D1046" s="67">
        <f t="shared" si="1010"/>
        <v>45</v>
      </c>
      <c r="E1046" s="57"/>
      <c r="F1046" s="52"/>
      <c r="G1046" s="52"/>
      <c r="H1046" s="58"/>
      <c r="I1046" s="57"/>
      <c r="J1046" s="52"/>
      <c r="K1046" s="52"/>
      <c r="L1046" s="58"/>
      <c r="M1046" s="57"/>
      <c r="N1046" s="52"/>
      <c r="O1046" s="52"/>
      <c r="P1046" s="78"/>
      <c r="Q1046" s="57"/>
      <c r="R1046" s="52"/>
      <c r="S1046" s="52"/>
      <c r="T1046" s="52"/>
      <c r="U1046" s="58"/>
      <c r="V1046" s="80"/>
      <c r="W1046" s="52"/>
      <c r="X1046" s="52"/>
      <c r="Y1046" s="58"/>
      <c r="Z1046" s="57"/>
      <c r="AA1046" s="52"/>
      <c r="AB1046" s="52"/>
      <c r="AC1046" s="58"/>
      <c r="AD1046" s="57"/>
      <c r="AE1046" s="52"/>
      <c r="AF1046" s="52"/>
      <c r="AG1046" s="58"/>
      <c r="AH1046" s="57"/>
      <c r="AI1046" s="52"/>
      <c r="AJ1046" s="52"/>
      <c r="AK1046" s="58"/>
      <c r="AL1046" s="57"/>
      <c r="AM1046" s="52"/>
      <c r="AN1046" s="52"/>
      <c r="AO1046" s="58"/>
      <c r="AP1046" s="57"/>
      <c r="AQ1046" s="52"/>
      <c r="AR1046" s="52"/>
      <c r="AS1046" s="58"/>
      <c r="AT1046" s="57"/>
      <c r="AU1046" s="52"/>
      <c r="AV1046" s="52"/>
      <c r="AW1046" s="58"/>
      <c r="AX1046" s="33">
        <f t="shared" si="1011"/>
        <v>0</v>
      </c>
      <c r="AY1046" s="31">
        <f t="shared" si="1012"/>
        <v>0</v>
      </c>
      <c r="AZ1046" s="30">
        <f t="shared" si="1013"/>
        <v>0</v>
      </c>
      <c r="BA1046" s="34"/>
      <c r="BB1046" s="34"/>
      <c r="BC1046" s="34"/>
      <c r="BD1046" s="76"/>
      <c r="BE1046" s="34"/>
      <c r="BF1046" s="34"/>
      <c r="BG1046" s="34"/>
      <c r="BH1046" s="34"/>
    </row>
    <row r="1047" spans="1:60" s="17" customFormat="1" ht="19.5" customHeight="1" thickBot="1" x14ac:dyDescent="0.4">
      <c r="A1047" s="41">
        <f t="shared" ref="A1047:B1047" si="1018">A1046</f>
        <v>45442</v>
      </c>
      <c r="B1047" s="37" t="str">
        <f t="shared" si="1018"/>
        <v>Ütü</v>
      </c>
      <c r="C1047" s="65">
        <f t="shared" si="1009"/>
        <v>0</v>
      </c>
      <c r="D1047" s="67">
        <f t="shared" si="1010"/>
        <v>45</v>
      </c>
      <c r="E1047" s="59"/>
      <c r="F1047" s="60"/>
      <c r="G1047" s="61"/>
      <c r="H1047" s="62"/>
      <c r="I1047" s="59"/>
      <c r="J1047" s="60"/>
      <c r="K1047" s="61"/>
      <c r="L1047" s="62"/>
      <c r="M1047" s="59"/>
      <c r="N1047" s="60"/>
      <c r="O1047" s="61"/>
      <c r="P1047" s="79"/>
      <c r="Q1047" s="64"/>
      <c r="R1047" s="61"/>
      <c r="S1047" s="61"/>
      <c r="T1047" s="61"/>
      <c r="U1047" s="62"/>
      <c r="V1047" s="81"/>
      <c r="W1047" s="60"/>
      <c r="X1047" s="61"/>
      <c r="Y1047" s="62"/>
      <c r="Z1047" s="59"/>
      <c r="AA1047" s="60"/>
      <c r="AB1047" s="61"/>
      <c r="AC1047" s="62"/>
      <c r="AD1047" s="59"/>
      <c r="AE1047" s="60"/>
      <c r="AF1047" s="61"/>
      <c r="AG1047" s="62"/>
      <c r="AH1047" s="59"/>
      <c r="AI1047" s="60"/>
      <c r="AJ1047" s="61"/>
      <c r="AK1047" s="62"/>
      <c r="AL1047" s="59"/>
      <c r="AM1047" s="60"/>
      <c r="AN1047" s="61"/>
      <c r="AO1047" s="62"/>
      <c r="AP1047" s="59"/>
      <c r="AQ1047" s="60"/>
      <c r="AR1047" s="61"/>
      <c r="AS1047" s="62"/>
      <c r="AT1047" s="59"/>
      <c r="AU1047" s="60"/>
      <c r="AV1047" s="61"/>
      <c r="AW1047" s="62"/>
      <c r="AX1047" s="33">
        <f t="shared" si="1011"/>
        <v>0</v>
      </c>
      <c r="AY1047" s="31">
        <f t="shared" si="1012"/>
        <v>0</v>
      </c>
      <c r="AZ1047" s="30">
        <f t="shared" si="1013"/>
        <v>0</v>
      </c>
      <c r="BA1047" s="34"/>
      <c r="BB1047" s="34"/>
      <c r="BC1047" s="34"/>
      <c r="BD1047" s="76"/>
      <c r="BE1047" s="34"/>
      <c r="BF1047" s="34"/>
      <c r="BG1047" s="34"/>
      <c r="BH1047" s="34"/>
    </row>
    <row r="1048" spans="1:60" s="17" customFormat="1" ht="19.5" customHeight="1" thickBot="1" x14ac:dyDescent="0.45">
      <c r="A1048" s="41">
        <f t="shared" ref="A1048" si="1019">A1047</f>
        <v>45442</v>
      </c>
      <c r="B1048" s="139" t="str">
        <f>B1041</f>
        <v>Ütü</v>
      </c>
      <c r="C1048" s="140"/>
      <c r="D1048" s="40">
        <f>C886/8</f>
        <v>500</v>
      </c>
      <c r="E1048" s="141">
        <f>SUM(E1041:H1047)</f>
        <v>408</v>
      </c>
      <c r="F1048" s="142"/>
      <c r="G1048" s="142"/>
      <c r="H1048" s="143"/>
      <c r="I1048" s="141">
        <f>SUM(I1041:L1047)</f>
        <v>295</v>
      </c>
      <c r="J1048" s="142"/>
      <c r="K1048" s="142"/>
      <c r="L1048" s="143"/>
      <c r="M1048" s="141">
        <f>SUM(M1041:P1047)</f>
        <v>191</v>
      </c>
      <c r="N1048" s="142"/>
      <c r="O1048" s="142"/>
      <c r="P1048" s="143"/>
      <c r="Q1048" s="144">
        <f>SUM(Q1041:U1047)</f>
        <v>263</v>
      </c>
      <c r="R1048" s="145"/>
      <c r="S1048" s="145"/>
      <c r="T1048" s="145"/>
      <c r="U1048" s="146"/>
      <c r="V1048" s="141">
        <f>SUM(V1041:Y1047)</f>
        <v>266</v>
      </c>
      <c r="W1048" s="142"/>
      <c r="X1048" s="142"/>
      <c r="Y1048" s="143"/>
      <c r="Z1048" s="141">
        <f>SUM(Z1041:AC1047)</f>
        <v>254</v>
      </c>
      <c r="AA1048" s="142"/>
      <c r="AB1048" s="142"/>
      <c r="AC1048" s="143"/>
      <c r="AD1048" s="147">
        <f>SUM(AD1041:AG1047)</f>
        <v>266</v>
      </c>
      <c r="AE1048" s="148"/>
      <c r="AF1048" s="148"/>
      <c r="AG1048" s="149"/>
      <c r="AH1048" s="147">
        <f>SUM(AH1041:AK1047)</f>
        <v>346</v>
      </c>
      <c r="AI1048" s="148"/>
      <c r="AJ1048" s="148"/>
      <c r="AK1048" s="149"/>
      <c r="AL1048" s="147">
        <f>SUM(AL1041:AO1047)</f>
        <v>200</v>
      </c>
      <c r="AM1048" s="148"/>
      <c r="AN1048" s="148"/>
      <c r="AO1048" s="149"/>
      <c r="AP1048" s="147">
        <f>SUM(AP1041:AS1047)</f>
        <v>0</v>
      </c>
      <c r="AQ1048" s="148"/>
      <c r="AR1048" s="148"/>
      <c r="AS1048" s="149"/>
      <c r="AT1048" s="147">
        <f>SUM(AT1041:AW1047)</f>
        <v>0</v>
      </c>
      <c r="AU1048" s="148"/>
      <c r="AV1048" s="148"/>
      <c r="AW1048" s="149"/>
      <c r="AX1048" s="87">
        <f>SUM(AX1041:AX1047)</f>
        <v>2489</v>
      </c>
      <c r="AY1048" s="88">
        <f>IFERROR(AVERAGEIF(E1048:AV1048,"&lt;&gt;0",(E1048:AV1048)),)</f>
        <v>276.55555555555554</v>
      </c>
      <c r="AZ1048" s="46">
        <f>IFERROR(AX1048/BB1042,0)</f>
        <v>0.62224999999999997</v>
      </c>
      <c r="BA1048" s="34"/>
      <c r="BB1048" s="34"/>
      <c r="BC1048" s="34"/>
      <c r="BD1048" s="76"/>
      <c r="BE1048" s="34"/>
      <c r="BF1048" s="34"/>
      <c r="BG1048" s="34"/>
      <c r="BH1048" s="34"/>
    </row>
    <row r="1049" spans="1:60" s="17" customFormat="1" ht="19.5" customHeight="1" thickBot="1" x14ac:dyDescent="0.4">
      <c r="A1049" s="115">
        <f>A1040</f>
        <v>45442</v>
      </c>
      <c r="B1049" s="113" t="str">
        <f>B1050</f>
        <v>Kalite</v>
      </c>
      <c r="C1049" s="39" t="s">
        <v>180</v>
      </c>
      <c r="D1049" s="69" t="s">
        <v>181</v>
      </c>
      <c r="E1049" s="48">
        <v>0.34375</v>
      </c>
      <c r="F1049" s="49">
        <v>0.35416666666666669</v>
      </c>
      <c r="G1049" s="49">
        <v>0.36458333333333331</v>
      </c>
      <c r="H1049" s="50">
        <v>0.375</v>
      </c>
      <c r="I1049" s="48">
        <v>0.38541666666666702</v>
      </c>
      <c r="J1049" s="49">
        <v>0.39583333333333298</v>
      </c>
      <c r="K1049" s="49">
        <v>0.40625</v>
      </c>
      <c r="L1049" s="50">
        <v>0.41666666666666702</v>
      </c>
      <c r="M1049" s="48">
        <v>0.4375</v>
      </c>
      <c r="N1049" s="49">
        <v>0.44791666666666702</v>
      </c>
      <c r="O1049" s="49">
        <v>0.45833333333333398</v>
      </c>
      <c r="P1049" s="50">
        <v>0.46875</v>
      </c>
      <c r="Q1049" s="82">
        <v>0.47916666666666702</v>
      </c>
      <c r="R1049" s="83">
        <v>0.48958333333333398</v>
      </c>
      <c r="S1049" s="83">
        <v>0.5</v>
      </c>
      <c r="T1049" s="84">
        <v>0.51041666666666696</v>
      </c>
      <c r="U1049" s="85">
        <v>0.52083333333333204</v>
      </c>
      <c r="V1049" s="48">
        <v>0.5625</v>
      </c>
      <c r="W1049" s="49">
        <v>0.57291666666666663</v>
      </c>
      <c r="X1049" s="49">
        <v>0.58333333333333304</v>
      </c>
      <c r="Y1049" s="50">
        <v>0.59375</v>
      </c>
      <c r="Z1049" s="48">
        <v>0.60416666666666696</v>
      </c>
      <c r="AA1049" s="49">
        <v>0.61458333333333304</v>
      </c>
      <c r="AB1049" s="49">
        <v>0.625</v>
      </c>
      <c r="AC1049" s="50">
        <v>0.63541666666666596</v>
      </c>
      <c r="AD1049" s="48">
        <v>0.65625</v>
      </c>
      <c r="AE1049" s="49">
        <v>0.66666666666666663</v>
      </c>
      <c r="AF1049" s="49">
        <v>0.67708333333333304</v>
      </c>
      <c r="AG1049" s="50">
        <v>0.6875</v>
      </c>
      <c r="AH1049" s="48">
        <v>0.69791666666666696</v>
      </c>
      <c r="AI1049" s="49">
        <v>0.70833333333333304</v>
      </c>
      <c r="AJ1049" s="49">
        <v>0.71875</v>
      </c>
      <c r="AK1049" s="50">
        <v>0.72916666666666696</v>
      </c>
      <c r="AL1049" s="48">
        <v>0.73958333333333404</v>
      </c>
      <c r="AM1049" s="49">
        <v>0.750000000000001</v>
      </c>
      <c r="AN1049" s="49">
        <v>0.76041666666666796</v>
      </c>
      <c r="AO1049" s="50">
        <v>0.77083333333333504</v>
      </c>
      <c r="AP1049" s="48">
        <v>0.781250000000002</v>
      </c>
      <c r="AQ1049" s="49">
        <v>0.79166666666666896</v>
      </c>
      <c r="AR1049" s="49">
        <v>0.80208333333333603</v>
      </c>
      <c r="AS1049" s="50">
        <v>0.812500000000003</v>
      </c>
      <c r="AT1049" s="48">
        <v>0.82291666666666996</v>
      </c>
      <c r="AU1049" s="49">
        <v>0.83333333333333703</v>
      </c>
      <c r="AV1049" s="49">
        <v>0.843750000000004</v>
      </c>
      <c r="AW1049" s="50">
        <v>0.85416666666666663</v>
      </c>
      <c r="AX1049" s="68" t="s">
        <v>260</v>
      </c>
      <c r="AY1049" s="28" t="s">
        <v>261</v>
      </c>
      <c r="AZ1049" s="29" t="s">
        <v>262</v>
      </c>
      <c r="BA1049" s="136" t="str">
        <f>B1050</f>
        <v>Kalite</v>
      </c>
      <c r="BB1049" s="137"/>
      <c r="BC1049" s="137"/>
      <c r="BD1049" s="137"/>
      <c r="BE1049" s="137"/>
      <c r="BF1049" s="137"/>
      <c r="BG1049" s="137"/>
      <c r="BH1049" s="138"/>
    </row>
    <row r="1050" spans="1:60" s="17" customFormat="1" ht="19.5" customHeight="1" thickBot="1" x14ac:dyDescent="0.4">
      <c r="A1050" s="116">
        <f t="shared" ref="A1050" si="1020">A1049</f>
        <v>45442</v>
      </c>
      <c r="B1050" s="114" t="str">
        <f>B874</f>
        <v>Kalite</v>
      </c>
      <c r="C1050" s="65" t="str">
        <f>C874</f>
        <v>MELAHAT EROL</v>
      </c>
      <c r="D1050" s="70">
        <f>D874</f>
        <v>28</v>
      </c>
      <c r="E1050" s="63">
        <v>27</v>
      </c>
      <c r="F1050" s="55">
        <v>27</v>
      </c>
      <c r="G1050" s="55">
        <v>27</v>
      </c>
      <c r="H1050" s="56">
        <v>29</v>
      </c>
      <c r="I1050" s="63">
        <v>30</v>
      </c>
      <c r="J1050" s="55">
        <v>28</v>
      </c>
      <c r="K1050" s="55">
        <v>31</v>
      </c>
      <c r="L1050" s="56">
        <v>26</v>
      </c>
      <c r="M1050" s="63"/>
      <c r="N1050" s="55"/>
      <c r="O1050" s="55"/>
      <c r="P1050" s="56"/>
      <c r="Q1050" s="63"/>
      <c r="R1050" s="55"/>
      <c r="S1050" s="55"/>
      <c r="T1050" s="55">
        <v>32</v>
      </c>
      <c r="U1050" s="56"/>
      <c r="V1050" s="63"/>
      <c r="W1050" s="55"/>
      <c r="X1050" s="55"/>
      <c r="Y1050" s="56"/>
      <c r="Z1050" s="63"/>
      <c r="AA1050" s="55"/>
      <c r="AB1050" s="55"/>
      <c r="AC1050" s="56"/>
      <c r="AD1050" s="63"/>
      <c r="AE1050" s="55"/>
      <c r="AF1050" s="55"/>
      <c r="AG1050" s="56">
        <v>24</v>
      </c>
      <c r="AH1050" s="63">
        <v>26</v>
      </c>
      <c r="AI1050" s="55">
        <v>23</v>
      </c>
      <c r="AJ1050" s="55">
        <v>20</v>
      </c>
      <c r="AK1050" s="56">
        <v>23</v>
      </c>
      <c r="AL1050" s="53">
        <v>22</v>
      </c>
      <c r="AM1050" s="54">
        <v>23</v>
      </c>
      <c r="AN1050" s="55">
        <v>27</v>
      </c>
      <c r="AO1050" s="56"/>
      <c r="AP1050" s="53"/>
      <c r="AQ1050" s="54"/>
      <c r="AR1050" s="55"/>
      <c r="AS1050" s="56"/>
      <c r="AT1050" s="53"/>
      <c r="AU1050" s="54"/>
      <c r="AV1050" s="55"/>
      <c r="AW1050" s="56"/>
      <c r="AX1050" s="33">
        <f>SUM(E1050:AW1050)</f>
        <v>445</v>
      </c>
      <c r="AY1050" s="31">
        <f>IFERROR(AVERAGEIF(E1050:AW1050,"&lt;&gt;0",(E1050:AW1050)),)</f>
        <v>26.176470588235293</v>
      </c>
      <c r="AZ1050" s="30">
        <f>IFERROR(AY1050/D1050,0)</f>
        <v>0.93487394957983194</v>
      </c>
      <c r="BA1050" s="103" t="s">
        <v>182</v>
      </c>
      <c r="BB1050" s="100" t="s">
        <v>183</v>
      </c>
      <c r="BC1050" s="100" t="s">
        <v>184</v>
      </c>
      <c r="BD1050" s="101" t="s">
        <v>185</v>
      </c>
      <c r="BE1050" s="100" t="s">
        <v>186</v>
      </c>
      <c r="BF1050" s="102" t="s">
        <v>187</v>
      </c>
      <c r="BG1050" s="100" t="s">
        <v>188</v>
      </c>
      <c r="BH1050" s="102" t="s">
        <v>189</v>
      </c>
    </row>
    <row r="1051" spans="1:60" s="17" customFormat="1" ht="19.5" customHeight="1" thickBot="1" x14ac:dyDescent="0.4">
      <c r="A1051" s="116">
        <f t="shared" ref="A1051:B1051" si="1021">A1050</f>
        <v>45442</v>
      </c>
      <c r="B1051" s="114" t="str">
        <f t="shared" si="1021"/>
        <v>Kalite</v>
      </c>
      <c r="C1051" s="65" t="str">
        <f t="shared" ref="C1051:C1056" si="1022">C875</f>
        <v>DERYA KESKİN</v>
      </c>
      <c r="D1051" s="67">
        <f t="shared" ref="D1051:D1056" si="1023">D1050</f>
        <v>28</v>
      </c>
      <c r="E1051" s="57"/>
      <c r="F1051" s="52"/>
      <c r="G1051" s="52"/>
      <c r="H1051" s="58"/>
      <c r="I1051" s="57"/>
      <c r="J1051" s="52">
        <v>17</v>
      </c>
      <c r="K1051" s="52">
        <v>17</v>
      </c>
      <c r="L1051" s="58">
        <v>24</v>
      </c>
      <c r="M1051" s="57">
        <v>23</v>
      </c>
      <c r="N1051" s="52">
        <v>28</v>
      </c>
      <c r="O1051" s="52">
        <v>22</v>
      </c>
      <c r="P1051" s="58">
        <v>26</v>
      </c>
      <c r="Q1051" s="57">
        <v>25</v>
      </c>
      <c r="R1051" s="52">
        <v>21</v>
      </c>
      <c r="S1051" s="52">
        <v>14</v>
      </c>
      <c r="T1051" s="52">
        <v>28</v>
      </c>
      <c r="U1051" s="58">
        <v>25</v>
      </c>
      <c r="V1051" s="57">
        <v>24</v>
      </c>
      <c r="W1051" s="52">
        <v>10</v>
      </c>
      <c r="X1051" s="52">
        <v>21</v>
      </c>
      <c r="Y1051" s="58">
        <v>16</v>
      </c>
      <c r="Z1051" s="57">
        <v>24</v>
      </c>
      <c r="AA1051" s="52">
        <v>21</v>
      </c>
      <c r="AB1051" s="52">
        <v>8</v>
      </c>
      <c r="AC1051" s="58">
        <v>24</v>
      </c>
      <c r="AD1051" s="57">
        <v>22</v>
      </c>
      <c r="AE1051" s="52">
        <v>21</v>
      </c>
      <c r="AF1051" s="52">
        <v>23</v>
      </c>
      <c r="AG1051" s="58">
        <v>20</v>
      </c>
      <c r="AH1051" s="57">
        <v>21</v>
      </c>
      <c r="AI1051" s="52">
        <v>14</v>
      </c>
      <c r="AJ1051" s="52">
        <v>17</v>
      </c>
      <c r="AK1051" s="58">
        <v>25</v>
      </c>
      <c r="AL1051" s="57">
        <v>23</v>
      </c>
      <c r="AM1051" s="52">
        <v>24</v>
      </c>
      <c r="AN1051" s="52">
        <v>28</v>
      </c>
      <c r="AO1051" s="58"/>
      <c r="AP1051" s="57"/>
      <c r="AQ1051" s="52"/>
      <c r="AR1051" s="52"/>
      <c r="AS1051" s="58"/>
      <c r="AT1051" s="57"/>
      <c r="AU1051" s="52"/>
      <c r="AV1051" s="52"/>
      <c r="AW1051" s="58"/>
      <c r="AX1051" s="33">
        <f t="shared" ref="AX1051:AX1056" si="1024">SUM(E1051:AW1051)</f>
        <v>656</v>
      </c>
      <c r="AY1051" s="31">
        <f t="shared" ref="AY1051:AY1056" si="1025">IFERROR(AVERAGEIF(E1051:AW1051,"&lt;&gt;0",(E1051:AW1051)),)</f>
        <v>21.161290322580644</v>
      </c>
      <c r="AZ1051" s="30">
        <f t="shared" ref="AZ1051:AZ1056" si="1026">IFERROR(AY1051/D1051,0)</f>
        <v>0.75576036866359442</v>
      </c>
      <c r="BA1051" s="94">
        <f>AX1057+BA875</f>
        <v>7533</v>
      </c>
      <c r="BB1051" s="95">
        <f>(D1057*8)</f>
        <v>4000</v>
      </c>
      <c r="BC1051" s="96">
        <f>C885-BA1051</f>
        <v>34778</v>
      </c>
      <c r="BD1051" s="96">
        <f>BA1042-BA1051</f>
        <v>258</v>
      </c>
      <c r="BE1051" s="97">
        <f>IFERROR(BC1051/E1057,0)</f>
        <v>91.521052631578954</v>
      </c>
      <c r="BF1051" s="98">
        <f>IFERROR(BE1051/9,0)</f>
        <v>10.169005847953217</v>
      </c>
      <c r="BG1051" s="97">
        <f>IFERROR(BC1051/AY1057,0)</f>
        <v>125.00079872204472</v>
      </c>
      <c r="BH1051" s="97">
        <f>IFERROR(BG1051/9,0)</f>
        <v>13.888977635782746</v>
      </c>
    </row>
    <row r="1052" spans="1:60" s="17" customFormat="1" ht="19.5" customHeight="1" x14ac:dyDescent="0.35">
      <c r="A1052" s="116">
        <f t="shared" ref="A1052:B1052" si="1027">A1051</f>
        <v>45442</v>
      </c>
      <c r="B1052" s="114" t="str">
        <f t="shared" si="1027"/>
        <v>Kalite</v>
      </c>
      <c r="C1052" s="65" t="str">
        <f t="shared" si="1022"/>
        <v>GÜLCAN MUHTANCI</v>
      </c>
      <c r="D1052" s="67">
        <f t="shared" si="1023"/>
        <v>28</v>
      </c>
      <c r="E1052" s="57">
        <v>19</v>
      </c>
      <c r="F1052" s="52">
        <v>20</v>
      </c>
      <c r="G1052" s="52">
        <v>23</v>
      </c>
      <c r="H1052" s="58">
        <v>28</v>
      </c>
      <c r="I1052" s="57">
        <v>27</v>
      </c>
      <c r="J1052" s="52">
        <v>26</v>
      </c>
      <c r="K1052" s="52">
        <v>28</v>
      </c>
      <c r="L1052" s="58">
        <v>22</v>
      </c>
      <c r="M1052" s="57">
        <v>24</v>
      </c>
      <c r="N1052" s="52">
        <v>28</v>
      </c>
      <c r="O1052" s="52">
        <v>24</v>
      </c>
      <c r="P1052" s="58">
        <v>17</v>
      </c>
      <c r="Q1052" s="57">
        <v>23</v>
      </c>
      <c r="R1052" s="52">
        <v>24</v>
      </c>
      <c r="S1052" s="52">
        <v>22</v>
      </c>
      <c r="T1052" s="52">
        <v>22</v>
      </c>
      <c r="U1052" s="58">
        <v>22</v>
      </c>
      <c r="V1052" s="57">
        <v>25</v>
      </c>
      <c r="W1052" s="52">
        <v>23</v>
      </c>
      <c r="X1052" s="52">
        <v>27</v>
      </c>
      <c r="Y1052" s="58">
        <v>26</v>
      </c>
      <c r="Z1052" s="57">
        <v>17</v>
      </c>
      <c r="AA1052" s="52">
        <v>24</v>
      </c>
      <c r="AB1052" s="52">
        <v>23</v>
      </c>
      <c r="AC1052" s="58">
        <v>25</v>
      </c>
      <c r="AD1052" s="57">
        <v>12</v>
      </c>
      <c r="AE1052" s="52">
        <v>26</v>
      </c>
      <c r="AF1052" s="52">
        <v>23</v>
      </c>
      <c r="AG1052" s="58">
        <v>23</v>
      </c>
      <c r="AH1052" s="57">
        <v>23</v>
      </c>
      <c r="AI1052" s="52">
        <v>24</v>
      </c>
      <c r="AJ1052" s="52">
        <v>22</v>
      </c>
      <c r="AK1052" s="58">
        <v>20</v>
      </c>
      <c r="AL1052" s="57">
        <v>20</v>
      </c>
      <c r="AM1052" s="52">
        <v>20</v>
      </c>
      <c r="AN1052" s="52"/>
      <c r="AO1052" s="58"/>
      <c r="AP1052" s="57"/>
      <c r="AQ1052" s="52"/>
      <c r="AR1052" s="52"/>
      <c r="AS1052" s="58"/>
      <c r="AT1052" s="57"/>
      <c r="AU1052" s="52"/>
      <c r="AV1052" s="52"/>
      <c r="AW1052" s="58"/>
      <c r="AX1052" s="33">
        <f t="shared" si="1024"/>
        <v>802</v>
      </c>
      <c r="AY1052" s="31">
        <f t="shared" si="1025"/>
        <v>22.914285714285715</v>
      </c>
      <c r="AZ1052" s="30">
        <f t="shared" si="1026"/>
        <v>0.81836734693877555</v>
      </c>
      <c r="BA1052" s="34"/>
      <c r="BB1052" s="34"/>
      <c r="BC1052" s="34"/>
      <c r="BD1052" s="76"/>
      <c r="BE1052" s="34"/>
      <c r="BF1052" s="34"/>
      <c r="BG1052" s="34"/>
      <c r="BH1052" s="34"/>
    </row>
    <row r="1053" spans="1:60" s="17" customFormat="1" ht="19.5" customHeight="1" x14ac:dyDescent="0.35">
      <c r="A1053" s="116">
        <f t="shared" ref="A1053:B1053" si="1028">A1052</f>
        <v>45442</v>
      </c>
      <c r="B1053" s="114" t="str">
        <f t="shared" si="1028"/>
        <v>Kalite</v>
      </c>
      <c r="C1053" s="65" t="str">
        <f t="shared" si="1022"/>
        <v>NEZAHAT ALTIN</v>
      </c>
      <c r="D1053" s="67">
        <f t="shared" si="1023"/>
        <v>28</v>
      </c>
      <c r="E1053" s="57">
        <v>24</v>
      </c>
      <c r="F1053" s="52">
        <v>22</v>
      </c>
      <c r="G1053" s="52">
        <v>25</v>
      </c>
      <c r="H1053" s="58">
        <v>26</v>
      </c>
      <c r="I1053" s="57">
        <v>27</v>
      </c>
      <c r="J1053" s="52"/>
      <c r="K1053" s="52"/>
      <c r="L1053" s="58"/>
      <c r="M1053" s="57"/>
      <c r="N1053" s="52"/>
      <c r="O1053" s="52"/>
      <c r="P1053" s="58"/>
      <c r="Q1053" s="57"/>
      <c r="R1053" s="52"/>
      <c r="S1053" s="52"/>
      <c r="T1053" s="52"/>
      <c r="U1053" s="58"/>
      <c r="V1053" s="57"/>
      <c r="W1053" s="52"/>
      <c r="X1053" s="52"/>
      <c r="Y1053" s="58"/>
      <c r="Z1053" s="57"/>
      <c r="AA1053" s="52"/>
      <c r="AB1053" s="52"/>
      <c r="AC1053" s="58"/>
      <c r="AD1053" s="57"/>
      <c r="AE1053" s="52"/>
      <c r="AF1053" s="52"/>
      <c r="AG1053" s="58"/>
      <c r="AH1053" s="57"/>
      <c r="AI1053" s="52"/>
      <c r="AJ1053" s="52"/>
      <c r="AK1053" s="58"/>
      <c r="AL1053" s="57"/>
      <c r="AM1053" s="52"/>
      <c r="AN1053" s="52"/>
      <c r="AO1053" s="58"/>
      <c r="AP1053" s="57"/>
      <c r="AQ1053" s="52"/>
      <c r="AR1053" s="52"/>
      <c r="AS1053" s="58"/>
      <c r="AT1053" s="57"/>
      <c r="AU1053" s="52"/>
      <c r="AV1053" s="52"/>
      <c r="AW1053" s="58"/>
      <c r="AX1053" s="33">
        <f t="shared" si="1024"/>
        <v>124</v>
      </c>
      <c r="AY1053" s="31">
        <f t="shared" si="1025"/>
        <v>24.8</v>
      </c>
      <c r="AZ1053" s="30">
        <f t="shared" si="1026"/>
        <v>0.88571428571428579</v>
      </c>
      <c r="BA1053" s="34"/>
      <c r="BB1053" s="34"/>
      <c r="BC1053" s="34"/>
      <c r="BD1053" s="76"/>
      <c r="BE1053" s="34"/>
      <c r="BF1053" s="34"/>
      <c r="BG1053" s="34"/>
      <c r="BH1053" s="34"/>
    </row>
    <row r="1054" spans="1:60" s="17" customFormat="1" ht="19.5" customHeight="1" x14ac:dyDescent="0.35">
      <c r="A1054" s="116">
        <f>A1051</f>
        <v>45442</v>
      </c>
      <c r="B1054" s="114" t="str">
        <f t="shared" ref="B1054" si="1029">B1053</f>
        <v>Kalite</v>
      </c>
      <c r="C1054" s="65" t="str">
        <f t="shared" si="1022"/>
        <v>NEDİME KÖSE</v>
      </c>
      <c r="D1054" s="67">
        <f t="shared" si="1023"/>
        <v>28</v>
      </c>
      <c r="E1054" s="57">
        <v>18</v>
      </c>
      <c r="F1054" s="52">
        <v>20</v>
      </c>
      <c r="G1054" s="52">
        <v>23</v>
      </c>
      <c r="H1054" s="58">
        <v>22</v>
      </c>
      <c r="I1054" s="57">
        <v>25</v>
      </c>
      <c r="J1054" s="52">
        <v>25</v>
      </c>
      <c r="K1054" s="52">
        <v>24</v>
      </c>
      <c r="L1054" s="58"/>
      <c r="M1054" s="57"/>
      <c r="N1054" s="52"/>
      <c r="O1054" s="52"/>
      <c r="P1054" s="58"/>
      <c r="Q1054" s="57"/>
      <c r="R1054" s="52"/>
      <c r="S1054" s="52"/>
      <c r="T1054" s="52"/>
      <c r="U1054" s="58"/>
      <c r="V1054" s="57"/>
      <c r="W1054" s="52"/>
      <c r="X1054" s="52"/>
      <c r="Y1054" s="58">
        <v>25</v>
      </c>
      <c r="Z1054" s="57">
        <v>20</v>
      </c>
      <c r="AA1054" s="52">
        <v>20</v>
      </c>
      <c r="AB1054" s="52">
        <v>24</v>
      </c>
      <c r="AC1054" s="58">
        <v>15</v>
      </c>
      <c r="AD1054" s="57">
        <v>20</v>
      </c>
      <c r="AE1054" s="52">
        <v>8</v>
      </c>
      <c r="AF1054" s="52">
        <v>25</v>
      </c>
      <c r="AG1054" s="58">
        <v>24</v>
      </c>
      <c r="AH1054" s="57">
        <v>18</v>
      </c>
      <c r="AI1054" s="52">
        <v>22</v>
      </c>
      <c r="AJ1054" s="52">
        <v>22</v>
      </c>
      <c r="AK1054" s="58">
        <v>14</v>
      </c>
      <c r="AL1054" s="57">
        <v>20</v>
      </c>
      <c r="AM1054" s="52">
        <v>22</v>
      </c>
      <c r="AN1054" s="52">
        <v>21</v>
      </c>
      <c r="AO1054" s="58"/>
      <c r="AP1054" s="57"/>
      <c r="AQ1054" s="52"/>
      <c r="AR1054" s="52"/>
      <c r="AS1054" s="58"/>
      <c r="AT1054" s="57"/>
      <c r="AU1054" s="52"/>
      <c r="AV1054" s="52"/>
      <c r="AW1054" s="58"/>
      <c r="AX1054" s="33">
        <f t="shared" si="1024"/>
        <v>477</v>
      </c>
      <c r="AY1054" s="31">
        <f t="shared" si="1025"/>
        <v>20.739130434782609</v>
      </c>
      <c r="AZ1054" s="30">
        <f t="shared" si="1026"/>
        <v>0.74068322981366463</v>
      </c>
      <c r="BA1054" s="34"/>
      <c r="BB1054" s="34"/>
      <c r="BC1054" s="34"/>
      <c r="BD1054" s="76"/>
      <c r="BE1054" s="34"/>
      <c r="BF1054" s="34"/>
      <c r="BG1054" s="34"/>
      <c r="BH1054" s="34"/>
    </row>
    <row r="1055" spans="1:60" s="17" customFormat="1" ht="19.5" customHeight="1" x14ac:dyDescent="0.35">
      <c r="A1055" s="116">
        <f t="shared" ref="A1055:B1055" si="1030">A1054</f>
        <v>45442</v>
      </c>
      <c r="B1055" s="114" t="str">
        <f t="shared" si="1030"/>
        <v>Kalite</v>
      </c>
      <c r="C1055" s="65" t="str">
        <f t="shared" si="1022"/>
        <v>ESRA DURSUN</v>
      </c>
      <c r="D1055" s="67">
        <f t="shared" si="1023"/>
        <v>28</v>
      </c>
      <c r="E1055" s="57"/>
      <c r="F1055" s="52"/>
      <c r="G1055" s="52"/>
      <c r="H1055" s="58"/>
      <c r="I1055" s="57"/>
      <c r="J1055" s="52"/>
      <c r="K1055" s="52"/>
      <c r="L1055" s="58"/>
      <c r="M1055" s="57"/>
      <c r="N1055" s="52"/>
      <c r="O1055" s="52"/>
      <c r="P1055" s="78"/>
      <c r="Q1055" s="57"/>
      <c r="R1055" s="52"/>
      <c r="S1055" s="52"/>
      <c r="T1055" s="52"/>
      <c r="U1055" s="58"/>
      <c r="V1055" s="80"/>
      <c r="W1055" s="52"/>
      <c r="X1055" s="52"/>
      <c r="Y1055" s="58"/>
      <c r="Z1055" s="57"/>
      <c r="AA1055" s="52"/>
      <c r="AB1055" s="52"/>
      <c r="AC1055" s="58"/>
      <c r="AD1055" s="57"/>
      <c r="AE1055" s="52"/>
      <c r="AF1055" s="52"/>
      <c r="AG1055" s="58"/>
      <c r="AH1055" s="57"/>
      <c r="AI1055" s="52"/>
      <c r="AJ1055" s="52"/>
      <c r="AK1055" s="58"/>
      <c r="AL1055" s="57"/>
      <c r="AM1055" s="52"/>
      <c r="AN1055" s="52"/>
      <c r="AO1055" s="58"/>
      <c r="AP1055" s="57"/>
      <c r="AQ1055" s="52"/>
      <c r="AR1055" s="52"/>
      <c r="AS1055" s="58"/>
      <c r="AT1055" s="57"/>
      <c r="AU1055" s="52"/>
      <c r="AV1055" s="52"/>
      <c r="AW1055" s="58"/>
      <c r="AX1055" s="33">
        <f t="shared" si="1024"/>
        <v>0</v>
      </c>
      <c r="AY1055" s="31">
        <f t="shared" si="1025"/>
        <v>0</v>
      </c>
      <c r="AZ1055" s="30">
        <f t="shared" si="1026"/>
        <v>0</v>
      </c>
      <c r="BA1055" s="34"/>
      <c r="BB1055" s="34"/>
      <c r="BC1055" s="34"/>
      <c r="BD1055" s="76"/>
      <c r="BE1055" s="34"/>
      <c r="BF1055" s="34"/>
      <c r="BG1055" s="34"/>
      <c r="BH1055" s="34"/>
    </row>
    <row r="1056" spans="1:60" s="17" customFormat="1" ht="19.5" customHeight="1" thickBot="1" x14ac:dyDescent="0.4">
      <c r="A1056" s="116">
        <f t="shared" ref="A1056:B1056" si="1031">A1055</f>
        <v>45442</v>
      </c>
      <c r="B1056" s="114" t="str">
        <f t="shared" si="1031"/>
        <v>Kalite</v>
      </c>
      <c r="C1056" s="65" t="str">
        <f t="shared" si="1022"/>
        <v>NECLA KOÇ</v>
      </c>
      <c r="D1056" s="67">
        <f t="shared" si="1023"/>
        <v>28</v>
      </c>
      <c r="E1056" s="59"/>
      <c r="F1056" s="60"/>
      <c r="G1056" s="61"/>
      <c r="H1056" s="62"/>
      <c r="I1056" s="59"/>
      <c r="J1056" s="60"/>
      <c r="K1056" s="61"/>
      <c r="L1056" s="62"/>
      <c r="M1056" s="59"/>
      <c r="N1056" s="60"/>
      <c r="O1056" s="61"/>
      <c r="P1056" s="79"/>
      <c r="Q1056" s="64"/>
      <c r="R1056" s="61"/>
      <c r="S1056" s="61"/>
      <c r="T1056" s="61"/>
      <c r="U1056" s="62"/>
      <c r="V1056" s="81"/>
      <c r="W1056" s="60"/>
      <c r="X1056" s="61"/>
      <c r="Y1056" s="62"/>
      <c r="Z1056" s="59"/>
      <c r="AA1056" s="60"/>
      <c r="AB1056" s="61"/>
      <c r="AC1056" s="62"/>
      <c r="AD1056" s="59"/>
      <c r="AE1056" s="60"/>
      <c r="AF1056" s="61"/>
      <c r="AG1056" s="62"/>
      <c r="AH1056" s="59"/>
      <c r="AI1056" s="60"/>
      <c r="AJ1056" s="61"/>
      <c r="AK1056" s="62"/>
      <c r="AL1056" s="59"/>
      <c r="AM1056" s="60"/>
      <c r="AN1056" s="61"/>
      <c r="AO1056" s="62"/>
      <c r="AP1056" s="59"/>
      <c r="AQ1056" s="60"/>
      <c r="AR1056" s="61"/>
      <c r="AS1056" s="62"/>
      <c r="AT1056" s="59"/>
      <c r="AU1056" s="60"/>
      <c r="AV1056" s="61"/>
      <c r="AW1056" s="62"/>
      <c r="AX1056" s="33">
        <f t="shared" si="1024"/>
        <v>0</v>
      </c>
      <c r="AY1056" s="31">
        <f t="shared" si="1025"/>
        <v>0</v>
      </c>
      <c r="AZ1056" s="30">
        <f t="shared" si="1026"/>
        <v>0</v>
      </c>
      <c r="BA1056" s="34"/>
      <c r="BB1056" s="34"/>
      <c r="BC1056" s="34"/>
      <c r="BD1056" s="76"/>
      <c r="BE1056" s="34"/>
      <c r="BF1056" s="34"/>
      <c r="BG1056" s="34"/>
      <c r="BH1056" s="34"/>
    </row>
    <row r="1057" spans="1:60" s="17" customFormat="1" ht="19.5" customHeight="1" thickBot="1" x14ac:dyDescent="0.45">
      <c r="A1057" s="117">
        <f t="shared" ref="A1057" si="1032">A1056</f>
        <v>45442</v>
      </c>
      <c r="B1057" s="150" t="str">
        <f>B1050</f>
        <v>Kalite</v>
      </c>
      <c r="C1057" s="140"/>
      <c r="D1057" s="40">
        <f>C886/8</f>
        <v>500</v>
      </c>
      <c r="E1057" s="147">
        <f>SUM(E1050:H1056)</f>
        <v>380</v>
      </c>
      <c r="F1057" s="148"/>
      <c r="G1057" s="148"/>
      <c r="H1057" s="149"/>
      <c r="I1057" s="147">
        <f>SUM(I1050:L1056)</f>
        <v>377</v>
      </c>
      <c r="J1057" s="148"/>
      <c r="K1057" s="148"/>
      <c r="L1057" s="149"/>
      <c r="M1057" s="147">
        <f>SUM(M1050:P1056)</f>
        <v>192</v>
      </c>
      <c r="N1057" s="148"/>
      <c r="O1057" s="148"/>
      <c r="P1057" s="149"/>
      <c r="Q1057" s="147">
        <f>SUM(Q1050:U1056)</f>
        <v>258</v>
      </c>
      <c r="R1057" s="148"/>
      <c r="S1057" s="148"/>
      <c r="T1057" s="148"/>
      <c r="U1057" s="149"/>
      <c r="V1057" s="147">
        <f>SUM(V1050:Y1056)</f>
        <v>197</v>
      </c>
      <c r="W1057" s="148"/>
      <c r="X1057" s="148"/>
      <c r="Y1057" s="149"/>
      <c r="Z1057" s="147">
        <f>SUM(Z1050:AC1056)</f>
        <v>245</v>
      </c>
      <c r="AA1057" s="148"/>
      <c r="AB1057" s="148"/>
      <c r="AC1057" s="149"/>
      <c r="AD1057" s="147">
        <f>SUM(AD1050:AG1056)</f>
        <v>271</v>
      </c>
      <c r="AE1057" s="148"/>
      <c r="AF1057" s="148"/>
      <c r="AG1057" s="149"/>
      <c r="AH1057" s="147">
        <f>SUM(AH1050:AK1056)</f>
        <v>334</v>
      </c>
      <c r="AI1057" s="148"/>
      <c r="AJ1057" s="148"/>
      <c r="AK1057" s="149"/>
      <c r="AL1057" s="147">
        <f>SUM(AL1050:AO1056)</f>
        <v>250</v>
      </c>
      <c r="AM1057" s="148"/>
      <c r="AN1057" s="148"/>
      <c r="AO1057" s="149"/>
      <c r="AP1057" s="147">
        <f>SUM(AP1050:AS1056)</f>
        <v>0</v>
      </c>
      <c r="AQ1057" s="148"/>
      <c r="AR1057" s="148"/>
      <c r="AS1057" s="149"/>
      <c r="AT1057" s="147">
        <f>SUM(AT1050:AW1056)</f>
        <v>0</v>
      </c>
      <c r="AU1057" s="148"/>
      <c r="AV1057" s="148"/>
      <c r="AW1057" s="149"/>
      <c r="AX1057" s="87">
        <f>SUM(AX1050:AX1056)</f>
        <v>2504</v>
      </c>
      <c r="AY1057" s="88">
        <f>IFERROR(AVERAGEIF(E1057:AV1057,"&lt;&gt;0",(E1057:AV1057)),)</f>
        <v>278.22222222222223</v>
      </c>
      <c r="AZ1057" s="46">
        <f>IFERROR(AX1057/BB1051,0)</f>
        <v>0.626</v>
      </c>
      <c r="BA1057" s="34"/>
      <c r="BB1057" s="34"/>
      <c r="BC1057" s="34"/>
      <c r="BD1057" s="76"/>
      <c r="BE1057" s="34"/>
      <c r="BF1057" s="34"/>
      <c r="BG1057" s="34"/>
      <c r="BH1057" s="34"/>
    </row>
    <row r="1058" spans="1:60" s="17" customFormat="1" ht="19.5" customHeight="1" x14ac:dyDescent="0.35">
      <c r="A1058" s="109"/>
      <c r="B1058" s="35" t="s">
        <v>168</v>
      </c>
      <c r="C1058" s="24">
        <v>45443</v>
      </c>
      <c r="D1058" s="109"/>
      <c r="E1058" s="109"/>
      <c r="F1058" s="109"/>
      <c r="G1058" s="109"/>
      <c r="H1058" s="109"/>
      <c r="I1058" s="109"/>
      <c r="J1058" s="109"/>
      <c r="K1058" s="109"/>
      <c r="L1058" s="109"/>
      <c r="M1058" s="109"/>
      <c r="N1058" s="109"/>
      <c r="O1058" s="109"/>
      <c r="P1058" s="109"/>
      <c r="Q1058" s="109"/>
      <c r="R1058" s="109"/>
      <c r="S1058" s="109"/>
      <c r="T1058" s="109"/>
      <c r="U1058" s="109"/>
      <c r="V1058" s="109"/>
      <c r="W1058" s="109"/>
      <c r="X1058" s="109"/>
      <c r="Y1058" s="109"/>
      <c r="Z1058" s="109"/>
      <c r="AA1058" s="109"/>
      <c r="AB1058" s="109"/>
      <c r="AC1058" s="109"/>
      <c r="AD1058" s="109"/>
      <c r="AE1058" s="109"/>
      <c r="AF1058" s="109"/>
      <c r="AG1058" s="109"/>
      <c r="AH1058" s="109"/>
      <c r="AI1058" s="109"/>
      <c r="AJ1058" s="109"/>
      <c r="AK1058" s="109"/>
      <c r="AL1058" s="109"/>
      <c r="AM1058" s="109"/>
      <c r="AN1058" s="109"/>
      <c r="AO1058" s="109"/>
      <c r="AP1058" s="109"/>
      <c r="AQ1058" s="109"/>
      <c r="AR1058" s="109"/>
      <c r="AS1058" s="109"/>
      <c r="AT1058" s="109"/>
      <c r="AU1058" s="109"/>
      <c r="AV1058" s="109"/>
      <c r="AW1058" s="109"/>
      <c r="AX1058" s="109"/>
      <c r="AY1058" s="109"/>
      <c r="AZ1058" s="109"/>
      <c r="BA1058" s="109"/>
      <c r="BB1058" s="109"/>
      <c r="BC1058" s="109"/>
      <c r="BD1058" s="110"/>
      <c r="BE1058" s="109"/>
      <c r="BF1058" s="109"/>
      <c r="BG1058" s="109"/>
      <c r="BH1058" s="109"/>
    </row>
    <row r="1059" spans="1:60" s="17" customFormat="1" ht="19.5" customHeight="1" x14ac:dyDescent="0.35">
      <c r="A1059" s="109"/>
      <c r="B1059" s="35" t="s">
        <v>169</v>
      </c>
      <c r="C1059" s="77">
        <f>C883</f>
        <v>0</v>
      </c>
      <c r="D1059" s="109"/>
      <c r="E1059" s="109"/>
      <c r="F1059" s="109"/>
      <c r="G1059" s="109"/>
      <c r="H1059" s="109"/>
      <c r="I1059" s="109"/>
      <c r="J1059" s="109"/>
      <c r="K1059" s="109"/>
      <c r="L1059" s="109"/>
      <c r="M1059" s="109"/>
      <c r="N1059" s="109"/>
      <c r="O1059" s="109"/>
      <c r="P1059" s="109"/>
      <c r="Q1059" s="109"/>
      <c r="R1059" s="109"/>
      <c r="S1059" s="109"/>
      <c r="T1059" s="109"/>
      <c r="U1059" s="109"/>
      <c r="V1059" s="109"/>
      <c r="W1059" s="109"/>
      <c r="X1059" s="109"/>
      <c r="Y1059" s="109"/>
      <c r="Z1059" s="109"/>
      <c r="AA1059" s="109"/>
      <c r="AB1059" s="109"/>
      <c r="AC1059" s="109"/>
      <c r="AD1059" s="109"/>
      <c r="AE1059" s="109"/>
      <c r="AF1059" s="109"/>
      <c r="AG1059" s="109"/>
      <c r="AH1059" s="109"/>
      <c r="AI1059" s="109"/>
      <c r="AJ1059" s="109"/>
      <c r="AK1059" s="109"/>
      <c r="AL1059" s="109"/>
      <c r="AM1059" s="109"/>
      <c r="AN1059" s="109"/>
      <c r="AO1059" s="109"/>
      <c r="AP1059" s="109"/>
      <c r="AQ1059" s="109"/>
      <c r="AR1059" s="109"/>
      <c r="AS1059" s="109"/>
      <c r="AT1059" s="109"/>
      <c r="AU1059" s="109"/>
      <c r="AV1059" s="109"/>
      <c r="AW1059" s="109"/>
      <c r="AX1059" s="109"/>
      <c r="AY1059" s="109"/>
      <c r="AZ1059" s="109"/>
      <c r="BA1059" s="20" t="s">
        <v>170</v>
      </c>
      <c r="BB1059" s="21" t="s">
        <v>171</v>
      </c>
      <c r="BC1059" s="26" t="s">
        <v>172</v>
      </c>
      <c r="BD1059" s="110"/>
      <c r="BE1059" s="109"/>
      <c r="BF1059" s="109"/>
      <c r="BG1059" s="109"/>
      <c r="BH1059" s="109"/>
    </row>
    <row r="1060" spans="1:60" s="17" customFormat="1" ht="19.5" customHeight="1" x14ac:dyDescent="0.35">
      <c r="A1060" s="109"/>
      <c r="B1060" s="35" t="s">
        <v>173</v>
      </c>
      <c r="C1060" s="77" t="str">
        <f>C884</f>
        <v>H&amp;M MAN</v>
      </c>
      <c r="D1060" s="109"/>
      <c r="E1060" s="109"/>
      <c r="F1060" s="109"/>
      <c r="G1060" s="109"/>
      <c r="H1060" s="109"/>
      <c r="I1060" s="109"/>
      <c r="J1060" s="109"/>
      <c r="K1060" s="109"/>
      <c r="L1060" s="109"/>
      <c r="M1060" s="109"/>
      <c r="N1060" s="109"/>
      <c r="O1060" s="109"/>
      <c r="P1060" s="109"/>
      <c r="Q1060" s="109"/>
      <c r="R1060" s="109"/>
      <c r="S1060" s="109"/>
      <c r="T1060" s="109"/>
      <c r="U1060" s="109"/>
      <c r="V1060" s="109"/>
      <c r="W1060" s="109"/>
      <c r="X1060" s="109"/>
      <c r="Y1060" s="109"/>
      <c r="Z1060" s="109"/>
      <c r="AA1060" s="109"/>
      <c r="AB1060" s="109"/>
      <c r="AC1060" s="109"/>
      <c r="AD1060" s="109"/>
      <c r="AE1060" s="109"/>
      <c r="AF1060" s="109"/>
      <c r="AG1060" s="109"/>
      <c r="AH1060" s="109"/>
      <c r="AI1060" s="109"/>
      <c r="AJ1060" s="109"/>
      <c r="AK1060" s="109"/>
      <c r="AL1060" s="109"/>
      <c r="AM1060" s="109"/>
      <c r="AN1060" s="109"/>
      <c r="AO1060" s="109"/>
      <c r="AP1060" s="109"/>
      <c r="AQ1060" s="109"/>
      <c r="AR1060" s="109"/>
      <c r="AS1060" s="109"/>
      <c r="AT1060" s="109"/>
      <c r="AU1060" s="109"/>
      <c r="AV1060" s="109"/>
      <c r="AW1060" s="109"/>
      <c r="AX1060" s="109"/>
      <c r="AY1060" s="109"/>
      <c r="AZ1060" s="109"/>
      <c r="BA1060" s="32" t="s">
        <v>174</v>
      </c>
      <c r="BB1060" s="22" t="s">
        <v>175</v>
      </c>
      <c r="BC1060" s="109"/>
      <c r="BD1060" s="110"/>
      <c r="BE1060" s="109"/>
      <c r="BF1060" s="109"/>
      <c r="BG1060" s="109"/>
      <c r="BH1060" s="109"/>
    </row>
    <row r="1061" spans="1:60" s="17" customFormat="1" ht="19.5" customHeight="1" thickBot="1" x14ac:dyDescent="0.4">
      <c r="A1061" s="109"/>
      <c r="B1061" s="35" t="s">
        <v>176</v>
      </c>
      <c r="C1061" s="25">
        <f>C885</f>
        <v>42311</v>
      </c>
      <c r="D1061" s="109"/>
      <c r="E1061" s="109"/>
      <c r="F1061" s="109"/>
      <c r="G1061" s="109"/>
      <c r="H1061" s="109"/>
      <c r="I1061" s="109"/>
      <c r="J1061" s="109"/>
      <c r="K1061" s="109"/>
      <c r="L1061" s="109"/>
      <c r="M1061" s="109"/>
      <c r="N1061" s="109"/>
      <c r="O1061" s="109"/>
      <c r="P1061" s="109"/>
      <c r="Q1061" s="109"/>
      <c r="R1061" s="109"/>
      <c r="S1061" s="109"/>
      <c r="T1061" s="109"/>
      <c r="U1061" s="109"/>
      <c r="V1061" s="109"/>
      <c r="W1061" s="109"/>
      <c r="X1061" s="109"/>
      <c r="Y1061" s="109"/>
      <c r="Z1061" s="109"/>
      <c r="AA1061" s="109"/>
      <c r="AB1061" s="109"/>
      <c r="AC1061" s="109"/>
      <c r="AD1061" s="109"/>
      <c r="AE1061" s="109"/>
      <c r="AF1061" s="109"/>
      <c r="AG1061" s="109"/>
      <c r="AH1061" s="109"/>
      <c r="AI1061" s="109"/>
      <c r="AJ1061" s="109"/>
      <c r="AK1061" s="109"/>
      <c r="AL1061" s="109"/>
      <c r="AM1061" s="109"/>
      <c r="AN1061" s="109"/>
      <c r="AO1061" s="109"/>
      <c r="AP1061" s="109"/>
      <c r="AQ1061" s="109"/>
      <c r="AR1061" s="109"/>
      <c r="AS1061" s="109"/>
      <c r="AT1061" s="109"/>
      <c r="AU1061" s="109"/>
      <c r="AV1061" s="109"/>
      <c r="AW1061" s="109"/>
      <c r="AX1061" s="109"/>
      <c r="AY1061" s="109"/>
      <c r="AZ1061" s="109"/>
      <c r="BA1061" s="27" t="s">
        <v>177</v>
      </c>
      <c r="BB1061" s="23" t="s">
        <v>178</v>
      </c>
      <c r="BC1061" s="109"/>
      <c r="BD1061" s="110"/>
      <c r="BE1061" s="109"/>
      <c r="BF1061" s="109"/>
      <c r="BG1061" s="109"/>
      <c r="BH1061" s="109"/>
    </row>
    <row r="1062" spans="1:60" s="17" customFormat="1" ht="19.5" customHeight="1" x14ac:dyDescent="0.35">
      <c r="A1062" s="109"/>
      <c r="B1062" s="36" t="s">
        <v>179</v>
      </c>
      <c r="C1062" s="25">
        <f>C886</f>
        <v>4000</v>
      </c>
      <c r="D1062" s="109"/>
      <c r="E1062" s="109"/>
      <c r="F1062" s="109"/>
      <c r="G1062" s="109"/>
      <c r="H1062" s="109"/>
      <c r="I1062" s="109"/>
      <c r="J1062" s="109"/>
      <c r="K1062" s="109"/>
      <c r="L1062" s="109"/>
      <c r="M1062" s="109"/>
      <c r="N1062" s="109"/>
      <c r="O1062" s="109"/>
      <c r="P1062" s="109"/>
      <c r="Q1062" s="109"/>
      <c r="R1062" s="109"/>
      <c r="S1062" s="109"/>
      <c r="T1062" s="109"/>
      <c r="U1062" s="109"/>
      <c r="V1062" s="109"/>
      <c r="W1062" s="109"/>
      <c r="X1062" s="109"/>
      <c r="Y1062" s="109"/>
      <c r="Z1062" s="109"/>
      <c r="AA1062" s="109"/>
      <c r="AB1062" s="109"/>
      <c r="AC1062" s="109"/>
      <c r="AD1062" s="109"/>
      <c r="AE1062" s="109"/>
      <c r="AF1062" s="109"/>
      <c r="AG1062" s="109"/>
      <c r="AH1062" s="109"/>
      <c r="AI1062" s="109"/>
      <c r="AJ1062" s="109"/>
      <c r="AK1062" s="109"/>
      <c r="AL1062" s="109"/>
      <c r="AM1062" s="109"/>
      <c r="AN1062" s="109"/>
      <c r="AO1062" s="109"/>
      <c r="AP1062" s="109"/>
      <c r="AQ1062" s="109"/>
      <c r="AR1062" s="109"/>
      <c r="AS1062" s="109"/>
      <c r="AT1062" s="109"/>
      <c r="AU1062" s="109"/>
      <c r="AV1062" s="109"/>
      <c r="AW1062" s="109"/>
      <c r="AX1062" s="109"/>
      <c r="AY1062" s="109"/>
      <c r="AZ1062" s="109"/>
      <c r="BA1062" s="12" t="str">
        <f t="shared" ref="BA1062:BG1062" si="1033">BA886</f>
        <v>XS</v>
      </c>
      <c r="BB1062" s="12" t="str">
        <f t="shared" si="1033"/>
        <v>S</v>
      </c>
      <c r="BC1062" s="12" t="str">
        <f t="shared" si="1033"/>
        <v>M</v>
      </c>
      <c r="BD1062" s="12" t="str">
        <f t="shared" si="1033"/>
        <v>L</v>
      </c>
      <c r="BE1062" s="12" t="str">
        <f t="shared" si="1033"/>
        <v>XL</v>
      </c>
      <c r="BF1062" s="12" t="str">
        <f t="shared" si="1033"/>
        <v>XXL</v>
      </c>
      <c r="BG1062" s="12">
        <f t="shared" si="1033"/>
        <v>0</v>
      </c>
      <c r="BH1062" s="13"/>
    </row>
    <row r="1063" spans="1:60" s="17" customFormat="1" ht="19.5" customHeight="1" thickBot="1" x14ac:dyDescent="0.4">
      <c r="A1063" s="109"/>
      <c r="B1063" s="36" t="s">
        <v>197</v>
      </c>
      <c r="C1063" s="25" t="str">
        <f>C887</f>
        <v>EKRU</v>
      </c>
      <c r="D1063" s="109"/>
      <c r="E1063" s="109"/>
      <c r="F1063" s="109"/>
      <c r="G1063" s="109"/>
      <c r="H1063" s="109"/>
      <c r="I1063" s="109"/>
      <c r="J1063" s="109"/>
      <c r="K1063" s="109"/>
      <c r="L1063" s="109"/>
      <c r="M1063" s="109"/>
      <c r="N1063" s="109"/>
      <c r="O1063" s="109"/>
      <c r="P1063" s="109"/>
      <c r="Q1063" s="109"/>
      <c r="R1063" s="109"/>
      <c r="S1063" s="109"/>
      <c r="T1063" s="109"/>
      <c r="U1063" s="109"/>
      <c r="V1063" s="109"/>
      <c r="W1063" s="109"/>
      <c r="X1063" s="109"/>
      <c r="Y1063" s="109"/>
      <c r="Z1063" s="109"/>
      <c r="AA1063" s="109"/>
      <c r="AB1063" s="109"/>
      <c r="AC1063" s="109"/>
      <c r="AD1063" s="109"/>
      <c r="AE1063" s="109"/>
      <c r="AF1063" s="109"/>
      <c r="AG1063" s="109"/>
      <c r="AH1063" s="109"/>
      <c r="AI1063" s="109"/>
      <c r="AJ1063" s="109"/>
      <c r="AK1063" s="109"/>
      <c r="AL1063" s="109"/>
      <c r="AM1063" s="109"/>
      <c r="AN1063" s="109"/>
      <c r="AO1063" s="109"/>
      <c r="AP1063" s="109"/>
      <c r="AQ1063" s="109"/>
      <c r="AR1063" s="109"/>
      <c r="AS1063" s="109"/>
      <c r="AT1063" s="109"/>
      <c r="AU1063" s="109"/>
      <c r="AV1063" s="109"/>
      <c r="AW1063" s="109"/>
      <c r="AX1063" s="109"/>
      <c r="AY1063" s="109"/>
      <c r="AZ1063" s="109"/>
      <c r="BA1063" s="14">
        <f t="shared" ref="BA1063:BG1063" si="1034">BA887</f>
        <v>492</v>
      </c>
      <c r="BB1063" s="14">
        <f t="shared" si="1034"/>
        <v>11438</v>
      </c>
      <c r="BC1063" s="14">
        <f t="shared" si="1034"/>
        <v>13689</v>
      </c>
      <c r="BD1063" s="14">
        <f t="shared" si="1034"/>
        <v>9760</v>
      </c>
      <c r="BE1063" s="14">
        <f t="shared" si="1034"/>
        <v>4794</v>
      </c>
      <c r="BF1063" s="14">
        <f t="shared" si="1034"/>
        <v>2138</v>
      </c>
      <c r="BG1063" s="14">
        <f t="shared" si="1034"/>
        <v>0</v>
      </c>
      <c r="BH1063" s="15">
        <f>SUM(BA1063:BG1063)</f>
        <v>42311</v>
      </c>
    </row>
    <row r="1064" spans="1:60" s="17" customFormat="1" ht="19.5" customHeight="1" thickBot="1" x14ac:dyDescent="0.4">
      <c r="A1064" s="42">
        <f>C1058</f>
        <v>45443</v>
      </c>
      <c r="B1064" s="38" t="str">
        <f>B1065</f>
        <v>Yaka İç Dikiş</v>
      </c>
      <c r="C1064" s="39" t="s">
        <v>180</v>
      </c>
      <c r="D1064" s="69" t="s">
        <v>181</v>
      </c>
      <c r="E1064" s="48">
        <v>0.34375</v>
      </c>
      <c r="F1064" s="49">
        <v>0.35416666666666669</v>
      </c>
      <c r="G1064" s="49">
        <v>0.36458333333333331</v>
      </c>
      <c r="H1064" s="50">
        <v>0.375</v>
      </c>
      <c r="I1064" s="48">
        <v>0.38541666666666702</v>
      </c>
      <c r="J1064" s="49">
        <v>0.39583333333333298</v>
      </c>
      <c r="K1064" s="49">
        <v>0.40625</v>
      </c>
      <c r="L1064" s="50">
        <v>0.41666666666666702</v>
      </c>
      <c r="M1064" s="48">
        <v>0.4375</v>
      </c>
      <c r="N1064" s="49">
        <v>0.44791666666666702</v>
      </c>
      <c r="O1064" s="49">
        <v>0.45833333333333398</v>
      </c>
      <c r="P1064" s="50">
        <v>0.46875</v>
      </c>
      <c r="Q1064" s="48">
        <v>0.47916666666666702</v>
      </c>
      <c r="R1064" s="49">
        <v>0.48958333333333398</v>
      </c>
      <c r="S1064" s="49">
        <v>0.5</v>
      </c>
      <c r="T1064" s="50">
        <v>0.51041666666666696</v>
      </c>
      <c r="U1064" s="51">
        <v>0.52083333333333204</v>
      </c>
      <c r="V1064" s="48">
        <v>0.5625</v>
      </c>
      <c r="W1064" s="49">
        <v>0.57291666666666663</v>
      </c>
      <c r="X1064" s="49">
        <v>0.58333333333333304</v>
      </c>
      <c r="Y1064" s="50">
        <v>0.59375</v>
      </c>
      <c r="Z1064" s="48">
        <v>0.60416666666666696</v>
      </c>
      <c r="AA1064" s="49">
        <v>0.61458333333333304</v>
      </c>
      <c r="AB1064" s="49">
        <v>0.625</v>
      </c>
      <c r="AC1064" s="50">
        <v>0.63541666666666596</v>
      </c>
      <c r="AD1064" s="48">
        <v>0.65625</v>
      </c>
      <c r="AE1064" s="49">
        <v>0.66666666666666663</v>
      </c>
      <c r="AF1064" s="49">
        <v>0.67708333333333304</v>
      </c>
      <c r="AG1064" s="50">
        <v>0.6875</v>
      </c>
      <c r="AH1064" s="48">
        <v>0.69791666666666696</v>
      </c>
      <c r="AI1064" s="49">
        <v>0.70833333333333304</v>
      </c>
      <c r="AJ1064" s="49">
        <v>0.71875</v>
      </c>
      <c r="AK1064" s="50">
        <v>0.72916666666666696</v>
      </c>
      <c r="AL1064" s="48">
        <v>0.73958333333333404</v>
      </c>
      <c r="AM1064" s="49">
        <v>0.750000000000001</v>
      </c>
      <c r="AN1064" s="49">
        <v>0.76041666666666796</v>
      </c>
      <c r="AO1064" s="50">
        <v>0.77083333333333504</v>
      </c>
      <c r="AP1064" s="48">
        <v>0.781250000000002</v>
      </c>
      <c r="AQ1064" s="49">
        <v>0.79166666666666896</v>
      </c>
      <c r="AR1064" s="49">
        <v>0.80208333333333603</v>
      </c>
      <c r="AS1064" s="50">
        <v>0.812500000000003</v>
      </c>
      <c r="AT1064" s="48">
        <v>0.82291666666666996</v>
      </c>
      <c r="AU1064" s="49">
        <v>0.83333333333333703</v>
      </c>
      <c r="AV1064" s="49">
        <v>0.843750000000004</v>
      </c>
      <c r="AW1064" s="50">
        <v>0.85416666666666663</v>
      </c>
      <c r="AX1064" s="68" t="s">
        <v>260</v>
      </c>
      <c r="AY1064" s="28" t="s">
        <v>261</v>
      </c>
      <c r="AZ1064" s="29" t="s">
        <v>262</v>
      </c>
      <c r="BA1064" s="136" t="str">
        <f>B1065</f>
        <v>Yaka İç Dikiş</v>
      </c>
      <c r="BB1064" s="137"/>
      <c r="BC1064" s="137"/>
      <c r="BD1064" s="137"/>
      <c r="BE1064" s="137"/>
      <c r="BF1064" s="137"/>
      <c r="BG1064" s="137"/>
      <c r="BH1064" s="138"/>
    </row>
    <row r="1065" spans="1:60" s="17" customFormat="1" ht="19.5" customHeight="1" thickBot="1" x14ac:dyDescent="0.4">
      <c r="A1065" s="41">
        <f t="shared" ref="A1065:A1070" si="1035">A1064</f>
        <v>45443</v>
      </c>
      <c r="B1065" s="37" t="str">
        <f>B889</f>
        <v>Yaka İç Dikiş</v>
      </c>
      <c r="C1065" s="66" t="str">
        <f>C889</f>
        <v>HAZİME AVCİ</v>
      </c>
      <c r="D1065" s="70">
        <f>D889</f>
        <v>200</v>
      </c>
      <c r="E1065" s="63">
        <v>200</v>
      </c>
      <c r="F1065" s="55">
        <v>225</v>
      </c>
      <c r="G1065" s="55">
        <v>225</v>
      </c>
      <c r="H1065" s="56">
        <v>225</v>
      </c>
      <c r="I1065" s="63">
        <v>235</v>
      </c>
      <c r="J1065" s="55">
        <v>235</v>
      </c>
      <c r="K1065" s="55">
        <v>240</v>
      </c>
      <c r="L1065" s="56">
        <v>240</v>
      </c>
      <c r="M1065" s="63">
        <v>240</v>
      </c>
      <c r="N1065" s="55">
        <v>240</v>
      </c>
      <c r="O1065" s="55">
        <v>240</v>
      </c>
      <c r="P1065" s="56">
        <v>240</v>
      </c>
      <c r="Q1065" s="63">
        <v>150</v>
      </c>
      <c r="R1065" s="55">
        <v>230</v>
      </c>
      <c r="S1065" s="55">
        <v>220</v>
      </c>
      <c r="T1065" s="55">
        <v>230</v>
      </c>
      <c r="U1065" s="56">
        <v>225</v>
      </c>
      <c r="V1065" s="63">
        <v>220</v>
      </c>
      <c r="W1065" s="55">
        <v>150</v>
      </c>
      <c r="X1065" s="55">
        <v>200</v>
      </c>
      <c r="Y1065" s="56">
        <v>220</v>
      </c>
      <c r="Z1065" s="63">
        <v>225</v>
      </c>
      <c r="AA1065" s="55">
        <v>185</v>
      </c>
      <c r="AB1065" s="55">
        <v>230</v>
      </c>
      <c r="AC1065" s="56">
        <v>200</v>
      </c>
      <c r="AD1065" s="63">
        <v>220</v>
      </c>
      <c r="AE1065" s="55">
        <v>225</v>
      </c>
      <c r="AF1065" s="55">
        <v>230</v>
      </c>
      <c r="AG1065" s="56">
        <v>230</v>
      </c>
      <c r="AH1065" s="63">
        <v>140</v>
      </c>
      <c r="AI1065" s="55">
        <v>225</v>
      </c>
      <c r="AJ1065" s="55">
        <v>220</v>
      </c>
      <c r="AK1065" s="56"/>
      <c r="AL1065" s="63"/>
      <c r="AM1065" s="55"/>
      <c r="AN1065" s="55"/>
      <c r="AO1065" s="56"/>
      <c r="AP1065" s="63"/>
      <c r="AQ1065" s="54"/>
      <c r="AR1065" s="55"/>
      <c r="AS1065" s="56"/>
      <c r="AT1065" s="53"/>
      <c r="AU1065" s="54"/>
      <c r="AV1065" s="55"/>
      <c r="AW1065" s="56"/>
      <c r="AX1065" s="33">
        <f>SUM(E1065:AW1065)</f>
        <v>6960</v>
      </c>
      <c r="AY1065" s="31">
        <f>IFERROR(AVERAGEIF(E1065:AW1065,"&lt;&gt;0",(E1065:AW1065)),)</f>
        <v>217.5</v>
      </c>
      <c r="AZ1065" s="30">
        <f>IFERROR(AY1065/D1065,0)</f>
        <v>1.0874999999999999</v>
      </c>
      <c r="BA1065" s="103" t="s">
        <v>182</v>
      </c>
      <c r="BB1065" s="100" t="s">
        <v>183</v>
      </c>
      <c r="BC1065" s="100" t="s">
        <v>184</v>
      </c>
      <c r="BD1065" s="101" t="s">
        <v>185</v>
      </c>
      <c r="BE1065" s="100" t="s">
        <v>186</v>
      </c>
      <c r="BF1065" s="102" t="s">
        <v>187</v>
      </c>
      <c r="BG1065" s="100" t="s">
        <v>188</v>
      </c>
      <c r="BH1065" s="102" t="s">
        <v>189</v>
      </c>
    </row>
    <row r="1066" spans="1:60" s="17" customFormat="1" ht="19.5" customHeight="1" thickBot="1" x14ac:dyDescent="0.4">
      <c r="A1066" s="41">
        <f t="shared" si="1035"/>
        <v>45443</v>
      </c>
      <c r="B1066" s="37" t="str">
        <f>B1065</f>
        <v>Yaka İç Dikiş</v>
      </c>
      <c r="C1066" s="66">
        <f>C890</f>
        <v>0</v>
      </c>
      <c r="D1066" s="67">
        <f>D1065</f>
        <v>200</v>
      </c>
      <c r="E1066" s="57"/>
      <c r="F1066" s="52"/>
      <c r="G1066" s="52"/>
      <c r="H1066" s="58"/>
      <c r="I1066" s="57"/>
      <c r="J1066" s="52"/>
      <c r="K1066" s="52"/>
      <c r="L1066" s="58"/>
      <c r="M1066" s="57"/>
      <c r="N1066" s="52"/>
      <c r="O1066" s="52"/>
      <c r="P1066" s="58"/>
      <c r="Q1066" s="57"/>
      <c r="R1066" s="52"/>
      <c r="S1066" s="52"/>
      <c r="T1066" s="52"/>
      <c r="U1066" s="58"/>
      <c r="V1066" s="57"/>
      <c r="W1066" s="52"/>
      <c r="X1066" s="52"/>
      <c r="Y1066" s="58"/>
      <c r="Z1066" s="57"/>
      <c r="AA1066" s="52"/>
      <c r="AB1066" s="52"/>
      <c r="AC1066" s="58"/>
      <c r="AD1066" s="57"/>
      <c r="AE1066" s="52"/>
      <c r="AF1066" s="52"/>
      <c r="AG1066" s="58"/>
      <c r="AH1066" s="57"/>
      <c r="AI1066" s="52"/>
      <c r="AJ1066" s="52"/>
      <c r="AK1066" s="58"/>
      <c r="AL1066" s="57"/>
      <c r="AM1066" s="52"/>
      <c r="AN1066" s="52"/>
      <c r="AO1066" s="58"/>
      <c r="AP1066" s="57"/>
      <c r="AQ1066" s="52"/>
      <c r="AR1066" s="52"/>
      <c r="AS1066" s="58"/>
      <c r="AT1066" s="57"/>
      <c r="AU1066" s="52"/>
      <c r="AV1066" s="52"/>
      <c r="AW1066" s="58"/>
      <c r="AX1066" s="33">
        <f>SUM(E1066:AW1066)</f>
        <v>0</v>
      </c>
      <c r="AY1066" s="31">
        <f>IFERROR(AVERAGEIF(E1066:AW1066,"&lt;&gt;0",(E1066:AW1066)),)</f>
        <v>0</v>
      </c>
      <c r="AZ1066" s="30">
        <f>IFERROR(AY1066/D1066,0)</f>
        <v>0</v>
      </c>
      <c r="BA1066" s="94">
        <f>AX1070+BA890</f>
        <v>21770</v>
      </c>
      <c r="BB1066" s="95">
        <f>(D1070*8)</f>
        <v>4000</v>
      </c>
      <c r="BC1066" s="96">
        <f>C1061-BA1066</f>
        <v>20541</v>
      </c>
      <c r="BD1066" s="96">
        <f>BC1066</f>
        <v>20541</v>
      </c>
      <c r="BE1066" s="97">
        <f>IFERROR(BC1066/E1070,0)</f>
        <v>23.475428571428573</v>
      </c>
      <c r="BF1066" s="98">
        <f>IFERROR(BE1066/9,0)</f>
        <v>2.6083809523809527</v>
      </c>
      <c r="BG1066" s="97">
        <f>IFERROR(BC1066/AY1070,0)</f>
        <v>23.610344827586207</v>
      </c>
      <c r="BH1066" s="97">
        <f>IFERROR(BG1066/9,0)</f>
        <v>2.6233716475095785</v>
      </c>
    </row>
    <row r="1067" spans="1:60" s="17" customFormat="1" ht="19.5" customHeight="1" x14ac:dyDescent="0.35">
      <c r="A1067" s="41">
        <f t="shared" si="1035"/>
        <v>45443</v>
      </c>
      <c r="B1067" s="37" t="str">
        <f>B1066</f>
        <v>Yaka İç Dikiş</v>
      </c>
      <c r="C1067" s="66">
        <f>C891</f>
        <v>0</v>
      </c>
      <c r="D1067" s="67">
        <f>D1066</f>
        <v>200</v>
      </c>
      <c r="E1067" s="57"/>
      <c r="F1067" s="52"/>
      <c r="G1067" s="52"/>
      <c r="H1067" s="58"/>
      <c r="I1067" s="57"/>
      <c r="J1067" s="52"/>
      <c r="K1067" s="52"/>
      <c r="L1067" s="58"/>
      <c r="M1067" s="57"/>
      <c r="N1067" s="52"/>
      <c r="O1067" s="52"/>
      <c r="P1067" s="58"/>
      <c r="Q1067" s="57"/>
      <c r="R1067" s="52"/>
      <c r="S1067" s="52"/>
      <c r="T1067" s="52"/>
      <c r="U1067" s="58"/>
      <c r="V1067" s="57"/>
      <c r="W1067" s="52"/>
      <c r="X1067" s="52"/>
      <c r="Y1067" s="58"/>
      <c r="Z1067" s="57"/>
      <c r="AA1067" s="52"/>
      <c r="AB1067" s="52"/>
      <c r="AC1067" s="58"/>
      <c r="AD1067" s="57"/>
      <c r="AE1067" s="52"/>
      <c r="AF1067" s="52"/>
      <c r="AG1067" s="58"/>
      <c r="AH1067" s="57"/>
      <c r="AI1067" s="52"/>
      <c r="AJ1067" s="52"/>
      <c r="AK1067" s="58"/>
      <c r="AL1067" s="57"/>
      <c r="AM1067" s="52"/>
      <c r="AN1067" s="52"/>
      <c r="AO1067" s="58"/>
      <c r="AP1067" s="57"/>
      <c r="AQ1067" s="52"/>
      <c r="AR1067" s="52"/>
      <c r="AS1067" s="58"/>
      <c r="AT1067" s="57"/>
      <c r="AU1067" s="52"/>
      <c r="AV1067" s="52"/>
      <c r="AW1067" s="58"/>
      <c r="AX1067" s="33">
        <f>SUM(E1067:AW1067)</f>
        <v>0</v>
      </c>
      <c r="AY1067" s="31">
        <f>IFERROR(AVERAGEIF(E1067:AW1067,"&lt;&gt;0",(E1067:AW1067)),)</f>
        <v>0</v>
      </c>
      <c r="AZ1067" s="30">
        <f>IFERROR(AY1067/D1067,0)</f>
        <v>0</v>
      </c>
      <c r="BA1067" s="34"/>
      <c r="BB1067" s="34"/>
      <c r="BC1067" s="34"/>
      <c r="BD1067" s="76"/>
      <c r="BE1067" s="34"/>
      <c r="BF1067" s="34"/>
      <c r="BG1067" s="34"/>
      <c r="BH1067" s="34"/>
    </row>
    <row r="1068" spans="1:60" s="17" customFormat="1" ht="19.5" customHeight="1" x14ac:dyDescent="0.35">
      <c r="A1068" s="41">
        <f t="shared" si="1035"/>
        <v>45443</v>
      </c>
      <c r="B1068" s="37" t="str">
        <f>B1067</f>
        <v>Yaka İç Dikiş</v>
      </c>
      <c r="C1068" s="66">
        <f>C892</f>
        <v>0</v>
      </c>
      <c r="D1068" s="67">
        <f>D1067</f>
        <v>200</v>
      </c>
      <c r="E1068" s="57"/>
      <c r="F1068" s="52"/>
      <c r="G1068" s="52"/>
      <c r="H1068" s="58"/>
      <c r="I1068" s="57"/>
      <c r="J1068" s="52"/>
      <c r="K1068" s="52"/>
      <c r="L1068" s="58"/>
      <c r="M1068" s="57"/>
      <c r="N1068" s="52"/>
      <c r="O1068" s="52"/>
      <c r="P1068" s="58"/>
      <c r="Q1068" s="57"/>
      <c r="R1068" s="52"/>
      <c r="S1068" s="52"/>
      <c r="T1068" s="52"/>
      <c r="U1068" s="58"/>
      <c r="V1068" s="57"/>
      <c r="W1068" s="52"/>
      <c r="X1068" s="52"/>
      <c r="Y1068" s="58"/>
      <c r="Z1068" s="57"/>
      <c r="AA1068" s="52"/>
      <c r="AB1068" s="52"/>
      <c r="AC1068" s="58"/>
      <c r="AD1068" s="57"/>
      <c r="AE1068" s="52"/>
      <c r="AF1068" s="52"/>
      <c r="AG1068" s="58"/>
      <c r="AH1068" s="57"/>
      <c r="AI1068" s="52"/>
      <c r="AJ1068" s="52"/>
      <c r="AK1068" s="58"/>
      <c r="AL1068" s="57"/>
      <c r="AM1068" s="52"/>
      <c r="AN1068" s="52"/>
      <c r="AO1068" s="58"/>
      <c r="AP1068" s="57"/>
      <c r="AQ1068" s="52"/>
      <c r="AR1068" s="52"/>
      <c r="AS1068" s="58"/>
      <c r="AT1068" s="57"/>
      <c r="AU1068" s="52"/>
      <c r="AV1068" s="52"/>
      <c r="AW1068" s="58"/>
      <c r="AX1068" s="33">
        <f>SUM(E1068:AW1068)</f>
        <v>0</v>
      </c>
      <c r="AY1068" s="31">
        <f>IFERROR(AVERAGEIF(E1068:AW1068,"&lt;&gt;0",(E1068:AW1068)),)</f>
        <v>0</v>
      </c>
      <c r="AZ1068" s="30">
        <f>IFERROR(AY1068/D1068,0)</f>
        <v>0</v>
      </c>
      <c r="BA1068" s="34"/>
      <c r="BB1068" s="34"/>
      <c r="BC1068" s="34"/>
      <c r="BD1068" s="76"/>
      <c r="BE1068" s="34"/>
      <c r="BF1068" s="34"/>
      <c r="BG1068" s="34"/>
      <c r="BH1068" s="34"/>
    </row>
    <row r="1069" spans="1:60" s="17" customFormat="1" ht="19.5" customHeight="1" thickBot="1" x14ac:dyDescent="0.4">
      <c r="A1069" s="41">
        <f t="shared" si="1035"/>
        <v>45443</v>
      </c>
      <c r="B1069" s="37" t="str">
        <f>B1068</f>
        <v>Yaka İç Dikiş</v>
      </c>
      <c r="C1069" s="66">
        <f>C893</f>
        <v>0</v>
      </c>
      <c r="D1069" s="67">
        <f>D1068</f>
        <v>200</v>
      </c>
      <c r="E1069" s="64"/>
      <c r="F1069" s="61"/>
      <c r="G1069" s="61"/>
      <c r="H1069" s="62"/>
      <c r="I1069" s="64"/>
      <c r="J1069" s="61"/>
      <c r="K1069" s="61"/>
      <c r="L1069" s="62"/>
      <c r="M1069" s="64"/>
      <c r="N1069" s="61"/>
      <c r="O1069" s="61"/>
      <c r="P1069" s="62"/>
      <c r="Q1069" s="64"/>
      <c r="R1069" s="61"/>
      <c r="S1069" s="61"/>
      <c r="T1069" s="61"/>
      <c r="U1069" s="62"/>
      <c r="V1069" s="64"/>
      <c r="W1069" s="61"/>
      <c r="X1069" s="61"/>
      <c r="Y1069" s="62"/>
      <c r="Z1069" s="59"/>
      <c r="AA1069" s="60"/>
      <c r="AB1069" s="61"/>
      <c r="AC1069" s="62"/>
      <c r="AD1069" s="59"/>
      <c r="AE1069" s="60"/>
      <c r="AF1069" s="61"/>
      <c r="AG1069" s="62"/>
      <c r="AH1069" s="59"/>
      <c r="AI1069" s="60"/>
      <c r="AJ1069" s="61"/>
      <c r="AK1069" s="62"/>
      <c r="AL1069" s="59"/>
      <c r="AM1069" s="60"/>
      <c r="AN1069" s="61"/>
      <c r="AO1069" s="62"/>
      <c r="AP1069" s="59"/>
      <c r="AQ1069" s="60"/>
      <c r="AR1069" s="61"/>
      <c r="AS1069" s="62"/>
      <c r="AT1069" s="59"/>
      <c r="AU1069" s="60"/>
      <c r="AV1069" s="61"/>
      <c r="AW1069" s="62"/>
      <c r="AX1069" s="43">
        <f>SUM(E1069:AW1069)</f>
        <v>0</v>
      </c>
      <c r="AY1069" s="44">
        <f>IFERROR(AVERAGEIF(E1069:AW1069,"&lt;&gt;0",(E1069:AW1069)),)</f>
        <v>0</v>
      </c>
      <c r="AZ1069" s="45">
        <f>IFERROR(AY1069/D1069,0)</f>
        <v>0</v>
      </c>
      <c r="BA1069" s="34"/>
      <c r="BB1069" s="34"/>
      <c r="BC1069" s="34"/>
      <c r="BD1069" s="76"/>
      <c r="BE1069" s="34"/>
      <c r="BF1069" s="34"/>
      <c r="BG1069" s="34"/>
      <c r="BH1069" s="34"/>
    </row>
    <row r="1070" spans="1:60" s="17" customFormat="1" ht="19.5" customHeight="1" thickBot="1" x14ac:dyDescent="0.45">
      <c r="A1070" s="41">
        <f t="shared" si="1035"/>
        <v>45443</v>
      </c>
      <c r="B1070" s="139" t="str">
        <f>B1065</f>
        <v>Yaka İç Dikiş</v>
      </c>
      <c r="C1070" s="140"/>
      <c r="D1070" s="40">
        <f>C1062/8</f>
        <v>500</v>
      </c>
      <c r="E1070" s="151">
        <f>SUM(E1065:H1069)</f>
        <v>875</v>
      </c>
      <c r="F1070" s="152"/>
      <c r="G1070" s="152"/>
      <c r="H1070" s="153"/>
      <c r="I1070" s="151">
        <f>SUM(I1065:L1069)</f>
        <v>950</v>
      </c>
      <c r="J1070" s="152"/>
      <c r="K1070" s="152"/>
      <c r="L1070" s="153"/>
      <c r="M1070" s="151">
        <f>SUM(M1065:P1069)</f>
        <v>960</v>
      </c>
      <c r="N1070" s="152"/>
      <c r="O1070" s="152"/>
      <c r="P1070" s="153"/>
      <c r="Q1070" s="151">
        <f>SUM(Q1065:U1069)</f>
        <v>1055</v>
      </c>
      <c r="R1070" s="152"/>
      <c r="S1070" s="152"/>
      <c r="T1070" s="152"/>
      <c r="U1070" s="153"/>
      <c r="V1070" s="151">
        <f>SUM(V1065:Y1069)</f>
        <v>790</v>
      </c>
      <c r="W1070" s="152"/>
      <c r="X1070" s="152"/>
      <c r="Y1070" s="153"/>
      <c r="Z1070" s="151">
        <f>SUM(Z1065:AC1069)</f>
        <v>840</v>
      </c>
      <c r="AA1070" s="152"/>
      <c r="AB1070" s="152"/>
      <c r="AC1070" s="153"/>
      <c r="AD1070" s="151">
        <f>SUM(AD1065:AG1069)</f>
        <v>905</v>
      </c>
      <c r="AE1070" s="152"/>
      <c r="AF1070" s="152"/>
      <c r="AG1070" s="153"/>
      <c r="AH1070" s="151">
        <f>SUM(AH1065:AK1069)</f>
        <v>585</v>
      </c>
      <c r="AI1070" s="152"/>
      <c r="AJ1070" s="152"/>
      <c r="AK1070" s="153"/>
      <c r="AL1070" s="151">
        <f>SUM(AL1065:AO1069)</f>
        <v>0</v>
      </c>
      <c r="AM1070" s="152"/>
      <c r="AN1070" s="152"/>
      <c r="AO1070" s="153"/>
      <c r="AP1070" s="151">
        <f>SUM(AP1065:AS1069)</f>
        <v>0</v>
      </c>
      <c r="AQ1070" s="152"/>
      <c r="AR1070" s="152"/>
      <c r="AS1070" s="153"/>
      <c r="AT1070" s="151">
        <f>SUM(AT1065:AW1069)</f>
        <v>0</v>
      </c>
      <c r="AU1070" s="152"/>
      <c r="AV1070" s="152"/>
      <c r="AW1070" s="153"/>
      <c r="AX1070" s="87">
        <f>SUM(AX1065:AX1069)</f>
        <v>6960</v>
      </c>
      <c r="AY1070" s="88">
        <f>IFERROR(AVERAGEIF(E1070:AV1070,"&lt;&gt;0",(E1070:AV1070)),)</f>
        <v>870</v>
      </c>
      <c r="AZ1070" s="46">
        <f>IFERROR(AX1070/BB1066,0)</f>
        <v>1.74</v>
      </c>
      <c r="BA1070" s="34"/>
      <c r="BB1070" s="34"/>
      <c r="BC1070" s="34"/>
      <c r="BD1070" s="76"/>
      <c r="BE1070" s="34"/>
      <c r="BF1070" s="34"/>
      <c r="BG1070" s="34"/>
      <c r="BH1070" s="34"/>
    </row>
    <row r="1071" spans="1:60" s="17" customFormat="1" ht="19.5" customHeight="1" thickBot="1" x14ac:dyDescent="0.4">
      <c r="A1071" s="42">
        <f>A1064</f>
        <v>45443</v>
      </c>
      <c r="B1071" s="38" t="str">
        <f>B1072</f>
        <v>Yaka Tıktık</v>
      </c>
      <c r="C1071" s="39" t="s">
        <v>180</v>
      </c>
      <c r="D1071" s="69" t="s">
        <v>181</v>
      </c>
      <c r="E1071" s="48">
        <v>0.34375</v>
      </c>
      <c r="F1071" s="49">
        <v>0.35416666666666669</v>
      </c>
      <c r="G1071" s="49">
        <v>0.36458333333333331</v>
      </c>
      <c r="H1071" s="50">
        <v>0.375</v>
      </c>
      <c r="I1071" s="48">
        <v>0.38541666666666702</v>
      </c>
      <c r="J1071" s="49">
        <v>0.39583333333333298</v>
      </c>
      <c r="K1071" s="49">
        <v>0.40625</v>
      </c>
      <c r="L1071" s="50">
        <v>0.41666666666666702</v>
      </c>
      <c r="M1071" s="48">
        <v>0.4375</v>
      </c>
      <c r="N1071" s="49">
        <v>0.44791666666666702</v>
      </c>
      <c r="O1071" s="49">
        <v>0.45833333333333398</v>
      </c>
      <c r="P1071" s="50">
        <v>0.46875</v>
      </c>
      <c r="Q1071" s="48">
        <v>0.47916666666666702</v>
      </c>
      <c r="R1071" s="49">
        <v>0.48958333333333398</v>
      </c>
      <c r="S1071" s="49">
        <v>0.5</v>
      </c>
      <c r="T1071" s="50">
        <v>0.51041666666666696</v>
      </c>
      <c r="U1071" s="51">
        <v>0.52083333333333204</v>
      </c>
      <c r="V1071" s="48">
        <v>0.5625</v>
      </c>
      <c r="W1071" s="49">
        <v>0.57291666666666663</v>
      </c>
      <c r="X1071" s="49">
        <v>0.58333333333333304</v>
      </c>
      <c r="Y1071" s="50">
        <v>0.59375</v>
      </c>
      <c r="Z1071" s="48">
        <v>0.60416666666666696</v>
      </c>
      <c r="AA1071" s="49">
        <v>0.61458333333333304</v>
      </c>
      <c r="AB1071" s="49">
        <v>0.625</v>
      </c>
      <c r="AC1071" s="50">
        <v>0.63541666666666596</v>
      </c>
      <c r="AD1071" s="48">
        <v>0.65625</v>
      </c>
      <c r="AE1071" s="49">
        <v>0.66666666666666663</v>
      </c>
      <c r="AF1071" s="49">
        <v>0.67708333333333304</v>
      </c>
      <c r="AG1071" s="50">
        <v>0.6875</v>
      </c>
      <c r="AH1071" s="48">
        <v>0.69791666666666696</v>
      </c>
      <c r="AI1071" s="49">
        <v>0.70833333333333304</v>
      </c>
      <c r="AJ1071" s="49">
        <v>0.71875</v>
      </c>
      <c r="AK1071" s="50">
        <v>0.72916666666666696</v>
      </c>
      <c r="AL1071" s="48">
        <v>0.73958333333333404</v>
      </c>
      <c r="AM1071" s="49">
        <v>0.750000000000001</v>
      </c>
      <c r="AN1071" s="49">
        <v>0.76041666666666796</v>
      </c>
      <c r="AO1071" s="50">
        <v>0.77083333333333504</v>
      </c>
      <c r="AP1071" s="48">
        <v>0.781250000000002</v>
      </c>
      <c r="AQ1071" s="49">
        <v>0.79166666666666896</v>
      </c>
      <c r="AR1071" s="49">
        <v>0.80208333333333603</v>
      </c>
      <c r="AS1071" s="50">
        <v>0.812500000000003</v>
      </c>
      <c r="AT1071" s="48">
        <v>0.82291666666666996</v>
      </c>
      <c r="AU1071" s="49">
        <v>0.83333333333333703</v>
      </c>
      <c r="AV1071" s="49">
        <v>0.843750000000004</v>
      </c>
      <c r="AW1071" s="50">
        <v>0.85416666666666663</v>
      </c>
      <c r="AX1071" s="68" t="s">
        <v>260</v>
      </c>
      <c r="AY1071" s="28" t="s">
        <v>261</v>
      </c>
      <c r="AZ1071" s="29" t="s">
        <v>262</v>
      </c>
      <c r="BA1071" s="136" t="str">
        <f>B1072</f>
        <v>Yaka Tıktık</v>
      </c>
      <c r="BB1071" s="137"/>
      <c r="BC1071" s="137"/>
      <c r="BD1071" s="137"/>
      <c r="BE1071" s="137"/>
      <c r="BF1071" s="137"/>
      <c r="BG1071" s="137"/>
      <c r="BH1071" s="138"/>
    </row>
    <row r="1072" spans="1:60" s="17" customFormat="1" ht="19.5" customHeight="1" thickBot="1" x14ac:dyDescent="0.4">
      <c r="A1072" s="41">
        <f>A1064</f>
        <v>45443</v>
      </c>
      <c r="B1072" s="37" t="str">
        <f>B896</f>
        <v>Yaka Tıktık</v>
      </c>
      <c r="C1072" s="66" t="str">
        <f>C896</f>
        <v>HAYAL ŞENER</v>
      </c>
      <c r="D1072" s="70">
        <f>D896</f>
        <v>150</v>
      </c>
      <c r="E1072" s="63">
        <v>120</v>
      </c>
      <c r="F1072" s="55">
        <v>110</v>
      </c>
      <c r="G1072" s="55">
        <v>115</v>
      </c>
      <c r="H1072" s="56">
        <v>110</v>
      </c>
      <c r="I1072" s="63">
        <v>125</v>
      </c>
      <c r="J1072" s="55">
        <v>110</v>
      </c>
      <c r="K1072" s="55">
        <v>115</v>
      </c>
      <c r="L1072" s="56">
        <v>100</v>
      </c>
      <c r="M1072" s="63">
        <v>115</v>
      </c>
      <c r="N1072" s="55">
        <v>120</v>
      </c>
      <c r="O1072" s="55">
        <v>105</v>
      </c>
      <c r="P1072" s="56">
        <v>110</v>
      </c>
      <c r="Q1072" s="63">
        <v>100</v>
      </c>
      <c r="R1072" s="55">
        <v>130</v>
      </c>
      <c r="S1072" s="55">
        <v>100</v>
      </c>
      <c r="T1072" s="55">
        <v>110</v>
      </c>
      <c r="U1072" s="56">
        <v>60</v>
      </c>
      <c r="V1072" s="63">
        <v>150</v>
      </c>
      <c r="W1072" s="55">
        <v>125</v>
      </c>
      <c r="X1072" s="55">
        <v>120</v>
      </c>
      <c r="Y1072" s="56">
        <v>120</v>
      </c>
      <c r="Z1072" s="63">
        <v>120</v>
      </c>
      <c r="AA1072" s="55">
        <v>115</v>
      </c>
      <c r="AB1072" s="55">
        <v>110</v>
      </c>
      <c r="AC1072" s="56">
        <v>75</v>
      </c>
      <c r="AD1072" s="63">
        <v>110</v>
      </c>
      <c r="AE1072" s="55">
        <v>100</v>
      </c>
      <c r="AF1072" s="55">
        <v>115</v>
      </c>
      <c r="AG1072" s="56">
        <v>120</v>
      </c>
      <c r="AH1072" s="63">
        <v>100</v>
      </c>
      <c r="AI1072" s="55">
        <v>80</v>
      </c>
      <c r="AJ1072" s="55">
        <v>50</v>
      </c>
      <c r="AK1072" s="56"/>
      <c r="AL1072" s="63"/>
      <c r="AM1072" s="55"/>
      <c r="AN1072" s="55"/>
      <c r="AO1072" s="56"/>
      <c r="AP1072" s="63"/>
      <c r="AQ1072" s="54"/>
      <c r="AR1072" s="55"/>
      <c r="AS1072" s="56"/>
      <c r="AT1072" s="53"/>
      <c r="AU1072" s="54"/>
      <c r="AV1072" s="55"/>
      <c r="AW1072" s="56"/>
      <c r="AX1072" s="33">
        <f>SUM(E1072:AW1072)</f>
        <v>3465</v>
      </c>
      <c r="AY1072" s="31">
        <f>IFERROR(AVERAGEIF(E1072:AW1072,"&lt;&gt;0",(E1072:AW1072)),)</f>
        <v>108.28125</v>
      </c>
      <c r="AZ1072" s="30">
        <f>IFERROR(AY1072/D1072,0)</f>
        <v>0.72187500000000004</v>
      </c>
      <c r="BA1072" s="103" t="s">
        <v>182</v>
      </c>
      <c r="BB1072" s="100" t="s">
        <v>183</v>
      </c>
      <c r="BC1072" s="100" t="s">
        <v>184</v>
      </c>
      <c r="BD1072" s="101" t="s">
        <v>185</v>
      </c>
      <c r="BE1072" s="100" t="s">
        <v>186</v>
      </c>
      <c r="BF1072" s="102" t="s">
        <v>187</v>
      </c>
      <c r="BG1072" s="100" t="s">
        <v>188</v>
      </c>
      <c r="BH1072" s="102" t="s">
        <v>189</v>
      </c>
    </row>
    <row r="1073" spans="1:60" s="17" customFormat="1" ht="19.5" customHeight="1" thickBot="1" x14ac:dyDescent="0.4">
      <c r="A1073" s="41">
        <f t="shared" ref="A1073:B1073" si="1036">A1072</f>
        <v>45443</v>
      </c>
      <c r="B1073" s="37" t="str">
        <f t="shared" si="1036"/>
        <v>Yaka Tıktık</v>
      </c>
      <c r="C1073" s="66">
        <f>C897</f>
        <v>0</v>
      </c>
      <c r="D1073" s="67">
        <f>D1072</f>
        <v>150</v>
      </c>
      <c r="E1073" s="57"/>
      <c r="F1073" s="52"/>
      <c r="G1073" s="52"/>
      <c r="H1073" s="58"/>
      <c r="I1073" s="57"/>
      <c r="J1073" s="52"/>
      <c r="K1073" s="52"/>
      <c r="L1073" s="58"/>
      <c r="M1073" s="57"/>
      <c r="N1073" s="52"/>
      <c r="O1073" s="52"/>
      <c r="P1073" s="58"/>
      <c r="Q1073" s="57"/>
      <c r="R1073" s="52"/>
      <c r="S1073" s="52"/>
      <c r="T1073" s="52"/>
      <c r="U1073" s="58"/>
      <c r="V1073" s="57"/>
      <c r="W1073" s="52"/>
      <c r="X1073" s="52"/>
      <c r="Y1073" s="58"/>
      <c r="Z1073" s="57"/>
      <c r="AA1073" s="52"/>
      <c r="AB1073" s="52"/>
      <c r="AC1073" s="58"/>
      <c r="AD1073" s="57"/>
      <c r="AE1073" s="52"/>
      <c r="AF1073" s="52"/>
      <c r="AG1073" s="58"/>
      <c r="AH1073" s="57"/>
      <c r="AI1073" s="52"/>
      <c r="AJ1073" s="52"/>
      <c r="AK1073" s="58"/>
      <c r="AL1073" s="57"/>
      <c r="AM1073" s="52"/>
      <c r="AN1073" s="52"/>
      <c r="AO1073" s="58"/>
      <c r="AP1073" s="57"/>
      <c r="AQ1073" s="52"/>
      <c r="AR1073" s="52"/>
      <c r="AS1073" s="58"/>
      <c r="AT1073" s="57"/>
      <c r="AU1073" s="52"/>
      <c r="AV1073" s="52"/>
      <c r="AW1073" s="58"/>
      <c r="AX1073" s="33">
        <f>SUM(E1073:AW1073)</f>
        <v>0</v>
      </c>
      <c r="AY1073" s="31">
        <f>IFERROR(AVERAGEIF(E1073:AW1073,"&lt;&gt;0",(E1073:AW1073)),)</f>
        <v>0</v>
      </c>
      <c r="AZ1073" s="30">
        <f>IFERROR(AY1073/D1073,0)</f>
        <v>0</v>
      </c>
      <c r="BA1073" s="94">
        <f>AX1077+BA897</f>
        <v>12670</v>
      </c>
      <c r="BB1073" s="95">
        <f>(D1077*8)</f>
        <v>4000</v>
      </c>
      <c r="BC1073" s="96">
        <f>C1061-BA1073</f>
        <v>29641</v>
      </c>
      <c r="BD1073" s="96">
        <f>BA1066-BA1073</f>
        <v>9100</v>
      </c>
      <c r="BE1073" s="97">
        <f>IFERROR(BC1073/E1077,0)</f>
        <v>65.145054945054952</v>
      </c>
      <c r="BF1073" s="98">
        <f>IFERROR(BE1073/9,0)</f>
        <v>7.2383394383394393</v>
      </c>
      <c r="BG1073" s="97">
        <f>IFERROR(BC1073/AY1077,0)</f>
        <v>68.435209235209228</v>
      </c>
      <c r="BH1073" s="97">
        <f>IFERROR(BG1073/9,0)</f>
        <v>7.6039121372454694</v>
      </c>
    </row>
    <row r="1074" spans="1:60" s="17" customFormat="1" ht="19.5" customHeight="1" x14ac:dyDescent="0.35">
      <c r="A1074" s="41">
        <f t="shared" ref="A1074:B1074" si="1037">A1073</f>
        <v>45443</v>
      </c>
      <c r="B1074" s="37" t="str">
        <f t="shared" si="1037"/>
        <v>Yaka Tıktık</v>
      </c>
      <c r="C1074" s="66">
        <f>C898</f>
        <v>0</v>
      </c>
      <c r="D1074" s="67">
        <f>D1073</f>
        <v>150</v>
      </c>
      <c r="E1074" s="57"/>
      <c r="F1074" s="52"/>
      <c r="G1074" s="52"/>
      <c r="H1074" s="58"/>
      <c r="I1074" s="57"/>
      <c r="J1074" s="52"/>
      <c r="K1074" s="52"/>
      <c r="L1074" s="58"/>
      <c r="M1074" s="57"/>
      <c r="N1074" s="52"/>
      <c r="O1074" s="52"/>
      <c r="P1074" s="58"/>
      <c r="Q1074" s="57"/>
      <c r="R1074" s="52"/>
      <c r="S1074" s="52"/>
      <c r="T1074" s="52"/>
      <c r="U1074" s="58"/>
      <c r="V1074" s="57"/>
      <c r="W1074" s="52"/>
      <c r="X1074" s="52"/>
      <c r="Y1074" s="58"/>
      <c r="Z1074" s="57"/>
      <c r="AA1074" s="52"/>
      <c r="AB1074" s="52"/>
      <c r="AC1074" s="58"/>
      <c r="AD1074" s="57"/>
      <c r="AE1074" s="52"/>
      <c r="AF1074" s="52"/>
      <c r="AG1074" s="58"/>
      <c r="AH1074" s="57"/>
      <c r="AI1074" s="52"/>
      <c r="AJ1074" s="52"/>
      <c r="AK1074" s="58"/>
      <c r="AL1074" s="57"/>
      <c r="AM1074" s="52"/>
      <c r="AN1074" s="52"/>
      <c r="AO1074" s="58"/>
      <c r="AP1074" s="57"/>
      <c r="AQ1074" s="52"/>
      <c r="AR1074" s="52"/>
      <c r="AS1074" s="58"/>
      <c r="AT1074" s="57"/>
      <c r="AU1074" s="52"/>
      <c r="AV1074" s="52"/>
      <c r="AW1074" s="58"/>
      <c r="AX1074" s="33">
        <f>SUM(E1074:AW1074)</f>
        <v>0</v>
      </c>
      <c r="AY1074" s="31">
        <f>IFERROR(AVERAGEIF(E1074:AW1074,"&lt;&gt;0",(E1074:AW1074)),)</f>
        <v>0</v>
      </c>
      <c r="AZ1074" s="30">
        <f>IFERROR(AY1074/D1074,0)</f>
        <v>0</v>
      </c>
      <c r="BA1074" s="34"/>
      <c r="BB1074" s="34"/>
      <c r="BC1074" s="34"/>
      <c r="BD1074" s="76"/>
      <c r="BE1074" s="34"/>
      <c r="BF1074" s="34"/>
      <c r="BG1074" s="34"/>
      <c r="BH1074" s="34"/>
    </row>
    <row r="1075" spans="1:60" s="17" customFormat="1" ht="19.5" customHeight="1" x14ac:dyDescent="0.35">
      <c r="A1075" s="41">
        <f t="shared" ref="A1075:B1075" si="1038">A1074</f>
        <v>45443</v>
      </c>
      <c r="B1075" s="37" t="str">
        <f t="shared" si="1038"/>
        <v>Yaka Tıktık</v>
      </c>
      <c r="C1075" s="66">
        <f>C899</f>
        <v>0</v>
      </c>
      <c r="D1075" s="67">
        <f>D1074</f>
        <v>150</v>
      </c>
      <c r="E1075" s="57"/>
      <c r="F1075" s="52"/>
      <c r="G1075" s="52"/>
      <c r="H1075" s="58"/>
      <c r="I1075" s="57"/>
      <c r="J1075" s="52"/>
      <c r="K1075" s="52"/>
      <c r="L1075" s="58"/>
      <c r="M1075" s="57"/>
      <c r="N1075" s="52"/>
      <c r="O1075" s="52"/>
      <c r="P1075" s="58"/>
      <c r="Q1075" s="57"/>
      <c r="R1075" s="52"/>
      <c r="S1075" s="52"/>
      <c r="T1075" s="52"/>
      <c r="U1075" s="58"/>
      <c r="V1075" s="57"/>
      <c r="W1075" s="52"/>
      <c r="X1075" s="52"/>
      <c r="Y1075" s="58"/>
      <c r="Z1075" s="57"/>
      <c r="AA1075" s="52"/>
      <c r="AB1075" s="52"/>
      <c r="AC1075" s="58"/>
      <c r="AD1075" s="57"/>
      <c r="AE1075" s="52"/>
      <c r="AF1075" s="52"/>
      <c r="AG1075" s="58"/>
      <c r="AH1075" s="57"/>
      <c r="AI1075" s="52"/>
      <c r="AJ1075" s="52"/>
      <c r="AK1075" s="58"/>
      <c r="AL1075" s="57"/>
      <c r="AM1075" s="52"/>
      <c r="AN1075" s="52"/>
      <c r="AO1075" s="58"/>
      <c r="AP1075" s="57"/>
      <c r="AQ1075" s="52"/>
      <c r="AR1075" s="52"/>
      <c r="AS1075" s="58"/>
      <c r="AT1075" s="57"/>
      <c r="AU1075" s="52"/>
      <c r="AV1075" s="52"/>
      <c r="AW1075" s="58"/>
      <c r="AX1075" s="33">
        <f>SUM(E1075:AW1075)</f>
        <v>0</v>
      </c>
      <c r="AY1075" s="31">
        <f>IFERROR(AVERAGEIF(E1075:AW1075,"&lt;&gt;0",(E1075:AW1075)),)</f>
        <v>0</v>
      </c>
      <c r="AZ1075" s="30">
        <f>IFERROR(AY1075/D1075,0)</f>
        <v>0</v>
      </c>
      <c r="BA1075" s="34"/>
      <c r="BB1075" s="34"/>
      <c r="BC1075" s="34"/>
      <c r="BD1075" s="76"/>
      <c r="BE1075" s="34"/>
      <c r="BF1075" s="34"/>
      <c r="BG1075" s="34"/>
      <c r="BH1075" s="34"/>
    </row>
    <row r="1076" spans="1:60" s="17" customFormat="1" ht="19.5" customHeight="1" thickBot="1" x14ac:dyDescent="0.4">
      <c r="A1076" s="41">
        <f t="shared" ref="A1076:B1076" si="1039">A1075</f>
        <v>45443</v>
      </c>
      <c r="B1076" s="37" t="str">
        <f t="shared" si="1039"/>
        <v>Yaka Tıktık</v>
      </c>
      <c r="C1076" s="66">
        <f>C900</f>
        <v>0</v>
      </c>
      <c r="D1076" s="67">
        <f>D1075</f>
        <v>150</v>
      </c>
      <c r="E1076" s="64"/>
      <c r="F1076" s="61"/>
      <c r="G1076" s="61"/>
      <c r="H1076" s="62"/>
      <c r="I1076" s="64"/>
      <c r="J1076" s="61"/>
      <c r="K1076" s="61"/>
      <c r="L1076" s="62"/>
      <c r="M1076" s="64"/>
      <c r="N1076" s="61"/>
      <c r="O1076" s="61"/>
      <c r="P1076" s="62"/>
      <c r="Q1076" s="64"/>
      <c r="R1076" s="61"/>
      <c r="S1076" s="61"/>
      <c r="T1076" s="61"/>
      <c r="U1076" s="62"/>
      <c r="V1076" s="64"/>
      <c r="W1076" s="61"/>
      <c r="X1076" s="61"/>
      <c r="Y1076" s="62"/>
      <c r="Z1076" s="59"/>
      <c r="AA1076" s="60"/>
      <c r="AB1076" s="61"/>
      <c r="AC1076" s="62"/>
      <c r="AD1076" s="59"/>
      <c r="AE1076" s="60"/>
      <c r="AF1076" s="61"/>
      <c r="AG1076" s="62"/>
      <c r="AH1076" s="59"/>
      <c r="AI1076" s="60"/>
      <c r="AJ1076" s="61"/>
      <c r="AK1076" s="62"/>
      <c r="AL1076" s="59"/>
      <c r="AM1076" s="60"/>
      <c r="AN1076" s="61"/>
      <c r="AO1076" s="62"/>
      <c r="AP1076" s="59"/>
      <c r="AQ1076" s="60"/>
      <c r="AR1076" s="61"/>
      <c r="AS1076" s="62"/>
      <c r="AT1076" s="59"/>
      <c r="AU1076" s="60"/>
      <c r="AV1076" s="61"/>
      <c r="AW1076" s="62"/>
      <c r="AX1076" s="43">
        <f>SUM(E1076:AW1076)</f>
        <v>0</v>
      </c>
      <c r="AY1076" s="44">
        <f>IFERROR(AVERAGEIF(E1076:AW1076,"&lt;&gt;0",(E1076:AW1076)),)</f>
        <v>0</v>
      </c>
      <c r="AZ1076" s="45">
        <f>IFERROR(AY1076/D1076,0)</f>
        <v>0</v>
      </c>
      <c r="BA1076" s="34"/>
      <c r="BB1076" s="34"/>
      <c r="BC1076" s="34"/>
      <c r="BD1076" s="76"/>
      <c r="BE1076" s="34"/>
      <c r="BF1076" s="34"/>
      <c r="BG1076" s="34"/>
      <c r="BH1076" s="34"/>
    </row>
    <row r="1077" spans="1:60" s="17" customFormat="1" ht="19.5" customHeight="1" thickBot="1" x14ac:dyDescent="0.45">
      <c r="A1077" s="41">
        <f>A1076</f>
        <v>45443</v>
      </c>
      <c r="B1077" s="139" t="str">
        <f>B1072</f>
        <v>Yaka Tıktık</v>
      </c>
      <c r="C1077" s="140"/>
      <c r="D1077" s="40">
        <f>C1062/8</f>
        <v>500</v>
      </c>
      <c r="E1077" s="151">
        <f>SUM(E1072:H1076)</f>
        <v>455</v>
      </c>
      <c r="F1077" s="152"/>
      <c r="G1077" s="152"/>
      <c r="H1077" s="153"/>
      <c r="I1077" s="151">
        <f>SUM(I1072:L1076)</f>
        <v>450</v>
      </c>
      <c r="J1077" s="152"/>
      <c r="K1077" s="152"/>
      <c r="L1077" s="153"/>
      <c r="M1077" s="151">
        <f>SUM(M1072:P1076)</f>
        <v>450</v>
      </c>
      <c r="N1077" s="152"/>
      <c r="O1077" s="152"/>
      <c r="P1077" s="153"/>
      <c r="Q1077" s="151">
        <f>SUM(Q1072:U1076)</f>
        <v>500</v>
      </c>
      <c r="R1077" s="152"/>
      <c r="S1077" s="152"/>
      <c r="T1077" s="152"/>
      <c r="U1077" s="153"/>
      <c r="V1077" s="151">
        <f>SUM(V1072:Y1076)</f>
        <v>515</v>
      </c>
      <c r="W1077" s="152"/>
      <c r="X1077" s="152"/>
      <c r="Y1077" s="153"/>
      <c r="Z1077" s="151">
        <f>SUM(Z1072:AC1076)</f>
        <v>420</v>
      </c>
      <c r="AA1077" s="152"/>
      <c r="AB1077" s="152"/>
      <c r="AC1077" s="153"/>
      <c r="AD1077" s="151">
        <f>SUM(AD1072:AG1076)</f>
        <v>445</v>
      </c>
      <c r="AE1077" s="152"/>
      <c r="AF1077" s="152"/>
      <c r="AG1077" s="153"/>
      <c r="AH1077" s="151">
        <f>SUM(AH1072:AK1076)</f>
        <v>230</v>
      </c>
      <c r="AI1077" s="152"/>
      <c r="AJ1077" s="152"/>
      <c r="AK1077" s="153"/>
      <c r="AL1077" s="151">
        <f>SUM(AL1072:AO1076)</f>
        <v>0</v>
      </c>
      <c r="AM1077" s="152"/>
      <c r="AN1077" s="152"/>
      <c r="AO1077" s="153"/>
      <c r="AP1077" s="151">
        <f>SUM(AP1072:AS1076)</f>
        <v>0</v>
      </c>
      <c r="AQ1077" s="152"/>
      <c r="AR1077" s="152"/>
      <c r="AS1077" s="153"/>
      <c r="AT1077" s="151">
        <f>SUM(AT1072:AW1076)</f>
        <v>0</v>
      </c>
      <c r="AU1077" s="152"/>
      <c r="AV1077" s="152"/>
      <c r="AW1077" s="153"/>
      <c r="AX1077" s="87">
        <f>SUM(AX1072:AX1076)</f>
        <v>3465</v>
      </c>
      <c r="AY1077" s="88">
        <f>IFERROR(AVERAGEIF(E1077:AV1077,"&lt;&gt;0",(E1077:AV1077)),)</f>
        <v>433.125</v>
      </c>
      <c r="AZ1077" s="46">
        <f>IFERROR(AX1077/BB1073,0)</f>
        <v>0.86624999999999996</v>
      </c>
      <c r="BA1077" s="34"/>
      <c r="BB1077" s="34"/>
      <c r="BC1077" s="34"/>
      <c r="BD1077" s="76"/>
      <c r="BE1077" s="34"/>
      <c r="BF1077" s="34"/>
      <c r="BG1077" s="34"/>
      <c r="BH1077" s="34"/>
    </row>
    <row r="1078" spans="1:60" s="17" customFormat="1" ht="19.5" customHeight="1" thickBot="1" x14ac:dyDescent="0.4">
      <c r="A1078" s="42">
        <f>A1064</f>
        <v>45443</v>
      </c>
      <c r="B1078" s="38" t="str">
        <f>B1079</f>
        <v>Etiket Hazırlama</v>
      </c>
      <c r="C1078" s="39" t="s">
        <v>180</v>
      </c>
      <c r="D1078" s="69" t="s">
        <v>181</v>
      </c>
      <c r="E1078" s="48">
        <v>0.34375</v>
      </c>
      <c r="F1078" s="49">
        <v>0.35416666666666669</v>
      </c>
      <c r="G1078" s="49">
        <v>0.36458333333333331</v>
      </c>
      <c r="H1078" s="50">
        <v>0.375</v>
      </c>
      <c r="I1078" s="48">
        <v>0.38541666666666702</v>
      </c>
      <c r="J1078" s="49">
        <v>0.39583333333333298</v>
      </c>
      <c r="K1078" s="49">
        <v>0.40625</v>
      </c>
      <c r="L1078" s="50">
        <v>0.41666666666666702</v>
      </c>
      <c r="M1078" s="48">
        <v>0.4375</v>
      </c>
      <c r="N1078" s="49">
        <v>0.44791666666666702</v>
      </c>
      <c r="O1078" s="49">
        <v>0.45833333333333398</v>
      </c>
      <c r="P1078" s="50">
        <v>0.46875</v>
      </c>
      <c r="Q1078" s="48">
        <v>0.47916666666666702</v>
      </c>
      <c r="R1078" s="49">
        <v>0.48958333333333398</v>
      </c>
      <c r="S1078" s="49">
        <v>0.5</v>
      </c>
      <c r="T1078" s="50">
        <v>0.51041666666666696</v>
      </c>
      <c r="U1078" s="51">
        <v>0.52083333333333204</v>
      </c>
      <c r="V1078" s="48">
        <v>0.5625</v>
      </c>
      <c r="W1078" s="49">
        <v>0.57291666666666663</v>
      </c>
      <c r="X1078" s="49">
        <v>0.58333333333333304</v>
      </c>
      <c r="Y1078" s="50">
        <v>0.59375</v>
      </c>
      <c r="Z1078" s="48">
        <v>0.60416666666666696</v>
      </c>
      <c r="AA1078" s="49">
        <v>0.61458333333333304</v>
      </c>
      <c r="AB1078" s="49">
        <v>0.625</v>
      </c>
      <c r="AC1078" s="50">
        <v>0.63541666666666596</v>
      </c>
      <c r="AD1078" s="48">
        <v>0.65625</v>
      </c>
      <c r="AE1078" s="49">
        <v>0.66666666666666663</v>
      </c>
      <c r="AF1078" s="49">
        <v>0.67708333333333304</v>
      </c>
      <c r="AG1078" s="50">
        <v>0.6875</v>
      </c>
      <c r="AH1078" s="48">
        <v>0.69791666666666696</v>
      </c>
      <c r="AI1078" s="49">
        <v>0.70833333333333304</v>
      </c>
      <c r="AJ1078" s="49">
        <v>0.71875</v>
      </c>
      <c r="AK1078" s="50">
        <v>0.72916666666666696</v>
      </c>
      <c r="AL1078" s="48">
        <v>0.73958333333333404</v>
      </c>
      <c r="AM1078" s="49">
        <v>0.750000000000001</v>
      </c>
      <c r="AN1078" s="49">
        <v>0.76041666666666796</v>
      </c>
      <c r="AO1078" s="50">
        <v>0.77083333333333504</v>
      </c>
      <c r="AP1078" s="48">
        <v>0.781250000000002</v>
      </c>
      <c r="AQ1078" s="49">
        <v>0.79166666666666896</v>
      </c>
      <c r="AR1078" s="49">
        <v>0.80208333333333603</v>
      </c>
      <c r="AS1078" s="50">
        <v>0.812500000000003</v>
      </c>
      <c r="AT1078" s="48">
        <v>0.82291666666666996</v>
      </c>
      <c r="AU1078" s="49">
        <v>0.83333333333333703</v>
      </c>
      <c r="AV1078" s="49">
        <v>0.843750000000004</v>
      </c>
      <c r="AW1078" s="50">
        <v>0.85416666666666663</v>
      </c>
      <c r="AX1078" s="68" t="s">
        <v>260</v>
      </c>
      <c r="AY1078" s="28" t="s">
        <v>261</v>
      </c>
      <c r="AZ1078" s="29" t="s">
        <v>262</v>
      </c>
      <c r="BA1078" s="136" t="str">
        <f>B1079</f>
        <v>Etiket Hazırlama</v>
      </c>
      <c r="BB1078" s="137"/>
      <c r="BC1078" s="137"/>
      <c r="BD1078" s="137"/>
      <c r="BE1078" s="137"/>
      <c r="BF1078" s="137"/>
      <c r="BG1078" s="137"/>
      <c r="BH1078" s="138"/>
    </row>
    <row r="1079" spans="1:60" s="17" customFormat="1" ht="19.5" customHeight="1" thickBot="1" x14ac:dyDescent="0.4">
      <c r="A1079" s="41">
        <f t="shared" ref="A1079:A1084" si="1040">A1078</f>
        <v>45443</v>
      </c>
      <c r="B1079" s="37" t="str">
        <f>B903</f>
        <v>Etiket Hazırlama</v>
      </c>
      <c r="C1079" s="66" t="str">
        <f>C903</f>
        <v>EMİNE PİŞKİN</v>
      </c>
      <c r="D1079" s="70">
        <f>D903</f>
        <v>120</v>
      </c>
      <c r="E1079" s="63">
        <v>110</v>
      </c>
      <c r="F1079" s="55">
        <v>110</v>
      </c>
      <c r="G1079" s="55">
        <v>110</v>
      </c>
      <c r="H1079" s="56">
        <v>115</v>
      </c>
      <c r="I1079" s="63">
        <v>120</v>
      </c>
      <c r="J1079" s="55">
        <v>100</v>
      </c>
      <c r="K1079" s="55">
        <v>110</v>
      </c>
      <c r="L1079" s="56">
        <v>120</v>
      </c>
      <c r="M1079" s="63">
        <v>110</v>
      </c>
      <c r="N1079" s="55">
        <v>130</v>
      </c>
      <c r="O1079" s="55">
        <v>130</v>
      </c>
      <c r="P1079" s="56">
        <v>120</v>
      </c>
      <c r="Q1079" s="63">
        <v>120</v>
      </c>
      <c r="R1079" s="55">
        <v>100</v>
      </c>
      <c r="S1079" s="55">
        <v>120</v>
      </c>
      <c r="T1079" s="55">
        <v>115</v>
      </c>
      <c r="U1079" s="56">
        <v>120</v>
      </c>
      <c r="V1079" s="63">
        <v>120</v>
      </c>
      <c r="W1079" s="55">
        <v>120</v>
      </c>
      <c r="X1079" s="55">
        <v>120</v>
      </c>
      <c r="Y1079" s="56">
        <v>120</v>
      </c>
      <c r="Z1079" s="63">
        <v>125</v>
      </c>
      <c r="AA1079" s="55">
        <v>110</v>
      </c>
      <c r="AB1079" s="55">
        <v>105</v>
      </c>
      <c r="AC1079" s="56">
        <v>120</v>
      </c>
      <c r="AD1079" s="63">
        <v>12</v>
      </c>
      <c r="AE1079" s="55">
        <v>110</v>
      </c>
      <c r="AF1079" s="55">
        <v>100</v>
      </c>
      <c r="AG1079" s="56">
        <v>120</v>
      </c>
      <c r="AH1079" s="63">
        <v>120</v>
      </c>
      <c r="AI1079" s="55">
        <v>120</v>
      </c>
      <c r="AJ1079" s="55">
        <v>120</v>
      </c>
      <c r="AK1079" s="56"/>
      <c r="AL1079" s="63"/>
      <c r="AM1079" s="55"/>
      <c r="AN1079" s="55"/>
      <c r="AO1079" s="56"/>
      <c r="AP1079" s="63"/>
      <c r="AQ1079" s="54"/>
      <c r="AR1079" s="55"/>
      <c r="AS1079" s="56"/>
      <c r="AT1079" s="53"/>
      <c r="AU1079" s="54"/>
      <c r="AV1079" s="55"/>
      <c r="AW1079" s="56"/>
      <c r="AX1079" s="33">
        <f>SUM(E1079:AW1079)</f>
        <v>3602</v>
      </c>
      <c r="AY1079" s="31">
        <f>IFERROR(AVERAGEIF(E1079:AW1079,"&lt;&gt;0",(E1079:AW1079)),)</f>
        <v>112.5625</v>
      </c>
      <c r="AZ1079" s="30">
        <f>IFERROR(AY1079/D1079,0)</f>
        <v>0.9380208333333333</v>
      </c>
      <c r="BA1079" s="103" t="s">
        <v>182</v>
      </c>
      <c r="BB1079" s="100" t="s">
        <v>183</v>
      </c>
      <c r="BC1079" s="100" t="s">
        <v>184</v>
      </c>
      <c r="BD1079" s="101" t="s">
        <v>185</v>
      </c>
      <c r="BE1079" s="100" t="s">
        <v>186</v>
      </c>
      <c r="BF1079" s="102" t="s">
        <v>187</v>
      </c>
      <c r="BG1079" s="100" t="s">
        <v>188</v>
      </c>
      <c r="BH1079" s="102" t="s">
        <v>189</v>
      </c>
    </row>
    <row r="1080" spans="1:60" s="17" customFormat="1" ht="19.5" customHeight="1" thickBot="1" x14ac:dyDescent="0.4">
      <c r="A1080" s="41">
        <f t="shared" si="1040"/>
        <v>45443</v>
      </c>
      <c r="B1080" s="37" t="str">
        <f>B1079</f>
        <v>Etiket Hazırlama</v>
      </c>
      <c r="C1080" s="66">
        <f>C904</f>
        <v>0</v>
      </c>
      <c r="D1080" s="67">
        <f>D1079</f>
        <v>120</v>
      </c>
      <c r="E1080" s="57"/>
      <c r="F1080" s="52"/>
      <c r="G1080" s="52"/>
      <c r="H1080" s="58"/>
      <c r="I1080" s="57"/>
      <c r="J1080" s="52"/>
      <c r="K1080" s="52"/>
      <c r="L1080" s="58"/>
      <c r="M1080" s="57"/>
      <c r="N1080" s="52"/>
      <c r="O1080" s="52"/>
      <c r="P1080" s="58"/>
      <c r="Q1080" s="57"/>
      <c r="R1080" s="52"/>
      <c r="S1080" s="52"/>
      <c r="T1080" s="52"/>
      <c r="U1080" s="58"/>
      <c r="V1080" s="57"/>
      <c r="W1080" s="52"/>
      <c r="X1080" s="52"/>
      <c r="Y1080" s="58"/>
      <c r="Z1080" s="57"/>
      <c r="AA1080" s="52"/>
      <c r="AB1080" s="52"/>
      <c r="AC1080" s="58"/>
      <c r="AD1080" s="57"/>
      <c r="AE1080" s="52"/>
      <c r="AF1080" s="52"/>
      <c r="AG1080" s="58"/>
      <c r="AH1080" s="57"/>
      <c r="AI1080" s="52"/>
      <c r="AJ1080" s="52"/>
      <c r="AK1080" s="58"/>
      <c r="AL1080" s="57"/>
      <c r="AM1080" s="52"/>
      <c r="AN1080" s="52"/>
      <c r="AO1080" s="58"/>
      <c r="AP1080" s="57"/>
      <c r="AQ1080" s="52"/>
      <c r="AR1080" s="52"/>
      <c r="AS1080" s="58"/>
      <c r="AT1080" s="57"/>
      <c r="AU1080" s="52"/>
      <c r="AV1080" s="52"/>
      <c r="AW1080" s="58"/>
      <c r="AX1080" s="33">
        <f>SUM(E1080:AW1080)</f>
        <v>0</v>
      </c>
      <c r="AY1080" s="31">
        <f>IFERROR(AVERAGEIF(E1080:AW1080,"&lt;&gt;0",(E1080:AW1080)),)</f>
        <v>0</v>
      </c>
      <c r="AZ1080" s="30">
        <f>IFERROR(AY1080/D1080,0)</f>
        <v>0</v>
      </c>
      <c r="BA1080" s="94">
        <f>AX1084+BA904</f>
        <v>15737</v>
      </c>
      <c r="BB1080" s="95">
        <f>(D1084*8)</f>
        <v>4000</v>
      </c>
      <c r="BC1080" s="96">
        <f>C1061-BA1080</f>
        <v>26574</v>
      </c>
      <c r="BD1080" s="96">
        <f>BC1080</f>
        <v>26574</v>
      </c>
      <c r="BE1080" s="97">
        <f>IFERROR(BC1080/E1084,0)</f>
        <v>59.716853932584272</v>
      </c>
      <c r="BF1080" s="98">
        <f>IFERROR(BE1080/9,0)</f>
        <v>6.6352059925093636</v>
      </c>
      <c r="BG1080" s="97">
        <f>IFERROR(BC1080/AY1084,0)</f>
        <v>59.020544142143251</v>
      </c>
      <c r="BH1080" s="97">
        <f>IFERROR(BG1080/9,0)</f>
        <v>6.5578382380159166</v>
      </c>
    </row>
    <row r="1081" spans="1:60" s="17" customFormat="1" ht="19.5" customHeight="1" x14ac:dyDescent="0.35">
      <c r="A1081" s="41">
        <f t="shared" si="1040"/>
        <v>45443</v>
      </c>
      <c r="B1081" s="37" t="str">
        <f>B1080</f>
        <v>Etiket Hazırlama</v>
      </c>
      <c r="C1081" s="66">
        <f>C905</f>
        <v>0</v>
      </c>
      <c r="D1081" s="67">
        <f>D1080</f>
        <v>120</v>
      </c>
      <c r="E1081" s="57"/>
      <c r="F1081" s="52"/>
      <c r="G1081" s="52"/>
      <c r="H1081" s="58"/>
      <c r="I1081" s="57"/>
      <c r="J1081" s="52"/>
      <c r="K1081" s="52"/>
      <c r="L1081" s="58"/>
      <c r="M1081" s="57"/>
      <c r="N1081" s="52"/>
      <c r="O1081" s="52"/>
      <c r="P1081" s="58"/>
      <c r="Q1081" s="57"/>
      <c r="R1081" s="52"/>
      <c r="S1081" s="52"/>
      <c r="T1081" s="52"/>
      <c r="U1081" s="58"/>
      <c r="V1081" s="57"/>
      <c r="W1081" s="52"/>
      <c r="X1081" s="52"/>
      <c r="Y1081" s="58"/>
      <c r="Z1081" s="57"/>
      <c r="AA1081" s="52"/>
      <c r="AB1081" s="52"/>
      <c r="AC1081" s="58"/>
      <c r="AD1081" s="57"/>
      <c r="AE1081" s="52"/>
      <c r="AF1081" s="52"/>
      <c r="AG1081" s="58"/>
      <c r="AH1081" s="57"/>
      <c r="AI1081" s="52"/>
      <c r="AJ1081" s="52"/>
      <c r="AK1081" s="58"/>
      <c r="AL1081" s="57"/>
      <c r="AM1081" s="52"/>
      <c r="AN1081" s="52"/>
      <c r="AO1081" s="58"/>
      <c r="AP1081" s="57"/>
      <c r="AQ1081" s="52"/>
      <c r="AR1081" s="52"/>
      <c r="AS1081" s="58"/>
      <c r="AT1081" s="57"/>
      <c r="AU1081" s="52"/>
      <c r="AV1081" s="52"/>
      <c r="AW1081" s="58"/>
      <c r="AX1081" s="33">
        <f>SUM(E1081:AW1081)</f>
        <v>0</v>
      </c>
      <c r="AY1081" s="31">
        <f>IFERROR(AVERAGEIF(E1081:AW1081,"&lt;&gt;0",(E1081:AW1081)),)</f>
        <v>0</v>
      </c>
      <c r="AZ1081" s="30">
        <f>IFERROR(AY1081/D1081,0)</f>
        <v>0</v>
      </c>
      <c r="BA1081" s="34"/>
      <c r="BB1081" s="34"/>
      <c r="BC1081" s="34"/>
      <c r="BD1081" s="76"/>
      <c r="BE1081" s="34"/>
      <c r="BF1081" s="34"/>
      <c r="BG1081" s="34"/>
      <c r="BH1081" s="34"/>
    </row>
    <row r="1082" spans="1:60" s="17" customFormat="1" ht="19.5" customHeight="1" x14ac:dyDescent="0.35">
      <c r="A1082" s="41">
        <f t="shared" si="1040"/>
        <v>45443</v>
      </c>
      <c r="B1082" s="37" t="str">
        <f>B1081</f>
        <v>Etiket Hazırlama</v>
      </c>
      <c r="C1082" s="66">
        <f>C906</f>
        <v>0</v>
      </c>
      <c r="D1082" s="67">
        <f>D1081</f>
        <v>120</v>
      </c>
      <c r="E1082" s="57"/>
      <c r="F1082" s="52"/>
      <c r="G1082" s="52"/>
      <c r="H1082" s="58"/>
      <c r="I1082" s="57"/>
      <c r="J1082" s="52"/>
      <c r="K1082" s="52"/>
      <c r="L1082" s="58"/>
      <c r="M1082" s="57"/>
      <c r="N1082" s="52"/>
      <c r="O1082" s="52"/>
      <c r="P1082" s="58"/>
      <c r="Q1082" s="57"/>
      <c r="R1082" s="52"/>
      <c r="S1082" s="52"/>
      <c r="T1082" s="52"/>
      <c r="U1082" s="58"/>
      <c r="V1082" s="57"/>
      <c r="W1082" s="52"/>
      <c r="X1082" s="52"/>
      <c r="Y1082" s="58"/>
      <c r="Z1082" s="57"/>
      <c r="AA1082" s="52"/>
      <c r="AB1082" s="52"/>
      <c r="AC1082" s="58"/>
      <c r="AD1082" s="57"/>
      <c r="AE1082" s="52"/>
      <c r="AF1082" s="52"/>
      <c r="AG1082" s="58"/>
      <c r="AH1082" s="57"/>
      <c r="AI1082" s="52"/>
      <c r="AJ1082" s="52"/>
      <c r="AK1082" s="58"/>
      <c r="AL1082" s="57"/>
      <c r="AM1082" s="52"/>
      <c r="AN1082" s="52"/>
      <c r="AO1082" s="58"/>
      <c r="AP1082" s="57"/>
      <c r="AQ1082" s="52"/>
      <c r="AR1082" s="52"/>
      <c r="AS1082" s="58"/>
      <c r="AT1082" s="57"/>
      <c r="AU1082" s="52"/>
      <c r="AV1082" s="52"/>
      <c r="AW1082" s="58"/>
      <c r="AX1082" s="33">
        <f>SUM(E1082:AW1082)</f>
        <v>0</v>
      </c>
      <c r="AY1082" s="31">
        <f>IFERROR(AVERAGEIF(E1082:AW1082,"&lt;&gt;0",(E1082:AW1082)),)</f>
        <v>0</v>
      </c>
      <c r="AZ1082" s="30">
        <f>IFERROR(AY1082/D1082,0)</f>
        <v>0</v>
      </c>
      <c r="BA1082" s="34"/>
      <c r="BB1082" s="34"/>
      <c r="BC1082" s="34"/>
      <c r="BD1082" s="76"/>
      <c r="BE1082" s="34"/>
      <c r="BF1082" s="34"/>
      <c r="BG1082" s="34"/>
      <c r="BH1082" s="34"/>
    </row>
    <row r="1083" spans="1:60" s="17" customFormat="1" ht="19.5" customHeight="1" thickBot="1" x14ac:dyDescent="0.4">
      <c r="A1083" s="41">
        <f t="shared" si="1040"/>
        <v>45443</v>
      </c>
      <c r="B1083" s="37" t="str">
        <f>B1082</f>
        <v>Etiket Hazırlama</v>
      </c>
      <c r="C1083" s="66">
        <f>C907</f>
        <v>0</v>
      </c>
      <c r="D1083" s="67">
        <f>D1082</f>
        <v>120</v>
      </c>
      <c r="E1083" s="64"/>
      <c r="F1083" s="61"/>
      <c r="G1083" s="61"/>
      <c r="H1083" s="62"/>
      <c r="I1083" s="64"/>
      <c r="J1083" s="61"/>
      <c r="K1083" s="61"/>
      <c r="L1083" s="62"/>
      <c r="M1083" s="64"/>
      <c r="N1083" s="61"/>
      <c r="O1083" s="61"/>
      <c r="P1083" s="62"/>
      <c r="Q1083" s="64"/>
      <c r="R1083" s="61"/>
      <c r="S1083" s="61"/>
      <c r="T1083" s="61"/>
      <c r="U1083" s="62"/>
      <c r="V1083" s="64"/>
      <c r="W1083" s="61"/>
      <c r="X1083" s="61"/>
      <c r="Y1083" s="62"/>
      <c r="Z1083" s="59"/>
      <c r="AA1083" s="60"/>
      <c r="AB1083" s="61"/>
      <c r="AC1083" s="62"/>
      <c r="AD1083" s="59"/>
      <c r="AE1083" s="60"/>
      <c r="AF1083" s="61"/>
      <c r="AG1083" s="62"/>
      <c r="AH1083" s="59"/>
      <c r="AI1083" s="60"/>
      <c r="AJ1083" s="61"/>
      <c r="AK1083" s="62"/>
      <c r="AL1083" s="59"/>
      <c r="AM1083" s="60"/>
      <c r="AN1083" s="61"/>
      <c r="AO1083" s="62"/>
      <c r="AP1083" s="59"/>
      <c r="AQ1083" s="60"/>
      <c r="AR1083" s="61"/>
      <c r="AS1083" s="62"/>
      <c r="AT1083" s="59"/>
      <c r="AU1083" s="60"/>
      <c r="AV1083" s="61"/>
      <c r="AW1083" s="62"/>
      <c r="AX1083" s="43">
        <f>SUM(E1083:AW1083)</f>
        <v>0</v>
      </c>
      <c r="AY1083" s="44">
        <f>IFERROR(AVERAGEIF(E1083:AW1083,"&lt;&gt;0",(E1083:AW1083)),)</f>
        <v>0</v>
      </c>
      <c r="AZ1083" s="45">
        <f>IFERROR(AY1083/D1083,0)</f>
        <v>0</v>
      </c>
      <c r="BA1083" s="34"/>
      <c r="BB1083" s="34"/>
      <c r="BC1083" s="34"/>
      <c r="BD1083" s="76"/>
      <c r="BE1083" s="34"/>
      <c r="BF1083" s="34"/>
      <c r="BG1083" s="34"/>
      <c r="BH1083" s="34"/>
    </row>
    <row r="1084" spans="1:60" s="17" customFormat="1" ht="19.5" customHeight="1" thickBot="1" x14ac:dyDescent="0.45">
      <c r="A1084" s="41">
        <f t="shared" si="1040"/>
        <v>45443</v>
      </c>
      <c r="B1084" s="139" t="str">
        <f>B1079</f>
        <v>Etiket Hazırlama</v>
      </c>
      <c r="C1084" s="140"/>
      <c r="D1084" s="40">
        <f>C1062/8</f>
        <v>500</v>
      </c>
      <c r="E1084" s="151">
        <f>SUM(E1079:H1083)</f>
        <v>445</v>
      </c>
      <c r="F1084" s="152"/>
      <c r="G1084" s="152"/>
      <c r="H1084" s="153"/>
      <c r="I1084" s="151">
        <f>SUM(I1079:L1083)</f>
        <v>450</v>
      </c>
      <c r="J1084" s="152"/>
      <c r="K1084" s="152"/>
      <c r="L1084" s="153"/>
      <c r="M1084" s="151">
        <f>SUM(M1079:P1083)</f>
        <v>490</v>
      </c>
      <c r="N1084" s="152"/>
      <c r="O1084" s="152"/>
      <c r="P1084" s="153"/>
      <c r="Q1084" s="151">
        <f>SUM(Q1079:U1083)</f>
        <v>575</v>
      </c>
      <c r="R1084" s="152"/>
      <c r="S1084" s="152"/>
      <c r="T1084" s="152"/>
      <c r="U1084" s="153"/>
      <c r="V1084" s="151">
        <f>SUM(V1079:Y1083)</f>
        <v>480</v>
      </c>
      <c r="W1084" s="152"/>
      <c r="X1084" s="152"/>
      <c r="Y1084" s="153"/>
      <c r="Z1084" s="151">
        <f>SUM(Z1079:AC1083)</f>
        <v>460</v>
      </c>
      <c r="AA1084" s="152"/>
      <c r="AB1084" s="152"/>
      <c r="AC1084" s="153"/>
      <c r="AD1084" s="151">
        <f>SUM(AD1079:AG1083)</f>
        <v>342</v>
      </c>
      <c r="AE1084" s="152"/>
      <c r="AF1084" s="152"/>
      <c r="AG1084" s="153"/>
      <c r="AH1084" s="151">
        <f>SUM(AH1079:AK1083)</f>
        <v>360</v>
      </c>
      <c r="AI1084" s="152"/>
      <c r="AJ1084" s="152"/>
      <c r="AK1084" s="153"/>
      <c r="AL1084" s="151">
        <f>SUM(AL1079:AO1083)</f>
        <v>0</v>
      </c>
      <c r="AM1084" s="152"/>
      <c r="AN1084" s="152"/>
      <c r="AO1084" s="153"/>
      <c r="AP1084" s="151">
        <f>SUM(AP1079:AS1083)</f>
        <v>0</v>
      </c>
      <c r="AQ1084" s="152"/>
      <c r="AR1084" s="152"/>
      <c r="AS1084" s="153"/>
      <c r="AT1084" s="151">
        <f>SUM(AT1079:AW1083)</f>
        <v>0</v>
      </c>
      <c r="AU1084" s="152"/>
      <c r="AV1084" s="152"/>
      <c r="AW1084" s="153"/>
      <c r="AX1084" s="87">
        <f>SUM(AX1079:AX1083)</f>
        <v>3602</v>
      </c>
      <c r="AY1084" s="88">
        <f>IFERROR(AVERAGEIF(E1084:AV1084,"&lt;&gt;0",(E1084:AV1084)),)</f>
        <v>450.25</v>
      </c>
      <c r="AZ1084" s="46">
        <f>IFERROR(AX1084/BB1080,0)</f>
        <v>0.90049999999999997</v>
      </c>
      <c r="BA1084" s="34"/>
      <c r="BB1084" s="34"/>
      <c r="BC1084" s="34"/>
      <c r="BD1084" s="76"/>
      <c r="BE1084" s="34"/>
      <c r="BF1084" s="34"/>
      <c r="BG1084" s="34"/>
      <c r="BH1084" s="34"/>
    </row>
    <row r="1085" spans="1:60" s="17" customFormat="1" ht="19.5" customHeight="1" thickBot="1" x14ac:dyDescent="0.4">
      <c r="A1085" s="42">
        <f>A1064</f>
        <v>45443</v>
      </c>
      <c r="B1085" s="38" t="str">
        <f>B1086</f>
        <v>Tela Yapıştırma</v>
      </c>
      <c r="C1085" s="39" t="s">
        <v>180</v>
      </c>
      <c r="D1085" s="69" t="s">
        <v>181</v>
      </c>
      <c r="E1085" s="48">
        <v>0.34375</v>
      </c>
      <c r="F1085" s="49">
        <v>0.35416666666666669</v>
      </c>
      <c r="G1085" s="49">
        <v>0.36458333333333331</v>
      </c>
      <c r="H1085" s="50">
        <v>0.375</v>
      </c>
      <c r="I1085" s="48">
        <v>0.38541666666666702</v>
      </c>
      <c r="J1085" s="49">
        <v>0.39583333333333298</v>
      </c>
      <c r="K1085" s="49">
        <v>0.40625</v>
      </c>
      <c r="L1085" s="50">
        <v>0.41666666666666702</v>
      </c>
      <c r="M1085" s="48">
        <v>0.4375</v>
      </c>
      <c r="N1085" s="49">
        <v>0.44791666666666702</v>
      </c>
      <c r="O1085" s="49">
        <v>0.45833333333333398</v>
      </c>
      <c r="P1085" s="50">
        <v>0.46875</v>
      </c>
      <c r="Q1085" s="48">
        <v>0.47916666666666702</v>
      </c>
      <c r="R1085" s="49">
        <v>0.48958333333333398</v>
      </c>
      <c r="S1085" s="49">
        <v>0.5</v>
      </c>
      <c r="T1085" s="50">
        <v>0.51041666666666696</v>
      </c>
      <c r="U1085" s="51">
        <v>0.52083333333333204</v>
      </c>
      <c r="V1085" s="48">
        <v>0.5625</v>
      </c>
      <c r="W1085" s="49">
        <v>0.57291666666666663</v>
      </c>
      <c r="X1085" s="49">
        <v>0.58333333333333304</v>
      </c>
      <c r="Y1085" s="50">
        <v>0.59375</v>
      </c>
      <c r="Z1085" s="48">
        <v>0.60416666666666696</v>
      </c>
      <c r="AA1085" s="49">
        <v>0.61458333333333304</v>
      </c>
      <c r="AB1085" s="49">
        <v>0.625</v>
      </c>
      <c r="AC1085" s="50">
        <v>0.63541666666666596</v>
      </c>
      <c r="AD1085" s="48">
        <v>0.65625</v>
      </c>
      <c r="AE1085" s="49">
        <v>0.66666666666666663</v>
      </c>
      <c r="AF1085" s="49">
        <v>0.67708333333333304</v>
      </c>
      <c r="AG1085" s="50">
        <v>0.6875</v>
      </c>
      <c r="AH1085" s="48">
        <v>0.69791666666666696</v>
      </c>
      <c r="AI1085" s="49">
        <v>0.70833333333333304</v>
      </c>
      <c r="AJ1085" s="49">
        <v>0.71875</v>
      </c>
      <c r="AK1085" s="50">
        <v>0.72916666666666696</v>
      </c>
      <c r="AL1085" s="48">
        <v>0.73958333333333404</v>
      </c>
      <c r="AM1085" s="49">
        <v>0.750000000000001</v>
      </c>
      <c r="AN1085" s="49">
        <v>0.76041666666666796</v>
      </c>
      <c r="AO1085" s="50">
        <v>0.77083333333333504</v>
      </c>
      <c r="AP1085" s="48">
        <v>0.781250000000002</v>
      </c>
      <c r="AQ1085" s="49">
        <v>0.79166666666666896</v>
      </c>
      <c r="AR1085" s="49">
        <v>0.80208333333333603</v>
      </c>
      <c r="AS1085" s="50">
        <v>0.812500000000003</v>
      </c>
      <c r="AT1085" s="48">
        <v>0.82291666666666996</v>
      </c>
      <c r="AU1085" s="49">
        <v>0.83333333333333703</v>
      </c>
      <c r="AV1085" s="49">
        <v>0.843750000000004</v>
      </c>
      <c r="AW1085" s="50">
        <v>0.85416666666666663</v>
      </c>
      <c r="AX1085" s="68" t="s">
        <v>260</v>
      </c>
      <c r="AY1085" s="28" t="s">
        <v>261</v>
      </c>
      <c r="AZ1085" s="29" t="s">
        <v>262</v>
      </c>
      <c r="BA1085" s="136" t="str">
        <f>B1086</f>
        <v>Tela Yapıştırma</v>
      </c>
      <c r="BB1085" s="137"/>
      <c r="BC1085" s="137"/>
      <c r="BD1085" s="137"/>
      <c r="BE1085" s="137"/>
      <c r="BF1085" s="137"/>
      <c r="BG1085" s="137"/>
      <c r="BH1085" s="138"/>
    </row>
    <row r="1086" spans="1:60" s="17" customFormat="1" ht="19.5" customHeight="1" thickBot="1" x14ac:dyDescent="0.4">
      <c r="A1086" s="41">
        <f>A1078</f>
        <v>45443</v>
      </c>
      <c r="B1086" s="37" t="str">
        <f>B910</f>
        <v>Tela Yapıştırma</v>
      </c>
      <c r="C1086" s="66" t="str">
        <f>C910</f>
        <v>AYŞE ADADA</v>
      </c>
      <c r="D1086" s="70">
        <f>D910</f>
        <v>200</v>
      </c>
      <c r="E1086" s="63"/>
      <c r="F1086" s="55"/>
      <c r="G1086" s="55"/>
      <c r="H1086" s="56"/>
      <c r="I1086" s="63"/>
      <c r="J1086" s="55"/>
      <c r="K1086" s="55"/>
      <c r="L1086" s="56"/>
      <c r="M1086" s="63"/>
      <c r="N1086" s="55"/>
      <c r="O1086" s="55"/>
      <c r="P1086" s="56"/>
      <c r="Q1086" s="63"/>
      <c r="R1086" s="55"/>
      <c r="S1086" s="55"/>
      <c r="T1086" s="55"/>
      <c r="U1086" s="56"/>
      <c r="V1086" s="63"/>
      <c r="W1086" s="55"/>
      <c r="X1086" s="55"/>
      <c r="Y1086" s="56"/>
      <c r="Z1086" s="63"/>
      <c r="AA1086" s="55"/>
      <c r="AB1086" s="55"/>
      <c r="AC1086" s="56"/>
      <c r="AD1086" s="63"/>
      <c r="AE1086" s="55"/>
      <c r="AF1086" s="55"/>
      <c r="AG1086" s="56"/>
      <c r="AH1086" s="63"/>
      <c r="AI1086" s="55"/>
      <c r="AJ1086" s="55"/>
      <c r="AK1086" s="56"/>
      <c r="AL1086" s="63"/>
      <c r="AM1086" s="55"/>
      <c r="AN1086" s="55"/>
      <c r="AO1086" s="56"/>
      <c r="AP1086" s="63"/>
      <c r="AQ1086" s="54"/>
      <c r="AR1086" s="55"/>
      <c r="AS1086" s="56"/>
      <c r="AT1086" s="53"/>
      <c r="AU1086" s="54"/>
      <c r="AV1086" s="55"/>
      <c r="AW1086" s="56"/>
      <c r="AX1086" s="33">
        <f>SUM(E1086:AW1086)</f>
        <v>0</v>
      </c>
      <c r="AY1086" s="31">
        <f>IFERROR(AVERAGEIF(E1086:AW1086,"&lt;&gt;0",(E1086:AW1086)),)</f>
        <v>0</v>
      </c>
      <c r="AZ1086" s="30">
        <f>IFERROR(AY1086/D1086,0)</f>
        <v>0</v>
      </c>
      <c r="BA1086" s="103" t="s">
        <v>182</v>
      </c>
      <c r="BB1086" s="100" t="s">
        <v>183</v>
      </c>
      <c r="BC1086" s="100" t="s">
        <v>184</v>
      </c>
      <c r="BD1086" s="101" t="s">
        <v>185</v>
      </c>
      <c r="BE1086" s="100" t="s">
        <v>186</v>
      </c>
      <c r="BF1086" s="102" t="s">
        <v>187</v>
      </c>
      <c r="BG1086" s="100" t="s">
        <v>188</v>
      </c>
      <c r="BH1086" s="102" t="s">
        <v>189</v>
      </c>
    </row>
    <row r="1087" spans="1:60" s="17" customFormat="1" ht="19.5" customHeight="1" thickBot="1" x14ac:dyDescent="0.4">
      <c r="A1087" s="41">
        <f t="shared" ref="A1087:B1087" si="1041">A1086</f>
        <v>45443</v>
      </c>
      <c r="B1087" s="37" t="str">
        <f t="shared" si="1041"/>
        <v>Tela Yapıştırma</v>
      </c>
      <c r="C1087" s="66">
        <f>C911</f>
        <v>0</v>
      </c>
      <c r="D1087" s="67">
        <f>D1086</f>
        <v>200</v>
      </c>
      <c r="E1087" s="57"/>
      <c r="F1087" s="52"/>
      <c r="G1087" s="52"/>
      <c r="H1087" s="58"/>
      <c r="I1087" s="57"/>
      <c r="J1087" s="52"/>
      <c r="K1087" s="52"/>
      <c r="L1087" s="58"/>
      <c r="M1087" s="57"/>
      <c r="N1087" s="52"/>
      <c r="O1087" s="52"/>
      <c r="P1087" s="58"/>
      <c r="Q1087" s="57"/>
      <c r="R1087" s="52"/>
      <c r="S1087" s="52"/>
      <c r="T1087" s="52"/>
      <c r="U1087" s="58"/>
      <c r="V1087" s="57"/>
      <c r="W1087" s="52"/>
      <c r="X1087" s="52"/>
      <c r="Y1087" s="58"/>
      <c r="Z1087" s="57"/>
      <c r="AA1087" s="52"/>
      <c r="AB1087" s="52"/>
      <c r="AC1087" s="58"/>
      <c r="AD1087" s="57"/>
      <c r="AE1087" s="52"/>
      <c r="AF1087" s="52"/>
      <c r="AG1087" s="58"/>
      <c r="AH1087" s="57"/>
      <c r="AI1087" s="52"/>
      <c r="AJ1087" s="52"/>
      <c r="AK1087" s="58"/>
      <c r="AL1087" s="57"/>
      <c r="AM1087" s="52"/>
      <c r="AN1087" s="52"/>
      <c r="AO1087" s="58"/>
      <c r="AP1087" s="57"/>
      <c r="AQ1087" s="52"/>
      <c r="AR1087" s="52"/>
      <c r="AS1087" s="58"/>
      <c r="AT1087" s="57"/>
      <c r="AU1087" s="52"/>
      <c r="AV1087" s="52"/>
      <c r="AW1087" s="58"/>
      <c r="AX1087" s="33">
        <f>SUM(E1087:AW1087)</f>
        <v>0</v>
      </c>
      <c r="AY1087" s="31">
        <f>IFERROR(AVERAGEIF(E1087:AW1087,"&lt;&gt;0",(E1087:AW1087)),)</f>
        <v>0</v>
      </c>
      <c r="AZ1087" s="30">
        <f>IFERROR(AY1087/D1087,0)</f>
        <v>0</v>
      </c>
      <c r="BA1087" s="94">
        <f>AX1091+BA911</f>
        <v>0</v>
      </c>
      <c r="BB1087" s="95">
        <f>(D1091*8)</f>
        <v>4000</v>
      </c>
      <c r="BC1087" s="96">
        <f>C1061-BA1087</f>
        <v>42311</v>
      </c>
      <c r="BD1087" s="96">
        <f>BC1087</f>
        <v>42311</v>
      </c>
      <c r="BE1087" s="97">
        <f>IFERROR(BC1087/E1091,0)</f>
        <v>0</v>
      </c>
      <c r="BF1087" s="98">
        <f>IFERROR(BE1087/9,0)</f>
        <v>0</v>
      </c>
      <c r="BG1087" s="97">
        <f>IFERROR(BC1087/AY1091,0)</f>
        <v>0</v>
      </c>
      <c r="BH1087" s="97">
        <f>IFERROR(BG1087/9,0)</f>
        <v>0</v>
      </c>
    </row>
    <row r="1088" spans="1:60" s="17" customFormat="1" ht="19.5" customHeight="1" x14ac:dyDescent="0.35">
      <c r="A1088" s="41">
        <f t="shared" ref="A1088:B1088" si="1042">A1087</f>
        <v>45443</v>
      </c>
      <c r="B1088" s="37" t="str">
        <f t="shared" si="1042"/>
        <v>Tela Yapıştırma</v>
      </c>
      <c r="C1088" s="66">
        <f>C912</f>
        <v>0</v>
      </c>
      <c r="D1088" s="67">
        <f>D1087</f>
        <v>200</v>
      </c>
      <c r="E1088" s="57"/>
      <c r="F1088" s="52"/>
      <c r="G1088" s="52"/>
      <c r="H1088" s="58"/>
      <c r="I1088" s="57"/>
      <c r="J1088" s="52"/>
      <c r="K1088" s="52"/>
      <c r="L1088" s="58"/>
      <c r="M1088" s="57"/>
      <c r="N1088" s="52"/>
      <c r="O1088" s="52"/>
      <c r="P1088" s="58"/>
      <c r="Q1088" s="57"/>
      <c r="R1088" s="52"/>
      <c r="S1088" s="52"/>
      <c r="T1088" s="52"/>
      <c r="U1088" s="58"/>
      <c r="V1088" s="57"/>
      <c r="W1088" s="52"/>
      <c r="X1088" s="52"/>
      <c r="Y1088" s="58"/>
      <c r="Z1088" s="57"/>
      <c r="AA1088" s="52"/>
      <c r="AB1088" s="52"/>
      <c r="AC1088" s="58"/>
      <c r="AD1088" s="57"/>
      <c r="AE1088" s="52"/>
      <c r="AF1088" s="52"/>
      <c r="AG1088" s="58"/>
      <c r="AH1088" s="57"/>
      <c r="AI1088" s="52"/>
      <c r="AJ1088" s="52"/>
      <c r="AK1088" s="58"/>
      <c r="AL1088" s="57"/>
      <c r="AM1088" s="52"/>
      <c r="AN1088" s="52"/>
      <c r="AO1088" s="58"/>
      <c r="AP1088" s="57"/>
      <c r="AQ1088" s="52"/>
      <c r="AR1088" s="52"/>
      <c r="AS1088" s="58"/>
      <c r="AT1088" s="57"/>
      <c r="AU1088" s="52"/>
      <c r="AV1088" s="52"/>
      <c r="AW1088" s="58"/>
      <c r="AX1088" s="33">
        <f>SUM(E1088:AW1088)</f>
        <v>0</v>
      </c>
      <c r="AY1088" s="31">
        <f>IFERROR(AVERAGEIF(E1088:AW1088,"&lt;&gt;0",(E1088:AW1088)),)</f>
        <v>0</v>
      </c>
      <c r="AZ1088" s="30">
        <f>IFERROR(AY1088/D1088,0)</f>
        <v>0</v>
      </c>
      <c r="BA1088" s="34"/>
      <c r="BB1088" s="34"/>
      <c r="BC1088" s="34"/>
      <c r="BD1088" s="76"/>
      <c r="BE1088" s="34"/>
      <c r="BF1088" s="34"/>
      <c r="BG1088" s="34"/>
      <c r="BH1088" s="34"/>
    </row>
    <row r="1089" spans="1:60" s="17" customFormat="1" ht="19.5" customHeight="1" x14ac:dyDescent="0.35">
      <c r="A1089" s="41">
        <f t="shared" ref="A1089:B1089" si="1043">A1088</f>
        <v>45443</v>
      </c>
      <c r="B1089" s="37" t="str">
        <f t="shared" si="1043"/>
        <v>Tela Yapıştırma</v>
      </c>
      <c r="C1089" s="66">
        <f>C913</f>
        <v>0</v>
      </c>
      <c r="D1089" s="67">
        <f>D1088</f>
        <v>200</v>
      </c>
      <c r="E1089" s="57"/>
      <c r="F1089" s="52"/>
      <c r="G1089" s="52"/>
      <c r="H1089" s="58"/>
      <c r="I1089" s="57"/>
      <c r="J1089" s="52"/>
      <c r="K1089" s="52"/>
      <c r="L1089" s="58"/>
      <c r="M1089" s="57"/>
      <c r="N1089" s="52"/>
      <c r="O1089" s="52"/>
      <c r="P1089" s="58"/>
      <c r="Q1089" s="57"/>
      <c r="R1089" s="52"/>
      <c r="S1089" s="52"/>
      <c r="T1089" s="52"/>
      <c r="U1089" s="58"/>
      <c r="V1089" s="57"/>
      <c r="W1089" s="52"/>
      <c r="X1089" s="52"/>
      <c r="Y1089" s="58"/>
      <c r="Z1089" s="57"/>
      <c r="AA1089" s="52"/>
      <c r="AB1089" s="52"/>
      <c r="AC1089" s="58"/>
      <c r="AD1089" s="57"/>
      <c r="AE1089" s="52"/>
      <c r="AF1089" s="52"/>
      <c r="AG1089" s="58"/>
      <c r="AH1089" s="57"/>
      <c r="AI1089" s="52"/>
      <c r="AJ1089" s="52"/>
      <c r="AK1089" s="58"/>
      <c r="AL1089" s="57"/>
      <c r="AM1089" s="52"/>
      <c r="AN1089" s="52"/>
      <c r="AO1089" s="58"/>
      <c r="AP1089" s="57"/>
      <c r="AQ1089" s="52"/>
      <c r="AR1089" s="52"/>
      <c r="AS1089" s="58"/>
      <c r="AT1089" s="57"/>
      <c r="AU1089" s="52"/>
      <c r="AV1089" s="52"/>
      <c r="AW1089" s="58"/>
      <c r="AX1089" s="33">
        <f>SUM(E1089:AW1089)</f>
        <v>0</v>
      </c>
      <c r="AY1089" s="31">
        <f>IFERROR(AVERAGEIF(E1089:AW1089,"&lt;&gt;0",(E1089:AW1089)),)</f>
        <v>0</v>
      </c>
      <c r="AZ1089" s="30">
        <f>IFERROR(AY1089/D1089,0)</f>
        <v>0</v>
      </c>
      <c r="BA1089" s="34"/>
      <c r="BB1089" s="34"/>
      <c r="BC1089" s="34"/>
      <c r="BD1089" s="76"/>
      <c r="BE1089" s="34"/>
      <c r="BF1089" s="34"/>
      <c r="BG1089" s="34"/>
      <c r="BH1089" s="34"/>
    </row>
    <row r="1090" spans="1:60" s="17" customFormat="1" ht="19.5" customHeight="1" thickBot="1" x14ac:dyDescent="0.4">
      <c r="A1090" s="41">
        <f t="shared" ref="A1090:B1090" si="1044">A1089</f>
        <v>45443</v>
      </c>
      <c r="B1090" s="37" t="str">
        <f t="shared" si="1044"/>
        <v>Tela Yapıştırma</v>
      </c>
      <c r="C1090" s="66">
        <f>C914</f>
        <v>0</v>
      </c>
      <c r="D1090" s="67">
        <f>D1089</f>
        <v>200</v>
      </c>
      <c r="E1090" s="64"/>
      <c r="F1090" s="61"/>
      <c r="G1090" s="61"/>
      <c r="H1090" s="62"/>
      <c r="I1090" s="64"/>
      <c r="J1090" s="61"/>
      <c r="K1090" s="61"/>
      <c r="L1090" s="62"/>
      <c r="M1090" s="64"/>
      <c r="N1090" s="61"/>
      <c r="O1090" s="61"/>
      <c r="P1090" s="62"/>
      <c r="Q1090" s="64"/>
      <c r="R1090" s="61"/>
      <c r="S1090" s="61"/>
      <c r="T1090" s="61"/>
      <c r="U1090" s="62"/>
      <c r="V1090" s="64"/>
      <c r="W1090" s="61"/>
      <c r="X1090" s="61"/>
      <c r="Y1090" s="62"/>
      <c r="Z1090" s="59"/>
      <c r="AA1090" s="60"/>
      <c r="AB1090" s="61"/>
      <c r="AC1090" s="62"/>
      <c r="AD1090" s="59"/>
      <c r="AE1090" s="60"/>
      <c r="AF1090" s="61"/>
      <c r="AG1090" s="62"/>
      <c r="AH1090" s="59"/>
      <c r="AI1090" s="60"/>
      <c r="AJ1090" s="61"/>
      <c r="AK1090" s="62"/>
      <c r="AL1090" s="59"/>
      <c r="AM1090" s="60"/>
      <c r="AN1090" s="61"/>
      <c r="AO1090" s="62"/>
      <c r="AP1090" s="59"/>
      <c r="AQ1090" s="60"/>
      <c r="AR1090" s="61"/>
      <c r="AS1090" s="62"/>
      <c r="AT1090" s="59"/>
      <c r="AU1090" s="60"/>
      <c r="AV1090" s="61"/>
      <c r="AW1090" s="62"/>
      <c r="AX1090" s="43">
        <f>SUM(E1090:AW1090)</f>
        <v>0</v>
      </c>
      <c r="AY1090" s="44">
        <f>IFERROR(AVERAGEIF(E1090:AW1090,"&lt;&gt;0",(E1090:AW1090)),)</f>
        <v>0</v>
      </c>
      <c r="AZ1090" s="45">
        <f>IFERROR(AY1090/D1090,0)</f>
        <v>0</v>
      </c>
      <c r="BA1090" s="34"/>
      <c r="BB1090" s="34"/>
      <c r="BC1090" s="34"/>
      <c r="BD1090" s="76"/>
      <c r="BE1090" s="34"/>
      <c r="BF1090" s="34"/>
      <c r="BG1090" s="34"/>
      <c r="BH1090" s="34"/>
    </row>
    <row r="1091" spans="1:60" s="17" customFormat="1" ht="19.5" customHeight="1" thickBot="1" x14ac:dyDescent="0.45">
      <c r="A1091" s="41">
        <f>A1090</f>
        <v>45443</v>
      </c>
      <c r="B1091" s="139" t="str">
        <f>B1086</f>
        <v>Tela Yapıştırma</v>
      </c>
      <c r="C1091" s="140"/>
      <c r="D1091" s="40">
        <f>C1062/8</f>
        <v>500</v>
      </c>
      <c r="E1091" s="151">
        <f>SUM(E1086:H1090)</f>
        <v>0</v>
      </c>
      <c r="F1091" s="152"/>
      <c r="G1091" s="152"/>
      <c r="H1091" s="153"/>
      <c r="I1091" s="151">
        <f>SUM(I1086:L1090)</f>
        <v>0</v>
      </c>
      <c r="J1091" s="152"/>
      <c r="K1091" s="152"/>
      <c r="L1091" s="153"/>
      <c r="M1091" s="151">
        <f>SUM(M1086:P1090)</f>
        <v>0</v>
      </c>
      <c r="N1091" s="152"/>
      <c r="O1091" s="152"/>
      <c r="P1091" s="153"/>
      <c r="Q1091" s="151">
        <f>SUM(Q1086:U1090)</f>
        <v>0</v>
      </c>
      <c r="R1091" s="152"/>
      <c r="S1091" s="152"/>
      <c r="T1091" s="152"/>
      <c r="U1091" s="153"/>
      <c r="V1091" s="151">
        <f>SUM(V1086:Y1090)</f>
        <v>0</v>
      </c>
      <c r="W1091" s="152"/>
      <c r="X1091" s="152"/>
      <c r="Y1091" s="153"/>
      <c r="Z1091" s="151">
        <f>SUM(Z1086:AC1090)</f>
        <v>0</v>
      </c>
      <c r="AA1091" s="152"/>
      <c r="AB1091" s="152"/>
      <c r="AC1091" s="153"/>
      <c r="AD1091" s="151">
        <f>SUM(AD1086:AG1090)</f>
        <v>0</v>
      </c>
      <c r="AE1091" s="152"/>
      <c r="AF1091" s="152"/>
      <c r="AG1091" s="153"/>
      <c r="AH1091" s="151">
        <f>SUM(AH1086:AK1090)</f>
        <v>0</v>
      </c>
      <c r="AI1091" s="152"/>
      <c r="AJ1091" s="152"/>
      <c r="AK1091" s="153"/>
      <c r="AL1091" s="151">
        <f>SUM(AL1086:AO1090)</f>
        <v>0</v>
      </c>
      <c r="AM1091" s="152"/>
      <c r="AN1091" s="152"/>
      <c r="AO1091" s="153"/>
      <c r="AP1091" s="151">
        <f>SUM(AP1086:AS1090)</f>
        <v>0</v>
      </c>
      <c r="AQ1091" s="152"/>
      <c r="AR1091" s="152"/>
      <c r="AS1091" s="153"/>
      <c r="AT1091" s="151">
        <f>SUM(AT1086:AW1090)</f>
        <v>0</v>
      </c>
      <c r="AU1091" s="152"/>
      <c r="AV1091" s="152"/>
      <c r="AW1091" s="153"/>
      <c r="AX1091" s="87">
        <f>SUM(AX1086:AX1090)</f>
        <v>0</v>
      </c>
      <c r="AY1091" s="88">
        <f>IFERROR(AVERAGEIF(E1091:AV1091,"&lt;&gt;0",(E1091:AV1091)),)</f>
        <v>0</v>
      </c>
      <c r="AZ1091" s="46">
        <f>IFERROR(AX1091/BB1087,0)</f>
        <v>0</v>
      </c>
      <c r="BA1091" s="34"/>
      <c r="BB1091" s="34"/>
      <c r="BC1091" s="34"/>
      <c r="BD1091" s="76"/>
      <c r="BE1091" s="34"/>
      <c r="BF1091" s="34"/>
      <c r="BG1091" s="34"/>
      <c r="BH1091" s="34"/>
    </row>
    <row r="1092" spans="1:60" s="17" customFormat="1" ht="19.5" customHeight="1" thickBot="1" x14ac:dyDescent="0.4">
      <c r="A1092" s="42">
        <f>A1078</f>
        <v>45443</v>
      </c>
      <c r="B1092" s="38">
        <f>B1093</f>
        <v>0</v>
      </c>
      <c r="C1092" s="39" t="s">
        <v>180</v>
      </c>
      <c r="D1092" s="69" t="s">
        <v>181</v>
      </c>
      <c r="E1092" s="48">
        <v>0.34375</v>
      </c>
      <c r="F1092" s="49">
        <v>0.35416666666666669</v>
      </c>
      <c r="G1092" s="49">
        <v>0.36458333333333331</v>
      </c>
      <c r="H1092" s="50">
        <v>0.375</v>
      </c>
      <c r="I1092" s="48">
        <v>0.38541666666666702</v>
      </c>
      <c r="J1092" s="49">
        <v>0.39583333333333298</v>
      </c>
      <c r="K1092" s="49">
        <v>0.40625</v>
      </c>
      <c r="L1092" s="50">
        <v>0.41666666666666702</v>
      </c>
      <c r="M1092" s="48">
        <v>0.4375</v>
      </c>
      <c r="N1092" s="49">
        <v>0.44791666666666702</v>
      </c>
      <c r="O1092" s="49">
        <v>0.45833333333333398</v>
      </c>
      <c r="P1092" s="50">
        <v>0.46875</v>
      </c>
      <c r="Q1092" s="48">
        <v>0.47916666666666702</v>
      </c>
      <c r="R1092" s="49">
        <v>0.48958333333333398</v>
      </c>
      <c r="S1092" s="49">
        <v>0.5</v>
      </c>
      <c r="T1092" s="50">
        <v>0.51041666666666696</v>
      </c>
      <c r="U1092" s="51">
        <v>0.52083333333333204</v>
      </c>
      <c r="V1092" s="48">
        <v>0.5625</v>
      </c>
      <c r="W1092" s="49">
        <v>0.57291666666666663</v>
      </c>
      <c r="X1092" s="49">
        <v>0.58333333333333304</v>
      </c>
      <c r="Y1092" s="50">
        <v>0.59375</v>
      </c>
      <c r="Z1092" s="48">
        <v>0.60416666666666696</v>
      </c>
      <c r="AA1092" s="49">
        <v>0.61458333333333304</v>
      </c>
      <c r="AB1092" s="49">
        <v>0.625</v>
      </c>
      <c r="AC1092" s="50">
        <v>0.63541666666666596</v>
      </c>
      <c r="AD1092" s="48">
        <v>0.65625</v>
      </c>
      <c r="AE1092" s="49">
        <v>0.66666666666666663</v>
      </c>
      <c r="AF1092" s="49">
        <v>0.67708333333333304</v>
      </c>
      <c r="AG1092" s="50">
        <v>0.6875</v>
      </c>
      <c r="AH1092" s="48">
        <v>0.69791666666666696</v>
      </c>
      <c r="AI1092" s="49">
        <v>0.70833333333333304</v>
      </c>
      <c r="AJ1092" s="49">
        <v>0.71875</v>
      </c>
      <c r="AK1092" s="50">
        <v>0.72916666666666696</v>
      </c>
      <c r="AL1092" s="48">
        <v>0.73958333333333404</v>
      </c>
      <c r="AM1092" s="49">
        <v>0.750000000000001</v>
      </c>
      <c r="AN1092" s="49">
        <v>0.76041666666666796</v>
      </c>
      <c r="AO1092" s="50">
        <v>0.77083333333333504</v>
      </c>
      <c r="AP1092" s="48">
        <v>0.781250000000002</v>
      </c>
      <c r="AQ1092" s="49">
        <v>0.79166666666666896</v>
      </c>
      <c r="AR1092" s="49">
        <v>0.80208333333333603</v>
      </c>
      <c r="AS1092" s="50">
        <v>0.812500000000003</v>
      </c>
      <c r="AT1092" s="48">
        <v>0.82291666666666996</v>
      </c>
      <c r="AU1092" s="49">
        <v>0.83333333333333703</v>
      </c>
      <c r="AV1092" s="49">
        <v>0.843750000000004</v>
      </c>
      <c r="AW1092" s="50">
        <v>0.85416666666666663</v>
      </c>
      <c r="AX1092" s="68" t="s">
        <v>260</v>
      </c>
      <c r="AY1092" s="28" t="s">
        <v>261</v>
      </c>
      <c r="AZ1092" s="29" t="s">
        <v>262</v>
      </c>
      <c r="BA1092" s="136">
        <f>B1093</f>
        <v>0</v>
      </c>
      <c r="BB1092" s="137"/>
      <c r="BC1092" s="137"/>
      <c r="BD1092" s="137"/>
      <c r="BE1092" s="137"/>
      <c r="BF1092" s="137"/>
      <c r="BG1092" s="137"/>
      <c r="BH1092" s="138"/>
    </row>
    <row r="1093" spans="1:60" s="17" customFormat="1" ht="19.5" customHeight="1" thickBot="1" x14ac:dyDescent="0.4">
      <c r="A1093" s="41">
        <f>A1085</f>
        <v>45443</v>
      </c>
      <c r="B1093" s="37">
        <f>B917</f>
        <v>0</v>
      </c>
      <c r="C1093" s="66">
        <f>C917</f>
        <v>0</v>
      </c>
      <c r="D1093" s="70">
        <f>D917</f>
        <v>200</v>
      </c>
      <c r="E1093" s="63"/>
      <c r="F1093" s="55"/>
      <c r="G1093" s="55"/>
      <c r="H1093" s="56"/>
      <c r="I1093" s="63"/>
      <c r="J1093" s="55"/>
      <c r="K1093" s="55"/>
      <c r="L1093" s="56"/>
      <c r="M1093" s="63"/>
      <c r="N1093" s="55"/>
      <c r="O1093" s="55"/>
      <c r="P1093" s="56"/>
      <c r="Q1093" s="63"/>
      <c r="R1093" s="55"/>
      <c r="S1093" s="55"/>
      <c r="T1093" s="55"/>
      <c r="U1093" s="56"/>
      <c r="V1093" s="63"/>
      <c r="W1093" s="55"/>
      <c r="X1093" s="55"/>
      <c r="Y1093" s="56"/>
      <c r="Z1093" s="63"/>
      <c r="AA1093" s="55"/>
      <c r="AB1093" s="55"/>
      <c r="AC1093" s="56"/>
      <c r="AD1093" s="63"/>
      <c r="AE1093" s="55"/>
      <c r="AF1093" s="55"/>
      <c r="AG1093" s="56"/>
      <c r="AH1093" s="63"/>
      <c r="AI1093" s="55"/>
      <c r="AJ1093" s="55"/>
      <c r="AK1093" s="56"/>
      <c r="AL1093" s="63"/>
      <c r="AM1093" s="55"/>
      <c r="AN1093" s="55"/>
      <c r="AO1093" s="56"/>
      <c r="AP1093" s="63"/>
      <c r="AQ1093" s="54"/>
      <c r="AR1093" s="55"/>
      <c r="AS1093" s="56"/>
      <c r="AT1093" s="53"/>
      <c r="AU1093" s="54"/>
      <c r="AV1093" s="55"/>
      <c r="AW1093" s="56"/>
      <c r="AX1093" s="33">
        <f>SUM(E1093:AW1093)</f>
        <v>0</v>
      </c>
      <c r="AY1093" s="31">
        <f>IFERROR(AVERAGEIF(E1093:AW1093,"&lt;&gt;0",(E1093:AW1093)),)</f>
        <v>0</v>
      </c>
      <c r="AZ1093" s="30">
        <f>IFERROR(AY1093/D1093,0)</f>
        <v>0</v>
      </c>
      <c r="BA1093" s="103" t="s">
        <v>182</v>
      </c>
      <c r="BB1093" s="100" t="s">
        <v>183</v>
      </c>
      <c r="BC1093" s="100" t="s">
        <v>184</v>
      </c>
      <c r="BD1093" s="101" t="s">
        <v>185</v>
      </c>
      <c r="BE1093" s="100" t="s">
        <v>186</v>
      </c>
      <c r="BF1093" s="102" t="s">
        <v>187</v>
      </c>
      <c r="BG1093" s="100" t="s">
        <v>188</v>
      </c>
      <c r="BH1093" s="102" t="s">
        <v>189</v>
      </c>
    </row>
    <row r="1094" spans="1:60" s="17" customFormat="1" ht="19.5" customHeight="1" thickBot="1" x14ac:dyDescent="0.4">
      <c r="A1094" s="41">
        <f t="shared" ref="A1094:B1094" si="1045">A1093</f>
        <v>45443</v>
      </c>
      <c r="B1094" s="37">
        <f t="shared" si="1045"/>
        <v>0</v>
      </c>
      <c r="C1094" s="66">
        <f>C918</f>
        <v>0</v>
      </c>
      <c r="D1094" s="67">
        <f>D1093</f>
        <v>200</v>
      </c>
      <c r="E1094" s="57"/>
      <c r="F1094" s="52"/>
      <c r="G1094" s="52"/>
      <c r="H1094" s="58"/>
      <c r="I1094" s="57"/>
      <c r="J1094" s="52"/>
      <c r="K1094" s="52"/>
      <c r="L1094" s="58"/>
      <c r="M1094" s="57"/>
      <c r="N1094" s="52"/>
      <c r="O1094" s="52"/>
      <c r="P1094" s="58"/>
      <c r="Q1094" s="57"/>
      <c r="R1094" s="52"/>
      <c r="S1094" s="52"/>
      <c r="T1094" s="52"/>
      <c r="U1094" s="58"/>
      <c r="V1094" s="57"/>
      <c r="W1094" s="52"/>
      <c r="X1094" s="52"/>
      <c r="Y1094" s="58"/>
      <c r="Z1094" s="57"/>
      <c r="AA1094" s="52"/>
      <c r="AB1094" s="52"/>
      <c r="AC1094" s="58"/>
      <c r="AD1094" s="57"/>
      <c r="AE1094" s="52"/>
      <c r="AF1094" s="52"/>
      <c r="AG1094" s="58"/>
      <c r="AH1094" s="57"/>
      <c r="AI1094" s="52"/>
      <c r="AJ1094" s="52"/>
      <c r="AK1094" s="58"/>
      <c r="AL1094" s="57"/>
      <c r="AM1094" s="52"/>
      <c r="AN1094" s="52"/>
      <c r="AO1094" s="58"/>
      <c r="AP1094" s="57"/>
      <c r="AQ1094" s="52"/>
      <c r="AR1094" s="52"/>
      <c r="AS1094" s="58"/>
      <c r="AT1094" s="57"/>
      <c r="AU1094" s="52"/>
      <c r="AV1094" s="52"/>
      <c r="AW1094" s="58"/>
      <c r="AX1094" s="33">
        <f>SUM(E1094:AW1094)</f>
        <v>0</v>
      </c>
      <c r="AY1094" s="31">
        <f>IFERROR(AVERAGEIF(E1094:AW1094,"&lt;&gt;0",(E1094:AW1094)),)</f>
        <v>0</v>
      </c>
      <c r="AZ1094" s="30">
        <f>IFERROR(AY1094/D1094,0)</f>
        <v>0</v>
      </c>
      <c r="BA1094" s="94">
        <f>AX1098+BA918</f>
        <v>0</v>
      </c>
      <c r="BB1094" s="95">
        <f>(D1098*8)</f>
        <v>4000</v>
      </c>
      <c r="BC1094" s="96">
        <f>C1061-BA1094</f>
        <v>42311</v>
      </c>
      <c r="BD1094" s="96">
        <f>BA1087-BA1094</f>
        <v>0</v>
      </c>
      <c r="BE1094" s="97">
        <f>IFERROR(BC1094/E1098,0)</f>
        <v>0</v>
      </c>
      <c r="BF1094" s="98">
        <f>IFERROR(BE1094/9,0)</f>
        <v>0</v>
      </c>
      <c r="BG1094" s="97">
        <f>IFERROR(BC1094/AY1098,0)</f>
        <v>0</v>
      </c>
      <c r="BH1094" s="97">
        <f>IFERROR(BG1094/9,0)</f>
        <v>0</v>
      </c>
    </row>
    <row r="1095" spans="1:60" s="17" customFormat="1" ht="19.5" customHeight="1" x14ac:dyDescent="0.35">
      <c r="A1095" s="41">
        <f t="shared" ref="A1095:B1095" si="1046">A1094</f>
        <v>45443</v>
      </c>
      <c r="B1095" s="37">
        <f t="shared" si="1046"/>
        <v>0</v>
      </c>
      <c r="C1095" s="66">
        <f>C919</f>
        <v>0</v>
      </c>
      <c r="D1095" s="67">
        <f>D1094</f>
        <v>200</v>
      </c>
      <c r="E1095" s="57"/>
      <c r="F1095" s="52"/>
      <c r="G1095" s="52"/>
      <c r="H1095" s="58"/>
      <c r="I1095" s="57"/>
      <c r="J1095" s="52"/>
      <c r="K1095" s="52"/>
      <c r="L1095" s="58"/>
      <c r="M1095" s="57"/>
      <c r="N1095" s="52"/>
      <c r="O1095" s="52"/>
      <c r="P1095" s="58"/>
      <c r="Q1095" s="57"/>
      <c r="R1095" s="52"/>
      <c r="S1095" s="52"/>
      <c r="T1095" s="52"/>
      <c r="U1095" s="58"/>
      <c r="V1095" s="57"/>
      <c r="W1095" s="52"/>
      <c r="X1095" s="52"/>
      <c r="Y1095" s="58"/>
      <c r="Z1095" s="57"/>
      <c r="AA1095" s="52"/>
      <c r="AB1095" s="52"/>
      <c r="AC1095" s="58"/>
      <c r="AD1095" s="57"/>
      <c r="AE1095" s="52"/>
      <c r="AF1095" s="52"/>
      <c r="AG1095" s="58"/>
      <c r="AH1095" s="57"/>
      <c r="AI1095" s="52"/>
      <c r="AJ1095" s="52"/>
      <c r="AK1095" s="58"/>
      <c r="AL1095" s="57"/>
      <c r="AM1095" s="52"/>
      <c r="AN1095" s="52"/>
      <c r="AO1095" s="58"/>
      <c r="AP1095" s="57"/>
      <c r="AQ1095" s="52"/>
      <c r="AR1095" s="52"/>
      <c r="AS1095" s="58"/>
      <c r="AT1095" s="57"/>
      <c r="AU1095" s="52"/>
      <c r="AV1095" s="52"/>
      <c r="AW1095" s="58"/>
      <c r="AX1095" s="33">
        <f>SUM(E1095:AW1095)</f>
        <v>0</v>
      </c>
      <c r="AY1095" s="31">
        <f>IFERROR(AVERAGEIF(E1095:AW1095,"&lt;&gt;0",(E1095:AW1095)),)</f>
        <v>0</v>
      </c>
      <c r="AZ1095" s="30">
        <f>IFERROR(AY1095/D1095,0)</f>
        <v>0</v>
      </c>
      <c r="BA1095" s="34"/>
      <c r="BB1095" s="34"/>
      <c r="BC1095" s="34"/>
      <c r="BD1095" s="76"/>
      <c r="BE1095" s="34"/>
      <c r="BF1095" s="34"/>
      <c r="BG1095" s="34"/>
      <c r="BH1095" s="34"/>
    </row>
    <row r="1096" spans="1:60" s="17" customFormat="1" ht="19.5" customHeight="1" x14ac:dyDescent="0.35">
      <c r="A1096" s="41">
        <f t="shared" ref="A1096:B1096" si="1047">A1095</f>
        <v>45443</v>
      </c>
      <c r="B1096" s="37">
        <f t="shared" si="1047"/>
        <v>0</v>
      </c>
      <c r="C1096" s="66">
        <f>C920</f>
        <v>0</v>
      </c>
      <c r="D1096" s="67">
        <f>D1095</f>
        <v>200</v>
      </c>
      <c r="E1096" s="57"/>
      <c r="F1096" s="52"/>
      <c r="G1096" s="52"/>
      <c r="H1096" s="58"/>
      <c r="I1096" s="57"/>
      <c r="J1096" s="52"/>
      <c r="K1096" s="52"/>
      <c r="L1096" s="58"/>
      <c r="M1096" s="57"/>
      <c r="N1096" s="52"/>
      <c r="O1096" s="52"/>
      <c r="P1096" s="58"/>
      <c r="Q1096" s="57"/>
      <c r="R1096" s="52"/>
      <c r="S1096" s="52"/>
      <c r="T1096" s="52"/>
      <c r="U1096" s="58"/>
      <c r="V1096" s="57"/>
      <c r="W1096" s="52"/>
      <c r="X1096" s="52"/>
      <c r="Y1096" s="58"/>
      <c r="Z1096" s="57"/>
      <c r="AA1096" s="52"/>
      <c r="AB1096" s="52"/>
      <c r="AC1096" s="58"/>
      <c r="AD1096" s="57"/>
      <c r="AE1096" s="52"/>
      <c r="AF1096" s="52"/>
      <c r="AG1096" s="58"/>
      <c r="AH1096" s="57"/>
      <c r="AI1096" s="52"/>
      <c r="AJ1096" s="52"/>
      <c r="AK1096" s="58"/>
      <c r="AL1096" s="57"/>
      <c r="AM1096" s="52"/>
      <c r="AN1096" s="52"/>
      <c r="AO1096" s="58"/>
      <c r="AP1096" s="57"/>
      <c r="AQ1096" s="52"/>
      <c r="AR1096" s="52"/>
      <c r="AS1096" s="58"/>
      <c r="AT1096" s="57"/>
      <c r="AU1096" s="52"/>
      <c r="AV1096" s="52"/>
      <c r="AW1096" s="58"/>
      <c r="AX1096" s="33">
        <f>SUM(E1096:AW1096)</f>
        <v>0</v>
      </c>
      <c r="AY1096" s="31">
        <f>IFERROR(AVERAGEIF(E1096:AW1096,"&lt;&gt;0",(E1096:AW1096)),)</f>
        <v>0</v>
      </c>
      <c r="AZ1096" s="30">
        <f>IFERROR(AY1096/D1096,0)</f>
        <v>0</v>
      </c>
      <c r="BA1096" s="34"/>
      <c r="BB1096" s="34"/>
      <c r="BC1096" s="34"/>
      <c r="BD1096" s="76"/>
      <c r="BE1096" s="34"/>
      <c r="BF1096" s="34"/>
      <c r="BG1096" s="34"/>
      <c r="BH1096" s="34"/>
    </row>
    <row r="1097" spans="1:60" s="17" customFormat="1" ht="19.5" customHeight="1" thickBot="1" x14ac:dyDescent="0.4">
      <c r="A1097" s="41">
        <f t="shared" ref="A1097:B1097" si="1048">A1096</f>
        <v>45443</v>
      </c>
      <c r="B1097" s="37">
        <f t="shared" si="1048"/>
        <v>0</v>
      </c>
      <c r="C1097" s="66">
        <f>C921</f>
        <v>0</v>
      </c>
      <c r="D1097" s="67">
        <f>D1096</f>
        <v>200</v>
      </c>
      <c r="E1097" s="64"/>
      <c r="F1097" s="61"/>
      <c r="G1097" s="61"/>
      <c r="H1097" s="62"/>
      <c r="I1097" s="64"/>
      <c r="J1097" s="61"/>
      <c r="K1097" s="61"/>
      <c r="L1097" s="62"/>
      <c r="M1097" s="64"/>
      <c r="N1097" s="61"/>
      <c r="O1097" s="61"/>
      <c r="P1097" s="62"/>
      <c r="Q1097" s="64"/>
      <c r="R1097" s="61"/>
      <c r="S1097" s="61"/>
      <c r="T1097" s="61"/>
      <c r="U1097" s="62"/>
      <c r="V1097" s="64"/>
      <c r="W1097" s="61"/>
      <c r="X1097" s="61"/>
      <c r="Y1097" s="62"/>
      <c r="Z1097" s="59"/>
      <c r="AA1097" s="60"/>
      <c r="AB1097" s="61"/>
      <c r="AC1097" s="62"/>
      <c r="AD1097" s="59"/>
      <c r="AE1097" s="60"/>
      <c r="AF1097" s="61"/>
      <c r="AG1097" s="62"/>
      <c r="AH1097" s="59"/>
      <c r="AI1097" s="60"/>
      <c r="AJ1097" s="61"/>
      <c r="AK1097" s="62"/>
      <c r="AL1097" s="59"/>
      <c r="AM1097" s="60"/>
      <c r="AN1097" s="61"/>
      <c r="AO1097" s="62"/>
      <c r="AP1097" s="59"/>
      <c r="AQ1097" s="60"/>
      <c r="AR1097" s="61"/>
      <c r="AS1097" s="62"/>
      <c r="AT1097" s="59"/>
      <c r="AU1097" s="60"/>
      <c r="AV1097" s="61"/>
      <c r="AW1097" s="62"/>
      <c r="AX1097" s="43">
        <f>SUM(E1097:AW1097)</f>
        <v>0</v>
      </c>
      <c r="AY1097" s="44">
        <f>IFERROR(AVERAGEIF(E1097:AW1097,"&lt;&gt;0",(E1097:AW1097)),)</f>
        <v>0</v>
      </c>
      <c r="AZ1097" s="45">
        <f>IFERROR(AY1097/D1097,0)</f>
        <v>0</v>
      </c>
      <c r="BA1097" s="34"/>
      <c r="BB1097" s="34"/>
      <c r="BC1097" s="34"/>
      <c r="BD1097" s="76"/>
      <c r="BE1097" s="34"/>
      <c r="BF1097" s="34"/>
      <c r="BG1097" s="34"/>
      <c r="BH1097" s="34"/>
    </row>
    <row r="1098" spans="1:60" s="17" customFormat="1" ht="19.5" customHeight="1" thickBot="1" x14ac:dyDescent="0.45">
      <c r="A1098" s="41">
        <f>A1097</f>
        <v>45443</v>
      </c>
      <c r="B1098" s="139">
        <f>B1093</f>
        <v>0</v>
      </c>
      <c r="C1098" s="140"/>
      <c r="D1098" s="40">
        <f>C1062/8</f>
        <v>500</v>
      </c>
      <c r="E1098" s="151">
        <f>SUM(E1093:H1097)</f>
        <v>0</v>
      </c>
      <c r="F1098" s="152"/>
      <c r="G1098" s="152"/>
      <c r="H1098" s="153"/>
      <c r="I1098" s="151">
        <f>SUM(I1093:L1097)</f>
        <v>0</v>
      </c>
      <c r="J1098" s="152"/>
      <c r="K1098" s="152"/>
      <c r="L1098" s="153"/>
      <c r="M1098" s="151">
        <f>SUM(M1093:P1097)</f>
        <v>0</v>
      </c>
      <c r="N1098" s="152"/>
      <c r="O1098" s="152"/>
      <c r="P1098" s="153"/>
      <c r="Q1098" s="151">
        <f>SUM(Q1093:U1097)</f>
        <v>0</v>
      </c>
      <c r="R1098" s="152"/>
      <c r="S1098" s="152"/>
      <c r="T1098" s="152"/>
      <c r="U1098" s="153"/>
      <c r="V1098" s="151">
        <f>SUM(V1093:Y1097)</f>
        <v>0</v>
      </c>
      <c r="W1098" s="152"/>
      <c r="X1098" s="152"/>
      <c r="Y1098" s="153"/>
      <c r="Z1098" s="151">
        <f>SUM(Z1093:AC1097)</f>
        <v>0</v>
      </c>
      <c r="AA1098" s="152"/>
      <c r="AB1098" s="152"/>
      <c r="AC1098" s="153"/>
      <c r="AD1098" s="151">
        <f>SUM(AD1093:AG1097)</f>
        <v>0</v>
      </c>
      <c r="AE1098" s="152"/>
      <c r="AF1098" s="152"/>
      <c r="AG1098" s="153"/>
      <c r="AH1098" s="151">
        <f>SUM(AH1093:AK1097)</f>
        <v>0</v>
      </c>
      <c r="AI1098" s="152"/>
      <c r="AJ1098" s="152"/>
      <c r="AK1098" s="153"/>
      <c r="AL1098" s="151">
        <f>SUM(AL1093:AO1097)</f>
        <v>0</v>
      </c>
      <c r="AM1098" s="152"/>
      <c r="AN1098" s="152"/>
      <c r="AO1098" s="153"/>
      <c r="AP1098" s="151">
        <f>SUM(AP1093:AS1097)</f>
        <v>0</v>
      </c>
      <c r="AQ1098" s="152"/>
      <c r="AR1098" s="152"/>
      <c r="AS1098" s="153"/>
      <c r="AT1098" s="151">
        <f>SUM(AT1093:AW1097)</f>
        <v>0</v>
      </c>
      <c r="AU1098" s="152"/>
      <c r="AV1098" s="152"/>
      <c r="AW1098" s="153"/>
      <c r="AX1098" s="87">
        <f>SUM(AX1093:AX1097)</f>
        <v>0</v>
      </c>
      <c r="AY1098" s="88">
        <f>IFERROR(AVERAGEIF(E1098:AV1098,"&lt;&gt;0",(E1098:AV1098)),)</f>
        <v>0</v>
      </c>
      <c r="AZ1098" s="46">
        <f>IFERROR(AX1098/BB1094,0)</f>
        <v>0</v>
      </c>
      <c r="BA1098" s="34"/>
      <c r="BB1098" s="34"/>
      <c r="BC1098" s="34"/>
      <c r="BD1098" s="76"/>
      <c r="BE1098" s="34"/>
      <c r="BF1098" s="34"/>
      <c r="BG1098" s="34"/>
      <c r="BH1098" s="34"/>
    </row>
    <row r="1099" spans="1:60" s="17" customFormat="1" ht="19.5" customHeight="1" thickBot="1" x14ac:dyDescent="0.4">
      <c r="A1099" s="42">
        <f>A1092</f>
        <v>45443</v>
      </c>
      <c r="B1099" s="38" t="str">
        <f>B1100</f>
        <v>BANT GİRİŞ</v>
      </c>
      <c r="C1099" s="39" t="s">
        <v>180</v>
      </c>
      <c r="D1099" s="69" t="s">
        <v>181</v>
      </c>
      <c r="E1099" s="48">
        <v>0.34375</v>
      </c>
      <c r="F1099" s="49">
        <v>0.35416666666666669</v>
      </c>
      <c r="G1099" s="49">
        <v>0.36458333333333331</v>
      </c>
      <c r="H1099" s="50">
        <v>0.375</v>
      </c>
      <c r="I1099" s="48">
        <v>0.38541666666666702</v>
      </c>
      <c r="J1099" s="49">
        <v>0.39583333333333298</v>
      </c>
      <c r="K1099" s="49">
        <v>0.40625</v>
      </c>
      <c r="L1099" s="50">
        <v>0.41666666666666702</v>
      </c>
      <c r="M1099" s="48">
        <v>0.4375</v>
      </c>
      <c r="N1099" s="49">
        <v>0.44791666666666702</v>
      </c>
      <c r="O1099" s="49">
        <v>0.45833333333333398</v>
      </c>
      <c r="P1099" s="50">
        <v>0.46875</v>
      </c>
      <c r="Q1099" s="48">
        <v>0.47916666666666702</v>
      </c>
      <c r="R1099" s="49">
        <v>0.48958333333333398</v>
      </c>
      <c r="S1099" s="49">
        <v>0.5</v>
      </c>
      <c r="T1099" s="50">
        <v>0.51041666666666696</v>
      </c>
      <c r="U1099" s="51">
        <v>0.52083333333333204</v>
      </c>
      <c r="V1099" s="48">
        <v>0.5625</v>
      </c>
      <c r="W1099" s="49">
        <v>0.57291666666666663</v>
      </c>
      <c r="X1099" s="49">
        <v>0.58333333333333304</v>
      </c>
      <c r="Y1099" s="50">
        <v>0.59375</v>
      </c>
      <c r="Z1099" s="48">
        <v>0.60416666666666696</v>
      </c>
      <c r="AA1099" s="49">
        <v>0.61458333333333304</v>
      </c>
      <c r="AB1099" s="49">
        <v>0.625</v>
      </c>
      <c r="AC1099" s="50">
        <v>0.63541666666666596</v>
      </c>
      <c r="AD1099" s="48">
        <v>0.65625</v>
      </c>
      <c r="AE1099" s="49">
        <v>0.66666666666666663</v>
      </c>
      <c r="AF1099" s="49">
        <v>0.67708333333333304</v>
      </c>
      <c r="AG1099" s="50">
        <v>0.6875</v>
      </c>
      <c r="AH1099" s="48">
        <v>0.69791666666666696</v>
      </c>
      <c r="AI1099" s="49">
        <v>0.70833333333333304</v>
      </c>
      <c r="AJ1099" s="49">
        <v>0.71875</v>
      </c>
      <c r="AK1099" s="50">
        <v>0.72916666666666696</v>
      </c>
      <c r="AL1099" s="48">
        <v>0.73958333333333404</v>
      </c>
      <c r="AM1099" s="49">
        <v>0.750000000000001</v>
      </c>
      <c r="AN1099" s="49">
        <v>0.76041666666666796</v>
      </c>
      <c r="AO1099" s="50">
        <v>0.77083333333333504</v>
      </c>
      <c r="AP1099" s="48">
        <v>0.781250000000002</v>
      </c>
      <c r="AQ1099" s="49">
        <v>0.79166666666666896</v>
      </c>
      <c r="AR1099" s="49">
        <v>0.80208333333333603</v>
      </c>
      <c r="AS1099" s="50">
        <v>0.812500000000003</v>
      </c>
      <c r="AT1099" s="48">
        <v>0.82291666666666996</v>
      </c>
      <c r="AU1099" s="49">
        <v>0.83333333333333703</v>
      </c>
      <c r="AV1099" s="49">
        <v>0.843750000000004</v>
      </c>
      <c r="AW1099" s="50">
        <v>0.85416666666666663</v>
      </c>
      <c r="AX1099" s="68" t="s">
        <v>260</v>
      </c>
      <c r="AY1099" s="28" t="s">
        <v>261</v>
      </c>
      <c r="AZ1099" s="29" t="s">
        <v>262</v>
      </c>
      <c r="BA1099" s="136" t="str">
        <f>B1100</f>
        <v>BANT GİRİŞ</v>
      </c>
      <c r="BB1099" s="137"/>
      <c r="BC1099" s="137"/>
      <c r="BD1099" s="137"/>
      <c r="BE1099" s="137"/>
      <c r="BF1099" s="137"/>
      <c r="BG1099" s="137"/>
      <c r="BH1099" s="138"/>
    </row>
    <row r="1100" spans="1:60" s="17" customFormat="1" ht="19.5" customHeight="1" thickBot="1" x14ac:dyDescent="0.4">
      <c r="A1100" s="41">
        <f t="shared" ref="A1100" si="1049">A1099</f>
        <v>45443</v>
      </c>
      <c r="B1100" s="37" t="str">
        <f>B924</f>
        <v>BANT GİRİŞ</v>
      </c>
      <c r="C1100" s="65" t="str">
        <f>C924</f>
        <v>XS</v>
      </c>
      <c r="D1100" s="70">
        <f>D924</f>
        <v>120</v>
      </c>
      <c r="E1100" s="63"/>
      <c r="F1100" s="55"/>
      <c r="G1100" s="55"/>
      <c r="H1100" s="56"/>
      <c r="I1100" s="63"/>
      <c r="J1100" s="55"/>
      <c r="K1100" s="55"/>
      <c r="L1100" s="56"/>
      <c r="M1100" s="63"/>
      <c r="N1100" s="55"/>
      <c r="O1100" s="55"/>
      <c r="P1100" s="56"/>
      <c r="Q1100" s="63"/>
      <c r="R1100" s="55"/>
      <c r="S1100" s="55"/>
      <c r="T1100" s="55"/>
      <c r="U1100" s="56"/>
      <c r="V1100" s="63"/>
      <c r="W1100" s="55"/>
      <c r="X1100" s="55"/>
      <c r="Y1100" s="56"/>
      <c r="Z1100" s="63"/>
      <c r="AA1100" s="55"/>
      <c r="AB1100" s="55"/>
      <c r="AC1100" s="56"/>
      <c r="AD1100" s="63"/>
      <c r="AE1100" s="55"/>
      <c r="AF1100" s="55"/>
      <c r="AG1100" s="56"/>
      <c r="AH1100" s="63"/>
      <c r="AI1100" s="55"/>
      <c r="AJ1100" s="55"/>
      <c r="AK1100" s="56"/>
      <c r="AL1100" s="63"/>
      <c r="AM1100" s="55"/>
      <c r="AN1100" s="55"/>
      <c r="AO1100" s="56"/>
      <c r="AP1100" s="63"/>
      <c r="AQ1100" s="54"/>
      <c r="AR1100" s="55"/>
      <c r="AS1100" s="56"/>
      <c r="AT1100" s="53"/>
      <c r="AU1100" s="54"/>
      <c r="AV1100" s="55"/>
      <c r="AW1100" s="56"/>
      <c r="AX1100" s="33">
        <f>SUM(E1100:AW1100)</f>
        <v>0</v>
      </c>
      <c r="AY1100" s="31">
        <f>IFERROR(AVERAGEIF(E1100:AW1100,"&lt;&gt;0",(E1100:AW1100)),)</f>
        <v>0</v>
      </c>
      <c r="AZ1100" s="30">
        <f>IFERROR(AY1100/D1100,0)</f>
        <v>0</v>
      </c>
      <c r="BA1100" s="19"/>
      <c r="BB1100" s="19" t="str">
        <f t="shared" ref="BB1100" si="1050">BA1062</f>
        <v>XS</v>
      </c>
      <c r="BC1100" s="19" t="str">
        <f t="shared" ref="BC1100" si="1051">BB1062</f>
        <v>S</v>
      </c>
      <c r="BD1100" s="19" t="str">
        <f t="shared" ref="BD1100" si="1052">BC1062</f>
        <v>M</v>
      </c>
      <c r="BE1100" s="19" t="str">
        <f t="shared" ref="BE1100" si="1053">BD1062</f>
        <v>L</v>
      </c>
      <c r="BF1100" s="19" t="str">
        <f t="shared" ref="BF1100" si="1054">BE1062</f>
        <v>XL</v>
      </c>
      <c r="BG1100" s="19" t="str">
        <f t="shared" ref="BG1100" si="1055">BF1062</f>
        <v>XXL</v>
      </c>
      <c r="BH1100" s="19" t="s">
        <v>190</v>
      </c>
    </row>
    <row r="1101" spans="1:60" s="17" customFormat="1" ht="19.5" customHeight="1" thickBot="1" x14ac:dyDescent="0.4">
      <c r="A1101" s="41">
        <f t="shared" ref="A1101:B1101" si="1056">A1100</f>
        <v>45443</v>
      </c>
      <c r="B1101" s="37" t="str">
        <f t="shared" si="1056"/>
        <v>BANT GİRİŞ</v>
      </c>
      <c r="C1101" s="65" t="str">
        <f t="shared" ref="C1101:C1106" si="1057">C925</f>
        <v>S</v>
      </c>
      <c r="D1101" s="67">
        <f t="shared" ref="D1101:D1106" si="1058">D1100</f>
        <v>120</v>
      </c>
      <c r="E1101" s="57"/>
      <c r="F1101" s="52"/>
      <c r="G1101" s="52"/>
      <c r="H1101" s="58"/>
      <c r="I1101" s="57"/>
      <c r="J1101" s="52"/>
      <c r="K1101" s="52"/>
      <c r="L1101" s="58"/>
      <c r="M1101" s="57"/>
      <c r="N1101" s="52"/>
      <c r="O1101" s="52"/>
      <c r="P1101" s="58"/>
      <c r="Q1101" s="57"/>
      <c r="R1101" s="52"/>
      <c r="S1101" s="52"/>
      <c r="T1101" s="52"/>
      <c r="U1101" s="58"/>
      <c r="V1101" s="57"/>
      <c r="W1101" s="52"/>
      <c r="X1101" s="52"/>
      <c r="Y1101" s="58"/>
      <c r="Z1101" s="57"/>
      <c r="AA1101" s="52"/>
      <c r="AB1101" s="52"/>
      <c r="AC1101" s="58"/>
      <c r="AD1101" s="57"/>
      <c r="AE1101" s="52"/>
      <c r="AF1101" s="52"/>
      <c r="AG1101" s="58"/>
      <c r="AH1101" s="57"/>
      <c r="AI1101" s="52"/>
      <c r="AJ1101" s="52"/>
      <c r="AK1101" s="58"/>
      <c r="AL1101" s="57"/>
      <c r="AM1101" s="52"/>
      <c r="AN1101" s="52"/>
      <c r="AO1101" s="58"/>
      <c r="AP1101" s="57"/>
      <c r="AQ1101" s="52"/>
      <c r="AR1101" s="52"/>
      <c r="AS1101" s="58"/>
      <c r="AT1101" s="57"/>
      <c r="AU1101" s="52"/>
      <c r="AV1101" s="52"/>
      <c r="AW1101" s="58"/>
      <c r="AX1101" s="33">
        <f t="shared" ref="AX1101:AX1106" si="1059">SUM(E1101:AW1101)</f>
        <v>0</v>
      </c>
      <c r="AY1101" s="31">
        <f t="shared" ref="AY1101:AY1106" si="1060">IFERROR(AVERAGEIF(E1101:AW1101,"&lt;&gt;0",(E1101:AW1101)),)</f>
        <v>0</v>
      </c>
      <c r="AZ1101" s="30">
        <f t="shared" ref="AZ1101:AZ1106" si="1061">IFERROR(AY1101/D1101,0)</f>
        <v>0</v>
      </c>
      <c r="BA1101" s="94" t="s">
        <v>192</v>
      </c>
      <c r="BB1101" s="96">
        <f>SUMIF(C1100:C1106,BB1100,AX1100:AX1106)+BB925</f>
        <v>0</v>
      </c>
      <c r="BC1101" s="96">
        <f>SUMIF(C1100:C1106,BC1100,AX1100:AX1106)+BC925</f>
        <v>0</v>
      </c>
      <c r="BD1101" s="96">
        <f>SUMIF(C1100:C1106,BD1100,AX1100:AX1106)+BD925</f>
        <v>0</v>
      </c>
      <c r="BE1101" s="96">
        <f>SUMIF(C1100:C1106,BE1100,AX1100:AX1106)+BE925</f>
        <v>0</v>
      </c>
      <c r="BF1101" s="96">
        <f>SUMIF(C1100:C1106,BF1100,AX1100:AX1106)+BF925</f>
        <v>0</v>
      </c>
      <c r="BG1101" s="96"/>
      <c r="BH1101" s="99">
        <f>SUM(BB1101:BG1101)</f>
        <v>0</v>
      </c>
    </row>
    <row r="1102" spans="1:60" s="17" customFormat="1" ht="19.5" customHeight="1" thickBot="1" x14ac:dyDescent="0.4">
      <c r="A1102" s="41">
        <f t="shared" ref="A1102:B1102" si="1062">A1101</f>
        <v>45443</v>
      </c>
      <c r="B1102" s="37" t="str">
        <f t="shared" si="1062"/>
        <v>BANT GİRİŞ</v>
      </c>
      <c r="C1102" s="65" t="str">
        <f t="shared" si="1057"/>
        <v>M</v>
      </c>
      <c r="D1102" s="67">
        <f t="shared" si="1058"/>
        <v>120</v>
      </c>
      <c r="E1102" s="57"/>
      <c r="F1102" s="52"/>
      <c r="G1102" s="52"/>
      <c r="H1102" s="58"/>
      <c r="I1102" s="57"/>
      <c r="J1102" s="52"/>
      <c r="K1102" s="52"/>
      <c r="L1102" s="58"/>
      <c r="M1102" s="57"/>
      <c r="N1102" s="52"/>
      <c r="O1102" s="52"/>
      <c r="P1102" s="58"/>
      <c r="Q1102" s="57"/>
      <c r="R1102" s="52"/>
      <c r="S1102" s="52"/>
      <c r="T1102" s="52"/>
      <c r="U1102" s="58"/>
      <c r="V1102" s="57"/>
      <c r="W1102" s="52"/>
      <c r="X1102" s="52"/>
      <c r="Y1102" s="58"/>
      <c r="Z1102" s="57"/>
      <c r="AA1102" s="52"/>
      <c r="AB1102" s="52"/>
      <c r="AC1102" s="58"/>
      <c r="AD1102" s="57"/>
      <c r="AE1102" s="52"/>
      <c r="AF1102" s="52"/>
      <c r="AG1102" s="58"/>
      <c r="AH1102" s="57"/>
      <c r="AI1102" s="52"/>
      <c r="AJ1102" s="52"/>
      <c r="AK1102" s="58"/>
      <c r="AL1102" s="57"/>
      <c r="AM1102" s="52"/>
      <c r="AN1102" s="52"/>
      <c r="AO1102" s="58"/>
      <c r="AP1102" s="57"/>
      <c r="AQ1102" s="52"/>
      <c r="AR1102" s="52"/>
      <c r="AS1102" s="58"/>
      <c r="AT1102" s="57"/>
      <c r="AU1102" s="52"/>
      <c r="AV1102" s="52"/>
      <c r="AW1102" s="58"/>
      <c r="AX1102" s="33">
        <f t="shared" si="1059"/>
        <v>0</v>
      </c>
      <c r="AY1102" s="31">
        <f t="shared" si="1060"/>
        <v>0</v>
      </c>
      <c r="AZ1102" s="30">
        <f t="shared" si="1061"/>
        <v>0</v>
      </c>
      <c r="BA1102" s="94" t="s">
        <v>193</v>
      </c>
      <c r="BB1102" s="96">
        <f>BA1063-BB1101</f>
        <v>492</v>
      </c>
      <c r="BC1102" s="96">
        <f>BB1063-BC1101</f>
        <v>11438</v>
      </c>
      <c r="BD1102" s="96">
        <f>BC1063-BD1101</f>
        <v>13689</v>
      </c>
      <c r="BE1102" s="96">
        <f>BD1063-BE1101</f>
        <v>9760</v>
      </c>
      <c r="BF1102" s="96">
        <f>BE1063-BF1101</f>
        <v>4794</v>
      </c>
      <c r="BG1102" s="96"/>
      <c r="BH1102" s="96">
        <f>SUM(BB1102:BG1102)</f>
        <v>40173</v>
      </c>
    </row>
    <row r="1103" spans="1:60" s="17" customFormat="1" ht="19.5" customHeight="1" x14ac:dyDescent="0.35">
      <c r="A1103" s="41">
        <f t="shared" ref="A1103:B1104" si="1063">A1102</f>
        <v>45443</v>
      </c>
      <c r="B1103" s="37" t="str">
        <f t="shared" si="1063"/>
        <v>BANT GİRİŞ</v>
      </c>
      <c r="C1103" s="65" t="str">
        <f t="shared" si="1057"/>
        <v>L</v>
      </c>
      <c r="D1103" s="67">
        <f t="shared" si="1058"/>
        <v>120</v>
      </c>
      <c r="E1103" s="57"/>
      <c r="F1103" s="52"/>
      <c r="G1103" s="52"/>
      <c r="H1103" s="58"/>
      <c r="I1103" s="57"/>
      <c r="J1103" s="52"/>
      <c r="K1103" s="52"/>
      <c r="L1103" s="58"/>
      <c r="M1103" s="57"/>
      <c r="N1103" s="52"/>
      <c r="O1103" s="52"/>
      <c r="P1103" s="58"/>
      <c r="Q1103" s="57"/>
      <c r="R1103" s="52"/>
      <c r="S1103" s="52"/>
      <c r="T1103" s="52"/>
      <c r="U1103" s="58"/>
      <c r="V1103" s="57"/>
      <c r="W1103" s="52"/>
      <c r="X1103" s="52"/>
      <c r="Y1103" s="58"/>
      <c r="Z1103" s="57"/>
      <c r="AA1103" s="52"/>
      <c r="AB1103" s="52"/>
      <c r="AC1103" s="58"/>
      <c r="AD1103" s="57"/>
      <c r="AE1103" s="52"/>
      <c r="AF1103" s="52"/>
      <c r="AG1103" s="58"/>
      <c r="AH1103" s="57"/>
      <c r="AI1103" s="52"/>
      <c r="AJ1103" s="52"/>
      <c r="AK1103" s="58"/>
      <c r="AL1103" s="57"/>
      <c r="AM1103" s="52"/>
      <c r="AN1103" s="52"/>
      <c r="AO1103" s="58"/>
      <c r="AP1103" s="57"/>
      <c r="AQ1103" s="52"/>
      <c r="AR1103" s="52"/>
      <c r="AS1103" s="58"/>
      <c r="AT1103" s="57"/>
      <c r="AU1103" s="52"/>
      <c r="AV1103" s="52"/>
      <c r="AW1103" s="58"/>
      <c r="AX1103" s="33">
        <f t="shared" si="1059"/>
        <v>0</v>
      </c>
      <c r="AY1103" s="31">
        <f t="shared" si="1060"/>
        <v>0</v>
      </c>
      <c r="AZ1103" s="30">
        <f t="shared" si="1061"/>
        <v>0</v>
      </c>
      <c r="BA1103" s="34"/>
      <c r="BB1103" s="34"/>
      <c r="BC1103" s="34"/>
      <c r="BD1103" s="76"/>
      <c r="BE1103" s="34"/>
      <c r="BF1103" s="34"/>
      <c r="BG1103" s="34"/>
      <c r="BH1103" s="34"/>
    </row>
    <row r="1104" spans="1:60" s="17" customFormat="1" ht="19.5" customHeight="1" x14ac:dyDescent="0.35">
      <c r="A1104" s="41">
        <f>A1101</f>
        <v>45443</v>
      </c>
      <c r="B1104" s="37" t="str">
        <f t="shared" si="1063"/>
        <v>BANT GİRİŞ</v>
      </c>
      <c r="C1104" s="65" t="str">
        <f t="shared" si="1057"/>
        <v>XXL</v>
      </c>
      <c r="D1104" s="67">
        <f t="shared" si="1058"/>
        <v>120</v>
      </c>
      <c r="E1104" s="57"/>
      <c r="F1104" s="52"/>
      <c r="G1104" s="52"/>
      <c r="H1104" s="58"/>
      <c r="I1104" s="57"/>
      <c r="J1104" s="52"/>
      <c r="K1104" s="52"/>
      <c r="L1104" s="58"/>
      <c r="M1104" s="57"/>
      <c r="N1104" s="52"/>
      <c r="O1104" s="52"/>
      <c r="P1104" s="58"/>
      <c r="Q1104" s="57"/>
      <c r="R1104" s="52"/>
      <c r="S1104" s="52"/>
      <c r="T1104" s="52"/>
      <c r="U1104" s="58"/>
      <c r="V1104" s="57"/>
      <c r="W1104" s="52"/>
      <c r="X1104" s="52"/>
      <c r="Y1104" s="58"/>
      <c r="Z1104" s="57"/>
      <c r="AA1104" s="52"/>
      <c r="AB1104" s="52"/>
      <c r="AC1104" s="58"/>
      <c r="AD1104" s="57"/>
      <c r="AE1104" s="52"/>
      <c r="AF1104" s="52"/>
      <c r="AG1104" s="58"/>
      <c r="AH1104" s="57"/>
      <c r="AI1104" s="52"/>
      <c r="AJ1104" s="52"/>
      <c r="AK1104" s="58"/>
      <c r="AL1104" s="57"/>
      <c r="AM1104" s="52"/>
      <c r="AN1104" s="52"/>
      <c r="AO1104" s="58"/>
      <c r="AP1104" s="57"/>
      <c r="AQ1104" s="52"/>
      <c r="AR1104" s="52"/>
      <c r="AS1104" s="58"/>
      <c r="AT1104" s="57"/>
      <c r="AU1104" s="52"/>
      <c r="AV1104" s="52"/>
      <c r="AW1104" s="58"/>
      <c r="AX1104" s="33">
        <f t="shared" si="1059"/>
        <v>0</v>
      </c>
      <c r="AY1104" s="31">
        <f t="shared" si="1060"/>
        <v>0</v>
      </c>
      <c r="AZ1104" s="30">
        <f t="shared" si="1061"/>
        <v>0</v>
      </c>
      <c r="BA1104" s="34"/>
      <c r="BB1104" s="34"/>
      <c r="BC1104" s="34"/>
      <c r="BD1104" s="76"/>
      <c r="BE1104" s="34"/>
      <c r="BF1104" s="34"/>
      <c r="BG1104" s="34"/>
      <c r="BH1104" s="34"/>
    </row>
    <row r="1105" spans="1:60" s="17" customFormat="1" ht="19.5" customHeight="1" x14ac:dyDescent="0.35">
      <c r="A1105" s="41">
        <f t="shared" ref="A1105:B1105" si="1064">A1104</f>
        <v>45443</v>
      </c>
      <c r="B1105" s="37" t="str">
        <f t="shared" si="1064"/>
        <v>BANT GİRİŞ</v>
      </c>
      <c r="C1105" s="65">
        <f t="shared" si="1057"/>
        <v>0</v>
      </c>
      <c r="D1105" s="67">
        <f t="shared" si="1058"/>
        <v>120</v>
      </c>
      <c r="E1105" s="57"/>
      <c r="F1105" s="52"/>
      <c r="G1105" s="52"/>
      <c r="H1105" s="58"/>
      <c r="I1105" s="57"/>
      <c r="J1105" s="52"/>
      <c r="K1105" s="52"/>
      <c r="L1105" s="58"/>
      <c r="M1105" s="57"/>
      <c r="N1105" s="52"/>
      <c r="O1105" s="52"/>
      <c r="P1105" s="58"/>
      <c r="Q1105" s="57"/>
      <c r="R1105" s="52"/>
      <c r="S1105" s="52"/>
      <c r="T1105" s="52"/>
      <c r="U1105" s="58"/>
      <c r="V1105" s="57"/>
      <c r="W1105" s="52"/>
      <c r="X1105" s="52"/>
      <c r="Y1105" s="58"/>
      <c r="Z1105" s="57"/>
      <c r="AA1105" s="52"/>
      <c r="AB1105" s="52"/>
      <c r="AC1105" s="58"/>
      <c r="AD1105" s="57"/>
      <c r="AE1105" s="52"/>
      <c r="AF1105" s="52"/>
      <c r="AG1105" s="58"/>
      <c r="AH1105" s="57"/>
      <c r="AI1105" s="52"/>
      <c r="AJ1105" s="52"/>
      <c r="AK1105" s="58"/>
      <c r="AL1105" s="57"/>
      <c r="AM1105" s="52"/>
      <c r="AN1105" s="52"/>
      <c r="AO1105" s="58"/>
      <c r="AP1105" s="57"/>
      <c r="AQ1105" s="52"/>
      <c r="AR1105" s="52"/>
      <c r="AS1105" s="58"/>
      <c r="AT1105" s="57"/>
      <c r="AU1105" s="52"/>
      <c r="AV1105" s="52"/>
      <c r="AW1105" s="58"/>
      <c r="AX1105" s="33">
        <f t="shared" si="1059"/>
        <v>0</v>
      </c>
      <c r="AY1105" s="31">
        <f t="shared" si="1060"/>
        <v>0</v>
      </c>
      <c r="AZ1105" s="30">
        <f t="shared" si="1061"/>
        <v>0</v>
      </c>
      <c r="BA1105" s="34"/>
      <c r="BB1105" s="34"/>
      <c r="BC1105" s="34"/>
      <c r="BD1105" s="76"/>
      <c r="BE1105" s="34"/>
      <c r="BF1105" s="34"/>
      <c r="BG1105" s="34"/>
      <c r="BH1105" s="34"/>
    </row>
    <row r="1106" spans="1:60" s="17" customFormat="1" ht="19.5" customHeight="1" thickBot="1" x14ac:dyDescent="0.4">
      <c r="A1106" s="41">
        <f t="shared" ref="A1106:B1107" si="1065">A1105</f>
        <v>45443</v>
      </c>
      <c r="B1106" s="37" t="str">
        <f t="shared" si="1065"/>
        <v>BANT GİRİŞ</v>
      </c>
      <c r="C1106" s="65">
        <f t="shared" si="1057"/>
        <v>0</v>
      </c>
      <c r="D1106" s="67">
        <f t="shared" si="1058"/>
        <v>120</v>
      </c>
      <c r="E1106" s="59"/>
      <c r="F1106" s="60"/>
      <c r="G1106" s="61"/>
      <c r="H1106" s="62"/>
      <c r="I1106" s="59"/>
      <c r="J1106" s="60"/>
      <c r="K1106" s="61"/>
      <c r="L1106" s="62"/>
      <c r="M1106" s="59"/>
      <c r="N1106" s="60"/>
      <c r="O1106" s="61"/>
      <c r="P1106" s="62"/>
      <c r="Q1106" s="64"/>
      <c r="R1106" s="61"/>
      <c r="S1106" s="61"/>
      <c r="T1106" s="61"/>
      <c r="U1106" s="62"/>
      <c r="V1106" s="59"/>
      <c r="W1106" s="60"/>
      <c r="X1106" s="61"/>
      <c r="Y1106" s="62"/>
      <c r="Z1106" s="59"/>
      <c r="AA1106" s="60"/>
      <c r="AB1106" s="61"/>
      <c r="AC1106" s="62"/>
      <c r="AD1106" s="59"/>
      <c r="AE1106" s="60"/>
      <c r="AF1106" s="61"/>
      <c r="AG1106" s="62"/>
      <c r="AH1106" s="59"/>
      <c r="AI1106" s="60"/>
      <c r="AJ1106" s="61"/>
      <c r="AK1106" s="62"/>
      <c r="AL1106" s="59"/>
      <c r="AM1106" s="60"/>
      <c r="AN1106" s="61"/>
      <c r="AO1106" s="62"/>
      <c r="AP1106" s="59"/>
      <c r="AQ1106" s="60"/>
      <c r="AR1106" s="61"/>
      <c r="AS1106" s="62"/>
      <c r="AT1106" s="59"/>
      <c r="AU1106" s="60"/>
      <c r="AV1106" s="61"/>
      <c r="AW1106" s="62"/>
      <c r="AX1106" s="33">
        <f t="shared" si="1059"/>
        <v>0</v>
      </c>
      <c r="AY1106" s="31">
        <f t="shared" si="1060"/>
        <v>0</v>
      </c>
      <c r="AZ1106" s="30">
        <f t="shared" si="1061"/>
        <v>0</v>
      </c>
      <c r="BA1106" s="34"/>
      <c r="BB1106" s="34"/>
      <c r="BC1106" s="34"/>
      <c r="BD1106" s="76"/>
      <c r="BE1106" s="34"/>
      <c r="BF1106" s="34"/>
      <c r="BG1106" s="34"/>
      <c r="BH1106" s="34"/>
    </row>
    <row r="1107" spans="1:60" s="17" customFormat="1" ht="19.5" customHeight="1" thickBot="1" x14ac:dyDescent="0.45">
      <c r="A1107" s="41">
        <f t="shared" si="1065"/>
        <v>45443</v>
      </c>
      <c r="B1107" s="139" t="str">
        <f>B1100</f>
        <v>BANT GİRİŞ</v>
      </c>
      <c r="C1107" s="140"/>
      <c r="D1107" s="40">
        <f>C1062/8</f>
        <v>500</v>
      </c>
      <c r="E1107" s="147">
        <f>SUM(E1100:H1106)</f>
        <v>0</v>
      </c>
      <c r="F1107" s="148"/>
      <c r="G1107" s="148"/>
      <c r="H1107" s="149"/>
      <c r="I1107" s="147">
        <f>SUM(I1100:L1106)</f>
        <v>0</v>
      </c>
      <c r="J1107" s="148"/>
      <c r="K1107" s="148"/>
      <c r="L1107" s="149"/>
      <c r="M1107" s="147">
        <f>SUM(M1100:P1106)</f>
        <v>0</v>
      </c>
      <c r="N1107" s="148"/>
      <c r="O1107" s="148"/>
      <c r="P1107" s="149"/>
      <c r="Q1107" s="147">
        <f>SUM(Q1100:U1106)</f>
        <v>0</v>
      </c>
      <c r="R1107" s="148"/>
      <c r="S1107" s="148"/>
      <c r="T1107" s="148"/>
      <c r="U1107" s="149"/>
      <c r="V1107" s="147">
        <f>SUM(V1100:Y1106)</f>
        <v>0</v>
      </c>
      <c r="W1107" s="148"/>
      <c r="X1107" s="148"/>
      <c r="Y1107" s="149"/>
      <c r="Z1107" s="147">
        <f>SUM(Z1100:AC1106)</f>
        <v>0</v>
      </c>
      <c r="AA1107" s="148"/>
      <c r="AB1107" s="148"/>
      <c r="AC1107" s="149"/>
      <c r="AD1107" s="147">
        <f>SUM(AD1100:AG1106)</f>
        <v>0</v>
      </c>
      <c r="AE1107" s="148"/>
      <c r="AF1107" s="148"/>
      <c r="AG1107" s="149"/>
      <c r="AH1107" s="147">
        <f>SUM(AH1100:AK1106)</f>
        <v>0</v>
      </c>
      <c r="AI1107" s="148"/>
      <c r="AJ1107" s="148"/>
      <c r="AK1107" s="149"/>
      <c r="AL1107" s="147">
        <f>SUM(AL1100:AO1106)</f>
        <v>0</v>
      </c>
      <c r="AM1107" s="148"/>
      <c r="AN1107" s="148"/>
      <c r="AO1107" s="149"/>
      <c r="AP1107" s="147">
        <f>SUM(AP1100:AS1106)</f>
        <v>0</v>
      </c>
      <c r="AQ1107" s="148"/>
      <c r="AR1107" s="148"/>
      <c r="AS1107" s="149"/>
      <c r="AT1107" s="147">
        <f>SUM(AT1100:AW1106)</f>
        <v>0</v>
      </c>
      <c r="AU1107" s="148"/>
      <c r="AV1107" s="148"/>
      <c r="AW1107" s="149"/>
      <c r="AX1107" s="87">
        <f>SUM(AX1100:AX1106)</f>
        <v>0</v>
      </c>
      <c r="AY1107" s="88">
        <f>IFERROR(AVERAGEIF(E1107:AV1107,"&lt;&gt;0",(E1107:AV1107)),)</f>
        <v>0</v>
      </c>
      <c r="AZ1107" s="46">
        <f>IFERROR(AX1107/BB1101,0)</f>
        <v>0</v>
      </c>
      <c r="BA1107" s="34"/>
      <c r="BB1107" s="34"/>
      <c r="BC1107" s="34"/>
      <c r="BD1107" s="76"/>
      <c r="BE1107" s="34"/>
      <c r="BF1107" s="34"/>
      <c r="BG1107" s="34"/>
      <c r="BH1107" s="34"/>
    </row>
    <row r="1108" spans="1:60" s="17" customFormat="1" ht="19.5" customHeight="1" thickBot="1" x14ac:dyDescent="0.4">
      <c r="A1108" s="42">
        <f>A1099</f>
        <v>45443</v>
      </c>
      <c r="B1108" s="38" t="str">
        <f>B1109</f>
        <v>Omuz Çatma</v>
      </c>
      <c r="C1108" s="39" t="s">
        <v>180</v>
      </c>
      <c r="D1108" s="69" t="s">
        <v>181</v>
      </c>
      <c r="E1108" s="48">
        <v>0.34375</v>
      </c>
      <c r="F1108" s="49">
        <v>0.35416666666666669</v>
      </c>
      <c r="G1108" s="49">
        <v>0.36458333333333331</v>
      </c>
      <c r="H1108" s="50">
        <v>0.375</v>
      </c>
      <c r="I1108" s="48">
        <v>0.38541666666666702</v>
      </c>
      <c r="J1108" s="49">
        <v>0.39583333333333298</v>
      </c>
      <c r="K1108" s="49">
        <v>0.40625</v>
      </c>
      <c r="L1108" s="50">
        <v>0.41666666666666702</v>
      </c>
      <c r="M1108" s="48">
        <v>0.4375</v>
      </c>
      <c r="N1108" s="49">
        <v>0.44791666666666702</v>
      </c>
      <c r="O1108" s="49">
        <v>0.45833333333333398</v>
      </c>
      <c r="P1108" s="50">
        <v>0.46875</v>
      </c>
      <c r="Q1108" s="48">
        <v>0.47916666666666702</v>
      </c>
      <c r="R1108" s="49">
        <v>0.48958333333333398</v>
      </c>
      <c r="S1108" s="49">
        <v>0.5</v>
      </c>
      <c r="T1108" s="50">
        <v>0.51041666666666696</v>
      </c>
      <c r="U1108" s="51">
        <v>0.52083333333333204</v>
      </c>
      <c r="V1108" s="48">
        <v>0.5625</v>
      </c>
      <c r="W1108" s="49">
        <v>0.57291666666666663</v>
      </c>
      <c r="X1108" s="49">
        <v>0.58333333333333304</v>
      </c>
      <c r="Y1108" s="50">
        <v>0.59375</v>
      </c>
      <c r="Z1108" s="48">
        <v>0.60416666666666696</v>
      </c>
      <c r="AA1108" s="49">
        <v>0.61458333333333304</v>
      </c>
      <c r="AB1108" s="49">
        <v>0.625</v>
      </c>
      <c r="AC1108" s="50">
        <v>0.63541666666666596</v>
      </c>
      <c r="AD1108" s="48">
        <v>0.65625</v>
      </c>
      <c r="AE1108" s="49">
        <v>0.66666666666666663</v>
      </c>
      <c r="AF1108" s="49">
        <v>0.67708333333333304</v>
      </c>
      <c r="AG1108" s="50">
        <v>0.6875</v>
      </c>
      <c r="AH1108" s="48">
        <v>0.69791666666666696</v>
      </c>
      <c r="AI1108" s="49">
        <v>0.70833333333333304</v>
      </c>
      <c r="AJ1108" s="49">
        <v>0.71875</v>
      </c>
      <c r="AK1108" s="50">
        <v>0.72916666666666696</v>
      </c>
      <c r="AL1108" s="48">
        <v>0.73958333333333404</v>
      </c>
      <c r="AM1108" s="49">
        <v>0.750000000000001</v>
      </c>
      <c r="AN1108" s="49">
        <v>0.76041666666666796</v>
      </c>
      <c r="AO1108" s="50">
        <v>0.77083333333333504</v>
      </c>
      <c r="AP1108" s="48">
        <v>0.781250000000002</v>
      </c>
      <c r="AQ1108" s="49">
        <v>0.79166666666666896</v>
      </c>
      <c r="AR1108" s="49">
        <v>0.80208333333333603</v>
      </c>
      <c r="AS1108" s="50">
        <v>0.812500000000003</v>
      </c>
      <c r="AT1108" s="48">
        <v>0.82291666666666996</v>
      </c>
      <c r="AU1108" s="49">
        <v>0.83333333333333703</v>
      </c>
      <c r="AV1108" s="49">
        <v>0.843750000000004</v>
      </c>
      <c r="AW1108" s="50">
        <v>0.85416666666666663</v>
      </c>
      <c r="AX1108" s="68" t="s">
        <v>260</v>
      </c>
      <c r="AY1108" s="28" t="s">
        <v>261</v>
      </c>
      <c r="AZ1108" s="29" t="s">
        <v>262</v>
      </c>
      <c r="BA1108" s="136" t="str">
        <f>B1109</f>
        <v>Omuz Çatma</v>
      </c>
      <c r="BB1108" s="137"/>
      <c r="BC1108" s="137"/>
      <c r="BD1108" s="137"/>
      <c r="BE1108" s="137"/>
      <c r="BF1108" s="137"/>
      <c r="BG1108" s="137"/>
      <c r="BH1108" s="138"/>
    </row>
    <row r="1109" spans="1:60" s="17" customFormat="1" ht="19.5" customHeight="1" thickBot="1" x14ac:dyDescent="0.4">
      <c r="A1109" s="41">
        <f t="shared" ref="A1109" si="1066">A1108</f>
        <v>45443</v>
      </c>
      <c r="B1109" s="37" t="str">
        <f>B933</f>
        <v>Omuz Çatma</v>
      </c>
      <c r="C1109" s="65" t="s">
        <v>40</v>
      </c>
      <c r="D1109" s="70">
        <f>D933</f>
        <v>60</v>
      </c>
      <c r="E1109" s="63"/>
      <c r="F1109" s="55"/>
      <c r="G1109" s="55"/>
      <c r="H1109" s="56"/>
      <c r="I1109" s="63"/>
      <c r="J1109" s="55"/>
      <c r="K1109" s="55">
        <v>30</v>
      </c>
      <c r="L1109" s="56">
        <v>40</v>
      </c>
      <c r="M1109" s="63">
        <v>33</v>
      </c>
      <c r="N1109" s="55"/>
      <c r="O1109" s="55"/>
      <c r="P1109" s="56"/>
      <c r="Q1109" s="63"/>
      <c r="R1109" s="55"/>
      <c r="S1109" s="55"/>
      <c r="T1109" s="55"/>
      <c r="U1109" s="56">
        <v>0</v>
      </c>
      <c r="V1109" s="63"/>
      <c r="W1109" s="55"/>
      <c r="X1109" s="55"/>
      <c r="Y1109" s="56"/>
      <c r="Z1109" s="63"/>
      <c r="AA1109" s="55"/>
      <c r="AB1109" s="55"/>
      <c r="AC1109" s="56">
        <v>0</v>
      </c>
      <c r="AD1109" s="63"/>
      <c r="AE1109" s="55"/>
      <c r="AF1109" s="55"/>
      <c r="AG1109" s="56"/>
      <c r="AH1109" s="63"/>
      <c r="AI1109" s="55"/>
      <c r="AJ1109" s="55"/>
      <c r="AK1109" s="56"/>
      <c r="AL1109" s="63"/>
      <c r="AM1109" s="55"/>
      <c r="AN1109" s="55"/>
      <c r="AO1109" s="56"/>
      <c r="AP1109" s="63"/>
      <c r="AQ1109" s="54"/>
      <c r="AR1109" s="55"/>
      <c r="AS1109" s="56"/>
      <c r="AT1109" s="53"/>
      <c r="AU1109" s="54"/>
      <c r="AV1109" s="55"/>
      <c r="AW1109" s="56"/>
      <c r="AX1109" s="33">
        <f>SUM(E1109:AW1109)</f>
        <v>103</v>
      </c>
      <c r="AY1109" s="31">
        <f>IFERROR(AVERAGEIF(E1109:AW1109,"&lt;&gt;0",(E1109:AW1109)),)</f>
        <v>34.333333333333336</v>
      </c>
      <c r="AZ1109" s="30">
        <f>IFERROR(AY1109/D1109,0)</f>
        <v>0.5722222222222223</v>
      </c>
      <c r="BA1109" s="103" t="s">
        <v>182</v>
      </c>
      <c r="BB1109" s="100" t="s">
        <v>183</v>
      </c>
      <c r="BC1109" s="100" t="s">
        <v>184</v>
      </c>
      <c r="BD1109" s="101" t="s">
        <v>185</v>
      </c>
      <c r="BE1109" s="100" t="s">
        <v>186</v>
      </c>
      <c r="BF1109" s="102" t="s">
        <v>187</v>
      </c>
      <c r="BG1109" s="100" t="s">
        <v>188</v>
      </c>
      <c r="BH1109" s="102" t="s">
        <v>189</v>
      </c>
    </row>
    <row r="1110" spans="1:60" s="17" customFormat="1" ht="19.5" customHeight="1" thickBot="1" x14ac:dyDescent="0.4">
      <c r="A1110" s="41">
        <f t="shared" ref="A1110:B1110" si="1067">A1109</f>
        <v>45443</v>
      </c>
      <c r="B1110" s="37" t="str">
        <f t="shared" si="1067"/>
        <v>Omuz Çatma</v>
      </c>
      <c r="C1110" s="65" t="s">
        <v>85</v>
      </c>
      <c r="D1110" s="67">
        <f t="shared" ref="D1110:D1115" si="1068">D1109</f>
        <v>60</v>
      </c>
      <c r="E1110" s="57">
        <v>35</v>
      </c>
      <c r="F1110" s="52">
        <v>55</v>
      </c>
      <c r="G1110" s="52">
        <v>55</v>
      </c>
      <c r="H1110" s="58">
        <v>55</v>
      </c>
      <c r="I1110" s="57">
        <v>60</v>
      </c>
      <c r="J1110" s="52">
        <v>60</v>
      </c>
      <c r="K1110" s="52">
        <v>40</v>
      </c>
      <c r="L1110" s="58">
        <v>60</v>
      </c>
      <c r="M1110" s="57">
        <v>50</v>
      </c>
      <c r="N1110" s="52">
        <v>50</v>
      </c>
      <c r="O1110" s="52">
        <v>55</v>
      </c>
      <c r="P1110" s="58">
        <v>40</v>
      </c>
      <c r="Q1110" s="57">
        <v>55</v>
      </c>
      <c r="R1110" s="52">
        <v>55</v>
      </c>
      <c r="S1110" s="52">
        <v>50</v>
      </c>
      <c r="T1110" s="52">
        <v>60</v>
      </c>
      <c r="U1110" s="58">
        <v>55</v>
      </c>
      <c r="V1110" s="57">
        <v>50</v>
      </c>
      <c r="W1110" s="52">
        <v>55</v>
      </c>
      <c r="X1110" s="52">
        <v>55</v>
      </c>
      <c r="Y1110" s="58">
        <v>50</v>
      </c>
      <c r="Z1110" s="57">
        <v>35</v>
      </c>
      <c r="AA1110" s="52">
        <v>60</v>
      </c>
      <c r="AB1110" s="52">
        <v>60</v>
      </c>
      <c r="AC1110" s="58">
        <v>60</v>
      </c>
      <c r="AD1110" s="57">
        <v>40</v>
      </c>
      <c r="AE1110" s="52">
        <v>55</v>
      </c>
      <c r="AF1110" s="52">
        <v>50</v>
      </c>
      <c r="AG1110" s="58">
        <v>60</v>
      </c>
      <c r="AH1110" s="57">
        <v>40</v>
      </c>
      <c r="AI1110" s="52">
        <v>50</v>
      </c>
      <c r="AJ1110" s="52">
        <v>60</v>
      </c>
      <c r="AK1110" s="58"/>
      <c r="AL1110" s="57"/>
      <c r="AM1110" s="52"/>
      <c r="AN1110" s="52"/>
      <c r="AO1110" s="58"/>
      <c r="AP1110" s="57"/>
      <c r="AQ1110" s="52"/>
      <c r="AR1110" s="52"/>
      <c r="AS1110" s="58"/>
      <c r="AT1110" s="57"/>
      <c r="AU1110" s="52"/>
      <c r="AV1110" s="52"/>
      <c r="AW1110" s="58"/>
      <c r="AX1110" s="33">
        <f t="shared" ref="AX1110:AX1115" si="1069">SUM(E1110:AW1110)</f>
        <v>1670</v>
      </c>
      <c r="AY1110" s="31">
        <f t="shared" ref="AY1110:AY1115" si="1070">IFERROR(AVERAGEIF(E1110:AW1110,"&lt;&gt;0",(E1110:AW1110)),)</f>
        <v>52.1875</v>
      </c>
      <c r="AZ1110" s="30">
        <f t="shared" ref="AZ1110:AZ1115" si="1071">IFERROR(AY1110/D1110,0)</f>
        <v>0.86979166666666663</v>
      </c>
      <c r="BA1110" s="94">
        <f>AX1116+BA934</f>
        <v>14994</v>
      </c>
      <c r="BB1110" s="95">
        <f>(D1116*8)</f>
        <v>4000</v>
      </c>
      <c r="BC1110" s="96">
        <f>C1061-BA1110</f>
        <v>27317</v>
      </c>
      <c r="BD1110" s="96">
        <f>BH1101-BA1110</f>
        <v>-14994</v>
      </c>
      <c r="BE1110" s="97">
        <f>IFERROR(BC1110/E1116,0)</f>
        <v>60.302428256070641</v>
      </c>
      <c r="BF1110" s="98">
        <f>IFERROR(BE1110/9,0)</f>
        <v>6.7002698062300716</v>
      </c>
      <c r="BG1110" s="97">
        <f>IFERROR(BC1110/AY1116,0)</f>
        <v>59.627830832196452</v>
      </c>
      <c r="BH1110" s="97">
        <f>IFERROR(BG1110/9,0)</f>
        <v>6.6253145369107171</v>
      </c>
    </row>
    <row r="1111" spans="1:60" s="17" customFormat="1" ht="19.5" customHeight="1" x14ac:dyDescent="0.35">
      <c r="A1111" s="41">
        <f t="shared" ref="A1111:B1111" si="1072">A1110</f>
        <v>45443</v>
      </c>
      <c r="B1111" s="37" t="str">
        <f t="shared" si="1072"/>
        <v>Omuz Çatma</v>
      </c>
      <c r="C1111" s="65" t="s">
        <v>38</v>
      </c>
      <c r="D1111" s="67">
        <f t="shared" si="1068"/>
        <v>60</v>
      </c>
      <c r="E1111" s="57">
        <v>40</v>
      </c>
      <c r="F1111" s="52">
        <v>40</v>
      </c>
      <c r="G1111" s="52">
        <v>40</v>
      </c>
      <c r="H1111" s="58">
        <v>35</v>
      </c>
      <c r="I1111" s="57">
        <v>42</v>
      </c>
      <c r="J1111" s="52">
        <v>15</v>
      </c>
      <c r="K1111" s="52">
        <v>40</v>
      </c>
      <c r="L1111" s="58">
        <v>42</v>
      </c>
      <c r="M1111" s="57">
        <v>42</v>
      </c>
      <c r="N1111" s="52">
        <v>40</v>
      </c>
      <c r="O1111" s="52">
        <v>40</v>
      </c>
      <c r="P1111" s="58">
        <v>40</v>
      </c>
      <c r="Q1111" s="57">
        <v>45</v>
      </c>
      <c r="R1111" s="52">
        <v>20</v>
      </c>
      <c r="S1111" s="52">
        <v>40</v>
      </c>
      <c r="T1111" s="52">
        <v>35</v>
      </c>
      <c r="U1111" s="58">
        <v>40</v>
      </c>
      <c r="V1111" s="57">
        <v>28</v>
      </c>
      <c r="W1111" s="52">
        <v>40</v>
      </c>
      <c r="X1111" s="52">
        <v>40</v>
      </c>
      <c r="Y1111" s="58">
        <v>20</v>
      </c>
      <c r="Z1111" s="57">
        <v>0</v>
      </c>
      <c r="AA1111" s="52">
        <v>0</v>
      </c>
      <c r="AB1111" s="52">
        <v>45</v>
      </c>
      <c r="AC1111" s="58">
        <v>40</v>
      </c>
      <c r="AD1111" s="57">
        <v>40</v>
      </c>
      <c r="AE1111" s="52">
        <v>40</v>
      </c>
      <c r="AF1111" s="52">
        <v>40</v>
      </c>
      <c r="AG1111" s="58">
        <v>40</v>
      </c>
      <c r="AH1111" s="57">
        <v>25</v>
      </c>
      <c r="AI1111" s="52">
        <v>40</v>
      </c>
      <c r="AJ1111" s="52">
        <v>40</v>
      </c>
      <c r="AK1111" s="58"/>
      <c r="AL1111" s="57"/>
      <c r="AM1111" s="52"/>
      <c r="AN1111" s="52"/>
      <c r="AO1111" s="58"/>
      <c r="AP1111" s="57"/>
      <c r="AQ1111" s="52"/>
      <c r="AR1111" s="52"/>
      <c r="AS1111" s="58"/>
      <c r="AT1111" s="57"/>
      <c r="AU1111" s="52"/>
      <c r="AV1111" s="52"/>
      <c r="AW1111" s="58"/>
      <c r="AX1111" s="33">
        <f t="shared" si="1069"/>
        <v>1114</v>
      </c>
      <c r="AY1111" s="31">
        <f t="shared" si="1070"/>
        <v>37.133333333333333</v>
      </c>
      <c r="AZ1111" s="30">
        <f t="shared" si="1071"/>
        <v>0.61888888888888893</v>
      </c>
      <c r="BA1111" s="34"/>
      <c r="BB1111" s="34"/>
      <c r="BC1111" s="34"/>
      <c r="BD1111" s="76"/>
      <c r="BE1111" s="34"/>
      <c r="BF1111" s="34"/>
      <c r="BG1111" s="34"/>
      <c r="BH1111" s="34"/>
    </row>
    <row r="1112" spans="1:60" s="17" customFormat="1" ht="19.5" customHeight="1" x14ac:dyDescent="0.35">
      <c r="A1112" s="41">
        <f t="shared" ref="A1112:B1115" si="1073">A1111</f>
        <v>45443</v>
      </c>
      <c r="B1112" s="37" t="str">
        <f t="shared" si="1073"/>
        <v>Omuz Çatma</v>
      </c>
      <c r="C1112" s="65" t="s">
        <v>272</v>
      </c>
      <c r="D1112" s="67">
        <f t="shared" si="1068"/>
        <v>60</v>
      </c>
      <c r="E1112" s="57">
        <v>25</v>
      </c>
      <c r="F1112" s="52">
        <v>25</v>
      </c>
      <c r="G1112" s="52">
        <v>23</v>
      </c>
      <c r="H1112" s="58">
        <v>25</v>
      </c>
      <c r="I1112" s="57">
        <v>27</v>
      </c>
      <c r="J1112" s="52">
        <v>23</v>
      </c>
      <c r="K1112" s="52">
        <v>24</v>
      </c>
      <c r="L1112" s="58">
        <v>30</v>
      </c>
      <c r="M1112" s="57">
        <v>25</v>
      </c>
      <c r="N1112" s="52">
        <v>27</v>
      </c>
      <c r="O1112" s="52">
        <v>27</v>
      </c>
      <c r="P1112" s="58">
        <v>25</v>
      </c>
      <c r="Q1112" s="57">
        <v>25</v>
      </c>
      <c r="R1112" s="52">
        <v>25</v>
      </c>
      <c r="S1112" s="52">
        <v>25</v>
      </c>
      <c r="T1112" s="52">
        <v>25</v>
      </c>
      <c r="U1112" s="58">
        <v>25</v>
      </c>
      <c r="V1112" s="57">
        <v>25</v>
      </c>
      <c r="W1112" s="52">
        <v>28</v>
      </c>
      <c r="X1112" s="52">
        <v>25</v>
      </c>
      <c r="Y1112" s="58">
        <v>25</v>
      </c>
      <c r="Z1112" s="57">
        <v>22</v>
      </c>
      <c r="AA1112" s="52">
        <v>22</v>
      </c>
      <c r="AB1112" s="52">
        <v>27</v>
      </c>
      <c r="AC1112" s="58">
        <v>23</v>
      </c>
      <c r="AD1112" s="57">
        <v>25</v>
      </c>
      <c r="AE1112" s="52">
        <v>25</v>
      </c>
      <c r="AF1112" s="52">
        <v>25</v>
      </c>
      <c r="AG1112" s="58">
        <v>26</v>
      </c>
      <c r="AH1112" s="57">
        <v>10</v>
      </c>
      <c r="AI1112" s="52">
        <v>15</v>
      </c>
      <c r="AJ1112" s="52">
        <v>24</v>
      </c>
      <c r="AK1112" s="58"/>
      <c r="AL1112" s="57"/>
      <c r="AM1112" s="52"/>
      <c r="AN1112" s="52"/>
      <c r="AO1112" s="58"/>
      <c r="AP1112" s="57"/>
      <c r="AQ1112" s="52"/>
      <c r="AR1112" s="52"/>
      <c r="AS1112" s="58"/>
      <c r="AT1112" s="57"/>
      <c r="AU1112" s="52"/>
      <c r="AV1112" s="52"/>
      <c r="AW1112" s="58"/>
      <c r="AX1112" s="33">
        <f t="shared" si="1069"/>
        <v>778</v>
      </c>
      <c r="AY1112" s="31">
        <f t="shared" si="1070"/>
        <v>24.3125</v>
      </c>
      <c r="AZ1112" s="30">
        <f t="shared" si="1071"/>
        <v>0.40520833333333334</v>
      </c>
      <c r="BA1112" s="34"/>
      <c r="BB1112" s="34"/>
      <c r="BC1112" s="34"/>
      <c r="BD1112" s="76"/>
      <c r="BE1112" s="34"/>
      <c r="BF1112" s="34"/>
      <c r="BG1112" s="34"/>
      <c r="BH1112" s="34"/>
    </row>
    <row r="1113" spans="1:60" s="17" customFormat="1" ht="19.5" customHeight="1" x14ac:dyDescent="0.35">
      <c r="A1113" s="41">
        <f>A1110</f>
        <v>45443</v>
      </c>
      <c r="B1113" s="37" t="str">
        <f t="shared" si="1073"/>
        <v>Omuz Çatma</v>
      </c>
      <c r="C1113" s="65">
        <f t="shared" ref="C1113:C1115" si="1074">C937</f>
        <v>0</v>
      </c>
      <c r="D1113" s="67">
        <f t="shared" si="1068"/>
        <v>60</v>
      </c>
      <c r="E1113" s="57"/>
      <c r="F1113" s="52"/>
      <c r="G1113" s="52"/>
      <c r="H1113" s="58"/>
      <c r="I1113" s="57"/>
      <c r="J1113" s="52"/>
      <c r="K1113" s="52"/>
      <c r="L1113" s="58"/>
      <c r="M1113" s="57"/>
      <c r="N1113" s="52"/>
      <c r="O1113" s="52"/>
      <c r="P1113" s="58"/>
      <c r="Q1113" s="57"/>
      <c r="R1113" s="52"/>
      <c r="S1113" s="52"/>
      <c r="T1113" s="52"/>
      <c r="U1113" s="58"/>
      <c r="V1113" s="57"/>
      <c r="W1113" s="52"/>
      <c r="X1113" s="52"/>
      <c r="Y1113" s="58"/>
      <c r="Z1113" s="57"/>
      <c r="AA1113" s="52"/>
      <c r="AB1113" s="52"/>
      <c r="AC1113" s="58"/>
      <c r="AD1113" s="57"/>
      <c r="AE1113" s="52"/>
      <c r="AF1113" s="52"/>
      <c r="AG1113" s="58"/>
      <c r="AH1113" s="57"/>
      <c r="AI1113" s="52"/>
      <c r="AJ1113" s="52"/>
      <c r="AK1113" s="58"/>
      <c r="AL1113" s="57"/>
      <c r="AM1113" s="52"/>
      <c r="AN1113" s="52"/>
      <c r="AO1113" s="58"/>
      <c r="AP1113" s="57"/>
      <c r="AQ1113" s="52"/>
      <c r="AR1113" s="52"/>
      <c r="AS1113" s="58"/>
      <c r="AT1113" s="57"/>
      <c r="AU1113" s="52"/>
      <c r="AV1113" s="52"/>
      <c r="AW1113" s="58"/>
      <c r="AX1113" s="33">
        <f t="shared" si="1069"/>
        <v>0</v>
      </c>
      <c r="AY1113" s="31">
        <f t="shared" si="1070"/>
        <v>0</v>
      </c>
      <c r="AZ1113" s="30">
        <f t="shared" si="1071"/>
        <v>0</v>
      </c>
      <c r="BA1113" s="34"/>
      <c r="BB1113" s="34"/>
      <c r="BC1113" s="34"/>
      <c r="BD1113" s="76"/>
      <c r="BE1113" s="34"/>
      <c r="BF1113" s="34"/>
      <c r="BG1113" s="34"/>
      <c r="BH1113" s="34"/>
    </row>
    <row r="1114" spans="1:60" s="17" customFormat="1" ht="19.5" customHeight="1" x14ac:dyDescent="0.35">
      <c r="A1114" s="41">
        <f>A1113</f>
        <v>45443</v>
      </c>
      <c r="B1114" s="37" t="str">
        <f t="shared" si="1073"/>
        <v>Omuz Çatma</v>
      </c>
      <c r="C1114" s="65">
        <f t="shared" si="1074"/>
        <v>0</v>
      </c>
      <c r="D1114" s="67">
        <f t="shared" si="1068"/>
        <v>60</v>
      </c>
      <c r="E1114" s="57"/>
      <c r="F1114" s="52"/>
      <c r="G1114" s="52"/>
      <c r="H1114" s="58"/>
      <c r="I1114" s="57"/>
      <c r="J1114" s="52"/>
      <c r="K1114" s="52"/>
      <c r="L1114" s="58"/>
      <c r="M1114" s="57"/>
      <c r="N1114" s="52"/>
      <c r="O1114" s="52"/>
      <c r="P1114" s="58"/>
      <c r="Q1114" s="57"/>
      <c r="R1114" s="52"/>
      <c r="S1114" s="52"/>
      <c r="T1114" s="52"/>
      <c r="U1114" s="58"/>
      <c r="V1114" s="57"/>
      <c r="W1114" s="52"/>
      <c r="X1114" s="52"/>
      <c r="Y1114" s="58"/>
      <c r="Z1114" s="57"/>
      <c r="AA1114" s="52"/>
      <c r="AB1114" s="52"/>
      <c r="AC1114" s="58"/>
      <c r="AD1114" s="57"/>
      <c r="AE1114" s="52"/>
      <c r="AF1114" s="52"/>
      <c r="AG1114" s="58"/>
      <c r="AH1114" s="57"/>
      <c r="AI1114" s="52"/>
      <c r="AJ1114" s="52"/>
      <c r="AK1114" s="58"/>
      <c r="AL1114" s="57"/>
      <c r="AM1114" s="52"/>
      <c r="AN1114" s="52"/>
      <c r="AO1114" s="58"/>
      <c r="AP1114" s="57"/>
      <c r="AQ1114" s="52"/>
      <c r="AR1114" s="52"/>
      <c r="AS1114" s="58"/>
      <c r="AT1114" s="57"/>
      <c r="AU1114" s="52"/>
      <c r="AV1114" s="52"/>
      <c r="AW1114" s="58"/>
      <c r="AX1114" s="33">
        <f t="shared" si="1069"/>
        <v>0</v>
      </c>
      <c r="AY1114" s="31">
        <f t="shared" si="1070"/>
        <v>0</v>
      </c>
      <c r="AZ1114" s="30">
        <f t="shared" si="1071"/>
        <v>0</v>
      </c>
      <c r="BA1114" s="34"/>
      <c r="BB1114" s="34"/>
      <c r="BC1114" s="34"/>
      <c r="BD1114" s="76"/>
      <c r="BE1114" s="34"/>
      <c r="BF1114" s="34"/>
      <c r="BG1114" s="34"/>
      <c r="BH1114" s="34"/>
    </row>
    <row r="1115" spans="1:60" s="17" customFormat="1" ht="19.5" customHeight="1" thickBot="1" x14ac:dyDescent="0.4">
      <c r="A1115" s="41">
        <f>A1114</f>
        <v>45443</v>
      </c>
      <c r="B1115" s="37" t="str">
        <f t="shared" si="1073"/>
        <v>Omuz Çatma</v>
      </c>
      <c r="C1115" s="65">
        <f t="shared" si="1074"/>
        <v>0</v>
      </c>
      <c r="D1115" s="67">
        <f t="shared" si="1068"/>
        <v>60</v>
      </c>
      <c r="E1115" s="59"/>
      <c r="F1115" s="60"/>
      <c r="G1115" s="61"/>
      <c r="H1115" s="62"/>
      <c r="I1115" s="59"/>
      <c r="J1115" s="60"/>
      <c r="K1115" s="61"/>
      <c r="L1115" s="62"/>
      <c r="M1115" s="59"/>
      <c r="N1115" s="60"/>
      <c r="O1115" s="61"/>
      <c r="P1115" s="62"/>
      <c r="Q1115" s="64"/>
      <c r="R1115" s="61"/>
      <c r="S1115" s="61"/>
      <c r="T1115" s="61"/>
      <c r="U1115" s="62"/>
      <c r="V1115" s="59"/>
      <c r="W1115" s="60"/>
      <c r="X1115" s="61"/>
      <c r="Y1115" s="62"/>
      <c r="Z1115" s="59"/>
      <c r="AA1115" s="60"/>
      <c r="AB1115" s="61"/>
      <c r="AC1115" s="62"/>
      <c r="AD1115" s="59"/>
      <c r="AE1115" s="60"/>
      <c r="AF1115" s="61"/>
      <c r="AG1115" s="62"/>
      <c r="AH1115" s="59"/>
      <c r="AI1115" s="60"/>
      <c r="AJ1115" s="61"/>
      <c r="AK1115" s="62"/>
      <c r="AL1115" s="59"/>
      <c r="AM1115" s="60"/>
      <c r="AN1115" s="61"/>
      <c r="AO1115" s="62"/>
      <c r="AP1115" s="59"/>
      <c r="AQ1115" s="60"/>
      <c r="AR1115" s="61"/>
      <c r="AS1115" s="62"/>
      <c r="AT1115" s="59"/>
      <c r="AU1115" s="60"/>
      <c r="AV1115" s="61"/>
      <c r="AW1115" s="62"/>
      <c r="AX1115" s="33">
        <f t="shared" si="1069"/>
        <v>0</v>
      </c>
      <c r="AY1115" s="31">
        <f t="shared" si="1070"/>
        <v>0</v>
      </c>
      <c r="AZ1115" s="30">
        <f t="shared" si="1071"/>
        <v>0</v>
      </c>
      <c r="BA1115" s="34"/>
      <c r="BB1115" s="34"/>
      <c r="BC1115" s="34"/>
      <c r="BD1115" s="76"/>
      <c r="BE1115" s="34"/>
      <c r="BF1115" s="34"/>
      <c r="BG1115" s="34"/>
      <c r="BH1115" s="34"/>
    </row>
    <row r="1116" spans="1:60" s="17" customFormat="1" ht="19.5" customHeight="1" thickBot="1" x14ac:dyDescent="0.45">
      <c r="A1116" s="41">
        <f>A1115</f>
        <v>45443</v>
      </c>
      <c r="B1116" s="139" t="str">
        <f>B1109</f>
        <v>Omuz Çatma</v>
      </c>
      <c r="C1116" s="140"/>
      <c r="D1116" s="40">
        <f>C1062/8</f>
        <v>500</v>
      </c>
      <c r="E1116" s="147">
        <f>SUM(E1109:H1115)</f>
        <v>453</v>
      </c>
      <c r="F1116" s="148"/>
      <c r="G1116" s="148"/>
      <c r="H1116" s="149"/>
      <c r="I1116" s="147">
        <f>SUM(I1109:L1115)</f>
        <v>533</v>
      </c>
      <c r="J1116" s="148"/>
      <c r="K1116" s="148"/>
      <c r="L1116" s="149"/>
      <c r="M1116" s="147">
        <f>SUM(M1109:P1115)</f>
        <v>494</v>
      </c>
      <c r="N1116" s="148"/>
      <c r="O1116" s="148"/>
      <c r="P1116" s="149"/>
      <c r="Q1116" s="147">
        <f>SUM(Q1109:U1115)</f>
        <v>580</v>
      </c>
      <c r="R1116" s="148"/>
      <c r="S1116" s="148"/>
      <c r="T1116" s="148"/>
      <c r="U1116" s="149"/>
      <c r="V1116" s="147">
        <f>SUM(V1109:Y1115)</f>
        <v>441</v>
      </c>
      <c r="W1116" s="148"/>
      <c r="X1116" s="148"/>
      <c r="Y1116" s="149"/>
      <c r="Z1116" s="147">
        <f>SUM(Z1109:AC1115)</f>
        <v>394</v>
      </c>
      <c r="AA1116" s="148"/>
      <c r="AB1116" s="148"/>
      <c r="AC1116" s="149"/>
      <c r="AD1116" s="147">
        <f>SUM(AD1109:AG1115)</f>
        <v>466</v>
      </c>
      <c r="AE1116" s="148"/>
      <c r="AF1116" s="148"/>
      <c r="AG1116" s="149"/>
      <c r="AH1116" s="147">
        <f>SUM(AH1109:AK1115)</f>
        <v>304</v>
      </c>
      <c r="AI1116" s="148"/>
      <c r="AJ1116" s="148"/>
      <c r="AK1116" s="149"/>
      <c r="AL1116" s="147">
        <f>SUM(AL1109:AO1115)</f>
        <v>0</v>
      </c>
      <c r="AM1116" s="148"/>
      <c r="AN1116" s="148"/>
      <c r="AO1116" s="149"/>
      <c r="AP1116" s="147">
        <f>SUM(AP1109:AS1115)</f>
        <v>0</v>
      </c>
      <c r="AQ1116" s="148"/>
      <c r="AR1116" s="148"/>
      <c r="AS1116" s="149"/>
      <c r="AT1116" s="147">
        <f>SUM(AT1109:AW1115)</f>
        <v>0</v>
      </c>
      <c r="AU1116" s="148"/>
      <c r="AV1116" s="148"/>
      <c r="AW1116" s="149"/>
      <c r="AX1116" s="87">
        <f>SUM(AX1109:AX1115)</f>
        <v>3665</v>
      </c>
      <c r="AY1116" s="88">
        <f>IFERROR(AVERAGEIF(E1116:AV1116,"&lt;&gt;0",(E1116:AV1116)),)</f>
        <v>458.125</v>
      </c>
      <c r="AZ1116" s="46">
        <f>IFERROR(AX1116/BB1110,0)</f>
        <v>0.91625000000000001</v>
      </c>
      <c r="BA1116" s="34"/>
      <c r="BB1116" s="34"/>
      <c r="BC1116" s="34"/>
      <c r="BD1116" s="76"/>
      <c r="BE1116" s="34"/>
      <c r="BF1116" s="34"/>
      <c r="BG1116" s="34"/>
      <c r="BH1116" s="34"/>
    </row>
    <row r="1117" spans="1:60" s="17" customFormat="1" ht="19.5" customHeight="1" thickBot="1" x14ac:dyDescent="0.4">
      <c r="A1117" s="42">
        <f>A1108</f>
        <v>45443</v>
      </c>
      <c r="B1117" s="38" t="str">
        <f>B1118</f>
        <v>Yaka Takma</v>
      </c>
      <c r="C1117" s="39" t="s">
        <v>180</v>
      </c>
      <c r="D1117" s="69" t="s">
        <v>181</v>
      </c>
      <c r="E1117" s="48">
        <v>0.34375</v>
      </c>
      <c r="F1117" s="49">
        <v>0.35416666666666669</v>
      </c>
      <c r="G1117" s="49">
        <v>0.36458333333333331</v>
      </c>
      <c r="H1117" s="50">
        <v>0.375</v>
      </c>
      <c r="I1117" s="48">
        <v>0.38541666666666702</v>
      </c>
      <c r="J1117" s="49">
        <v>0.39583333333333298</v>
      </c>
      <c r="K1117" s="49">
        <v>0.40625</v>
      </c>
      <c r="L1117" s="50">
        <v>0.41666666666666702</v>
      </c>
      <c r="M1117" s="48">
        <v>0.4375</v>
      </c>
      <c r="N1117" s="49">
        <v>0.44791666666666702</v>
      </c>
      <c r="O1117" s="49">
        <v>0.45833333333333398</v>
      </c>
      <c r="P1117" s="50">
        <v>0.46875</v>
      </c>
      <c r="Q1117" s="48">
        <v>0.47916666666666702</v>
      </c>
      <c r="R1117" s="49">
        <v>0.48958333333333398</v>
      </c>
      <c r="S1117" s="49">
        <v>0.5</v>
      </c>
      <c r="T1117" s="50">
        <v>0.51041666666666696</v>
      </c>
      <c r="U1117" s="51">
        <v>0.52083333333333204</v>
      </c>
      <c r="V1117" s="48">
        <v>0.5625</v>
      </c>
      <c r="W1117" s="49">
        <v>0.57291666666666663</v>
      </c>
      <c r="X1117" s="49">
        <v>0.58333333333333304</v>
      </c>
      <c r="Y1117" s="50">
        <v>0.59375</v>
      </c>
      <c r="Z1117" s="48">
        <v>0.60416666666666696</v>
      </c>
      <c r="AA1117" s="49">
        <v>0.61458333333333304</v>
      </c>
      <c r="AB1117" s="49">
        <v>0.625</v>
      </c>
      <c r="AC1117" s="50">
        <v>0.63541666666666596</v>
      </c>
      <c r="AD1117" s="48">
        <v>0.65625</v>
      </c>
      <c r="AE1117" s="49">
        <v>0.66666666666666663</v>
      </c>
      <c r="AF1117" s="49">
        <v>0.67708333333333304</v>
      </c>
      <c r="AG1117" s="50">
        <v>0.6875</v>
      </c>
      <c r="AH1117" s="48">
        <v>0.69791666666666696</v>
      </c>
      <c r="AI1117" s="49">
        <v>0.70833333333333304</v>
      </c>
      <c r="AJ1117" s="49">
        <v>0.71875</v>
      </c>
      <c r="AK1117" s="50">
        <v>0.72916666666666696</v>
      </c>
      <c r="AL1117" s="48">
        <v>0.73958333333333404</v>
      </c>
      <c r="AM1117" s="49">
        <v>0.750000000000001</v>
      </c>
      <c r="AN1117" s="49">
        <v>0.76041666666666796</v>
      </c>
      <c r="AO1117" s="50">
        <v>0.77083333333333504</v>
      </c>
      <c r="AP1117" s="48">
        <v>0.781250000000002</v>
      </c>
      <c r="AQ1117" s="49">
        <v>0.79166666666666896</v>
      </c>
      <c r="AR1117" s="49">
        <v>0.80208333333333603</v>
      </c>
      <c r="AS1117" s="50">
        <v>0.812500000000003</v>
      </c>
      <c r="AT1117" s="48">
        <v>0.82291666666666996</v>
      </c>
      <c r="AU1117" s="49">
        <v>0.83333333333333703</v>
      </c>
      <c r="AV1117" s="49">
        <v>0.843750000000004</v>
      </c>
      <c r="AW1117" s="50">
        <v>0.85416666666666663</v>
      </c>
      <c r="AX1117" s="68" t="s">
        <v>260</v>
      </c>
      <c r="AY1117" s="28" t="s">
        <v>261</v>
      </c>
      <c r="AZ1117" s="29" t="s">
        <v>262</v>
      </c>
      <c r="BA1117" s="136" t="str">
        <f>B1118</f>
        <v>Yaka Takma</v>
      </c>
      <c r="BB1117" s="137"/>
      <c r="BC1117" s="137"/>
      <c r="BD1117" s="137"/>
      <c r="BE1117" s="137"/>
      <c r="BF1117" s="137"/>
      <c r="BG1117" s="137"/>
      <c r="BH1117" s="138"/>
    </row>
    <row r="1118" spans="1:60" s="17" customFormat="1" ht="19.5" customHeight="1" thickBot="1" x14ac:dyDescent="0.4">
      <c r="A1118" s="41">
        <f>A1117</f>
        <v>45443</v>
      </c>
      <c r="B1118" s="37" t="str">
        <f>B942</f>
        <v>Yaka Takma</v>
      </c>
      <c r="C1118" s="65" t="str">
        <f>C942</f>
        <v>FATMA KIZILTAN</v>
      </c>
      <c r="D1118" s="70">
        <f>D942</f>
        <v>70</v>
      </c>
      <c r="E1118" s="53">
        <v>60</v>
      </c>
      <c r="F1118" s="54">
        <v>60</v>
      </c>
      <c r="G1118" s="55">
        <v>50</v>
      </c>
      <c r="H1118" s="56">
        <v>50</v>
      </c>
      <c r="I1118" s="53">
        <v>60</v>
      </c>
      <c r="J1118" s="54">
        <v>60</v>
      </c>
      <c r="K1118" s="55">
        <v>0</v>
      </c>
      <c r="L1118" s="56">
        <v>0</v>
      </c>
      <c r="M1118" s="53">
        <v>0</v>
      </c>
      <c r="N1118" s="54">
        <v>75</v>
      </c>
      <c r="O1118" s="55">
        <v>70</v>
      </c>
      <c r="P1118" s="56">
        <v>65</v>
      </c>
      <c r="Q1118" s="63">
        <v>30</v>
      </c>
      <c r="R1118" s="55">
        <v>60</v>
      </c>
      <c r="S1118" s="55">
        <v>50</v>
      </c>
      <c r="T1118" s="55">
        <v>50</v>
      </c>
      <c r="U1118" s="56">
        <v>55</v>
      </c>
      <c r="V1118" s="53">
        <v>60</v>
      </c>
      <c r="W1118" s="54">
        <v>60</v>
      </c>
      <c r="X1118" s="55">
        <v>60</v>
      </c>
      <c r="Y1118" s="56">
        <v>60</v>
      </c>
      <c r="Z1118" s="53">
        <v>50</v>
      </c>
      <c r="AA1118" s="54">
        <v>60</v>
      </c>
      <c r="AB1118" s="55">
        <v>60</v>
      </c>
      <c r="AC1118" s="56">
        <v>60</v>
      </c>
      <c r="AD1118" s="53">
        <v>65</v>
      </c>
      <c r="AE1118" s="54">
        <v>60</v>
      </c>
      <c r="AF1118" s="55">
        <v>50</v>
      </c>
      <c r="AG1118" s="56">
        <v>65</v>
      </c>
      <c r="AH1118" s="53">
        <v>40</v>
      </c>
      <c r="AI1118" s="54">
        <v>60</v>
      </c>
      <c r="AJ1118" s="55">
        <v>60</v>
      </c>
      <c r="AK1118" s="56"/>
      <c r="AL1118" s="53"/>
      <c r="AM1118" s="54"/>
      <c r="AN1118" s="55"/>
      <c r="AO1118" s="56"/>
      <c r="AP1118" s="53"/>
      <c r="AQ1118" s="54"/>
      <c r="AR1118" s="55"/>
      <c r="AS1118" s="56"/>
      <c r="AT1118" s="53"/>
      <c r="AU1118" s="54"/>
      <c r="AV1118" s="55"/>
      <c r="AW1118" s="56"/>
      <c r="AX1118" s="33">
        <f>SUM(E1118:AW1118)</f>
        <v>1665</v>
      </c>
      <c r="AY1118" s="31">
        <f>IFERROR(AVERAGEIF(E1118:AW1118,"&lt;&gt;0",(E1118:AW1118)),)</f>
        <v>57.413793103448278</v>
      </c>
      <c r="AZ1118" s="30">
        <f>IFERROR(AY1118/D1118,0)</f>
        <v>0.82019704433497542</v>
      </c>
      <c r="BA1118" s="103" t="s">
        <v>182</v>
      </c>
      <c r="BB1118" s="100" t="s">
        <v>183</v>
      </c>
      <c r="BC1118" s="100" t="s">
        <v>184</v>
      </c>
      <c r="BD1118" s="101" t="s">
        <v>185</v>
      </c>
      <c r="BE1118" s="100" t="s">
        <v>186</v>
      </c>
      <c r="BF1118" s="102" t="s">
        <v>187</v>
      </c>
      <c r="BG1118" s="100" t="s">
        <v>188</v>
      </c>
      <c r="BH1118" s="102" t="s">
        <v>189</v>
      </c>
    </row>
    <row r="1119" spans="1:60" s="17" customFormat="1" ht="19.5" customHeight="1" thickBot="1" x14ac:dyDescent="0.4">
      <c r="A1119" s="41">
        <f>A1118</f>
        <v>45443</v>
      </c>
      <c r="B1119" s="37" t="str">
        <f t="shared" ref="B1119:B1124" si="1075">B1118</f>
        <v>Yaka Takma</v>
      </c>
      <c r="C1119" s="65" t="str">
        <f t="shared" ref="C1119:C1124" si="1076">C943</f>
        <v>AYŞENUR YETER</v>
      </c>
      <c r="D1119" s="67">
        <f t="shared" ref="D1119:D1124" si="1077">D1118</f>
        <v>70</v>
      </c>
      <c r="E1119" s="57">
        <v>50</v>
      </c>
      <c r="F1119" s="52">
        <v>50</v>
      </c>
      <c r="G1119" s="52">
        <v>70</v>
      </c>
      <c r="H1119" s="58">
        <v>70</v>
      </c>
      <c r="I1119" s="57">
        <v>70</v>
      </c>
      <c r="J1119" s="52">
        <v>50</v>
      </c>
      <c r="K1119" s="52">
        <v>50</v>
      </c>
      <c r="L1119" s="58">
        <v>50</v>
      </c>
      <c r="M1119" s="57">
        <v>60</v>
      </c>
      <c r="N1119" s="52">
        <v>75</v>
      </c>
      <c r="O1119" s="52">
        <v>77</v>
      </c>
      <c r="P1119" s="58">
        <v>70</v>
      </c>
      <c r="Q1119" s="57">
        <v>70</v>
      </c>
      <c r="R1119" s="52">
        <v>75</v>
      </c>
      <c r="S1119" s="52">
        <v>40</v>
      </c>
      <c r="T1119" s="52">
        <v>60</v>
      </c>
      <c r="U1119" s="58">
        <v>60</v>
      </c>
      <c r="V1119" s="57">
        <v>70</v>
      </c>
      <c r="W1119" s="52">
        <v>70</v>
      </c>
      <c r="X1119" s="52">
        <v>70</v>
      </c>
      <c r="Y1119" s="58">
        <v>30</v>
      </c>
      <c r="Z1119" s="57">
        <v>46</v>
      </c>
      <c r="AA1119" s="52">
        <v>70</v>
      </c>
      <c r="AB1119" s="52">
        <v>70</v>
      </c>
      <c r="AC1119" s="58">
        <v>30</v>
      </c>
      <c r="AD1119" s="57">
        <v>70</v>
      </c>
      <c r="AE1119" s="52">
        <v>70</v>
      </c>
      <c r="AF1119" s="52">
        <v>70</v>
      </c>
      <c r="AG1119" s="58">
        <v>60</v>
      </c>
      <c r="AH1119" s="57">
        <v>60</v>
      </c>
      <c r="AI1119" s="52">
        <v>60</v>
      </c>
      <c r="AJ1119" s="52">
        <v>35</v>
      </c>
      <c r="AK1119" s="58"/>
      <c r="AL1119" s="57"/>
      <c r="AM1119" s="52"/>
      <c r="AN1119" s="52"/>
      <c r="AO1119" s="58"/>
      <c r="AP1119" s="57"/>
      <c r="AQ1119" s="52"/>
      <c r="AR1119" s="52"/>
      <c r="AS1119" s="58"/>
      <c r="AT1119" s="57"/>
      <c r="AU1119" s="52"/>
      <c r="AV1119" s="52"/>
      <c r="AW1119" s="58"/>
      <c r="AX1119" s="33">
        <f t="shared" ref="AX1119:AX1124" si="1078">SUM(E1119:AW1119)</f>
        <v>1928</v>
      </c>
      <c r="AY1119" s="31">
        <f t="shared" ref="AY1119:AY1124" si="1079">IFERROR(AVERAGEIF(E1119:AW1119,"&lt;&gt;0",(E1119:AW1119)),)</f>
        <v>60.25</v>
      </c>
      <c r="AZ1119" s="30">
        <f t="shared" ref="AZ1119:AZ1124" si="1080">IFERROR(AY1119/D1119,0)</f>
        <v>0.86071428571428577</v>
      </c>
      <c r="BA1119" s="94">
        <f>AX1125+BA943</f>
        <v>14688</v>
      </c>
      <c r="BB1119" s="95">
        <f>(D1125*8)</f>
        <v>4000</v>
      </c>
      <c r="BC1119" s="96">
        <f>C1061-BA1119</f>
        <v>27623</v>
      </c>
      <c r="BD1119" s="96">
        <f>BA1110-BA1119</f>
        <v>306</v>
      </c>
      <c r="BE1119" s="97">
        <f>IFERROR(BC1119/E1125,0)</f>
        <v>60.05</v>
      </c>
      <c r="BF1119" s="98">
        <f>IFERROR(BE1119/9,0)</f>
        <v>6.6722222222222216</v>
      </c>
      <c r="BG1119" s="97">
        <f>IFERROR(BC1119/AY1125,0)</f>
        <v>61.504035624826052</v>
      </c>
      <c r="BH1119" s="97">
        <f>IFERROR(BG1119/9,0)</f>
        <v>6.8337817360917832</v>
      </c>
    </row>
    <row r="1120" spans="1:60" s="17" customFormat="1" ht="19.5" customHeight="1" x14ac:dyDescent="0.35">
      <c r="A1120" s="41">
        <f>A1119</f>
        <v>45443</v>
      </c>
      <c r="B1120" s="37" t="str">
        <f t="shared" si="1075"/>
        <v>Yaka Takma</v>
      </c>
      <c r="C1120" s="65">
        <f t="shared" si="1076"/>
        <v>0</v>
      </c>
      <c r="D1120" s="67">
        <f t="shared" si="1077"/>
        <v>70</v>
      </c>
      <c r="E1120" s="57"/>
      <c r="F1120" s="52"/>
      <c r="G1120" s="52"/>
      <c r="H1120" s="58"/>
      <c r="I1120" s="57"/>
      <c r="J1120" s="52"/>
      <c r="K1120" s="52"/>
      <c r="L1120" s="58"/>
      <c r="M1120" s="57"/>
      <c r="N1120" s="52"/>
      <c r="O1120" s="52"/>
      <c r="P1120" s="58"/>
      <c r="Q1120" s="57"/>
      <c r="R1120" s="52"/>
      <c r="S1120" s="52"/>
      <c r="T1120" s="52"/>
      <c r="U1120" s="58"/>
      <c r="V1120" s="57"/>
      <c r="W1120" s="52"/>
      <c r="X1120" s="52"/>
      <c r="Y1120" s="58"/>
      <c r="Z1120" s="57"/>
      <c r="AA1120" s="52"/>
      <c r="AB1120" s="52"/>
      <c r="AC1120" s="58"/>
      <c r="AD1120" s="57"/>
      <c r="AE1120" s="52"/>
      <c r="AF1120" s="52"/>
      <c r="AG1120" s="58"/>
      <c r="AH1120" s="57"/>
      <c r="AI1120" s="52"/>
      <c r="AJ1120" s="52"/>
      <c r="AK1120" s="58"/>
      <c r="AL1120" s="57"/>
      <c r="AM1120" s="52"/>
      <c r="AN1120" s="52"/>
      <c r="AO1120" s="58"/>
      <c r="AP1120" s="57"/>
      <c r="AQ1120" s="52"/>
      <c r="AR1120" s="52"/>
      <c r="AS1120" s="58"/>
      <c r="AT1120" s="57"/>
      <c r="AU1120" s="52"/>
      <c r="AV1120" s="52"/>
      <c r="AW1120" s="58"/>
      <c r="AX1120" s="33">
        <f t="shared" si="1078"/>
        <v>0</v>
      </c>
      <c r="AY1120" s="31">
        <f t="shared" si="1079"/>
        <v>0</v>
      </c>
      <c r="AZ1120" s="30">
        <f t="shared" si="1080"/>
        <v>0</v>
      </c>
      <c r="BA1120" s="34"/>
      <c r="BB1120" s="34"/>
      <c r="BC1120" s="34"/>
      <c r="BD1120" s="76"/>
      <c r="BE1120" s="34"/>
      <c r="BF1120" s="34"/>
      <c r="BG1120" s="34"/>
      <c r="BH1120" s="34"/>
    </row>
    <row r="1121" spans="1:60" s="17" customFormat="1" ht="19.5" customHeight="1" x14ac:dyDescent="0.35">
      <c r="A1121" s="41">
        <f>A1120</f>
        <v>45443</v>
      </c>
      <c r="B1121" s="37" t="str">
        <f t="shared" si="1075"/>
        <v>Yaka Takma</v>
      </c>
      <c r="C1121" s="65">
        <f t="shared" si="1076"/>
        <v>0</v>
      </c>
      <c r="D1121" s="67">
        <f t="shared" si="1077"/>
        <v>70</v>
      </c>
      <c r="E1121" s="57"/>
      <c r="F1121" s="52"/>
      <c r="G1121" s="52"/>
      <c r="H1121" s="58"/>
      <c r="I1121" s="57"/>
      <c r="J1121" s="52"/>
      <c r="K1121" s="52"/>
      <c r="L1121" s="58"/>
      <c r="M1121" s="57"/>
      <c r="N1121" s="52"/>
      <c r="O1121" s="52"/>
      <c r="P1121" s="58"/>
      <c r="Q1121" s="57"/>
      <c r="R1121" s="52"/>
      <c r="S1121" s="52"/>
      <c r="T1121" s="52"/>
      <c r="U1121" s="58"/>
      <c r="V1121" s="57"/>
      <c r="W1121" s="52"/>
      <c r="X1121" s="52"/>
      <c r="Y1121" s="58"/>
      <c r="Z1121" s="57"/>
      <c r="AA1121" s="52"/>
      <c r="AB1121" s="52"/>
      <c r="AC1121" s="58"/>
      <c r="AD1121" s="57"/>
      <c r="AE1121" s="52"/>
      <c r="AF1121" s="52"/>
      <c r="AG1121" s="58"/>
      <c r="AH1121" s="57"/>
      <c r="AI1121" s="52"/>
      <c r="AJ1121" s="52"/>
      <c r="AK1121" s="58"/>
      <c r="AL1121" s="57"/>
      <c r="AM1121" s="52"/>
      <c r="AN1121" s="52"/>
      <c r="AO1121" s="58"/>
      <c r="AP1121" s="57"/>
      <c r="AQ1121" s="52"/>
      <c r="AR1121" s="52"/>
      <c r="AS1121" s="58"/>
      <c r="AT1121" s="57"/>
      <c r="AU1121" s="52"/>
      <c r="AV1121" s="52"/>
      <c r="AW1121" s="58"/>
      <c r="AX1121" s="33">
        <f t="shared" si="1078"/>
        <v>0</v>
      </c>
      <c r="AY1121" s="31">
        <f t="shared" si="1079"/>
        <v>0</v>
      </c>
      <c r="AZ1121" s="30">
        <f t="shared" si="1080"/>
        <v>0</v>
      </c>
      <c r="BA1121" s="34"/>
      <c r="BB1121" s="34"/>
      <c r="BC1121" s="34"/>
      <c r="BD1121" s="76"/>
      <c r="BE1121" s="34"/>
      <c r="BF1121" s="34"/>
      <c r="BG1121" s="34"/>
      <c r="BH1121" s="34"/>
    </row>
    <row r="1122" spans="1:60" s="17" customFormat="1" ht="19.5" customHeight="1" x14ac:dyDescent="0.35">
      <c r="A1122" s="41">
        <f>A1119</f>
        <v>45443</v>
      </c>
      <c r="B1122" s="37" t="str">
        <f t="shared" si="1075"/>
        <v>Yaka Takma</v>
      </c>
      <c r="C1122" s="65">
        <f t="shared" si="1076"/>
        <v>0</v>
      </c>
      <c r="D1122" s="67">
        <f t="shared" si="1077"/>
        <v>70</v>
      </c>
      <c r="E1122" s="57"/>
      <c r="F1122" s="52"/>
      <c r="G1122" s="52"/>
      <c r="H1122" s="58"/>
      <c r="I1122" s="57"/>
      <c r="J1122" s="52"/>
      <c r="K1122" s="52"/>
      <c r="L1122" s="58"/>
      <c r="M1122" s="57"/>
      <c r="N1122" s="52"/>
      <c r="O1122" s="52"/>
      <c r="P1122" s="58"/>
      <c r="Q1122" s="57"/>
      <c r="R1122" s="52"/>
      <c r="S1122" s="52"/>
      <c r="T1122" s="52"/>
      <c r="U1122" s="58"/>
      <c r="V1122" s="57"/>
      <c r="W1122" s="52"/>
      <c r="X1122" s="52"/>
      <c r="Y1122" s="58"/>
      <c r="Z1122" s="57"/>
      <c r="AA1122" s="52"/>
      <c r="AB1122" s="52"/>
      <c r="AC1122" s="58"/>
      <c r="AD1122" s="57"/>
      <c r="AE1122" s="52"/>
      <c r="AF1122" s="52"/>
      <c r="AG1122" s="58"/>
      <c r="AH1122" s="57"/>
      <c r="AI1122" s="52"/>
      <c r="AJ1122" s="52"/>
      <c r="AK1122" s="58"/>
      <c r="AL1122" s="57"/>
      <c r="AM1122" s="52"/>
      <c r="AN1122" s="52"/>
      <c r="AO1122" s="58"/>
      <c r="AP1122" s="57"/>
      <c r="AQ1122" s="52"/>
      <c r="AR1122" s="52"/>
      <c r="AS1122" s="58"/>
      <c r="AT1122" s="57"/>
      <c r="AU1122" s="52"/>
      <c r="AV1122" s="52"/>
      <c r="AW1122" s="58"/>
      <c r="AX1122" s="33">
        <f t="shared" si="1078"/>
        <v>0</v>
      </c>
      <c r="AY1122" s="31">
        <f t="shared" si="1079"/>
        <v>0</v>
      </c>
      <c r="AZ1122" s="30">
        <f t="shared" si="1080"/>
        <v>0</v>
      </c>
      <c r="BA1122" s="34"/>
      <c r="BB1122" s="34"/>
      <c r="BC1122" s="34"/>
      <c r="BD1122" s="76"/>
      <c r="BE1122" s="34"/>
      <c r="BF1122" s="34"/>
      <c r="BG1122" s="34"/>
      <c r="BH1122" s="34"/>
    </row>
    <row r="1123" spans="1:60" s="17" customFormat="1" ht="19.5" customHeight="1" x14ac:dyDescent="0.35">
      <c r="A1123" s="41">
        <f t="shared" ref="A1123:A1127" si="1081">A1122</f>
        <v>45443</v>
      </c>
      <c r="B1123" s="37" t="str">
        <f t="shared" si="1075"/>
        <v>Yaka Takma</v>
      </c>
      <c r="C1123" s="65">
        <f t="shared" si="1076"/>
        <v>0</v>
      </c>
      <c r="D1123" s="67">
        <f t="shared" si="1077"/>
        <v>70</v>
      </c>
      <c r="E1123" s="57"/>
      <c r="F1123" s="52"/>
      <c r="G1123" s="52"/>
      <c r="H1123" s="58"/>
      <c r="I1123" s="57"/>
      <c r="J1123" s="52"/>
      <c r="K1123" s="52"/>
      <c r="L1123" s="58"/>
      <c r="M1123" s="57"/>
      <c r="N1123" s="52"/>
      <c r="O1123" s="52"/>
      <c r="P1123" s="58"/>
      <c r="Q1123" s="57"/>
      <c r="R1123" s="52"/>
      <c r="S1123" s="52"/>
      <c r="T1123" s="52"/>
      <c r="U1123" s="58"/>
      <c r="V1123" s="57"/>
      <c r="W1123" s="52"/>
      <c r="X1123" s="52"/>
      <c r="Y1123" s="58"/>
      <c r="Z1123" s="57"/>
      <c r="AA1123" s="52"/>
      <c r="AB1123" s="52"/>
      <c r="AC1123" s="58"/>
      <c r="AD1123" s="57"/>
      <c r="AE1123" s="52"/>
      <c r="AF1123" s="52"/>
      <c r="AG1123" s="58"/>
      <c r="AH1123" s="57"/>
      <c r="AI1123" s="52"/>
      <c r="AJ1123" s="52"/>
      <c r="AK1123" s="58"/>
      <c r="AL1123" s="57"/>
      <c r="AM1123" s="52"/>
      <c r="AN1123" s="52"/>
      <c r="AO1123" s="58"/>
      <c r="AP1123" s="57"/>
      <c r="AQ1123" s="52"/>
      <c r="AR1123" s="52"/>
      <c r="AS1123" s="58"/>
      <c r="AT1123" s="57"/>
      <c r="AU1123" s="52"/>
      <c r="AV1123" s="52"/>
      <c r="AW1123" s="58"/>
      <c r="AX1123" s="33">
        <f t="shared" si="1078"/>
        <v>0</v>
      </c>
      <c r="AY1123" s="31">
        <f t="shared" si="1079"/>
        <v>0</v>
      </c>
      <c r="AZ1123" s="30">
        <f t="shared" si="1080"/>
        <v>0</v>
      </c>
      <c r="BA1123" s="34"/>
      <c r="BB1123" s="34"/>
      <c r="BC1123" s="34"/>
      <c r="BD1123" s="76"/>
      <c r="BE1123" s="34"/>
      <c r="BF1123" s="34"/>
      <c r="BG1123" s="34"/>
      <c r="BH1123" s="34"/>
    </row>
    <row r="1124" spans="1:60" s="17" customFormat="1" ht="19.5" customHeight="1" thickBot="1" x14ac:dyDescent="0.4">
      <c r="A1124" s="41">
        <f t="shared" si="1081"/>
        <v>45443</v>
      </c>
      <c r="B1124" s="37" t="str">
        <f t="shared" si="1075"/>
        <v>Yaka Takma</v>
      </c>
      <c r="C1124" s="65">
        <f t="shared" si="1076"/>
        <v>0</v>
      </c>
      <c r="D1124" s="67">
        <f t="shared" si="1077"/>
        <v>70</v>
      </c>
      <c r="E1124" s="59"/>
      <c r="F1124" s="60"/>
      <c r="G1124" s="61"/>
      <c r="H1124" s="62"/>
      <c r="I1124" s="59"/>
      <c r="J1124" s="60"/>
      <c r="K1124" s="61"/>
      <c r="L1124" s="62"/>
      <c r="M1124" s="59"/>
      <c r="N1124" s="60"/>
      <c r="O1124" s="61"/>
      <c r="P1124" s="62"/>
      <c r="Q1124" s="64"/>
      <c r="R1124" s="61"/>
      <c r="S1124" s="61"/>
      <c r="T1124" s="61"/>
      <c r="U1124" s="62"/>
      <c r="V1124" s="59"/>
      <c r="W1124" s="60"/>
      <c r="X1124" s="61"/>
      <c r="Y1124" s="62"/>
      <c r="Z1124" s="59"/>
      <c r="AA1124" s="60"/>
      <c r="AB1124" s="61"/>
      <c r="AC1124" s="62"/>
      <c r="AD1124" s="59"/>
      <c r="AE1124" s="60"/>
      <c r="AF1124" s="61"/>
      <c r="AG1124" s="62"/>
      <c r="AH1124" s="59"/>
      <c r="AI1124" s="60"/>
      <c r="AJ1124" s="61"/>
      <c r="AK1124" s="62"/>
      <c r="AL1124" s="59"/>
      <c r="AM1124" s="60"/>
      <c r="AN1124" s="61"/>
      <c r="AO1124" s="62"/>
      <c r="AP1124" s="59"/>
      <c r="AQ1124" s="60"/>
      <c r="AR1124" s="61"/>
      <c r="AS1124" s="62"/>
      <c r="AT1124" s="59"/>
      <c r="AU1124" s="60"/>
      <c r="AV1124" s="61"/>
      <c r="AW1124" s="62"/>
      <c r="AX1124" s="33">
        <f t="shared" si="1078"/>
        <v>0</v>
      </c>
      <c r="AY1124" s="31">
        <f t="shared" si="1079"/>
        <v>0</v>
      </c>
      <c r="AZ1124" s="30">
        <f t="shared" si="1080"/>
        <v>0</v>
      </c>
      <c r="BA1124" s="34"/>
      <c r="BB1124" s="34"/>
      <c r="BC1124" s="34"/>
      <c r="BD1124" s="76"/>
      <c r="BE1124" s="34"/>
      <c r="BF1124" s="34"/>
      <c r="BG1124" s="34"/>
      <c r="BH1124" s="34"/>
    </row>
    <row r="1125" spans="1:60" s="17" customFormat="1" ht="19.5" customHeight="1" thickBot="1" x14ac:dyDescent="0.45">
      <c r="A1125" s="41">
        <f t="shared" si="1081"/>
        <v>45443</v>
      </c>
      <c r="B1125" s="139" t="str">
        <f>B1118</f>
        <v>Yaka Takma</v>
      </c>
      <c r="C1125" s="140"/>
      <c r="D1125" s="40">
        <f>C1062/8</f>
        <v>500</v>
      </c>
      <c r="E1125" s="147">
        <f>SUM(E1118:H1124)</f>
        <v>460</v>
      </c>
      <c r="F1125" s="148"/>
      <c r="G1125" s="148"/>
      <c r="H1125" s="149"/>
      <c r="I1125" s="147">
        <f>SUM(I1118:L1124)</f>
        <v>340</v>
      </c>
      <c r="J1125" s="148"/>
      <c r="K1125" s="148"/>
      <c r="L1125" s="149"/>
      <c r="M1125" s="147">
        <f>SUM(M1118:P1124)</f>
        <v>492</v>
      </c>
      <c r="N1125" s="148"/>
      <c r="O1125" s="148"/>
      <c r="P1125" s="149"/>
      <c r="Q1125" s="147">
        <f>SUM(Q1118:U1124)</f>
        <v>550</v>
      </c>
      <c r="R1125" s="148"/>
      <c r="S1125" s="148"/>
      <c r="T1125" s="148"/>
      <c r="U1125" s="149"/>
      <c r="V1125" s="147">
        <f>SUM(V1118:Y1124)</f>
        <v>480</v>
      </c>
      <c r="W1125" s="148"/>
      <c r="X1125" s="148"/>
      <c r="Y1125" s="149"/>
      <c r="Z1125" s="147">
        <f>SUM(Z1118:AC1124)</f>
        <v>446</v>
      </c>
      <c r="AA1125" s="148"/>
      <c r="AB1125" s="148"/>
      <c r="AC1125" s="149"/>
      <c r="AD1125" s="147">
        <f>SUM(AD1118:AG1124)</f>
        <v>510</v>
      </c>
      <c r="AE1125" s="148"/>
      <c r="AF1125" s="148"/>
      <c r="AG1125" s="149"/>
      <c r="AH1125" s="147">
        <f>SUM(AH1118:AK1124)</f>
        <v>315</v>
      </c>
      <c r="AI1125" s="148"/>
      <c r="AJ1125" s="148"/>
      <c r="AK1125" s="149"/>
      <c r="AL1125" s="147">
        <f>SUM(AL1118:AO1124)</f>
        <v>0</v>
      </c>
      <c r="AM1125" s="148"/>
      <c r="AN1125" s="148"/>
      <c r="AO1125" s="149"/>
      <c r="AP1125" s="147">
        <f>SUM(AP1118:AS1124)</f>
        <v>0</v>
      </c>
      <c r="AQ1125" s="148"/>
      <c r="AR1125" s="148"/>
      <c r="AS1125" s="149"/>
      <c r="AT1125" s="147">
        <f>SUM(AT1118:AW1124)</f>
        <v>0</v>
      </c>
      <c r="AU1125" s="148"/>
      <c r="AV1125" s="148"/>
      <c r="AW1125" s="149"/>
      <c r="AX1125" s="87">
        <f>SUM(AX1118:AX1124)</f>
        <v>3593</v>
      </c>
      <c r="AY1125" s="88">
        <f>IFERROR(AVERAGEIF(E1125:AV1125,"&lt;&gt;0",(E1125:AV1125)),)</f>
        <v>449.125</v>
      </c>
      <c r="AZ1125" s="46">
        <f>IFERROR(AX1125/BB1119,0)</f>
        <v>0.89824999999999999</v>
      </c>
      <c r="BA1125" s="34"/>
      <c r="BB1125" s="34"/>
      <c r="BC1125" s="34"/>
      <c r="BD1125" s="76"/>
      <c r="BE1125" s="34"/>
      <c r="BF1125" s="34"/>
      <c r="BG1125" s="34"/>
      <c r="BH1125" s="34"/>
    </row>
    <row r="1126" spans="1:60" s="17" customFormat="1" ht="19.5" customHeight="1" thickBot="1" x14ac:dyDescent="0.4">
      <c r="A1126" s="42">
        <f t="shared" si="1081"/>
        <v>45443</v>
      </c>
      <c r="B1126" s="38" t="str">
        <f>B1127</f>
        <v>Ense Biye</v>
      </c>
      <c r="C1126" s="39" t="s">
        <v>180</v>
      </c>
      <c r="D1126" s="69" t="s">
        <v>181</v>
      </c>
      <c r="E1126" s="48">
        <v>0.34375</v>
      </c>
      <c r="F1126" s="49">
        <v>0.35416666666666669</v>
      </c>
      <c r="G1126" s="49">
        <v>0.36458333333333331</v>
      </c>
      <c r="H1126" s="50">
        <v>0.375</v>
      </c>
      <c r="I1126" s="48">
        <v>0.38541666666666702</v>
      </c>
      <c r="J1126" s="49">
        <v>0.39583333333333298</v>
      </c>
      <c r="K1126" s="49">
        <v>0.40625</v>
      </c>
      <c r="L1126" s="50">
        <v>0.41666666666666702</v>
      </c>
      <c r="M1126" s="48">
        <v>0.4375</v>
      </c>
      <c r="N1126" s="49">
        <v>0.44791666666666702</v>
      </c>
      <c r="O1126" s="49">
        <v>0.45833333333333398</v>
      </c>
      <c r="P1126" s="50">
        <v>0.46875</v>
      </c>
      <c r="Q1126" s="48">
        <v>0.47916666666666702</v>
      </c>
      <c r="R1126" s="49">
        <v>0.48958333333333398</v>
      </c>
      <c r="S1126" s="49">
        <v>0.5</v>
      </c>
      <c r="T1126" s="50">
        <v>0.51041666666666696</v>
      </c>
      <c r="U1126" s="51">
        <v>0.52083333333333204</v>
      </c>
      <c r="V1126" s="48">
        <v>0.5625</v>
      </c>
      <c r="W1126" s="49">
        <v>0.57291666666666663</v>
      </c>
      <c r="X1126" s="49">
        <v>0.58333333333333304</v>
      </c>
      <c r="Y1126" s="50">
        <v>0.59375</v>
      </c>
      <c r="Z1126" s="48">
        <v>0.60416666666666696</v>
      </c>
      <c r="AA1126" s="49">
        <v>0.61458333333333304</v>
      </c>
      <c r="AB1126" s="49">
        <v>0.625</v>
      </c>
      <c r="AC1126" s="50">
        <v>0.63541666666666596</v>
      </c>
      <c r="AD1126" s="48">
        <v>0.65625</v>
      </c>
      <c r="AE1126" s="49">
        <v>0.66666666666666663</v>
      </c>
      <c r="AF1126" s="49">
        <v>0.67708333333333304</v>
      </c>
      <c r="AG1126" s="50">
        <v>0.6875</v>
      </c>
      <c r="AH1126" s="48">
        <v>0.69791666666666696</v>
      </c>
      <c r="AI1126" s="49">
        <v>0.70833333333333304</v>
      </c>
      <c r="AJ1126" s="49">
        <v>0.71875</v>
      </c>
      <c r="AK1126" s="50">
        <v>0.72916666666666696</v>
      </c>
      <c r="AL1126" s="48">
        <v>0.73958333333333404</v>
      </c>
      <c r="AM1126" s="49">
        <v>0.750000000000001</v>
      </c>
      <c r="AN1126" s="49">
        <v>0.76041666666666796</v>
      </c>
      <c r="AO1126" s="50">
        <v>0.77083333333333504</v>
      </c>
      <c r="AP1126" s="48">
        <v>0.781250000000002</v>
      </c>
      <c r="AQ1126" s="49">
        <v>0.79166666666666896</v>
      </c>
      <c r="AR1126" s="49">
        <v>0.80208333333333603</v>
      </c>
      <c r="AS1126" s="50">
        <v>0.812500000000003</v>
      </c>
      <c r="AT1126" s="48">
        <v>0.82291666666666996</v>
      </c>
      <c r="AU1126" s="49">
        <v>0.83333333333333703</v>
      </c>
      <c r="AV1126" s="49">
        <v>0.843750000000004</v>
      </c>
      <c r="AW1126" s="50">
        <v>0.85416666666666663</v>
      </c>
      <c r="AX1126" s="68" t="s">
        <v>260</v>
      </c>
      <c r="AY1126" s="28" t="s">
        <v>261</v>
      </c>
      <c r="AZ1126" s="29" t="s">
        <v>262</v>
      </c>
      <c r="BA1126" s="136" t="str">
        <f>B1127</f>
        <v>Ense Biye</v>
      </c>
      <c r="BB1126" s="137"/>
      <c r="BC1126" s="137"/>
      <c r="BD1126" s="137"/>
      <c r="BE1126" s="137"/>
      <c r="BF1126" s="137"/>
      <c r="BG1126" s="137"/>
      <c r="BH1126" s="138"/>
    </row>
    <row r="1127" spans="1:60" s="17" customFormat="1" ht="19.5" customHeight="1" thickBot="1" x14ac:dyDescent="0.4">
      <c r="A1127" s="41">
        <f t="shared" si="1081"/>
        <v>45443</v>
      </c>
      <c r="B1127" s="37" t="str">
        <f>B951</f>
        <v>Ense Biye</v>
      </c>
      <c r="C1127" s="65" t="str">
        <f>C951</f>
        <v>ŞEFİKA KESKİN</v>
      </c>
      <c r="D1127" s="70">
        <f>D951</f>
        <v>100</v>
      </c>
      <c r="E1127" s="63">
        <v>80</v>
      </c>
      <c r="F1127" s="55">
        <v>100</v>
      </c>
      <c r="G1127" s="55">
        <v>100</v>
      </c>
      <c r="H1127" s="56">
        <v>85</v>
      </c>
      <c r="I1127" s="63">
        <v>100</v>
      </c>
      <c r="J1127" s="55">
        <v>95</v>
      </c>
      <c r="K1127" s="55">
        <v>95</v>
      </c>
      <c r="L1127" s="56">
        <v>95</v>
      </c>
      <c r="M1127" s="63">
        <v>100</v>
      </c>
      <c r="N1127" s="55">
        <v>105</v>
      </c>
      <c r="O1127" s="55">
        <v>105</v>
      </c>
      <c r="P1127" s="56">
        <v>100</v>
      </c>
      <c r="Q1127" s="63">
        <v>100</v>
      </c>
      <c r="R1127" s="55">
        <v>100</v>
      </c>
      <c r="S1127" s="55">
        <v>100</v>
      </c>
      <c r="T1127" s="55">
        <v>70</v>
      </c>
      <c r="U1127" s="56">
        <v>95</v>
      </c>
      <c r="V1127" s="63">
        <v>105</v>
      </c>
      <c r="W1127" s="55">
        <v>100</v>
      </c>
      <c r="X1127" s="55">
        <v>80</v>
      </c>
      <c r="Y1127" s="56">
        <v>85</v>
      </c>
      <c r="Z1127" s="63">
        <v>90</v>
      </c>
      <c r="AA1127" s="55">
        <v>85</v>
      </c>
      <c r="AB1127" s="55">
        <v>95</v>
      </c>
      <c r="AC1127" s="56">
        <v>90</v>
      </c>
      <c r="AD1127" s="63">
        <v>85</v>
      </c>
      <c r="AE1127" s="55">
        <v>100</v>
      </c>
      <c r="AF1127" s="55">
        <v>100</v>
      </c>
      <c r="AG1127" s="56">
        <v>100</v>
      </c>
      <c r="AH1127" s="63">
        <v>100</v>
      </c>
      <c r="AI1127" s="55">
        <v>100</v>
      </c>
      <c r="AJ1127" s="55">
        <v>100</v>
      </c>
      <c r="AK1127" s="56">
        <v>95</v>
      </c>
      <c r="AL1127" s="63"/>
      <c r="AM1127" s="55"/>
      <c r="AN1127" s="55"/>
      <c r="AO1127" s="56"/>
      <c r="AP1127" s="53"/>
      <c r="AQ1127" s="54"/>
      <c r="AR1127" s="55"/>
      <c r="AS1127" s="56"/>
      <c r="AT1127" s="53"/>
      <c r="AU1127" s="54"/>
      <c r="AV1127" s="55"/>
      <c r="AW1127" s="56"/>
      <c r="AX1127" s="33">
        <f>SUM(E1127:AW1127)</f>
        <v>3135</v>
      </c>
      <c r="AY1127" s="31">
        <f>IFERROR(AVERAGEIF(E1127:AW1127,"&lt;&gt;0",(E1127:AW1127)),)</f>
        <v>95</v>
      </c>
      <c r="AZ1127" s="30">
        <f>IFERROR(AY1127/D1127,0)</f>
        <v>0.95</v>
      </c>
      <c r="BA1127" s="103" t="s">
        <v>182</v>
      </c>
      <c r="BB1127" s="100" t="s">
        <v>183</v>
      </c>
      <c r="BC1127" s="100" t="s">
        <v>184</v>
      </c>
      <c r="BD1127" s="101" t="s">
        <v>185</v>
      </c>
      <c r="BE1127" s="100" t="s">
        <v>186</v>
      </c>
      <c r="BF1127" s="102" t="s">
        <v>187</v>
      </c>
      <c r="BG1127" s="100" t="s">
        <v>188</v>
      </c>
      <c r="BH1127" s="102" t="s">
        <v>189</v>
      </c>
    </row>
    <row r="1128" spans="1:60" s="17" customFormat="1" ht="19.5" customHeight="1" thickBot="1" x14ac:dyDescent="0.4">
      <c r="A1128" s="41">
        <f t="shared" ref="A1128:B1128" si="1082">A1127</f>
        <v>45443</v>
      </c>
      <c r="B1128" s="37" t="str">
        <f t="shared" si="1082"/>
        <v>Ense Biye</v>
      </c>
      <c r="C1128" s="65" t="str">
        <f t="shared" ref="C1128:C1133" si="1083">C952</f>
        <v>SEMA GEZGİNCİ</v>
      </c>
      <c r="D1128" s="67">
        <f t="shared" ref="D1128:D1133" si="1084">D1127</f>
        <v>100</v>
      </c>
      <c r="E1128" s="57"/>
      <c r="F1128" s="52"/>
      <c r="G1128" s="52"/>
      <c r="H1128" s="58"/>
      <c r="I1128" s="57"/>
      <c r="J1128" s="52"/>
      <c r="K1128" s="52"/>
      <c r="L1128" s="58"/>
      <c r="M1128" s="57"/>
      <c r="N1128" s="52"/>
      <c r="O1128" s="52"/>
      <c r="P1128" s="58"/>
      <c r="Q1128" s="57"/>
      <c r="R1128" s="52"/>
      <c r="S1128" s="52"/>
      <c r="T1128" s="52"/>
      <c r="U1128" s="58"/>
      <c r="V1128" s="57"/>
      <c r="W1128" s="52"/>
      <c r="X1128" s="52"/>
      <c r="Y1128" s="58"/>
      <c r="Z1128" s="57"/>
      <c r="AA1128" s="52"/>
      <c r="AB1128" s="52"/>
      <c r="AC1128" s="58"/>
      <c r="AD1128" s="57"/>
      <c r="AE1128" s="52"/>
      <c r="AF1128" s="52"/>
      <c r="AG1128" s="58"/>
      <c r="AH1128" s="57"/>
      <c r="AI1128" s="52"/>
      <c r="AJ1128" s="52"/>
      <c r="AK1128" s="58"/>
      <c r="AL1128" s="57"/>
      <c r="AM1128" s="52"/>
      <c r="AN1128" s="52"/>
      <c r="AO1128" s="58"/>
      <c r="AP1128" s="57"/>
      <c r="AQ1128" s="52"/>
      <c r="AR1128" s="52"/>
      <c r="AS1128" s="58"/>
      <c r="AT1128" s="57"/>
      <c r="AU1128" s="52"/>
      <c r="AV1128" s="52"/>
      <c r="AW1128" s="58"/>
      <c r="AX1128" s="33">
        <f t="shared" ref="AX1128:AX1133" si="1085">SUM(E1128:AW1128)</f>
        <v>0</v>
      </c>
      <c r="AY1128" s="31">
        <f t="shared" ref="AY1128:AY1133" si="1086">IFERROR(AVERAGEIF(E1128:AW1128,"&lt;&gt;0",(E1128:AW1128)),)</f>
        <v>0</v>
      </c>
      <c r="AZ1128" s="30">
        <f t="shared" ref="AZ1128:AZ1133" si="1087">IFERROR(AY1128/D1128,0)</f>
        <v>0</v>
      </c>
      <c r="BA1128" s="94">
        <f>AX1134+BA952</f>
        <v>14138</v>
      </c>
      <c r="BB1128" s="95">
        <f>(D1134*8)</f>
        <v>4000</v>
      </c>
      <c r="BC1128" s="96">
        <f>C1061-BA1128</f>
        <v>28173</v>
      </c>
      <c r="BD1128" s="96">
        <f>BA1119-BA1128</f>
        <v>550</v>
      </c>
      <c r="BE1128" s="97">
        <f>IFERROR(BC1128/E1134,0)</f>
        <v>77.186301369863017</v>
      </c>
      <c r="BF1128" s="98">
        <f>IFERROR(BE1128/9,0)</f>
        <v>8.5762557077625576</v>
      </c>
      <c r="BG1128" s="97">
        <f>IFERROR(BC1128/AY1134,0)</f>
        <v>71.892822966507183</v>
      </c>
      <c r="BH1128" s="97">
        <f>IFERROR(BG1128/9,0)</f>
        <v>7.9880914407230206</v>
      </c>
    </row>
    <row r="1129" spans="1:60" s="17" customFormat="1" ht="19.5" customHeight="1" x14ac:dyDescent="0.35">
      <c r="A1129" s="41">
        <f t="shared" ref="A1129:B1129" si="1088">A1128</f>
        <v>45443</v>
      </c>
      <c r="B1129" s="37" t="str">
        <f t="shared" si="1088"/>
        <v>Ense Biye</v>
      </c>
      <c r="C1129" s="65">
        <f t="shared" si="1083"/>
        <v>0</v>
      </c>
      <c r="D1129" s="67">
        <f t="shared" si="1084"/>
        <v>100</v>
      </c>
      <c r="E1129" s="57"/>
      <c r="F1129" s="52"/>
      <c r="G1129" s="52"/>
      <c r="H1129" s="58"/>
      <c r="I1129" s="57"/>
      <c r="J1129" s="52"/>
      <c r="K1129" s="52"/>
      <c r="L1129" s="58"/>
      <c r="M1129" s="57"/>
      <c r="N1129" s="52"/>
      <c r="O1129" s="52"/>
      <c r="P1129" s="58"/>
      <c r="Q1129" s="57"/>
      <c r="R1129" s="52"/>
      <c r="S1129" s="52"/>
      <c r="T1129" s="52"/>
      <c r="U1129" s="58"/>
      <c r="V1129" s="57"/>
      <c r="W1129" s="52"/>
      <c r="X1129" s="52"/>
      <c r="Y1129" s="58"/>
      <c r="Z1129" s="57"/>
      <c r="AA1129" s="52"/>
      <c r="AB1129" s="52"/>
      <c r="AC1129" s="58"/>
      <c r="AD1129" s="57"/>
      <c r="AE1129" s="52"/>
      <c r="AF1129" s="52"/>
      <c r="AG1129" s="58"/>
      <c r="AH1129" s="57"/>
      <c r="AI1129" s="52"/>
      <c r="AJ1129" s="52"/>
      <c r="AK1129" s="58"/>
      <c r="AL1129" s="57"/>
      <c r="AM1129" s="52"/>
      <c r="AN1129" s="52"/>
      <c r="AO1129" s="58"/>
      <c r="AP1129" s="57"/>
      <c r="AQ1129" s="52"/>
      <c r="AR1129" s="52"/>
      <c r="AS1129" s="58"/>
      <c r="AT1129" s="57"/>
      <c r="AU1129" s="52"/>
      <c r="AV1129" s="52"/>
      <c r="AW1129" s="58"/>
      <c r="AX1129" s="33">
        <f t="shared" si="1085"/>
        <v>0</v>
      </c>
      <c r="AY1129" s="31">
        <f t="shared" si="1086"/>
        <v>0</v>
      </c>
      <c r="AZ1129" s="30">
        <f t="shared" si="1087"/>
        <v>0</v>
      </c>
      <c r="BA1129" s="34"/>
      <c r="BB1129" s="34"/>
      <c r="BC1129" s="34"/>
      <c r="BD1129" s="76"/>
      <c r="BE1129" s="34"/>
      <c r="BF1129" s="34"/>
      <c r="BG1129" s="34"/>
      <c r="BH1129" s="34"/>
    </row>
    <row r="1130" spans="1:60" s="17" customFormat="1" ht="19.5" customHeight="1" x14ac:dyDescent="0.35">
      <c r="A1130" s="41">
        <f t="shared" ref="A1130:B1133" si="1089">A1129</f>
        <v>45443</v>
      </c>
      <c r="B1130" s="37" t="str">
        <f t="shared" si="1089"/>
        <v>Ense Biye</v>
      </c>
      <c r="C1130" s="65">
        <f t="shared" si="1083"/>
        <v>0</v>
      </c>
      <c r="D1130" s="67">
        <f t="shared" si="1084"/>
        <v>100</v>
      </c>
      <c r="E1130" s="57"/>
      <c r="F1130" s="52"/>
      <c r="G1130" s="52"/>
      <c r="H1130" s="58"/>
      <c r="I1130" s="57"/>
      <c r="J1130" s="52"/>
      <c r="K1130" s="52"/>
      <c r="L1130" s="58"/>
      <c r="M1130" s="57"/>
      <c r="N1130" s="52"/>
      <c r="O1130" s="52"/>
      <c r="P1130" s="58"/>
      <c r="Q1130" s="57"/>
      <c r="R1130" s="52"/>
      <c r="S1130" s="52"/>
      <c r="T1130" s="52"/>
      <c r="U1130" s="58"/>
      <c r="V1130" s="57"/>
      <c r="W1130" s="52"/>
      <c r="X1130" s="52"/>
      <c r="Y1130" s="58"/>
      <c r="Z1130" s="57"/>
      <c r="AA1130" s="52"/>
      <c r="AB1130" s="52"/>
      <c r="AC1130" s="58"/>
      <c r="AD1130" s="57"/>
      <c r="AE1130" s="52"/>
      <c r="AF1130" s="52"/>
      <c r="AG1130" s="58"/>
      <c r="AH1130" s="57"/>
      <c r="AI1130" s="52"/>
      <c r="AJ1130" s="52"/>
      <c r="AK1130" s="58"/>
      <c r="AL1130" s="57"/>
      <c r="AM1130" s="52"/>
      <c r="AN1130" s="52"/>
      <c r="AO1130" s="58"/>
      <c r="AP1130" s="57"/>
      <c r="AQ1130" s="52"/>
      <c r="AR1130" s="52"/>
      <c r="AS1130" s="58"/>
      <c r="AT1130" s="57"/>
      <c r="AU1130" s="52"/>
      <c r="AV1130" s="52"/>
      <c r="AW1130" s="58"/>
      <c r="AX1130" s="33">
        <f t="shared" si="1085"/>
        <v>0</v>
      </c>
      <c r="AY1130" s="31">
        <f t="shared" si="1086"/>
        <v>0</v>
      </c>
      <c r="AZ1130" s="30">
        <f t="shared" si="1087"/>
        <v>0</v>
      </c>
      <c r="BA1130" s="34"/>
      <c r="BB1130" s="34"/>
      <c r="BC1130" s="34"/>
      <c r="BD1130" s="76"/>
      <c r="BE1130" s="34"/>
      <c r="BF1130" s="34"/>
      <c r="BG1130" s="34"/>
      <c r="BH1130" s="34"/>
    </row>
    <row r="1131" spans="1:60" s="17" customFormat="1" ht="19.5" customHeight="1" x14ac:dyDescent="0.35">
      <c r="A1131" s="41">
        <f>A1128</f>
        <v>45443</v>
      </c>
      <c r="B1131" s="37" t="str">
        <f t="shared" si="1089"/>
        <v>Ense Biye</v>
      </c>
      <c r="C1131" s="65">
        <f t="shared" si="1083"/>
        <v>0</v>
      </c>
      <c r="D1131" s="67">
        <f t="shared" si="1084"/>
        <v>100</v>
      </c>
      <c r="E1131" s="57"/>
      <c r="F1131" s="52"/>
      <c r="G1131" s="52"/>
      <c r="H1131" s="58"/>
      <c r="I1131" s="57"/>
      <c r="J1131" s="52"/>
      <c r="K1131" s="52"/>
      <c r="L1131" s="58"/>
      <c r="M1131" s="57"/>
      <c r="N1131" s="52"/>
      <c r="O1131" s="52"/>
      <c r="P1131" s="58"/>
      <c r="Q1131" s="57"/>
      <c r="R1131" s="52"/>
      <c r="S1131" s="52"/>
      <c r="T1131" s="52"/>
      <c r="U1131" s="58"/>
      <c r="V1131" s="57"/>
      <c r="W1131" s="52"/>
      <c r="X1131" s="52"/>
      <c r="Y1131" s="58"/>
      <c r="Z1131" s="57"/>
      <c r="AA1131" s="52"/>
      <c r="AB1131" s="52"/>
      <c r="AC1131" s="58"/>
      <c r="AD1131" s="57"/>
      <c r="AE1131" s="52"/>
      <c r="AF1131" s="52"/>
      <c r="AG1131" s="58"/>
      <c r="AH1131" s="57"/>
      <c r="AI1131" s="52"/>
      <c r="AJ1131" s="52"/>
      <c r="AK1131" s="58"/>
      <c r="AL1131" s="57"/>
      <c r="AM1131" s="52"/>
      <c r="AN1131" s="52"/>
      <c r="AO1131" s="58"/>
      <c r="AP1131" s="57"/>
      <c r="AQ1131" s="52"/>
      <c r="AR1131" s="52"/>
      <c r="AS1131" s="58"/>
      <c r="AT1131" s="57"/>
      <c r="AU1131" s="52"/>
      <c r="AV1131" s="52"/>
      <c r="AW1131" s="58"/>
      <c r="AX1131" s="33">
        <f t="shared" si="1085"/>
        <v>0</v>
      </c>
      <c r="AY1131" s="31">
        <f t="shared" si="1086"/>
        <v>0</v>
      </c>
      <c r="AZ1131" s="30">
        <f t="shared" si="1087"/>
        <v>0</v>
      </c>
      <c r="BA1131" s="34"/>
      <c r="BB1131" s="34"/>
      <c r="BC1131" s="34"/>
      <c r="BD1131" s="76"/>
      <c r="BE1131" s="34"/>
      <c r="BF1131" s="34"/>
      <c r="BG1131" s="34"/>
      <c r="BH1131" s="34"/>
    </row>
    <row r="1132" spans="1:60" s="17" customFormat="1" ht="19.5" customHeight="1" x14ac:dyDescent="0.35">
      <c r="A1132" s="41">
        <f>A1131</f>
        <v>45443</v>
      </c>
      <c r="B1132" s="37" t="str">
        <f t="shared" si="1089"/>
        <v>Ense Biye</v>
      </c>
      <c r="C1132" s="65">
        <f t="shared" si="1083"/>
        <v>0</v>
      </c>
      <c r="D1132" s="67">
        <f t="shared" si="1084"/>
        <v>100</v>
      </c>
      <c r="E1132" s="57"/>
      <c r="F1132" s="52"/>
      <c r="G1132" s="52"/>
      <c r="H1132" s="58"/>
      <c r="I1132" s="57"/>
      <c r="J1132" s="52"/>
      <c r="K1132" s="52"/>
      <c r="L1132" s="58"/>
      <c r="M1132" s="57"/>
      <c r="N1132" s="52"/>
      <c r="O1132" s="52"/>
      <c r="P1132" s="58"/>
      <c r="Q1132" s="57"/>
      <c r="R1132" s="52"/>
      <c r="S1132" s="52"/>
      <c r="T1132" s="52"/>
      <c r="U1132" s="58"/>
      <c r="V1132" s="57"/>
      <c r="W1132" s="52"/>
      <c r="X1132" s="52"/>
      <c r="Y1132" s="58"/>
      <c r="Z1132" s="57"/>
      <c r="AA1132" s="52"/>
      <c r="AB1132" s="52"/>
      <c r="AC1132" s="58"/>
      <c r="AD1132" s="57"/>
      <c r="AE1132" s="52"/>
      <c r="AF1132" s="52"/>
      <c r="AG1132" s="58"/>
      <c r="AH1132" s="57"/>
      <c r="AI1132" s="52"/>
      <c r="AJ1132" s="52"/>
      <c r="AK1132" s="58"/>
      <c r="AL1132" s="57"/>
      <c r="AM1132" s="52"/>
      <c r="AN1132" s="52"/>
      <c r="AO1132" s="58"/>
      <c r="AP1132" s="57"/>
      <c r="AQ1132" s="52"/>
      <c r="AR1132" s="52"/>
      <c r="AS1132" s="58"/>
      <c r="AT1132" s="57"/>
      <c r="AU1132" s="52"/>
      <c r="AV1132" s="52"/>
      <c r="AW1132" s="58"/>
      <c r="AX1132" s="33">
        <f t="shared" si="1085"/>
        <v>0</v>
      </c>
      <c r="AY1132" s="31">
        <f t="shared" si="1086"/>
        <v>0</v>
      </c>
      <c r="AZ1132" s="30">
        <f t="shared" si="1087"/>
        <v>0</v>
      </c>
      <c r="BA1132" s="34"/>
      <c r="BB1132" s="34"/>
      <c r="BC1132" s="34"/>
      <c r="BD1132" s="76"/>
      <c r="BE1132" s="34"/>
      <c r="BF1132" s="34"/>
      <c r="BG1132" s="34"/>
      <c r="BH1132" s="34"/>
    </row>
    <row r="1133" spans="1:60" s="17" customFormat="1" ht="19.5" customHeight="1" thickBot="1" x14ac:dyDescent="0.4">
      <c r="A1133" s="41">
        <f>A1132</f>
        <v>45443</v>
      </c>
      <c r="B1133" s="37" t="str">
        <f t="shared" si="1089"/>
        <v>Ense Biye</v>
      </c>
      <c r="C1133" s="65">
        <f t="shared" si="1083"/>
        <v>0</v>
      </c>
      <c r="D1133" s="67">
        <f t="shared" si="1084"/>
        <v>100</v>
      </c>
      <c r="E1133" s="59"/>
      <c r="F1133" s="60"/>
      <c r="G1133" s="61"/>
      <c r="H1133" s="62"/>
      <c r="I1133" s="59"/>
      <c r="J1133" s="60"/>
      <c r="K1133" s="61"/>
      <c r="L1133" s="62"/>
      <c r="M1133" s="59"/>
      <c r="N1133" s="60"/>
      <c r="O1133" s="61"/>
      <c r="P1133" s="62"/>
      <c r="Q1133" s="64"/>
      <c r="R1133" s="61"/>
      <c r="S1133" s="61"/>
      <c r="T1133" s="61"/>
      <c r="U1133" s="62"/>
      <c r="V1133" s="59"/>
      <c r="W1133" s="60"/>
      <c r="X1133" s="61"/>
      <c r="Y1133" s="62"/>
      <c r="Z1133" s="59"/>
      <c r="AA1133" s="60"/>
      <c r="AB1133" s="61"/>
      <c r="AC1133" s="62"/>
      <c r="AD1133" s="59"/>
      <c r="AE1133" s="60"/>
      <c r="AF1133" s="61"/>
      <c r="AG1133" s="62"/>
      <c r="AH1133" s="59"/>
      <c r="AI1133" s="60"/>
      <c r="AJ1133" s="61"/>
      <c r="AK1133" s="62"/>
      <c r="AL1133" s="59"/>
      <c r="AM1133" s="60"/>
      <c r="AN1133" s="61"/>
      <c r="AO1133" s="62"/>
      <c r="AP1133" s="59"/>
      <c r="AQ1133" s="60"/>
      <c r="AR1133" s="61"/>
      <c r="AS1133" s="62"/>
      <c r="AT1133" s="59"/>
      <c r="AU1133" s="60"/>
      <c r="AV1133" s="61"/>
      <c r="AW1133" s="62"/>
      <c r="AX1133" s="33">
        <f t="shared" si="1085"/>
        <v>0</v>
      </c>
      <c r="AY1133" s="31">
        <f t="shared" si="1086"/>
        <v>0</v>
      </c>
      <c r="AZ1133" s="30">
        <f t="shared" si="1087"/>
        <v>0</v>
      </c>
      <c r="BA1133" s="34"/>
      <c r="BB1133" s="34"/>
      <c r="BC1133" s="34"/>
      <c r="BD1133" s="76"/>
      <c r="BE1133" s="34"/>
      <c r="BF1133" s="34"/>
      <c r="BG1133" s="34"/>
      <c r="BH1133" s="34"/>
    </row>
    <row r="1134" spans="1:60" s="17" customFormat="1" ht="19.5" customHeight="1" thickBot="1" x14ac:dyDescent="0.45">
      <c r="A1134" s="41">
        <f>A1133</f>
        <v>45443</v>
      </c>
      <c r="B1134" s="139" t="str">
        <f>B1127</f>
        <v>Ense Biye</v>
      </c>
      <c r="C1134" s="140"/>
      <c r="D1134" s="40">
        <f>C1062/8</f>
        <v>500</v>
      </c>
      <c r="E1134" s="147">
        <f>SUM(E1127:H1133)</f>
        <v>365</v>
      </c>
      <c r="F1134" s="148"/>
      <c r="G1134" s="148"/>
      <c r="H1134" s="149"/>
      <c r="I1134" s="147">
        <f>SUM(I1127:L1133)</f>
        <v>385</v>
      </c>
      <c r="J1134" s="148"/>
      <c r="K1134" s="148"/>
      <c r="L1134" s="149"/>
      <c r="M1134" s="147">
        <f>SUM(M1127:P1133)</f>
        <v>410</v>
      </c>
      <c r="N1134" s="148"/>
      <c r="O1134" s="148"/>
      <c r="P1134" s="149"/>
      <c r="Q1134" s="147">
        <f>SUM(Q1127:U1133)</f>
        <v>465</v>
      </c>
      <c r="R1134" s="148"/>
      <c r="S1134" s="148"/>
      <c r="T1134" s="148"/>
      <c r="U1134" s="149"/>
      <c r="V1134" s="147">
        <f>SUM(V1127:Y1133)</f>
        <v>370</v>
      </c>
      <c r="W1134" s="148"/>
      <c r="X1134" s="148"/>
      <c r="Y1134" s="149"/>
      <c r="Z1134" s="147">
        <f>SUM(Z1127:AC1133)</f>
        <v>360</v>
      </c>
      <c r="AA1134" s="148"/>
      <c r="AB1134" s="148"/>
      <c r="AC1134" s="149"/>
      <c r="AD1134" s="147">
        <f>SUM(AD1127:AG1133)</f>
        <v>385</v>
      </c>
      <c r="AE1134" s="148"/>
      <c r="AF1134" s="148"/>
      <c r="AG1134" s="149"/>
      <c r="AH1134" s="147">
        <f>SUM(AH1127:AK1133)</f>
        <v>395</v>
      </c>
      <c r="AI1134" s="148"/>
      <c r="AJ1134" s="148"/>
      <c r="AK1134" s="149"/>
      <c r="AL1134" s="147">
        <f>SUM(AL1127:AO1133)</f>
        <v>0</v>
      </c>
      <c r="AM1134" s="148"/>
      <c r="AN1134" s="148"/>
      <c r="AO1134" s="149"/>
      <c r="AP1134" s="147">
        <f>SUM(AP1127:AS1133)</f>
        <v>0</v>
      </c>
      <c r="AQ1134" s="148"/>
      <c r="AR1134" s="148"/>
      <c r="AS1134" s="149"/>
      <c r="AT1134" s="147">
        <f>SUM(AT1127:AW1133)</f>
        <v>0</v>
      </c>
      <c r="AU1134" s="148"/>
      <c r="AV1134" s="148"/>
      <c r="AW1134" s="149"/>
      <c r="AX1134" s="87">
        <f>SUM(AX1127:AX1133)</f>
        <v>3135</v>
      </c>
      <c r="AY1134" s="88">
        <f>IFERROR(AVERAGEIF(E1134:AV1134,"&lt;&gt;0",(E1134:AV1134)),)</f>
        <v>391.875</v>
      </c>
      <c r="AZ1134" s="46">
        <f>IFERROR(AX1134/BB1128,0)</f>
        <v>0.78374999999999995</v>
      </c>
      <c r="BA1134" s="34"/>
      <c r="BB1134" s="34"/>
      <c r="BC1134" s="34"/>
      <c r="BD1134" s="76"/>
      <c r="BE1134" s="34"/>
      <c r="BF1134" s="34"/>
      <c r="BG1134" s="34"/>
      <c r="BH1134" s="34"/>
    </row>
    <row r="1135" spans="1:60" s="17" customFormat="1" ht="19.5" customHeight="1" thickBot="1" x14ac:dyDescent="0.4">
      <c r="A1135" s="42">
        <f>A1125</f>
        <v>45443</v>
      </c>
      <c r="B1135" s="38" t="str">
        <f>B1136</f>
        <v>Yaka Basma 1 Et.(Beden)</v>
      </c>
      <c r="C1135" s="39" t="s">
        <v>180</v>
      </c>
      <c r="D1135" s="69" t="s">
        <v>181</v>
      </c>
      <c r="E1135" s="48">
        <v>0.34375</v>
      </c>
      <c r="F1135" s="49">
        <v>0.35416666666666669</v>
      </c>
      <c r="G1135" s="49">
        <v>0.36458333333333331</v>
      </c>
      <c r="H1135" s="50">
        <v>0.375</v>
      </c>
      <c r="I1135" s="48">
        <v>0.38541666666666702</v>
      </c>
      <c r="J1135" s="49">
        <v>0.39583333333333298</v>
      </c>
      <c r="K1135" s="49">
        <v>0.40625</v>
      </c>
      <c r="L1135" s="50">
        <v>0.41666666666666702</v>
      </c>
      <c r="M1135" s="48">
        <v>0.4375</v>
      </c>
      <c r="N1135" s="49">
        <v>0.44791666666666702</v>
      </c>
      <c r="O1135" s="49">
        <v>0.45833333333333398</v>
      </c>
      <c r="P1135" s="50">
        <v>0.46875</v>
      </c>
      <c r="Q1135" s="48">
        <v>0.47916666666666702</v>
      </c>
      <c r="R1135" s="49">
        <v>0.48958333333333398</v>
      </c>
      <c r="S1135" s="49">
        <v>0.5</v>
      </c>
      <c r="T1135" s="50">
        <v>0.51041666666666696</v>
      </c>
      <c r="U1135" s="51">
        <v>0.52083333333333204</v>
      </c>
      <c r="V1135" s="48">
        <v>0.5625</v>
      </c>
      <c r="W1135" s="49">
        <v>0.57291666666666663</v>
      </c>
      <c r="X1135" s="49">
        <v>0.58333333333333304</v>
      </c>
      <c r="Y1135" s="50">
        <v>0.59375</v>
      </c>
      <c r="Z1135" s="48">
        <v>0.60416666666666696</v>
      </c>
      <c r="AA1135" s="49">
        <v>0.61458333333333304</v>
      </c>
      <c r="AB1135" s="49">
        <v>0.625</v>
      </c>
      <c r="AC1135" s="50">
        <v>0.63541666666666596</v>
      </c>
      <c r="AD1135" s="48">
        <v>0.65625</v>
      </c>
      <c r="AE1135" s="49">
        <v>0.66666666666666663</v>
      </c>
      <c r="AF1135" s="49">
        <v>0.67708333333333304</v>
      </c>
      <c r="AG1135" s="50">
        <v>0.6875</v>
      </c>
      <c r="AH1135" s="48">
        <v>0.69791666666666696</v>
      </c>
      <c r="AI1135" s="49">
        <v>0.70833333333333304</v>
      </c>
      <c r="AJ1135" s="49">
        <v>0.71875</v>
      </c>
      <c r="AK1135" s="50">
        <v>0.72916666666666696</v>
      </c>
      <c r="AL1135" s="48">
        <v>0.73958333333333404</v>
      </c>
      <c r="AM1135" s="49">
        <v>0.750000000000001</v>
      </c>
      <c r="AN1135" s="49">
        <v>0.76041666666666796</v>
      </c>
      <c r="AO1135" s="50">
        <v>0.77083333333333504</v>
      </c>
      <c r="AP1135" s="48">
        <v>0.781250000000002</v>
      </c>
      <c r="AQ1135" s="49">
        <v>0.79166666666666896</v>
      </c>
      <c r="AR1135" s="49">
        <v>0.80208333333333603</v>
      </c>
      <c r="AS1135" s="50">
        <v>0.812500000000003</v>
      </c>
      <c r="AT1135" s="48">
        <v>0.82291666666666996</v>
      </c>
      <c r="AU1135" s="49">
        <v>0.83333333333333703</v>
      </c>
      <c r="AV1135" s="49">
        <v>0.843750000000004</v>
      </c>
      <c r="AW1135" s="50">
        <v>0.85416666666666663</v>
      </c>
      <c r="AX1135" s="68" t="s">
        <v>260</v>
      </c>
      <c r="AY1135" s="28" t="s">
        <v>261</v>
      </c>
      <c r="AZ1135" s="29" t="s">
        <v>262</v>
      </c>
      <c r="BA1135" s="136" t="str">
        <f>B1136</f>
        <v>Yaka Basma 1 Et.(Beden)</v>
      </c>
      <c r="BB1135" s="137"/>
      <c r="BC1135" s="137"/>
      <c r="BD1135" s="137"/>
      <c r="BE1135" s="137"/>
      <c r="BF1135" s="137"/>
      <c r="BG1135" s="137"/>
      <c r="BH1135" s="138"/>
    </row>
    <row r="1136" spans="1:60" s="17" customFormat="1" ht="19.5" customHeight="1" thickBot="1" x14ac:dyDescent="0.4">
      <c r="A1136" s="41">
        <f t="shared" ref="A1136" si="1090">A1135</f>
        <v>45443</v>
      </c>
      <c r="B1136" s="37" t="str">
        <f>B960</f>
        <v>Yaka Basma 1 Et.(Beden)</v>
      </c>
      <c r="C1136" s="65" t="str">
        <f>C960</f>
        <v>NESRİN ALTUNSÖZ</v>
      </c>
      <c r="D1136" s="70">
        <f>D960</f>
        <v>60</v>
      </c>
      <c r="E1136" s="63">
        <v>0</v>
      </c>
      <c r="F1136" s="55">
        <v>60</v>
      </c>
      <c r="G1136" s="55">
        <v>50</v>
      </c>
      <c r="H1136" s="56">
        <v>45</v>
      </c>
      <c r="I1136" s="63">
        <v>50</v>
      </c>
      <c r="J1136" s="55">
        <v>50</v>
      </c>
      <c r="K1136" s="55">
        <v>55</v>
      </c>
      <c r="L1136" s="56">
        <v>56</v>
      </c>
      <c r="M1136" s="63">
        <v>50</v>
      </c>
      <c r="N1136" s="55">
        <v>55</v>
      </c>
      <c r="O1136" s="55">
        <v>62</v>
      </c>
      <c r="P1136" s="56">
        <v>60</v>
      </c>
      <c r="Q1136" s="63">
        <v>50</v>
      </c>
      <c r="R1136" s="55">
        <v>61</v>
      </c>
      <c r="S1136" s="55">
        <v>51</v>
      </c>
      <c r="T1136" s="55">
        <v>60</v>
      </c>
      <c r="U1136" s="56">
        <v>50</v>
      </c>
      <c r="V1136" s="63">
        <v>50</v>
      </c>
      <c r="W1136" s="55">
        <v>40</v>
      </c>
      <c r="X1136" s="55">
        <v>50</v>
      </c>
      <c r="Y1136" s="56">
        <v>50</v>
      </c>
      <c r="Z1136" s="63">
        <v>40</v>
      </c>
      <c r="AA1136" s="55">
        <v>10</v>
      </c>
      <c r="AB1136" s="55">
        <v>40</v>
      </c>
      <c r="AC1136" s="56">
        <v>42</v>
      </c>
      <c r="AD1136" s="63">
        <v>53</v>
      </c>
      <c r="AE1136" s="55">
        <v>55</v>
      </c>
      <c r="AF1136" s="55">
        <v>50</v>
      </c>
      <c r="AG1136" s="56">
        <v>50</v>
      </c>
      <c r="AH1136" s="63">
        <v>0</v>
      </c>
      <c r="AI1136" s="55">
        <v>40</v>
      </c>
      <c r="AJ1136" s="55">
        <v>40</v>
      </c>
      <c r="AK1136" s="56"/>
      <c r="AL1136" s="63"/>
      <c r="AM1136" s="55"/>
      <c r="AN1136" s="55"/>
      <c r="AO1136" s="56"/>
      <c r="AP1136" s="63"/>
      <c r="AQ1136" s="55"/>
      <c r="AR1136" s="55"/>
      <c r="AS1136" s="56"/>
      <c r="AT1136" s="53"/>
      <c r="AU1136" s="54"/>
      <c r="AV1136" s="55"/>
      <c r="AW1136" s="56"/>
      <c r="AX1136" s="33">
        <f>SUM(E1136:AW1136)</f>
        <v>1475</v>
      </c>
      <c r="AY1136" s="31">
        <f>IFERROR(AVERAGEIF(E1136:AW1136,"&lt;&gt;0",(E1136:AW1136)),)</f>
        <v>49.166666666666664</v>
      </c>
      <c r="AZ1136" s="30">
        <f>IFERROR(AY1136/D1136,0)</f>
        <v>0.81944444444444442</v>
      </c>
      <c r="BA1136" s="103" t="s">
        <v>182</v>
      </c>
      <c r="BB1136" s="100" t="s">
        <v>183</v>
      </c>
      <c r="BC1136" s="100" t="s">
        <v>184</v>
      </c>
      <c r="BD1136" s="101" t="s">
        <v>185</v>
      </c>
      <c r="BE1136" s="100" t="s">
        <v>186</v>
      </c>
      <c r="BF1136" s="102" t="s">
        <v>187</v>
      </c>
      <c r="BG1136" s="100" t="s">
        <v>188</v>
      </c>
      <c r="BH1136" s="102" t="s">
        <v>189</v>
      </c>
    </row>
    <row r="1137" spans="1:60" s="17" customFormat="1" ht="19.5" customHeight="1" thickBot="1" x14ac:dyDescent="0.4">
      <c r="A1137" s="41">
        <f t="shared" ref="A1137:B1137" si="1091">A1136</f>
        <v>45443</v>
      </c>
      <c r="B1137" s="37" t="str">
        <f t="shared" si="1091"/>
        <v>Yaka Basma 1 Et.(Beden)</v>
      </c>
      <c r="C1137" s="65" t="str">
        <f t="shared" ref="C1137:C1142" si="1092">C961</f>
        <v>SERPİL ÇİMEN</v>
      </c>
      <c r="D1137" s="67">
        <f t="shared" ref="D1137:D1142" si="1093">D1136</f>
        <v>60</v>
      </c>
      <c r="E1137" s="57">
        <v>60</v>
      </c>
      <c r="F1137" s="52">
        <v>65</v>
      </c>
      <c r="G1137" s="52">
        <v>60</v>
      </c>
      <c r="H1137" s="58">
        <v>60</v>
      </c>
      <c r="I1137" s="57">
        <v>50</v>
      </c>
      <c r="J1137" s="52">
        <v>61</v>
      </c>
      <c r="K1137" s="52">
        <v>65</v>
      </c>
      <c r="L1137" s="58">
        <v>65</v>
      </c>
      <c r="M1137" s="57">
        <v>62</v>
      </c>
      <c r="N1137" s="52">
        <v>61</v>
      </c>
      <c r="O1137" s="52">
        <v>65</v>
      </c>
      <c r="P1137" s="58">
        <v>60</v>
      </c>
      <c r="Q1137" s="57">
        <v>40</v>
      </c>
      <c r="R1137" s="52">
        <v>63</v>
      </c>
      <c r="S1137" s="52">
        <v>60</v>
      </c>
      <c r="T1137" s="52">
        <v>60</v>
      </c>
      <c r="U1137" s="58">
        <v>60</v>
      </c>
      <c r="V1137" s="57">
        <v>66</v>
      </c>
      <c r="W1137" s="52">
        <v>60</v>
      </c>
      <c r="X1137" s="52">
        <v>55</v>
      </c>
      <c r="Y1137" s="58">
        <v>31</v>
      </c>
      <c r="Z1137" s="57">
        <v>55</v>
      </c>
      <c r="AA1137" s="52">
        <v>55</v>
      </c>
      <c r="AB1137" s="52">
        <v>35</v>
      </c>
      <c r="AC1137" s="58">
        <v>55</v>
      </c>
      <c r="AD1137" s="57">
        <v>60</v>
      </c>
      <c r="AE1137" s="52">
        <v>56</v>
      </c>
      <c r="AF1137" s="52">
        <v>30</v>
      </c>
      <c r="AG1137" s="58">
        <v>47</v>
      </c>
      <c r="AH1137" s="57">
        <v>60</v>
      </c>
      <c r="AI1137" s="52">
        <v>57</v>
      </c>
      <c r="AJ1137" s="52">
        <v>50</v>
      </c>
      <c r="AK1137" s="58"/>
      <c r="AL1137" s="57"/>
      <c r="AM1137" s="52"/>
      <c r="AN1137" s="52"/>
      <c r="AO1137" s="58"/>
      <c r="AP1137" s="57"/>
      <c r="AQ1137" s="52"/>
      <c r="AR1137" s="52"/>
      <c r="AS1137" s="58"/>
      <c r="AT1137" s="57"/>
      <c r="AU1137" s="52"/>
      <c r="AV1137" s="52"/>
      <c r="AW1137" s="58"/>
      <c r="AX1137" s="33">
        <f t="shared" ref="AX1137:AX1142" si="1094">SUM(E1137:AW1137)</f>
        <v>1789</v>
      </c>
      <c r="AY1137" s="31">
        <f t="shared" ref="AY1137:AY1142" si="1095">IFERROR(AVERAGEIF(E1137:AW1137,"&lt;&gt;0",(E1137:AW1137)),)</f>
        <v>55.90625</v>
      </c>
      <c r="AZ1137" s="30">
        <f t="shared" ref="AZ1137:AZ1142" si="1096">IFERROR(AY1137/D1137,0)</f>
        <v>0.93177083333333333</v>
      </c>
      <c r="BA1137" s="94">
        <f>AX1143+BA961</f>
        <v>13758</v>
      </c>
      <c r="BB1137" s="95">
        <f>(D1143*8)</f>
        <v>4000</v>
      </c>
      <c r="BC1137" s="96">
        <f>C1061-BA1137</f>
        <v>28553</v>
      </c>
      <c r="BD1137" s="96">
        <f>BA1128-BA1137</f>
        <v>380</v>
      </c>
      <c r="BE1137" s="97">
        <f>IFERROR(BC1137/E1143,0)</f>
        <v>71.382499999999993</v>
      </c>
      <c r="BF1137" s="98">
        <f>IFERROR(BE1137/9,0)</f>
        <v>7.9313888888888879</v>
      </c>
      <c r="BG1137" s="97">
        <f>IFERROR(BC1137/AY1143,0)</f>
        <v>69.982843137254903</v>
      </c>
      <c r="BH1137" s="97">
        <f>IFERROR(BG1137/9,0)</f>
        <v>7.7758714596949892</v>
      </c>
    </row>
    <row r="1138" spans="1:60" s="17" customFormat="1" ht="19.5" customHeight="1" x14ac:dyDescent="0.35">
      <c r="A1138" s="41">
        <f t="shared" ref="A1138:B1138" si="1097">A1137</f>
        <v>45443</v>
      </c>
      <c r="B1138" s="37" t="str">
        <f t="shared" si="1097"/>
        <v>Yaka Basma 1 Et.(Beden)</v>
      </c>
      <c r="C1138" s="65" t="str">
        <f t="shared" si="1092"/>
        <v>SELDA TAŞ</v>
      </c>
      <c r="D1138" s="67">
        <f t="shared" si="1093"/>
        <v>60</v>
      </c>
      <c r="E1138" s="57"/>
      <c r="F1138" s="52"/>
      <c r="G1138" s="52"/>
      <c r="H1138" s="58"/>
      <c r="I1138" s="57"/>
      <c r="J1138" s="52"/>
      <c r="K1138" s="52"/>
      <c r="L1138" s="58"/>
      <c r="M1138" s="57"/>
      <c r="N1138" s="52"/>
      <c r="O1138" s="52"/>
      <c r="P1138" s="58"/>
      <c r="Q1138" s="57"/>
      <c r="R1138" s="52"/>
      <c r="S1138" s="52"/>
      <c r="T1138" s="52"/>
      <c r="U1138" s="58"/>
      <c r="V1138" s="57"/>
      <c r="W1138" s="52"/>
      <c r="X1138" s="52"/>
      <c r="Y1138" s="58"/>
      <c r="Z1138" s="57"/>
      <c r="AA1138" s="52"/>
      <c r="AB1138" s="52"/>
      <c r="AC1138" s="58"/>
      <c r="AD1138" s="57"/>
      <c r="AE1138" s="52"/>
      <c r="AF1138" s="52"/>
      <c r="AG1138" s="58"/>
      <c r="AH1138" s="57"/>
      <c r="AI1138" s="52"/>
      <c r="AJ1138" s="52"/>
      <c r="AK1138" s="58"/>
      <c r="AL1138" s="57"/>
      <c r="AM1138" s="52"/>
      <c r="AN1138" s="52"/>
      <c r="AO1138" s="58"/>
      <c r="AP1138" s="57"/>
      <c r="AQ1138" s="52"/>
      <c r="AR1138" s="52"/>
      <c r="AS1138" s="58"/>
      <c r="AT1138" s="57"/>
      <c r="AU1138" s="52"/>
      <c r="AV1138" s="52"/>
      <c r="AW1138" s="58"/>
      <c r="AX1138" s="33">
        <f t="shared" si="1094"/>
        <v>0</v>
      </c>
      <c r="AY1138" s="31">
        <f t="shared" si="1095"/>
        <v>0</v>
      </c>
      <c r="AZ1138" s="30">
        <f t="shared" si="1096"/>
        <v>0</v>
      </c>
      <c r="BA1138" s="34"/>
      <c r="BB1138" s="34"/>
      <c r="BC1138" s="34"/>
      <c r="BD1138" s="76"/>
      <c r="BE1138" s="34"/>
      <c r="BF1138" s="34"/>
      <c r="BG1138" s="34"/>
      <c r="BH1138" s="34"/>
    </row>
    <row r="1139" spans="1:60" s="17" customFormat="1" ht="19.5" customHeight="1" x14ac:dyDescent="0.35">
      <c r="A1139" s="41">
        <f t="shared" ref="A1139:B1140" si="1098">A1138</f>
        <v>45443</v>
      </c>
      <c r="B1139" s="37" t="str">
        <f t="shared" si="1098"/>
        <v>Yaka Basma 1 Et.(Beden)</v>
      </c>
      <c r="C1139" s="65">
        <f t="shared" si="1092"/>
        <v>0</v>
      </c>
      <c r="D1139" s="67">
        <f t="shared" si="1093"/>
        <v>60</v>
      </c>
      <c r="E1139" s="57"/>
      <c r="F1139" s="52"/>
      <c r="G1139" s="52"/>
      <c r="H1139" s="58"/>
      <c r="I1139" s="57"/>
      <c r="J1139" s="52"/>
      <c r="K1139" s="52"/>
      <c r="L1139" s="58"/>
      <c r="M1139" s="57"/>
      <c r="N1139" s="52"/>
      <c r="O1139" s="52"/>
      <c r="P1139" s="58"/>
      <c r="Q1139" s="57"/>
      <c r="R1139" s="52"/>
      <c r="S1139" s="52"/>
      <c r="T1139" s="52"/>
      <c r="U1139" s="58"/>
      <c r="V1139" s="57"/>
      <c r="W1139" s="52"/>
      <c r="X1139" s="52"/>
      <c r="Y1139" s="58"/>
      <c r="Z1139" s="57"/>
      <c r="AA1139" s="52"/>
      <c r="AB1139" s="52"/>
      <c r="AC1139" s="58"/>
      <c r="AD1139" s="57"/>
      <c r="AE1139" s="52"/>
      <c r="AF1139" s="52"/>
      <c r="AG1139" s="58"/>
      <c r="AH1139" s="57"/>
      <c r="AI1139" s="52"/>
      <c r="AJ1139" s="52"/>
      <c r="AK1139" s="58"/>
      <c r="AL1139" s="57"/>
      <c r="AM1139" s="52"/>
      <c r="AN1139" s="52"/>
      <c r="AO1139" s="58"/>
      <c r="AP1139" s="57"/>
      <c r="AQ1139" s="52"/>
      <c r="AR1139" s="52"/>
      <c r="AS1139" s="58"/>
      <c r="AT1139" s="57"/>
      <c r="AU1139" s="52"/>
      <c r="AV1139" s="52"/>
      <c r="AW1139" s="58"/>
      <c r="AX1139" s="33">
        <f t="shared" si="1094"/>
        <v>0</v>
      </c>
      <c r="AY1139" s="31">
        <f t="shared" si="1095"/>
        <v>0</v>
      </c>
      <c r="AZ1139" s="30">
        <f t="shared" si="1096"/>
        <v>0</v>
      </c>
      <c r="BA1139" s="34"/>
      <c r="BB1139" s="34"/>
      <c r="BC1139" s="34"/>
      <c r="BD1139" s="76"/>
      <c r="BE1139" s="34"/>
      <c r="BF1139" s="34"/>
      <c r="BG1139" s="34"/>
      <c r="BH1139" s="34"/>
    </row>
    <row r="1140" spans="1:60" s="17" customFormat="1" ht="19.5" customHeight="1" x14ac:dyDescent="0.35">
      <c r="A1140" s="41">
        <f>A1137</f>
        <v>45443</v>
      </c>
      <c r="B1140" s="37" t="str">
        <f t="shared" si="1098"/>
        <v>Yaka Basma 1 Et.(Beden)</v>
      </c>
      <c r="C1140" s="65">
        <f t="shared" si="1092"/>
        <v>0</v>
      </c>
      <c r="D1140" s="67">
        <f t="shared" si="1093"/>
        <v>60</v>
      </c>
      <c r="E1140" s="57"/>
      <c r="F1140" s="52"/>
      <c r="G1140" s="52"/>
      <c r="H1140" s="58"/>
      <c r="I1140" s="57"/>
      <c r="J1140" s="52"/>
      <c r="K1140" s="52"/>
      <c r="L1140" s="58"/>
      <c r="M1140" s="57"/>
      <c r="N1140" s="52"/>
      <c r="O1140" s="52"/>
      <c r="P1140" s="58"/>
      <c r="Q1140" s="57"/>
      <c r="R1140" s="52"/>
      <c r="S1140" s="52"/>
      <c r="T1140" s="52"/>
      <c r="U1140" s="58"/>
      <c r="V1140" s="57"/>
      <c r="W1140" s="52"/>
      <c r="X1140" s="52"/>
      <c r="Y1140" s="58"/>
      <c r="Z1140" s="57"/>
      <c r="AA1140" s="52"/>
      <c r="AB1140" s="52"/>
      <c r="AC1140" s="58"/>
      <c r="AD1140" s="57"/>
      <c r="AE1140" s="52"/>
      <c r="AF1140" s="52"/>
      <c r="AG1140" s="58"/>
      <c r="AH1140" s="57"/>
      <c r="AI1140" s="52"/>
      <c r="AJ1140" s="52"/>
      <c r="AK1140" s="58"/>
      <c r="AL1140" s="57"/>
      <c r="AM1140" s="52"/>
      <c r="AN1140" s="52"/>
      <c r="AO1140" s="58"/>
      <c r="AP1140" s="57"/>
      <c r="AQ1140" s="52"/>
      <c r="AR1140" s="52"/>
      <c r="AS1140" s="58"/>
      <c r="AT1140" s="57"/>
      <c r="AU1140" s="52"/>
      <c r="AV1140" s="52"/>
      <c r="AW1140" s="58"/>
      <c r="AX1140" s="33">
        <f t="shared" si="1094"/>
        <v>0</v>
      </c>
      <c r="AY1140" s="31">
        <f t="shared" si="1095"/>
        <v>0</v>
      </c>
      <c r="AZ1140" s="30">
        <f t="shared" si="1096"/>
        <v>0</v>
      </c>
      <c r="BA1140" s="34"/>
      <c r="BB1140" s="34"/>
      <c r="BC1140" s="34"/>
      <c r="BD1140" s="76"/>
      <c r="BE1140" s="34"/>
      <c r="BF1140" s="34"/>
      <c r="BG1140" s="34"/>
      <c r="BH1140" s="34"/>
    </row>
    <row r="1141" spans="1:60" s="17" customFormat="1" ht="19.5" customHeight="1" x14ac:dyDescent="0.35">
      <c r="A1141" s="41">
        <f t="shared" ref="A1141:B1141" si="1099">A1140</f>
        <v>45443</v>
      </c>
      <c r="B1141" s="37" t="str">
        <f t="shared" si="1099"/>
        <v>Yaka Basma 1 Et.(Beden)</v>
      </c>
      <c r="C1141" s="65">
        <f t="shared" si="1092"/>
        <v>0</v>
      </c>
      <c r="D1141" s="67">
        <f t="shared" si="1093"/>
        <v>60</v>
      </c>
      <c r="E1141" s="57"/>
      <c r="F1141" s="52"/>
      <c r="G1141" s="52"/>
      <c r="H1141" s="58"/>
      <c r="I1141" s="57"/>
      <c r="J1141" s="52"/>
      <c r="K1141" s="52"/>
      <c r="L1141" s="58"/>
      <c r="M1141" s="57"/>
      <c r="N1141" s="52"/>
      <c r="O1141" s="52"/>
      <c r="P1141" s="58"/>
      <c r="Q1141" s="57"/>
      <c r="R1141" s="52"/>
      <c r="S1141" s="52"/>
      <c r="T1141" s="52"/>
      <c r="U1141" s="58"/>
      <c r="V1141" s="57"/>
      <c r="W1141" s="52"/>
      <c r="X1141" s="52"/>
      <c r="Y1141" s="58"/>
      <c r="Z1141" s="57"/>
      <c r="AA1141" s="52"/>
      <c r="AB1141" s="52"/>
      <c r="AC1141" s="58"/>
      <c r="AD1141" s="57"/>
      <c r="AE1141" s="52"/>
      <c r="AF1141" s="52"/>
      <c r="AG1141" s="58"/>
      <c r="AH1141" s="57"/>
      <c r="AI1141" s="52"/>
      <c r="AJ1141" s="52"/>
      <c r="AK1141" s="58"/>
      <c r="AL1141" s="57"/>
      <c r="AM1141" s="52"/>
      <c r="AN1141" s="52"/>
      <c r="AO1141" s="58"/>
      <c r="AP1141" s="57"/>
      <c r="AQ1141" s="52"/>
      <c r="AR1141" s="52"/>
      <c r="AS1141" s="58"/>
      <c r="AT1141" s="57"/>
      <c r="AU1141" s="52"/>
      <c r="AV1141" s="52"/>
      <c r="AW1141" s="58"/>
      <c r="AX1141" s="33">
        <f t="shared" si="1094"/>
        <v>0</v>
      </c>
      <c r="AY1141" s="31">
        <f t="shared" si="1095"/>
        <v>0</v>
      </c>
      <c r="AZ1141" s="30">
        <f t="shared" si="1096"/>
        <v>0</v>
      </c>
      <c r="BA1141" s="34"/>
      <c r="BB1141" s="34"/>
      <c r="BC1141" s="34"/>
      <c r="BD1141" s="76"/>
      <c r="BE1141" s="34"/>
      <c r="BF1141" s="34"/>
      <c r="BG1141" s="34"/>
      <c r="BH1141" s="34"/>
    </row>
    <row r="1142" spans="1:60" s="17" customFormat="1" ht="19.5" customHeight="1" thickBot="1" x14ac:dyDescent="0.4">
      <c r="A1142" s="41">
        <f t="shared" ref="A1142:B1143" si="1100">A1141</f>
        <v>45443</v>
      </c>
      <c r="B1142" s="37" t="str">
        <f t="shared" si="1100"/>
        <v>Yaka Basma 1 Et.(Beden)</v>
      </c>
      <c r="C1142" s="65">
        <f t="shared" si="1092"/>
        <v>0</v>
      </c>
      <c r="D1142" s="67">
        <f t="shared" si="1093"/>
        <v>60</v>
      </c>
      <c r="E1142" s="59"/>
      <c r="F1142" s="60"/>
      <c r="G1142" s="61"/>
      <c r="H1142" s="62"/>
      <c r="I1142" s="59"/>
      <c r="J1142" s="60"/>
      <c r="K1142" s="61"/>
      <c r="L1142" s="62"/>
      <c r="M1142" s="59"/>
      <c r="N1142" s="60"/>
      <c r="O1142" s="61"/>
      <c r="P1142" s="62"/>
      <c r="Q1142" s="64"/>
      <c r="R1142" s="61"/>
      <c r="S1142" s="61"/>
      <c r="T1142" s="61"/>
      <c r="U1142" s="62"/>
      <c r="V1142" s="59"/>
      <c r="W1142" s="60"/>
      <c r="X1142" s="61"/>
      <c r="Y1142" s="62"/>
      <c r="Z1142" s="59"/>
      <c r="AA1142" s="60"/>
      <c r="AB1142" s="61"/>
      <c r="AC1142" s="62"/>
      <c r="AD1142" s="59"/>
      <c r="AE1142" s="60"/>
      <c r="AF1142" s="61"/>
      <c r="AG1142" s="62"/>
      <c r="AH1142" s="59"/>
      <c r="AI1142" s="60"/>
      <c r="AJ1142" s="61"/>
      <c r="AK1142" s="62"/>
      <c r="AL1142" s="59"/>
      <c r="AM1142" s="60"/>
      <c r="AN1142" s="61"/>
      <c r="AO1142" s="62"/>
      <c r="AP1142" s="59"/>
      <c r="AQ1142" s="60"/>
      <c r="AR1142" s="61"/>
      <c r="AS1142" s="62"/>
      <c r="AT1142" s="59"/>
      <c r="AU1142" s="60"/>
      <c r="AV1142" s="61"/>
      <c r="AW1142" s="62"/>
      <c r="AX1142" s="33">
        <f t="shared" si="1094"/>
        <v>0</v>
      </c>
      <c r="AY1142" s="31">
        <f t="shared" si="1095"/>
        <v>0</v>
      </c>
      <c r="AZ1142" s="30">
        <f t="shared" si="1096"/>
        <v>0</v>
      </c>
      <c r="BA1142" s="34"/>
      <c r="BB1142" s="34"/>
      <c r="BC1142" s="34"/>
      <c r="BD1142" s="76"/>
      <c r="BE1142" s="34"/>
      <c r="BF1142" s="34"/>
      <c r="BG1142" s="34"/>
      <c r="BH1142" s="34"/>
    </row>
    <row r="1143" spans="1:60" s="17" customFormat="1" ht="19.5" customHeight="1" thickBot="1" x14ac:dyDescent="0.45">
      <c r="A1143" s="41">
        <f t="shared" si="1100"/>
        <v>45443</v>
      </c>
      <c r="B1143" s="139" t="str">
        <f>B1136</f>
        <v>Yaka Basma 1 Et.(Beden)</v>
      </c>
      <c r="C1143" s="140"/>
      <c r="D1143" s="40">
        <f>C1062/8</f>
        <v>500</v>
      </c>
      <c r="E1143" s="147">
        <f>SUM(E1136:H1142)</f>
        <v>400</v>
      </c>
      <c r="F1143" s="148"/>
      <c r="G1143" s="148"/>
      <c r="H1143" s="149"/>
      <c r="I1143" s="147">
        <f>SUM(I1136:L1142)</f>
        <v>452</v>
      </c>
      <c r="J1143" s="148"/>
      <c r="K1143" s="148"/>
      <c r="L1143" s="149"/>
      <c r="M1143" s="147">
        <f>SUM(M1136:P1142)</f>
        <v>475</v>
      </c>
      <c r="N1143" s="148"/>
      <c r="O1143" s="148"/>
      <c r="P1143" s="149"/>
      <c r="Q1143" s="147">
        <f>SUM(Q1136:U1142)</f>
        <v>555</v>
      </c>
      <c r="R1143" s="148"/>
      <c r="S1143" s="148"/>
      <c r="T1143" s="148"/>
      <c r="U1143" s="149"/>
      <c r="V1143" s="147">
        <f>SUM(V1136:Y1142)</f>
        <v>402</v>
      </c>
      <c r="W1143" s="148"/>
      <c r="X1143" s="148"/>
      <c r="Y1143" s="149"/>
      <c r="Z1143" s="147">
        <f>SUM(Z1136:AC1142)</f>
        <v>332</v>
      </c>
      <c r="AA1143" s="148"/>
      <c r="AB1143" s="148"/>
      <c r="AC1143" s="149"/>
      <c r="AD1143" s="147">
        <f>SUM(AD1136:AG1142)</f>
        <v>401</v>
      </c>
      <c r="AE1143" s="148"/>
      <c r="AF1143" s="148"/>
      <c r="AG1143" s="149"/>
      <c r="AH1143" s="147">
        <f>SUM(AH1136:AK1142)</f>
        <v>247</v>
      </c>
      <c r="AI1143" s="148"/>
      <c r="AJ1143" s="148"/>
      <c r="AK1143" s="149"/>
      <c r="AL1143" s="147">
        <f>SUM(AL1136:AO1142)</f>
        <v>0</v>
      </c>
      <c r="AM1143" s="148"/>
      <c r="AN1143" s="148"/>
      <c r="AO1143" s="149"/>
      <c r="AP1143" s="147">
        <f>SUM(AP1136:AS1142)</f>
        <v>0</v>
      </c>
      <c r="AQ1143" s="148"/>
      <c r="AR1143" s="148"/>
      <c r="AS1143" s="149"/>
      <c r="AT1143" s="147">
        <f>SUM(AT1136:AW1142)</f>
        <v>0</v>
      </c>
      <c r="AU1143" s="148"/>
      <c r="AV1143" s="148"/>
      <c r="AW1143" s="149"/>
      <c r="AX1143" s="87">
        <f>SUM(AX1136:AX1142)</f>
        <v>3264</v>
      </c>
      <c r="AY1143" s="88">
        <f>IFERROR(AVERAGEIF(E1143:AV1143,"&lt;&gt;0",(E1143:AV1143)),)</f>
        <v>408</v>
      </c>
      <c r="AZ1143" s="46">
        <f>IFERROR(AX1143/BB1137,0)</f>
        <v>0.81599999999999995</v>
      </c>
      <c r="BA1143" s="34"/>
      <c r="BB1143" s="34"/>
      <c r="BC1143" s="34"/>
      <c r="BD1143" s="76"/>
      <c r="BE1143" s="34"/>
      <c r="BF1143" s="34"/>
      <c r="BG1143" s="34"/>
      <c r="BH1143" s="34"/>
    </row>
    <row r="1144" spans="1:60" s="17" customFormat="1" ht="19.5" customHeight="1" thickBot="1" x14ac:dyDescent="0.4">
      <c r="A1144" s="42">
        <f>A1135</f>
        <v>45443</v>
      </c>
      <c r="B1144" s="38" t="str">
        <f>B1145</f>
        <v>Yaka Çıma</v>
      </c>
      <c r="C1144" s="39" t="s">
        <v>180</v>
      </c>
      <c r="D1144" s="69" t="s">
        <v>181</v>
      </c>
      <c r="E1144" s="48">
        <v>0.34375</v>
      </c>
      <c r="F1144" s="49">
        <v>0.35416666666666669</v>
      </c>
      <c r="G1144" s="49">
        <v>0.36458333333333331</v>
      </c>
      <c r="H1144" s="50">
        <v>0.375</v>
      </c>
      <c r="I1144" s="48">
        <v>0.38541666666666702</v>
      </c>
      <c r="J1144" s="49">
        <v>0.39583333333333298</v>
      </c>
      <c r="K1144" s="49">
        <v>0.40625</v>
      </c>
      <c r="L1144" s="50">
        <v>0.41666666666666702</v>
      </c>
      <c r="M1144" s="48">
        <v>0.4375</v>
      </c>
      <c r="N1144" s="49">
        <v>0.44791666666666702</v>
      </c>
      <c r="O1144" s="49">
        <v>0.45833333333333398</v>
      </c>
      <c r="P1144" s="50">
        <v>0.46875</v>
      </c>
      <c r="Q1144" s="48">
        <v>0.47916666666666702</v>
      </c>
      <c r="R1144" s="49">
        <v>0.48958333333333398</v>
      </c>
      <c r="S1144" s="49">
        <v>0.5</v>
      </c>
      <c r="T1144" s="50">
        <v>0.51041666666666696</v>
      </c>
      <c r="U1144" s="51">
        <v>0.52083333333333204</v>
      </c>
      <c r="V1144" s="48">
        <v>0.5625</v>
      </c>
      <c r="W1144" s="49">
        <v>0.57291666666666663</v>
      </c>
      <c r="X1144" s="49">
        <v>0.58333333333333304</v>
      </c>
      <c r="Y1144" s="50">
        <v>0.59375</v>
      </c>
      <c r="Z1144" s="48">
        <v>0.60416666666666696</v>
      </c>
      <c r="AA1144" s="49">
        <v>0.61458333333333304</v>
      </c>
      <c r="AB1144" s="49">
        <v>0.625</v>
      </c>
      <c r="AC1144" s="50">
        <v>0.63541666666666596</v>
      </c>
      <c r="AD1144" s="48">
        <v>0.65625</v>
      </c>
      <c r="AE1144" s="49">
        <v>0.66666666666666663</v>
      </c>
      <c r="AF1144" s="49">
        <v>0.67708333333333304</v>
      </c>
      <c r="AG1144" s="50">
        <v>0.6875</v>
      </c>
      <c r="AH1144" s="48">
        <v>0.69791666666666696</v>
      </c>
      <c r="AI1144" s="49">
        <v>0.70833333333333304</v>
      </c>
      <c r="AJ1144" s="49">
        <v>0.71875</v>
      </c>
      <c r="AK1144" s="50">
        <v>0.72916666666666696</v>
      </c>
      <c r="AL1144" s="48">
        <v>0.73958333333333404</v>
      </c>
      <c r="AM1144" s="49">
        <v>0.750000000000001</v>
      </c>
      <c r="AN1144" s="49">
        <v>0.76041666666666796</v>
      </c>
      <c r="AO1144" s="50">
        <v>0.77083333333333504</v>
      </c>
      <c r="AP1144" s="48">
        <v>0.781250000000002</v>
      </c>
      <c r="AQ1144" s="49">
        <v>0.79166666666666896</v>
      </c>
      <c r="AR1144" s="49">
        <v>0.80208333333333603</v>
      </c>
      <c r="AS1144" s="50">
        <v>0.812500000000003</v>
      </c>
      <c r="AT1144" s="48">
        <v>0.82291666666666996</v>
      </c>
      <c r="AU1144" s="49">
        <v>0.83333333333333703</v>
      </c>
      <c r="AV1144" s="49">
        <v>0.843750000000004</v>
      </c>
      <c r="AW1144" s="50">
        <v>0.85416666666666663</v>
      </c>
      <c r="AX1144" s="68" t="s">
        <v>260</v>
      </c>
      <c r="AY1144" s="28" t="s">
        <v>261</v>
      </c>
      <c r="AZ1144" s="29" t="s">
        <v>262</v>
      </c>
      <c r="BA1144" s="136" t="str">
        <f>B1145</f>
        <v>Yaka Çıma</v>
      </c>
      <c r="BB1144" s="137"/>
      <c r="BC1144" s="137"/>
      <c r="BD1144" s="137"/>
      <c r="BE1144" s="137"/>
      <c r="BF1144" s="137"/>
      <c r="BG1144" s="137"/>
      <c r="BH1144" s="138"/>
    </row>
    <row r="1145" spans="1:60" s="17" customFormat="1" ht="19.5" customHeight="1" thickBot="1" x14ac:dyDescent="0.4">
      <c r="A1145" s="41">
        <f t="shared" ref="A1145" si="1101">A1144</f>
        <v>45443</v>
      </c>
      <c r="B1145" s="37" t="str">
        <f>B969</f>
        <v>Yaka Çıma</v>
      </c>
      <c r="C1145" s="65" t="str">
        <f>C969</f>
        <v>KADER ÖNLÜ</v>
      </c>
      <c r="D1145" s="70">
        <f>D969</f>
        <v>120</v>
      </c>
      <c r="E1145" s="63">
        <v>70</v>
      </c>
      <c r="F1145" s="55">
        <v>120</v>
      </c>
      <c r="G1145" s="55">
        <v>110</v>
      </c>
      <c r="H1145" s="56">
        <v>120</v>
      </c>
      <c r="I1145" s="63">
        <v>120</v>
      </c>
      <c r="J1145" s="55">
        <v>100</v>
      </c>
      <c r="K1145" s="55">
        <v>70</v>
      </c>
      <c r="L1145" s="56">
        <v>120</v>
      </c>
      <c r="M1145" s="63">
        <v>120</v>
      </c>
      <c r="N1145" s="55">
        <v>130</v>
      </c>
      <c r="O1145" s="55">
        <v>130</v>
      </c>
      <c r="P1145" s="56">
        <v>130</v>
      </c>
      <c r="Q1145" s="63">
        <v>120</v>
      </c>
      <c r="R1145" s="55">
        <v>50</v>
      </c>
      <c r="S1145" s="55">
        <v>130</v>
      </c>
      <c r="T1145" s="55">
        <v>130</v>
      </c>
      <c r="U1145" s="56">
        <v>130</v>
      </c>
      <c r="V1145" s="63">
        <v>110</v>
      </c>
      <c r="W1145" s="55">
        <v>120</v>
      </c>
      <c r="X1145" s="55">
        <v>100</v>
      </c>
      <c r="Y1145" s="56">
        <v>110</v>
      </c>
      <c r="Z1145" s="63">
        <v>40</v>
      </c>
      <c r="AA1145" s="55">
        <v>50</v>
      </c>
      <c r="AB1145" s="55">
        <v>110</v>
      </c>
      <c r="AC1145" s="56">
        <v>110</v>
      </c>
      <c r="AD1145" s="63">
        <v>100</v>
      </c>
      <c r="AE1145" s="55">
        <v>110</v>
      </c>
      <c r="AF1145" s="55">
        <v>110</v>
      </c>
      <c r="AG1145" s="56">
        <v>100</v>
      </c>
      <c r="AH1145" s="63">
        <v>110</v>
      </c>
      <c r="AI1145" s="55">
        <v>50</v>
      </c>
      <c r="AJ1145" s="55">
        <v>110</v>
      </c>
      <c r="AK1145" s="56"/>
      <c r="AL1145" s="63"/>
      <c r="AM1145" s="55"/>
      <c r="AN1145" s="55"/>
      <c r="AO1145" s="56"/>
      <c r="AP1145" s="63"/>
      <c r="AQ1145" s="55"/>
      <c r="AR1145" s="55"/>
      <c r="AS1145" s="56"/>
      <c r="AT1145" s="53"/>
      <c r="AU1145" s="54"/>
      <c r="AV1145" s="55"/>
      <c r="AW1145" s="56"/>
      <c r="AX1145" s="33">
        <f>SUM(E1145:AW1145)</f>
        <v>3340</v>
      </c>
      <c r="AY1145" s="31">
        <f>IFERROR(AVERAGEIF(E1145:AW1145,"&lt;&gt;0",(E1145:AW1145)),)</f>
        <v>104.375</v>
      </c>
      <c r="AZ1145" s="30">
        <f>IFERROR(AY1145/D1145,0)</f>
        <v>0.86979166666666663</v>
      </c>
      <c r="BA1145" s="103" t="s">
        <v>182</v>
      </c>
      <c r="BB1145" s="100" t="s">
        <v>183</v>
      </c>
      <c r="BC1145" s="100" t="s">
        <v>184</v>
      </c>
      <c r="BD1145" s="101" t="s">
        <v>185</v>
      </c>
      <c r="BE1145" s="100" t="s">
        <v>186</v>
      </c>
      <c r="BF1145" s="102" t="s">
        <v>187</v>
      </c>
      <c r="BG1145" s="100" t="s">
        <v>188</v>
      </c>
      <c r="BH1145" s="102" t="s">
        <v>189</v>
      </c>
    </row>
    <row r="1146" spans="1:60" s="17" customFormat="1" ht="19.5" customHeight="1" thickBot="1" x14ac:dyDescent="0.4">
      <c r="A1146" s="41">
        <f t="shared" ref="A1146:B1146" si="1102">A1145</f>
        <v>45443</v>
      </c>
      <c r="B1146" s="37" t="str">
        <f t="shared" si="1102"/>
        <v>Yaka Çıma</v>
      </c>
      <c r="C1146" s="65" t="str">
        <f t="shared" ref="C1146:C1151" si="1103">C970</f>
        <v>ÖZLEM KAHRAMAN</v>
      </c>
      <c r="D1146" s="67">
        <f t="shared" ref="D1146:D1151" si="1104">D1145</f>
        <v>120</v>
      </c>
      <c r="E1146" s="57"/>
      <c r="F1146" s="52"/>
      <c r="G1146" s="52"/>
      <c r="H1146" s="58"/>
      <c r="I1146" s="57"/>
      <c r="J1146" s="52"/>
      <c r="K1146" s="52"/>
      <c r="L1146" s="58"/>
      <c r="M1146" s="57"/>
      <c r="N1146" s="52"/>
      <c r="O1146" s="52"/>
      <c r="P1146" s="58"/>
      <c r="Q1146" s="57"/>
      <c r="R1146" s="52"/>
      <c r="S1146" s="52"/>
      <c r="T1146" s="52"/>
      <c r="U1146" s="58"/>
      <c r="V1146" s="57"/>
      <c r="W1146" s="52"/>
      <c r="X1146" s="52"/>
      <c r="Y1146" s="58"/>
      <c r="Z1146" s="57"/>
      <c r="AA1146" s="52"/>
      <c r="AB1146" s="52"/>
      <c r="AC1146" s="58"/>
      <c r="AD1146" s="57"/>
      <c r="AE1146" s="52"/>
      <c r="AF1146" s="52"/>
      <c r="AG1146" s="58"/>
      <c r="AH1146" s="57"/>
      <c r="AI1146" s="52"/>
      <c r="AJ1146" s="52"/>
      <c r="AK1146" s="58"/>
      <c r="AL1146" s="57"/>
      <c r="AM1146" s="52"/>
      <c r="AN1146" s="52"/>
      <c r="AO1146" s="58"/>
      <c r="AP1146" s="57"/>
      <c r="AQ1146" s="52"/>
      <c r="AR1146" s="52"/>
      <c r="AS1146" s="58"/>
      <c r="AT1146" s="57"/>
      <c r="AU1146" s="52"/>
      <c r="AV1146" s="52"/>
      <c r="AW1146" s="58"/>
      <c r="AX1146" s="33">
        <f t="shared" ref="AX1146:AX1151" si="1105">SUM(E1146:AW1146)</f>
        <v>0</v>
      </c>
      <c r="AY1146" s="31">
        <f t="shared" ref="AY1146:AY1151" si="1106">IFERROR(AVERAGEIF(E1146:AW1146,"&lt;&gt;0",(E1146:AW1146)),)</f>
        <v>0</v>
      </c>
      <c r="AZ1146" s="30">
        <f t="shared" ref="AZ1146:AZ1151" si="1107">IFERROR(AY1146/D1146,0)</f>
        <v>0</v>
      </c>
      <c r="BA1146" s="94">
        <f>AX1152+BA970</f>
        <v>13714</v>
      </c>
      <c r="BB1146" s="95">
        <f>(D1152*8)</f>
        <v>4000</v>
      </c>
      <c r="BC1146" s="96">
        <f>C1061-BA1146</f>
        <v>28597</v>
      </c>
      <c r="BD1146" s="96">
        <f>BA1137-BA1146</f>
        <v>44</v>
      </c>
      <c r="BE1146" s="97">
        <f>IFERROR(BC1146/E1152,0)</f>
        <v>68.088095238095235</v>
      </c>
      <c r="BF1146" s="98">
        <f>IFERROR(BE1146/9,0)</f>
        <v>7.5653439153439148</v>
      </c>
      <c r="BG1146" s="97">
        <f>IFERROR(BC1146/AY1152,0)</f>
        <v>68.495808383233538</v>
      </c>
      <c r="BH1146" s="97">
        <f>IFERROR(BG1146/9,0)</f>
        <v>7.6106453759148378</v>
      </c>
    </row>
    <row r="1147" spans="1:60" s="17" customFormat="1" ht="19.5" customHeight="1" x14ac:dyDescent="0.35">
      <c r="A1147" s="41">
        <f t="shared" ref="A1147:B1147" si="1108">A1146</f>
        <v>45443</v>
      </c>
      <c r="B1147" s="37" t="str">
        <f t="shared" si="1108"/>
        <v>Yaka Çıma</v>
      </c>
      <c r="C1147" s="65">
        <f t="shared" si="1103"/>
        <v>0</v>
      </c>
      <c r="D1147" s="67">
        <f t="shared" si="1104"/>
        <v>120</v>
      </c>
      <c r="E1147" s="57"/>
      <c r="F1147" s="52"/>
      <c r="G1147" s="52"/>
      <c r="H1147" s="58"/>
      <c r="I1147" s="57"/>
      <c r="J1147" s="52"/>
      <c r="K1147" s="52"/>
      <c r="L1147" s="58"/>
      <c r="M1147" s="57"/>
      <c r="N1147" s="52"/>
      <c r="O1147" s="52"/>
      <c r="P1147" s="58"/>
      <c r="Q1147" s="57"/>
      <c r="R1147" s="52"/>
      <c r="S1147" s="52"/>
      <c r="T1147" s="52"/>
      <c r="U1147" s="58"/>
      <c r="V1147" s="57"/>
      <c r="W1147" s="52"/>
      <c r="X1147" s="52"/>
      <c r="Y1147" s="58"/>
      <c r="Z1147" s="57"/>
      <c r="AA1147" s="52"/>
      <c r="AB1147" s="52"/>
      <c r="AC1147" s="58"/>
      <c r="AD1147" s="57"/>
      <c r="AE1147" s="52"/>
      <c r="AF1147" s="52"/>
      <c r="AG1147" s="58"/>
      <c r="AH1147" s="57"/>
      <c r="AI1147" s="52"/>
      <c r="AJ1147" s="52"/>
      <c r="AK1147" s="58"/>
      <c r="AL1147" s="57"/>
      <c r="AM1147" s="52"/>
      <c r="AN1147" s="52"/>
      <c r="AO1147" s="58"/>
      <c r="AP1147" s="57"/>
      <c r="AQ1147" s="52"/>
      <c r="AR1147" s="52"/>
      <c r="AS1147" s="58"/>
      <c r="AT1147" s="57"/>
      <c r="AU1147" s="52"/>
      <c r="AV1147" s="52"/>
      <c r="AW1147" s="58"/>
      <c r="AX1147" s="33">
        <f t="shared" si="1105"/>
        <v>0</v>
      </c>
      <c r="AY1147" s="31">
        <f t="shared" si="1106"/>
        <v>0</v>
      </c>
      <c r="AZ1147" s="30">
        <f t="shared" si="1107"/>
        <v>0</v>
      </c>
      <c r="BA1147" s="34"/>
      <c r="BB1147" s="34"/>
      <c r="BC1147" s="34"/>
      <c r="BD1147" s="76"/>
      <c r="BE1147" s="34"/>
      <c r="BF1147" s="34"/>
      <c r="BG1147" s="34"/>
      <c r="BH1147" s="34"/>
    </row>
    <row r="1148" spans="1:60" s="17" customFormat="1" ht="19.5" customHeight="1" x14ac:dyDescent="0.35">
      <c r="A1148" s="41">
        <f t="shared" ref="A1148:B1149" si="1109">A1147</f>
        <v>45443</v>
      </c>
      <c r="B1148" s="37" t="str">
        <f t="shared" si="1109"/>
        <v>Yaka Çıma</v>
      </c>
      <c r="C1148" s="65">
        <f t="shared" si="1103"/>
        <v>0</v>
      </c>
      <c r="D1148" s="67">
        <f t="shared" si="1104"/>
        <v>120</v>
      </c>
      <c r="E1148" s="57"/>
      <c r="F1148" s="52"/>
      <c r="G1148" s="52"/>
      <c r="H1148" s="58"/>
      <c r="I1148" s="57"/>
      <c r="J1148" s="52"/>
      <c r="K1148" s="52"/>
      <c r="L1148" s="58"/>
      <c r="M1148" s="57"/>
      <c r="N1148" s="52"/>
      <c r="O1148" s="52"/>
      <c r="P1148" s="58"/>
      <c r="Q1148" s="57"/>
      <c r="R1148" s="52"/>
      <c r="S1148" s="52"/>
      <c r="T1148" s="52"/>
      <c r="U1148" s="58"/>
      <c r="V1148" s="57"/>
      <c r="W1148" s="52"/>
      <c r="X1148" s="52"/>
      <c r="Y1148" s="58"/>
      <c r="Z1148" s="57"/>
      <c r="AA1148" s="52"/>
      <c r="AB1148" s="52"/>
      <c r="AC1148" s="58"/>
      <c r="AD1148" s="57"/>
      <c r="AE1148" s="52"/>
      <c r="AF1148" s="52"/>
      <c r="AG1148" s="58"/>
      <c r="AH1148" s="57"/>
      <c r="AI1148" s="52"/>
      <c r="AJ1148" s="52"/>
      <c r="AK1148" s="58"/>
      <c r="AL1148" s="57"/>
      <c r="AM1148" s="52"/>
      <c r="AN1148" s="52"/>
      <c r="AO1148" s="58"/>
      <c r="AP1148" s="57"/>
      <c r="AQ1148" s="52"/>
      <c r="AR1148" s="52"/>
      <c r="AS1148" s="58"/>
      <c r="AT1148" s="57"/>
      <c r="AU1148" s="52"/>
      <c r="AV1148" s="52"/>
      <c r="AW1148" s="58"/>
      <c r="AX1148" s="33">
        <f t="shared" si="1105"/>
        <v>0</v>
      </c>
      <c r="AY1148" s="31">
        <f t="shared" si="1106"/>
        <v>0</v>
      </c>
      <c r="AZ1148" s="30">
        <f t="shared" si="1107"/>
        <v>0</v>
      </c>
      <c r="BA1148" s="34"/>
      <c r="BB1148" s="34"/>
      <c r="BC1148" s="34"/>
      <c r="BD1148" s="76"/>
      <c r="BE1148" s="34"/>
      <c r="BF1148" s="34"/>
      <c r="BG1148" s="34"/>
      <c r="BH1148" s="34"/>
    </row>
    <row r="1149" spans="1:60" s="17" customFormat="1" ht="19.5" customHeight="1" x14ac:dyDescent="0.35">
      <c r="A1149" s="41">
        <f>A1146</f>
        <v>45443</v>
      </c>
      <c r="B1149" s="37" t="str">
        <f t="shared" si="1109"/>
        <v>Yaka Çıma</v>
      </c>
      <c r="C1149" s="65">
        <f t="shared" si="1103"/>
        <v>0</v>
      </c>
      <c r="D1149" s="67">
        <f t="shared" si="1104"/>
        <v>120</v>
      </c>
      <c r="E1149" s="57"/>
      <c r="F1149" s="52"/>
      <c r="G1149" s="52"/>
      <c r="H1149" s="58"/>
      <c r="I1149" s="57"/>
      <c r="J1149" s="52"/>
      <c r="K1149" s="52"/>
      <c r="L1149" s="58"/>
      <c r="M1149" s="57"/>
      <c r="N1149" s="52"/>
      <c r="O1149" s="52"/>
      <c r="P1149" s="58"/>
      <c r="Q1149" s="57"/>
      <c r="R1149" s="52"/>
      <c r="S1149" s="52"/>
      <c r="T1149" s="52"/>
      <c r="U1149" s="58"/>
      <c r="V1149" s="57"/>
      <c r="W1149" s="52"/>
      <c r="X1149" s="52"/>
      <c r="Y1149" s="58"/>
      <c r="Z1149" s="57"/>
      <c r="AA1149" s="52"/>
      <c r="AB1149" s="52"/>
      <c r="AC1149" s="58"/>
      <c r="AD1149" s="57"/>
      <c r="AE1149" s="52"/>
      <c r="AF1149" s="52"/>
      <c r="AG1149" s="58"/>
      <c r="AH1149" s="57"/>
      <c r="AI1149" s="52"/>
      <c r="AJ1149" s="52"/>
      <c r="AK1149" s="58"/>
      <c r="AL1149" s="57"/>
      <c r="AM1149" s="52"/>
      <c r="AN1149" s="52"/>
      <c r="AO1149" s="58"/>
      <c r="AP1149" s="57"/>
      <c r="AQ1149" s="52"/>
      <c r="AR1149" s="52"/>
      <c r="AS1149" s="58"/>
      <c r="AT1149" s="57"/>
      <c r="AU1149" s="52"/>
      <c r="AV1149" s="52"/>
      <c r="AW1149" s="58"/>
      <c r="AX1149" s="33">
        <f t="shared" si="1105"/>
        <v>0</v>
      </c>
      <c r="AY1149" s="31">
        <f t="shared" si="1106"/>
        <v>0</v>
      </c>
      <c r="AZ1149" s="30">
        <f t="shared" si="1107"/>
        <v>0</v>
      </c>
      <c r="BA1149" s="34"/>
      <c r="BB1149" s="34"/>
      <c r="BC1149" s="34"/>
      <c r="BD1149" s="76"/>
      <c r="BE1149" s="34"/>
      <c r="BF1149" s="34"/>
      <c r="BG1149" s="34"/>
      <c r="BH1149" s="34"/>
    </row>
    <row r="1150" spans="1:60" s="17" customFormat="1" ht="19.5" customHeight="1" x14ac:dyDescent="0.35">
      <c r="A1150" s="41">
        <f t="shared" ref="A1150:B1150" si="1110">A1149</f>
        <v>45443</v>
      </c>
      <c r="B1150" s="37" t="str">
        <f t="shared" si="1110"/>
        <v>Yaka Çıma</v>
      </c>
      <c r="C1150" s="65">
        <f t="shared" si="1103"/>
        <v>0</v>
      </c>
      <c r="D1150" s="67">
        <f t="shared" si="1104"/>
        <v>120</v>
      </c>
      <c r="E1150" s="57"/>
      <c r="F1150" s="52"/>
      <c r="G1150" s="52"/>
      <c r="H1150" s="58"/>
      <c r="I1150" s="57"/>
      <c r="J1150" s="52"/>
      <c r="K1150" s="52"/>
      <c r="L1150" s="58"/>
      <c r="M1150" s="57"/>
      <c r="N1150" s="52"/>
      <c r="O1150" s="52"/>
      <c r="P1150" s="58"/>
      <c r="Q1150" s="57"/>
      <c r="R1150" s="52"/>
      <c r="S1150" s="52"/>
      <c r="T1150" s="52"/>
      <c r="U1150" s="58"/>
      <c r="V1150" s="57"/>
      <c r="W1150" s="52"/>
      <c r="X1150" s="52"/>
      <c r="Y1150" s="58"/>
      <c r="Z1150" s="57"/>
      <c r="AA1150" s="52"/>
      <c r="AB1150" s="52"/>
      <c r="AC1150" s="58"/>
      <c r="AD1150" s="57"/>
      <c r="AE1150" s="52"/>
      <c r="AF1150" s="52"/>
      <c r="AG1150" s="58"/>
      <c r="AH1150" s="57"/>
      <c r="AI1150" s="52"/>
      <c r="AJ1150" s="52"/>
      <c r="AK1150" s="58"/>
      <c r="AL1150" s="57"/>
      <c r="AM1150" s="52"/>
      <c r="AN1150" s="52"/>
      <c r="AO1150" s="58"/>
      <c r="AP1150" s="57"/>
      <c r="AQ1150" s="52"/>
      <c r="AR1150" s="52"/>
      <c r="AS1150" s="58"/>
      <c r="AT1150" s="57"/>
      <c r="AU1150" s="52"/>
      <c r="AV1150" s="52"/>
      <c r="AW1150" s="58"/>
      <c r="AX1150" s="33">
        <f t="shared" si="1105"/>
        <v>0</v>
      </c>
      <c r="AY1150" s="31">
        <f t="shared" si="1106"/>
        <v>0</v>
      </c>
      <c r="AZ1150" s="30">
        <f t="shared" si="1107"/>
        <v>0</v>
      </c>
      <c r="BA1150" s="34"/>
      <c r="BB1150" s="34"/>
      <c r="BC1150" s="34"/>
      <c r="BD1150" s="76"/>
      <c r="BE1150" s="34"/>
      <c r="BF1150" s="34"/>
      <c r="BG1150" s="34"/>
      <c r="BH1150" s="34"/>
    </row>
    <row r="1151" spans="1:60" s="17" customFormat="1" ht="19.5" customHeight="1" thickBot="1" x14ac:dyDescent="0.4">
      <c r="A1151" s="41">
        <f t="shared" ref="A1151:B1152" si="1111">A1150</f>
        <v>45443</v>
      </c>
      <c r="B1151" s="37" t="str">
        <f t="shared" si="1111"/>
        <v>Yaka Çıma</v>
      </c>
      <c r="C1151" s="65">
        <f t="shared" si="1103"/>
        <v>0</v>
      </c>
      <c r="D1151" s="67">
        <f t="shared" si="1104"/>
        <v>120</v>
      </c>
      <c r="E1151" s="59"/>
      <c r="F1151" s="60"/>
      <c r="G1151" s="61"/>
      <c r="H1151" s="62"/>
      <c r="I1151" s="59"/>
      <c r="J1151" s="60"/>
      <c r="K1151" s="61"/>
      <c r="L1151" s="62"/>
      <c r="M1151" s="59"/>
      <c r="N1151" s="60"/>
      <c r="O1151" s="61"/>
      <c r="P1151" s="62"/>
      <c r="Q1151" s="64"/>
      <c r="R1151" s="61"/>
      <c r="S1151" s="61"/>
      <c r="T1151" s="61"/>
      <c r="U1151" s="62"/>
      <c r="V1151" s="59"/>
      <c r="W1151" s="60"/>
      <c r="X1151" s="61"/>
      <c r="Y1151" s="62"/>
      <c r="Z1151" s="59"/>
      <c r="AA1151" s="60"/>
      <c r="AB1151" s="61"/>
      <c r="AC1151" s="62"/>
      <c r="AD1151" s="59"/>
      <c r="AE1151" s="60"/>
      <c r="AF1151" s="61"/>
      <c r="AG1151" s="62"/>
      <c r="AH1151" s="59"/>
      <c r="AI1151" s="60"/>
      <c r="AJ1151" s="61"/>
      <c r="AK1151" s="62"/>
      <c r="AL1151" s="59"/>
      <c r="AM1151" s="60"/>
      <c r="AN1151" s="61"/>
      <c r="AO1151" s="62"/>
      <c r="AP1151" s="59"/>
      <c r="AQ1151" s="60"/>
      <c r="AR1151" s="61"/>
      <c r="AS1151" s="62"/>
      <c r="AT1151" s="59"/>
      <c r="AU1151" s="60"/>
      <c r="AV1151" s="61"/>
      <c r="AW1151" s="62"/>
      <c r="AX1151" s="33">
        <f t="shared" si="1105"/>
        <v>0</v>
      </c>
      <c r="AY1151" s="31">
        <f t="shared" si="1106"/>
        <v>0</v>
      </c>
      <c r="AZ1151" s="30">
        <f t="shared" si="1107"/>
        <v>0</v>
      </c>
      <c r="BA1151" s="34"/>
      <c r="BB1151" s="34"/>
      <c r="BC1151" s="34"/>
      <c r="BD1151" s="76"/>
      <c r="BE1151" s="34"/>
      <c r="BF1151" s="34"/>
      <c r="BG1151" s="34"/>
      <c r="BH1151" s="34"/>
    </row>
    <row r="1152" spans="1:60" s="17" customFormat="1" ht="19.5" customHeight="1" thickBot="1" x14ac:dyDescent="0.45">
      <c r="A1152" s="41">
        <f t="shared" si="1111"/>
        <v>45443</v>
      </c>
      <c r="B1152" s="139" t="str">
        <f>B1145</f>
        <v>Yaka Çıma</v>
      </c>
      <c r="C1152" s="140"/>
      <c r="D1152" s="40">
        <f>C1062/8</f>
        <v>500</v>
      </c>
      <c r="E1152" s="147">
        <f>SUM(E1145:H1151)</f>
        <v>420</v>
      </c>
      <c r="F1152" s="148"/>
      <c r="G1152" s="148"/>
      <c r="H1152" s="149"/>
      <c r="I1152" s="147">
        <f>SUM(I1145:L1151)</f>
        <v>410</v>
      </c>
      <c r="J1152" s="148"/>
      <c r="K1152" s="148"/>
      <c r="L1152" s="149"/>
      <c r="M1152" s="147">
        <f>SUM(M1145:P1151)</f>
        <v>510</v>
      </c>
      <c r="N1152" s="148"/>
      <c r="O1152" s="148"/>
      <c r="P1152" s="149"/>
      <c r="Q1152" s="147">
        <f>SUM(Q1145:U1151)</f>
        <v>560</v>
      </c>
      <c r="R1152" s="148"/>
      <c r="S1152" s="148"/>
      <c r="T1152" s="148"/>
      <c r="U1152" s="149"/>
      <c r="V1152" s="147">
        <f>SUM(V1145:Y1151)</f>
        <v>440</v>
      </c>
      <c r="W1152" s="148"/>
      <c r="X1152" s="148"/>
      <c r="Y1152" s="149"/>
      <c r="Z1152" s="147">
        <f>SUM(Z1145:AC1151)</f>
        <v>310</v>
      </c>
      <c r="AA1152" s="148"/>
      <c r="AB1152" s="148"/>
      <c r="AC1152" s="149"/>
      <c r="AD1152" s="147">
        <f>SUM(AD1145:AG1151)</f>
        <v>420</v>
      </c>
      <c r="AE1152" s="148"/>
      <c r="AF1152" s="148"/>
      <c r="AG1152" s="149"/>
      <c r="AH1152" s="147">
        <f>SUM(AH1145:AK1151)</f>
        <v>270</v>
      </c>
      <c r="AI1152" s="148"/>
      <c r="AJ1152" s="148"/>
      <c r="AK1152" s="149"/>
      <c r="AL1152" s="147">
        <f>SUM(AL1145:AO1151)</f>
        <v>0</v>
      </c>
      <c r="AM1152" s="148"/>
      <c r="AN1152" s="148"/>
      <c r="AO1152" s="149"/>
      <c r="AP1152" s="147">
        <f>SUM(AP1145:AS1151)</f>
        <v>0</v>
      </c>
      <c r="AQ1152" s="148"/>
      <c r="AR1152" s="148"/>
      <c r="AS1152" s="149"/>
      <c r="AT1152" s="147">
        <f>SUM(AT1145:AW1151)</f>
        <v>0</v>
      </c>
      <c r="AU1152" s="148"/>
      <c r="AV1152" s="148"/>
      <c r="AW1152" s="149"/>
      <c r="AX1152" s="87">
        <f>SUM(AX1145:AX1151)</f>
        <v>3340</v>
      </c>
      <c r="AY1152" s="88">
        <f>IFERROR(AVERAGEIF(E1152:AV1152,"&lt;&gt;0",(E1152:AV1152)),)</f>
        <v>417.5</v>
      </c>
      <c r="AZ1152" s="46">
        <f>IFERROR(AX1152/BB1146,0)</f>
        <v>0.83499999999999996</v>
      </c>
      <c r="BA1152" s="34"/>
      <c r="BB1152" s="34"/>
      <c r="BC1152" s="34"/>
      <c r="BD1152" s="76"/>
      <c r="BE1152" s="34"/>
      <c r="BF1152" s="34"/>
      <c r="BG1152" s="34"/>
      <c r="BH1152" s="34"/>
    </row>
    <row r="1153" spans="1:60" s="17" customFormat="1" ht="19.5" customHeight="1" thickBot="1" x14ac:dyDescent="0.4">
      <c r="A1153" s="42">
        <f>A1135</f>
        <v>45443</v>
      </c>
      <c r="B1153" s="38" t="str">
        <f>B1154</f>
        <v>Kol Takma</v>
      </c>
      <c r="C1153" s="39" t="s">
        <v>180</v>
      </c>
      <c r="D1153" s="69" t="s">
        <v>181</v>
      </c>
      <c r="E1153" s="48">
        <v>0.34375</v>
      </c>
      <c r="F1153" s="49">
        <v>0.35416666666666669</v>
      </c>
      <c r="G1153" s="49">
        <v>0.36458333333333331</v>
      </c>
      <c r="H1153" s="50">
        <v>0.375</v>
      </c>
      <c r="I1153" s="48">
        <v>0.38541666666666702</v>
      </c>
      <c r="J1153" s="49">
        <v>0.39583333333333298</v>
      </c>
      <c r="K1153" s="49">
        <v>0.40625</v>
      </c>
      <c r="L1153" s="50">
        <v>0.41666666666666702</v>
      </c>
      <c r="M1153" s="48">
        <v>0.4375</v>
      </c>
      <c r="N1153" s="49">
        <v>0.44791666666666702</v>
      </c>
      <c r="O1153" s="49">
        <v>0.45833333333333398</v>
      </c>
      <c r="P1153" s="50">
        <v>0.46875</v>
      </c>
      <c r="Q1153" s="48">
        <v>0.47916666666666702</v>
      </c>
      <c r="R1153" s="49">
        <v>0.48958333333333398</v>
      </c>
      <c r="S1153" s="49">
        <v>0.5</v>
      </c>
      <c r="T1153" s="50">
        <v>0.51041666666666696</v>
      </c>
      <c r="U1153" s="51">
        <v>0.52083333333333204</v>
      </c>
      <c r="V1153" s="48">
        <v>0.5625</v>
      </c>
      <c r="W1153" s="49">
        <v>0.57291666666666663</v>
      </c>
      <c r="X1153" s="49">
        <v>0.58333333333333304</v>
      </c>
      <c r="Y1153" s="50">
        <v>0.59375</v>
      </c>
      <c r="Z1153" s="48">
        <v>0.60416666666666696</v>
      </c>
      <c r="AA1153" s="49">
        <v>0.61458333333333304</v>
      </c>
      <c r="AB1153" s="49">
        <v>0.625</v>
      </c>
      <c r="AC1153" s="50">
        <v>0.63541666666666596</v>
      </c>
      <c r="AD1153" s="48">
        <v>0.65625</v>
      </c>
      <c r="AE1153" s="49">
        <v>0.66666666666666663</v>
      </c>
      <c r="AF1153" s="49">
        <v>0.67708333333333304</v>
      </c>
      <c r="AG1153" s="50">
        <v>0.6875</v>
      </c>
      <c r="AH1153" s="48">
        <v>0.69791666666666696</v>
      </c>
      <c r="AI1153" s="49">
        <v>0.70833333333333304</v>
      </c>
      <c r="AJ1153" s="49">
        <v>0.71875</v>
      </c>
      <c r="AK1153" s="50">
        <v>0.72916666666666696</v>
      </c>
      <c r="AL1153" s="48">
        <v>0.73958333333333404</v>
      </c>
      <c r="AM1153" s="49">
        <v>0.750000000000001</v>
      </c>
      <c r="AN1153" s="49">
        <v>0.76041666666666796</v>
      </c>
      <c r="AO1153" s="50">
        <v>0.77083333333333504</v>
      </c>
      <c r="AP1153" s="48">
        <v>0.781250000000002</v>
      </c>
      <c r="AQ1153" s="49">
        <v>0.79166666666666896</v>
      </c>
      <c r="AR1153" s="49">
        <v>0.80208333333333603</v>
      </c>
      <c r="AS1153" s="50">
        <v>0.812500000000003</v>
      </c>
      <c r="AT1153" s="48">
        <v>0.82291666666666996</v>
      </c>
      <c r="AU1153" s="49">
        <v>0.83333333333333703</v>
      </c>
      <c r="AV1153" s="49">
        <v>0.843750000000004</v>
      </c>
      <c r="AW1153" s="50">
        <v>0.85416666666666663</v>
      </c>
      <c r="AX1153" s="68" t="s">
        <v>260</v>
      </c>
      <c r="AY1153" s="28" t="s">
        <v>261</v>
      </c>
      <c r="AZ1153" s="29" t="s">
        <v>262</v>
      </c>
      <c r="BA1153" s="136" t="str">
        <f>B1154</f>
        <v>Kol Takma</v>
      </c>
      <c r="BB1153" s="137"/>
      <c r="BC1153" s="137"/>
      <c r="BD1153" s="137"/>
      <c r="BE1153" s="137"/>
      <c r="BF1153" s="137"/>
      <c r="BG1153" s="137"/>
      <c r="BH1153" s="138"/>
    </row>
    <row r="1154" spans="1:60" s="17" customFormat="1" ht="19.5" customHeight="1" thickBot="1" x14ac:dyDescent="0.4">
      <c r="A1154" s="41">
        <f t="shared" ref="A1154" si="1112">A1153</f>
        <v>45443</v>
      </c>
      <c r="B1154" s="37" t="str">
        <f>B978</f>
        <v>Kol Takma</v>
      </c>
      <c r="C1154" s="65" t="str">
        <f>C978</f>
        <v>EBRU CANSU</v>
      </c>
      <c r="D1154" s="70">
        <f>D978</f>
        <v>35</v>
      </c>
      <c r="E1154" s="63">
        <v>28</v>
      </c>
      <c r="F1154" s="55">
        <v>38</v>
      </c>
      <c r="G1154" s="55">
        <v>38</v>
      </c>
      <c r="H1154" s="56">
        <v>38</v>
      </c>
      <c r="I1154" s="63">
        <v>38</v>
      </c>
      <c r="J1154" s="55">
        <v>33</v>
      </c>
      <c r="K1154" s="55">
        <v>35</v>
      </c>
      <c r="L1154" s="56">
        <v>35</v>
      </c>
      <c r="M1154" s="63">
        <v>35</v>
      </c>
      <c r="N1154" s="55">
        <v>33</v>
      </c>
      <c r="O1154" s="55">
        <v>40</v>
      </c>
      <c r="P1154" s="56">
        <v>38</v>
      </c>
      <c r="Q1154" s="63">
        <v>20</v>
      </c>
      <c r="R1154" s="55">
        <v>25</v>
      </c>
      <c r="S1154" s="55">
        <v>32</v>
      </c>
      <c r="T1154" s="55">
        <v>36</v>
      </c>
      <c r="U1154" s="56">
        <v>35</v>
      </c>
      <c r="V1154" s="63">
        <v>35</v>
      </c>
      <c r="W1154" s="55">
        <v>40</v>
      </c>
      <c r="X1154" s="55">
        <v>32</v>
      </c>
      <c r="Y1154" s="56">
        <v>30</v>
      </c>
      <c r="Z1154" s="63">
        <v>30</v>
      </c>
      <c r="AA1154" s="55">
        <v>10</v>
      </c>
      <c r="AB1154" s="55">
        <v>25</v>
      </c>
      <c r="AC1154" s="56">
        <v>35</v>
      </c>
      <c r="AD1154" s="63">
        <v>35</v>
      </c>
      <c r="AE1154" s="55">
        <v>32</v>
      </c>
      <c r="AF1154" s="55">
        <v>40</v>
      </c>
      <c r="AG1154" s="56">
        <v>30</v>
      </c>
      <c r="AH1154" s="63">
        <v>35</v>
      </c>
      <c r="AI1154" s="55">
        <v>35</v>
      </c>
      <c r="AJ1154" s="55">
        <v>30</v>
      </c>
      <c r="AK1154" s="56"/>
      <c r="AL1154" s="63"/>
      <c r="AM1154" s="55"/>
      <c r="AN1154" s="55"/>
      <c r="AO1154" s="56"/>
      <c r="AP1154" s="63"/>
      <c r="AQ1154" s="55"/>
      <c r="AR1154" s="55"/>
      <c r="AS1154" s="56"/>
      <c r="AT1154" s="53"/>
      <c r="AU1154" s="54"/>
      <c r="AV1154" s="55"/>
      <c r="AW1154" s="56"/>
      <c r="AX1154" s="33">
        <f>SUM(E1154:AW1154)</f>
        <v>1051</v>
      </c>
      <c r="AY1154" s="31">
        <f>IFERROR(AVERAGEIF(E1154:AW1154,"&lt;&gt;0",(E1154:AW1154)),)</f>
        <v>32.84375</v>
      </c>
      <c r="AZ1154" s="30">
        <f>IFERROR(AY1154/D1154,0)</f>
        <v>0.93839285714285714</v>
      </c>
      <c r="BA1154" s="103" t="s">
        <v>182</v>
      </c>
      <c r="BB1154" s="100" t="s">
        <v>183</v>
      </c>
      <c r="BC1154" s="100" t="s">
        <v>184</v>
      </c>
      <c r="BD1154" s="101" t="s">
        <v>185</v>
      </c>
      <c r="BE1154" s="100" t="s">
        <v>186</v>
      </c>
      <c r="BF1154" s="102" t="s">
        <v>187</v>
      </c>
      <c r="BG1154" s="100" t="s">
        <v>188</v>
      </c>
      <c r="BH1154" s="102" t="s">
        <v>189</v>
      </c>
    </row>
    <row r="1155" spans="1:60" s="17" customFormat="1" ht="19.5" customHeight="1" thickBot="1" x14ac:dyDescent="0.4">
      <c r="A1155" s="41">
        <f t="shared" ref="A1155:B1155" si="1113">A1154</f>
        <v>45443</v>
      </c>
      <c r="B1155" s="37" t="str">
        <f t="shared" si="1113"/>
        <v>Kol Takma</v>
      </c>
      <c r="C1155" s="65" t="str">
        <f t="shared" ref="C1155:C1160" si="1114">C979</f>
        <v>GÜLER SAĞCAN</v>
      </c>
      <c r="D1155" s="67">
        <f t="shared" ref="D1155:D1160" si="1115">D1154</f>
        <v>35</v>
      </c>
      <c r="E1155" s="57">
        <v>0</v>
      </c>
      <c r="F1155" s="52">
        <v>0</v>
      </c>
      <c r="G1155" s="52">
        <v>35</v>
      </c>
      <c r="H1155" s="58">
        <v>30</v>
      </c>
      <c r="I1155" s="57">
        <v>30</v>
      </c>
      <c r="J1155" s="52">
        <v>30</v>
      </c>
      <c r="K1155" s="52">
        <v>27</v>
      </c>
      <c r="L1155" s="58">
        <v>30</v>
      </c>
      <c r="M1155" s="57">
        <v>12</v>
      </c>
      <c r="N1155" s="52">
        <v>31</v>
      </c>
      <c r="O1155" s="52">
        <v>23</v>
      </c>
      <c r="P1155" s="58">
        <v>30</v>
      </c>
      <c r="Q1155" s="57">
        <v>30</v>
      </c>
      <c r="R1155" s="52">
        <v>30</v>
      </c>
      <c r="S1155" s="52">
        <v>30</v>
      </c>
      <c r="T1155" s="52">
        <v>30</v>
      </c>
      <c r="U1155" s="58">
        <v>30</v>
      </c>
      <c r="V1155" s="57">
        <v>33</v>
      </c>
      <c r="W1155" s="52">
        <v>30</v>
      </c>
      <c r="X1155" s="52">
        <v>32</v>
      </c>
      <c r="Y1155" s="58">
        <v>35</v>
      </c>
      <c r="Z1155" s="57">
        <v>32</v>
      </c>
      <c r="AA1155" s="52">
        <v>30</v>
      </c>
      <c r="AB1155" s="52">
        <v>32</v>
      </c>
      <c r="AC1155" s="58">
        <v>33</v>
      </c>
      <c r="AD1155" s="57">
        <v>33</v>
      </c>
      <c r="AE1155" s="52">
        <v>33</v>
      </c>
      <c r="AF1155" s="52">
        <v>32</v>
      </c>
      <c r="AG1155" s="58">
        <v>30</v>
      </c>
      <c r="AH1155" s="57">
        <v>30</v>
      </c>
      <c r="AI1155" s="52">
        <v>12</v>
      </c>
      <c r="AJ1155" s="52">
        <v>30</v>
      </c>
      <c r="AK1155" s="58"/>
      <c r="AL1155" s="57"/>
      <c r="AM1155" s="52"/>
      <c r="AN1155" s="52"/>
      <c r="AO1155" s="58"/>
      <c r="AP1155" s="57"/>
      <c r="AQ1155" s="52"/>
      <c r="AR1155" s="52"/>
      <c r="AS1155" s="58"/>
      <c r="AT1155" s="57"/>
      <c r="AU1155" s="52"/>
      <c r="AV1155" s="52"/>
      <c r="AW1155" s="58"/>
      <c r="AX1155" s="33">
        <f t="shared" ref="AX1155:AX1160" si="1116">SUM(E1155:AW1155)</f>
        <v>885</v>
      </c>
      <c r="AY1155" s="31">
        <f t="shared" ref="AY1155:AY1160" si="1117">IFERROR(AVERAGEIF(E1155:AW1155,"&lt;&gt;0",(E1155:AW1155)),)</f>
        <v>29.5</v>
      </c>
      <c r="AZ1155" s="30">
        <f t="shared" ref="AZ1155:AZ1160" si="1118">IFERROR(AY1155/D1155,0)</f>
        <v>0.84285714285714286</v>
      </c>
      <c r="BA1155" s="94">
        <f>AX1161+BA979</f>
        <v>12863</v>
      </c>
      <c r="BB1155" s="95">
        <f>(D1161*8)</f>
        <v>4000</v>
      </c>
      <c r="BC1155" s="96">
        <f>C1061-BA1155</f>
        <v>29448</v>
      </c>
      <c r="BD1155" s="96">
        <f>BA1146-BA1155</f>
        <v>851</v>
      </c>
      <c r="BE1155" s="97">
        <f>IFERROR(BC1155/E1161,0)</f>
        <v>66.775510204081627</v>
      </c>
      <c r="BF1155" s="98">
        <f>IFERROR(BE1155/9,0)</f>
        <v>7.4195011337868477</v>
      </c>
      <c r="BG1155" s="97">
        <f>IFERROR(BC1155/AY1161,0)</f>
        <v>75.896907216494839</v>
      </c>
      <c r="BH1155" s="97">
        <f>IFERROR(BG1155/9,0)</f>
        <v>8.4329896907216479</v>
      </c>
    </row>
    <row r="1156" spans="1:60" s="17" customFormat="1" ht="19.5" customHeight="1" x14ac:dyDescent="0.35">
      <c r="A1156" s="41">
        <f t="shared" ref="A1156:B1156" si="1119">A1155</f>
        <v>45443</v>
      </c>
      <c r="B1156" s="37" t="str">
        <f t="shared" si="1119"/>
        <v>Kol Takma</v>
      </c>
      <c r="C1156" s="65" t="str">
        <f t="shared" si="1114"/>
        <v>ÖZLEM KAHRAMAN</v>
      </c>
      <c r="D1156" s="67">
        <f t="shared" si="1115"/>
        <v>35</v>
      </c>
      <c r="E1156" s="57">
        <v>30</v>
      </c>
      <c r="F1156" s="52">
        <v>32</v>
      </c>
      <c r="G1156" s="52">
        <v>32</v>
      </c>
      <c r="H1156" s="58">
        <v>35</v>
      </c>
      <c r="I1156" s="57">
        <v>0</v>
      </c>
      <c r="J1156" s="52">
        <v>0</v>
      </c>
      <c r="K1156" s="52">
        <v>0</v>
      </c>
      <c r="L1156" s="58">
        <v>0</v>
      </c>
      <c r="M1156" s="57"/>
      <c r="N1156" s="52"/>
      <c r="O1156" s="52"/>
      <c r="P1156" s="58"/>
      <c r="Q1156" s="57"/>
      <c r="R1156" s="52"/>
      <c r="S1156" s="52"/>
      <c r="T1156" s="52"/>
      <c r="U1156" s="58">
        <v>20</v>
      </c>
      <c r="V1156" s="57">
        <v>35</v>
      </c>
      <c r="W1156" s="52">
        <v>30</v>
      </c>
      <c r="X1156" s="52">
        <v>30</v>
      </c>
      <c r="Y1156" s="58">
        <v>25</v>
      </c>
      <c r="Z1156" s="57">
        <v>25</v>
      </c>
      <c r="AA1156" s="52">
        <v>30</v>
      </c>
      <c r="AB1156" s="52">
        <v>30</v>
      </c>
      <c r="AC1156" s="58">
        <v>30</v>
      </c>
      <c r="AD1156" s="57"/>
      <c r="AE1156" s="52"/>
      <c r="AF1156" s="52"/>
      <c r="AG1156" s="58"/>
      <c r="AH1156" s="57"/>
      <c r="AI1156" s="52"/>
      <c r="AJ1156" s="52"/>
      <c r="AK1156" s="58"/>
      <c r="AL1156" s="57"/>
      <c r="AM1156" s="52"/>
      <c r="AN1156" s="52"/>
      <c r="AO1156" s="58"/>
      <c r="AP1156" s="57"/>
      <c r="AQ1156" s="52"/>
      <c r="AR1156" s="52"/>
      <c r="AS1156" s="58"/>
      <c r="AT1156" s="57"/>
      <c r="AU1156" s="52"/>
      <c r="AV1156" s="52"/>
      <c r="AW1156" s="58"/>
      <c r="AX1156" s="33">
        <f t="shared" si="1116"/>
        <v>384</v>
      </c>
      <c r="AY1156" s="31">
        <f t="shared" si="1117"/>
        <v>29.53846153846154</v>
      </c>
      <c r="AZ1156" s="30">
        <f t="shared" si="1118"/>
        <v>0.84395604395604396</v>
      </c>
      <c r="BA1156" s="34"/>
      <c r="BB1156" s="34"/>
      <c r="BC1156" s="34"/>
      <c r="BD1156" s="76"/>
      <c r="BE1156" s="34"/>
      <c r="BF1156" s="34"/>
      <c r="BG1156" s="34"/>
      <c r="BH1156" s="34"/>
    </row>
    <row r="1157" spans="1:60" s="17" customFormat="1" ht="19.5" customHeight="1" x14ac:dyDescent="0.35">
      <c r="A1157" s="41">
        <f t="shared" ref="A1157:B1158" si="1120">A1156</f>
        <v>45443</v>
      </c>
      <c r="B1157" s="37" t="str">
        <f t="shared" si="1120"/>
        <v>Kol Takma</v>
      </c>
      <c r="C1157" s="65" t="str">
        <f t="shared" si="1114"/>
        <v>HATİCE ÖZDİL</v>
      </c>
      <c r="D1157" s="67">
        <f t="shared" si="1115"/>
        <v>35</v>
      </c>
      <c r="E1157" s="57">
        <v>25</v>
      </c>
      <c r="F1157" s="52">
        <v>30</v>
      </c>
      <c r="G1157" s="52">
        <v>25</v>
      </c>
      <c r="H1157" s="58">
        <v>25</v>
      </c>
      <c r="I1157" s="57">
        <v>30</v>
      </c>
      <c r="J1157" s="52">
        <v>27</v>
      </c>
      <c r="K1157" s="52">
        <v>25</v>
      </c>
      <c r="L1157" s="58">
        <v>26</v>
      </c>
      <c r="M1157" s="57">
        <v>30</v>
      </c>
      <c r="N1157" s="52">
        <v>30</v>
      </c>
      <c r="O1157" s="52">
        <v>25</v>
      </c>
      <c r="P1157" s="58">
        <v>30</v>
      </c>
      <c r="Q1157" s="57">
        <v>25</v>
      </c>
      <c r="R1157" s="52">
        <v>20</v>
      </c>
      <c r="S1157" s="52">
        <v>25</v>
      </c>
      <c r="T1157" s="52">
        <v>25</v>
      </c>
      <c r="U1157" s="58">
        <v>25</v>
      </c>
      <c r="V1157" s="57">
        <v>26</v>
      </c>
      <c r="W1157" s="52">
        <v>25</v>
      </c>
      <c r="X1157" s="52">
        <v>25</v>
      </c>
      <c r="Y1157" s="58">
        <v>15</v>
      </c>
      <c r="Z1157" s="57">
        <v>25</v>
      </c>
      <c r="AA1157" s="52">
        <v>25</v>
      </c>
      <c r="AB1157" s="52">
        <v>25</v>
      </c>
      <c r="AC1157" s="58">
        <v>25</v>
      </c>
      <c r="AD1157" s="57">
        <v>25</v>
      </c>
      <c r="AE1157" s="52">
        <v>25</v>
      </c>
      <c r="AF1157" s="52">
        <v>15</v>
      </c>
      <c r="AG1157" s="58">
        <v>20</v>
      </c>
      <c r="AH1157" s="57">
        <v>20</v>
      </c>
      <c r="AI1157" s="52">
        <v>20</v>
      </c>
      <c r="AJ1157" s="52">
        <v>20</v>
      </c>
      <c r="AK1157" s="58"/>
      <c r="AL1157" s="57"/>
      <c r="AM1157" s="52"/>
      <c r="AN1157" s="52"/>
      <c r="AO1157" s="58"/>
      <c r="AP1157" s="57"/>
      <c r="AQ1157" s="52"/>
      <c r="AR1157" s="52"/>
      <c r="AS1157" s="58"/>
      <c r="AT1157" s="57"/>
      <c r="AU1157" s="52"/>
      <c r="AV1157" s="52"/>
      <c r="AW1157" s="58"/>
      <c r="AX1157" s="33">
        <f t="shared" si="1116"/>
        <v>784</v>
      </c>
      <c r="AY1157" s="31">
        <f t="shared" si="1117"/>
        <v>24.5</v>
      </c>
      <c r="AZ1157" s="30">
        <f t="shared" si="1118"/>
        <v>0.7</v>
      </c>
      <c r="BA1157" s="34"/>
      <c r="BB1157" s="34"/>
      <c r="BC1157" s="34"/>
      <c r="BD1157" s="76"/>
      <c r="BE1157" s="34"/>
      <c r="BF1157" s="34"/>
      <c r="BG1157" s="34"/>
      <c r="BH1157" s="34"/>
    </row>
    <row r="1158" spans="1:60" s="17" customFormat="1" ht="19.5" customHeight="1" x14ac:dyDescent="0.35">
      <c r="A1158" s="41">
        <f>A1155</f>
        <v>45443</v>
      </c>
      <c r="B1158" s="37" t="str">
        <f t="shared" si="1120"/>
        <v>Kol Takma</v>
      </c>
      <c r="C1158" s="65">
        <f t="shared" si="1114"/>
        <v>0</v>
      </c>
      <c r="D1158" s="67">
        <f t="shared" si="1115"/>
        <v>35</v>
      </c>
      <c r="E1158" s="57"/>
      <c r="F1158" s="52"/>
      <c r="G1158" s="52"/>
      <c r="H1158" s="58"/>
      <c r="I1158" s="57"/>
      <c r="J1158" s="52"/>
      <c r="K1158" s="52"/>
      <c r="L1158" s="58"/>
      <c r="M1158" s="57"/>
      <c r="N1158" s="52"/>
      <c r="O1158" s="52"/>
      <c r="P1158" s="58"/>
      <c r="Q1158" s="57"/>
      <c r="R1158" s="52"/>
      <c r="S1158" s="52"/>
      <c r="T1158" s="52"/>
      <c r="U1158" s="58"/>
      <c r="V1158" s="57"/>
      <c r="W1158" s="52"/>
      <c r="X1158" s="52"/>
      <c r="Y1158" s="58"/>
      <c r="Z1158" s="57"/>
      <c r="AA1158" s="52"/>
      <c r="AB1158" s="52"/>
      <c r="AC1158" s="58"/>
      <c r="AD1158" s="57"/>
      <c r="AE1158" s="52"/>
      <c r="AF1158" s="52"/>
      <c r="AG1158" s="58"/>
      <c r="AH1158" s="57"/>
      <c r="AI1158" s="52"/>
      <c r="AJ1158" s="52"/>
      <c r="AK1158" s="58"/>
      <c r="AL1158" s="57"/>
      <c r="AM1158" s="52"/>
      <c r="AN1158" s="52"/>
      <c r="AO1158" s="58"/>
      <c r="AP1158" s="57"/>
      <c r="AQ1158" s="52"/>
      <c r="AR1158" s="52"/>
      <c r="AS1158" s="58"/>
      <c r="AT1158" s="57"/>
      <c r="AU1158" s="52"/>
      <c r="AV1158" s="52"/>
      <c r="AW1158" s="58"/>
      <c r="AX1158" s="33">
        <f t="shared" si="1116"/>
        <v>0</v>
      </c>
      <c r="AY1158" s="31">
        <f t="shared" si="1117"/>
        <v>0</v>
      </c>
      <c r="AZ1158" s="30">
        <f t="shared" si="1118"/>
        <v>0</v>
      </c>
      <c r="BA1158" s="34"/>
      <c r="BB1158" s="34"/>
      <c r="BC1158" s="34"/>
      <c r="BD1158" s="76"/>
      <c r="BE1158" s="34"/>
      <c r="BF1158" s="34"/>
      <c r="BG1158" s="34"/>
      <c r="BH1158" s="34"/>
    </row>
    <row r="1159" spans="1:60" s="17" customFormat="1" ht="19.5" customHeight="1" x14ac:dyDescent="0.35">
      <c r="A1159" s="41">
        <f t="shared" ref="A1159:B1159" si="1121">A1158</f>
        <v>45443</v>
      </c>
      <c r="B1159" s="37" t="str">
        <f t="shared" si="1121"/>
        <v>Kol Takma</v>
      </c>
      <c r="C1159" s="65">
        <f t="shared" si="1114"/>
        <v>0</v>
      </c>
      <c r="D1159" s="67">
        <f t="shared" si="1115"/>
        <v>35</v>
      </c>
      <c r="E1159" s="57"/>
      <c r="F1159" s="52"/>
      <c r="G1159" s="52"/>
      <c r="H1159" s="58"/>
      <c r="I1159" s="57"/>
      <c r="J1159" s="52"/>
      <c r="K1159" s="52"/>
      <c r="L1159" s="58"/>
      <c r="M1159" s="57"/>
      <c r="N1159" s="52"/>
      <c r="O1159" s="52"/>
      <c r="P1159" s="58"/>
      <c r="Q1159" s="57"/>
      <c r="R1159" s="52"/>
      <c r="S1159" s="52"/>
      <c r="T1159" s="52"/>
      <c r="U1159" s="58"/>
      <c r="V1159" s="57"/>
      <c r="W1159" s="52"/>
      <c r="X1159" s="52"/>
      <c r="Y1159" s="58"/>
      <c r="Z1159" s="57"/>
      <c r="AA1159" s="52"/>
      <c r="AB1159" s="52"/>
      <c r="AC1159" s="58"/>
      <c r="AD1159" s="57"/>
      <c r="AE1159" s="52"/>
      <c r="AF1159" s="52"/>
      <c r="AG1159" s="58"/>
      <c r="AH1159" s="57"/>
      <c r="AI1159" s="52"/>
      <c r="AJ1159" s="52"/>
      <c r="AK1159" s="58"/>
      <c r="AL1159" s="57"/>
      <c r="AM1159" s="52"/>
      <c r="AN1159" s="52"/>
      <c r="AO1159" s="58"/>
      <c r="AP1159" s="57"/>
      <c r="AQ1159" s="52"/>
      <c r="AR1159" s="52"/>
      <c r="AS1159" s="58"/>
      <c r="AT1159" s="57"/>
      <c r="AU1159" s="52"/>
      <c r="AV1159" s="52"/>
      <c r="AW1159" s="58"/>
      <c r="AX1159" s="33">
        <f t="shared" si="1116"/>
        <v>0</v>
      </c>
      <c r="AY1159" s="31">
        <f t="shared" si="1117"/>
        <v>0</v>
      </c>
      <c r="AZ1159" s="30">
        <f t="shared" si="1118"/>
        <v>0</v>
      </c>
      <c r="BA1159" s="34"/>
      <c r="BB1159" s="34"/>
      <c r="BC1159" s="34"/>
      <c r="BD1159" s="76"/>
      <c r="BE1159" s="34"/>
      <c r="BF1159" s="34"/>
      <c r="BG1159" s="34"/>
      <c r="BH1159" s="34"/>
    </row>
    <row r="1160" spans="1:60" s="17" customFormat="1" ht="19.5" customHeight="1" thickBot="1" x14ac:dyDescent="0.4">
      <c r="A1160" s="41">
        <f t="shared" ref="A1160:B1161" si="1122">A1159</f>
        <v>45443</v>
      </c>
      <c r="B1160" s="37" t="str">
        <f t="shared" si="1122"/>
        <v>Kol Takma</v>
      </c>
      <c r="C1160" s="65">
        <f t="shared" si="1114"/>
        <v>0</v>
      </c>
      <c r="D1160" s="67">
        <f t="shared" si="1115"/>
        <v>35</v>
      </c>
      <c r="E1160" s="59"/>
      <c r="F1160" s="60"/>
      <c r="G1160" s="61"/>
      <c r="H1160" s="62"/>
      <c r="I1160" s="59"/>
      <c r="J1160" s="60"/>
      <c r="K1160" s="61"/>
      <c r="L1160" s="62"/>
      <c r="M1160" s="59"/>
      <c r="N1160" s="60"/>
      <c r="O1160" s="61"/>
      <c r="P1160" s="62"/>
      <c r="Q1160" s="64"/>
      <c r="R1160" s="61"/>
      <c r="S1160" s="61"/>
      <c r="T1160" s="61"/>
      <c r="U1160" s="62"/>
      <c r="V1160" s="59"/>
      <c r="W1160" s="60"/>
      <c r="X1160" s="61"/>
      <c r="Y1160" s="62"/>
      <c r="Z1160" s="59"/>
      <c r="AA1160" s="60"/>
      <c r="AB1160" s="61"/>
      <c r="AC1160" s="62"/>
      <c r="AD1160" s="59"/>
      <c r="AE1160" s="60"/>
      <c r="AF1160" s="61"/>
      <c r="AG1160" s="62"/>
      <c r="AH1160" s="59"/>
      <c r="AI1160" s="60"/>
      <c r="AJ1160" s="61"/>
      <c r="AK1160" s="62"/>
      <c r="AL1160" s="59"/>
      <c r="AM1160" s="60"/>
      <c r="AN1160" s="61"/>
      <c r="AO1160" s="62"/>
      <c r="AP1160" s="59"/>
      <c r="AQ1160" s="60"/>
      <c r="AR1160" s="61"/>
      <c r="AS1160" s="62"/>
      <c r="AT1160" s="59"/>
      <c r="AU1160" s="60"/>
      <c r="AV1160" s="61"/>
      <c r="AW1160" s="62"/>
      <c r="AX1160" s="33">
        <f t="shared" si="1116"/>
        <v>0</v>
      </c>
      <c r="AY1160" s="31">
        <f t="shared" si="1117"/>
        <v>0</v>
      </c>
      <c r="AZ1160" s="30">
        <f t="shared" si="1118"/>
        <v>0</v>
      </c>
      <c r="BA1160" s="34"/>
      <c r="BB1160" s="34"/>
      <c r="BC1160" s="34"/>
      <c r="BD1160" s="76"/>
      <c r="BE1160" s="34"/>
      <c r="BF1160" s="34"/>
      <c r="BG1160" s="34"/>
      <c r="BH1160" s="34"/>
    </row>
    <row r="1161" spans="1:60" s="17" customFormat="1" ht="19.5" customHeight="1" thickBot="1" x14ac:dyDescent="0.45">
      <c r="A1161" s="41">
        <f t="shared" si="1122"/>
        <v>45443</v>
      </c>
      <c r="B1161" s="139" t="str">
        <f>B1154</f>
        <v>Kol Takma</v>
      </c>
      <c r="C1161" s="140"/>
      <c r="D1161" s="40">
        <f>C1062/8</f>
        <v>500</v>
      </c>
      <c r="E1161" s="147">
        <f>SUM(E1154:H1160)</f>
        <v>441</v>
      </c>
      <c r="F1161" s="148"/>
      <c r="G1161" s="148"/>
      <c r="H1161" s="149"/>
      <c r="I1161" s="147">
        <f>SUM(I1154:L1160)</f>
        <v>366</v>
      </c>
      <c r="J1161" s="148"/>
      <c r="K1161" s="148"/>
      <c r="L1161" s="149"/>
      <c r="M1161" s="147">
        <f>SUM(M1154:P1160)</f>
        <v>357</v>
      </c>
      <c r="N1161" s="148"/>
      <c r="O1161" s="148"/>
      <c r="P1161" s="149"/>
      <c r="Q1161" s="147">
        <f>SUM(Q1154:U1160)</f>
        <v>438</v>
      </c>
      <c r="R1161" s="148"/>
      <c r="S1161" s="148"/>
      <c r="T1161" s="148"/>
      <c r="U1161" s="149"/>
      <c r="V1161" s="147">
        <f>SUM(V1154:Y1160)</f>
        <v>478</v>
      </c>
      <c r="W1161" s="148"/>
      <c r="X1161" s="148"/>
      <c r="Y1161" s="149"/>
      <c r="Z1161" s="147">
        <f>SUM(Z1154:AC1160)</f>
        <v>442</v>
      </c>
      <c r="AA1161" s="148"/>
      <c r="AB1161" s="148"/>
      <c r="AC1161" s="149"/>
      <c r="AD1161" s="147">
        <f>SUM(AD1154:AG1160)</f>
        <v>350</v>
      </c>
      <c r="AE1161" s="148"/>
      <c r="AF1161" s="148"/>
      <c r="AG1161" s="149"/>
      <c r="AH1161" s="147">
        <f>SUM(AH1154:AK1160)</f>
        <v>232</v>
      </c>
      <c r="AI1161" s="148"/>
      <c r="AJ1161" s="148"/>
      <c r="AK1161" s="149"/>
      <c r="AL1161" s="147">
        <f>SUM(AL1154:AO1160)</f>
        <v>0</v>
      </c>
      <c r="AM1161" s="148"/>
      <c r="AN1161" s="148"/>
      <c r="AO1161" s="149"/>
      <c r="AP1161" s="147">
        <f>SUM(AP1154:AS1160)</f>
        <v>0</v>
      </c>
      <c r="AQ1161" s="148"/>
      <c r="AR1161" s="148"/>
      <c r="AS1161" s="149"/>
      <c r="AT1161" s="147">
        <f>SUM(AT1154:AW1160)</f>
        <v>0</v>
      </c>
      <c r="AU1161" s="148"/>
      <c r="AV1161" s="148"/>
      <c r="AW1161" s="149"/>
      <c r="AX1161" s="87">
        <f>SUM(AX1154:AX1160)</f>
        <v>3104</v>
      </c>
      <c r="AY1161" s="88">
        <f>IFERROR(AVERAGEIF(E1161:AV1161,"&lt;&gt;0",(E1161:AV1161)),)</f>
        <v>388</v>
      </c>
      <c r="AZ1161" s="46">
        <f>IFERROR(AX1161/BB1155,0)</f>
        <v>0.77600000000000002</v>
      </c>
      <c r="BA1161" s="34"/>
      <c r="BB1161" s="34"/>
      <c r="BC1161" s="34"/>
      <c r="BD1161" s="76"/>
      <c r="BE1161" s="34"/>
      <c r="BF1161" s="34"/>
      <c r="BG1161" s="34"/>
      <c r="BH1161" s="34"/>
    </row>
    <row r="1162" spans="1:60" s="17" customFormat="1" ht="19.5" customHeight="1" thickBot="1" x14ac:dyDescent="0.4">
      <c r="A1162" s="42">
        <f>A1153</f>
        <v>45443</v>
      </c>
      <c r="B1162" s="38" t="str">
        <f>B1163</f>
        <v>Yan Kapama</v>
      </c>
      <c r="C1162" s="39" t="s">
        <v>180</v>
      </c>
      <c r="D1162" s="69" t="s">
        <v>181</v>
      </c>
      <c r="E1162" s="48">
        <v>0.34375</v>
      </c>
      <c r="F1162" s="49">
        <v>0.35416666666666669</v>
      </c>
      <c r="G1162" s="49">
        <v>0.36458333333333331</v>
      </c>
      <c r="H1162" s="50">
        <v>0.375</v>
      </c>
      <c r="I1162" s="48">
        <v>0.38541666666666702</v>
      </c>
      <c r="J1162" s="49">
        <v>0.39583333333333298</v>
      </c>
      <c r="K1162" s="49">
        <v>0.40625</v>
      </c>
      <c r="L1162" s="50">
        <v>0.41666666666666702</v>
      </c>
      <c r="M1162" s="48">
        <v>0.4375</v>
      </c>
      <c r="N1162" s="49">
        <v>0.44791666666666702</v>
      </c>
      <c r="O1162" s="49">
        <v>0.45833333333333398</v>
      </c>
      <c r="P1162" s="50">
        <v>0.46875</v>
      </c>
      <c r="Q1162" s="82">
        <v>0.47916666666666702</v>
      </c>
      <c r="R1162" s="83">
        <v>0.48958333333333398</v>
      </c>
      <c r="S1162" s="83">
        <v>0.5</v>
      </c>
      <c r="T1162" s="84">
        <v>0.51041666666666696</v>
      </c>
      <c r="U1162" s="85">
        <v>0.52083333333333204</v>
      </c>
      <c r="V1162" s="48">
        <v>0.5625</v>
      </c>
      <c r="W1162" s="49">
        <v>0.57291666666666663</v>
      </c>
      <c r="X1162" s="49">
        <v>0.58333333333333304</v>
      </c>
      <c r="Y1162" s="50">
        <v>0.59375</v>
      </c>
      <c r="Z1162" s="48">
        <v>0.60416666666666696</v>
      </c>
      <c r="AA1162" s="49">
        <v>0.61458333333333304</v>
      </c>
      <c r="AB1162" s="49">
        <v>0.625</v>
      </c>
      <c r="AC1162" s="50">
        <v>0.63541666666666596</v>
      </c>
      <c r="AD1162" s="48">
        <v>0.65625</v>
      </c>
      <c r="AE1162" s="49">
        <v>0.66666666666666663</v>
      </c>
      <c r="AF1162" s="49">
        <v>0.67708333333333304</v>
      </c>
      <c r="AG1162" s="50">
        <v>0.6875</v>
      </c>
      <c r="AH1162" s="48">
        <v>0.69791666666666696</v>
      </c>
      <c r="AI1162" s="49">
        <v>0.70833333333333304</v>
      </c>
      <c r="AJ1162" s="49">
        <v>0.71875</v>
      </c>
      <c r="AK1162" s="50">
        <v>0.72916666666666696</v>
      </c>
      <c r="AL1162" s="48">
        <v>0.73958333333333404</v>
      </c>
      <c r="AM1162" s="49">
        <v>0.750000000000001</v>
      </c>
      <c r="AN1162" s="49">
        <v>0.76041666666666796</v>
      </c>
      <c r="AO1162" s="50">
        <v>0.77083333333333504</v>
      </c>
      <c r="AP1162" s="48">
        <v>0.781250000000002</v>
      </c>
      <c r="AQ1162" s="49">
        <v>0.79166666666666896</v>
      </c>
      <c r="AR1162" s="49">
        <v>0.80208333333333603</v>
      </c>
      <c r="AS1162" s="50">
        <v>0.812500000000003</v>
      </c>
      <c r="AT1162" s="48">
        <v>0.82291666666666996</v>
      </c>
      <c r="AU1162" s="49">
        <v>0.83333333333333703</v>
      </c>
      <c r="AV1162" s="49">
        <v>0.843750000000004</v>
      </c>
      <c r="AW1162" s="50">
        <v>0.85416666666666663</v>
      </c>
      <c r="AX1162" s="68" t="s">
        <v>260</v>
      </c>
      <c r="AY1162" s="28" t="s">
        <v>261</v>
      </c>
      <c r="AZ1162" s="29" t="s">
        <v>262</v>
      </c>
      <c r="BA1162" s="136" t="str">
        <f>B1163</f>
        <v>Yan Kapama</v>
      </c>
      <c r="BB1162" s="137"/>
      <c r="BC1162" s="137"/>
      <c r="BD1162" s="137"/>
      <c r="BE1162" s="137"/>
      <c r="BF1162" s="137"/>
      <c r="BG1162" s="137"/>
      <c r="BH1162" s="138"/>
    </row>
    <row r="1163" spans="1:60" s="17" customFormat="1" ht="19.5" customHeight="1" thickBot="1" x14ac:dyDescent="0.4">
      <c r="A1163" s="41">
        <f t="shared" ref="A1163" si="1123">A1162</f>
        <v>45443</v>
      </c>
      <c r="B1163" s="37" t="str">
        <f>B987</f>
        <v>Yan Kapama</v>
      </c>
      <c r="C1163" s="65" t="str">
        <f>C987</f>
        <v>SONGÜL BARLAS</v>
      </c>
      <c r="D1163" s="70">
        <f>D987</f>
        <v>40</v>
      </c>
      <c r="E1163" s="63">
        <v>30</v>
      </c>
      <c r="F1163" s="55">
        <v>40</v>
      </c>
      <c r="G1163" s="55">
        <v>32</v>
      </c>
      <c r="H1163" s="56">
        <v>30</v>
      </c>
      <c r="I1163" s="63">
        <v>33</v>
      </c>
      <c r="J1163" s="55">
        <v>25</v>
      </c>
      <c r="K1163" s="55">
        <v>35</v>
      </c>
      <c r="L1163" s="56">
        <v>35</v>
      </c>
      <c r="M1163" s="63">
        <v>38</v>
      </c>
      <c r="N1163" s="55">
        <v>33</v>
      </c>
      <c r="O1163" s="55">
        <v>36</v>
      </c>
      <c r="P1163" s="56">
        <v>27</v>
      </c>
      <c r="Q1163" s="63">
        <v>30</v>
      </c>
      <c r="R1163" s="55">
        <v>27</v>
      </c>
      <c r="S1163" s="55">
        <v>30</v>
      </c>
      <c r="T1163" s="55">
        <v>36</v>
      </c>
      <c r="U1163" s="56">
        <v>21</v>
      </c>
      <c r="V1163" s="63">
        <v>35</v>
      </c>
      <c r="W1163" s="55">
        <v>27</v>
      </c>
      <c r="X1163" s="55">
        <v>32</v>
      </c>
      <c r="Y1163" s="56">
        <v>33</v>
      </c>
      <c r="Z1163" s="63"/>
      <c r="AA1163" s="55"/>
      <c r="AB1163" s="55"/>
      <c r="AC1163" s="56">
        <v>0</v>
      </c>
      <c r="AD1163" s="63">
        <v>0</v>
      </c>
      <c r="AE1163" s="55">
        <v>35</v>
      </c>
      <c r="AF1163" s="55">
        <v>35</v>
      </c>
      <c r="AG1163" s="56">
        <v>30</v>
      </c>
      <c r="AH1163" s="63">
        <v>25</v>
      </c>
      <c r="AI1163" s="55">
        <v>30</v>
      </c>
      <c r="AJ1163" s="55">
        <v>30</v>
      </c>
      <c r="AK1163" s="56"/>
      <c r="AL1163" s="53"/>
      <c r="AM1163" s="54"/>
      <c r="AN1163" s="55"/>
      <c r="AO1163" s="56"/>
      <c r="AP1163" s="53"/>
      <c r="AQ1163" s="54"/>
      <c r="AR1163" s="55"/>
      <c r="AS1163" s="56"/>
      <c r="AT1163" s="53"/>
      <c r="AU1163" s="54"/>
      <c r="AV1163" s="55"/>
      <c r="AW1163" s="56"/>
      <c r="AX1163" s="33">
        <f>SUM(E1163:AW1163)</f>
        <v>850</v>
      </c>
      <c r="AY1163" s="31">
        <f>IFERROR(AVERAGEIF(E1163:AW1163,"&lt;&gt;0",(E1163:AW1163)),)</f>
        <v>31.481481481481481</v>
      </c>
      <c r="AZ1163" s="30">
        <f>IFERROR(AY1163/D1163,0)</f>
        <v>0.78703703703703698</v>
      </c>
      <c r="BA1163" s="103" t="s">
        <v>182</v>
      </c>
      <c r="BB1163" s="100" t="s">
        <v>183</v>
      </c>
      <c r="BC1163" s="100" t="s">
        <v>184</v>
      </c>
      <c r="BD1163" s="101" t="s">
        <v>185</v>
      </c>
      <c r="BE1163" s="100" t="s">
        <v>186</v>
      </c>
      <c r="BF1163" s="102" t="s">
        <v>187</v>
      </c>
      <c r="BG1163" s="100" t="s">
        <v>188</v>
      </c>
      <c r="BH1163" s="102" t="s">
        <v>189</v>
      </c>
    </row>
    <row r="1164" spans="1:60" s="17" customFormat="1" ht="19.5" customHeight="1" thickBot="1" x14ac:dyDescent="0.4">
      <c r="A1164" s="41">
        <f t="shared" ref="A1164:B1164" si="1124">A1163</f>
        <v>45443</v>
      </c>
      <c r="B1164" s="37" t="str">
        <f t="shared" si="1124"/>
        <v>Yan Kapama</v>
      </c>
      <c r="C1164" s="65" t="s">
        <v>28</v>
      </c>
      <c r="D1164" s="67">
        <f t="shared" ref="D1164:D1169" si="1125">D1163</f>
        <v>40</v>
      </c>
      <c r="E1164" s="57">
        <v>25</v>
      </c>
      <c r="F1164" s="52">
        <v>25</v>
      </c>
      <c r="G1164" s="52">
        <v>27</v>
      </c>
      <c r="H1164" s="58">
        <v>30</v>
      </c>
      <c r="I1164" s="57">
        <v>28</v>
      </c>
      <c r="J1164" s="52">
        <v>15</v>
      </c>
      <c r="K1164" s="52">
        <v>27</v>
      </c>
      <c r="L1164" s="58">
        <v>25</v>
      </c>
      <c r="M1164" s="57">
        <v>26</v>
      </c>
      <c r="N1164" s="52">
        <v>30</v>
      </c>
      <c r="O1164" s="52">
        <v>30</v>
      </c>
      <c r="P1164" s="58">
        <v>32</v>
      </c>
      <c r="Q1164" s="57">
        <v>30</v>
      </c>
      <c r="R1164" s="52">
        <v>27</v>
      </c>
      <c r="S1164" s="52">
        <v>27</v>
      </c>
      <c r="T1164" s="52">
        <v>29</v>
      </c>
      <c r="U1164" s="58">
        <v>25</v>
      </c>
      <c r="V1164" s="57">
        <v>30</v>
      </c>
      <c r="W1164" s="52">
        <v>33</v>
      </c>
      <c r="X1164" s="52">
        <v>32</v>
      </c>
      <c r="Y1164" s="58">
        <v>32</v>
      </c>
      <c r="Z1164" s="57">
        <v>32</v>
      </c>
      <c r="AA1164" s="52">
        <v>30</v>
      </c>
      <c r="AB1164" s="52">
        <v>15</v>
      </c>
      <c r="AC1164" s="58">
        <v>25</v>
      </c>
      <c r="AD1164" s="57">
        <v>30</v>
      </c>
      <c r="AE1164" s="52">
        <v>30</v>
      </c>
      <c r="AF1164" s="52">
        <v>27</v>
      </c>
      <c r="AG1164" s="58">
        <v>25</v>
      </c>
      <c r="AH1164" s="57">
        <v>27</v>
      </c>
      <c r="AI1164" s="52">
        <v>25</v>
      </c>
      <c r="AJ1164" s="52">
        <v>23</v>
      </c>
      <c r="AK1164" s="58"/>
      <c r="AL1164" s="57"/>
      <c r="AM1164" s="52"/>
      <c r="AN1164" s="52"/>
      <c r="AO1164" s="58"/>
      <c r="AP1164" s="57"/>
      <c r="AQ1164" s="52"/>
      <c r="AR1164" s="52"/>
      <c r="AS1164" s="58"/>
      <c r="AT1164" s="57"/>
      <c r="AU1164" s="52"/>
      <c r="AV1164" s="52"/>
      <c r="AW1164" s="58"/>
      <c r="AX1164" s="33">
        <f t="shared" ref="AX1164:AX1169" si="1126">SUM(E1164:AW1164)</f>
        <v>874</v>
      </c>
      <c r="AY1164" s="31">
        <f t="shared" ref="AY1164:AY1169" si="1127">IFERROR(AVERAGEIF(E1164:AW1164,"&lt;&gt;0",(E1164:AW1164)),)</f>
        <v>27.3125</v>
      </c>
      <c r="AZ1164" s="30">
        <f t="shared" ref="AZ1164:AZ1169" si="1128">IFERROR(AY1164/D1164,0)</f>
        <v>0.68281250000000004</v>
      </c>
      <c r="BA1164" s="94">
        <f>AX1170+BA988</f>
        <v>13672</v>
      </c>
      <c r="BB1164" s="95">
        <f>(D1170*8)</f>
        <v>4000</v>
      </c>
      <c r="BC1164" s="96">
        <f>C1061-BA1164</f>
        <v>28639</v>
      </c>
      <c r="BD1164" s="96">
        <f>BA1155-BA1164</f>
        <v>-809</v>
      </c>
      <c r="BE1164" s="97">
        <f>IFERROR(BC1164/E1170,0)</f>
        <v>77.823369565217391</v>
      </c>
      <c r="BF1164" s="98">
        <f>IFERROR(BE1164/9,0)</f>
        <v>8.6470410628019323</v>
      </c>
      <c r="BG1164" s="97">
        <f>IFERROR(BC1164/AY1170,0)</f>
        <v>63.819498607242338</v>
      </c>
      <c r="BH1164" s="97">
        <f>IFERROR(BG1164/9,0)</f>
        <v>7.091055400804704</v>
      </c>
    </row>
    <row r="1165" spans="1:60" s="17" customFormat="1" ht="19.5" customHeight="1" x14ac:dyDescent="0.35">
      <c r="A1165" s="41">
        <f t="shared" ref="A1165:B1165" si="1129">A1164</f>
        <v>45443</v>
      </c>
      <c r="B1165" s="37" t="str">
        <f t="shared" si="1129"/>
        <v>Yan Kapama</v>
      </c>
      <c r="C1165" s="65" t="s">
        <v>54</v>
      </c>
      <c r="D1165" s="67">
        <f t="shared" si="1125"/>
        <v>40</v>
      </c>
      <c r="E1165" s="57">
        <v>25</v>
      </c>
      <c r="F1165" s="52">
        <v>38</v>
      </c>
      <c r="G1165" s="52">
        <v>31</v>
      </c>
      <c r="H1165" s="58">
        <v>35</v>
      </c>
      <c r="I1165" s="57">
        <v>30</v>
      </c>
      <c r="J1165" s="52">
        <v>30</v>
      </c>
      <c r="K1165" s="52">
        <v>31</v>
      </c>
      <c r="L1165" s="58">
        <v>23</v>
      </c>
      <c r="M1165" s="57">
        <v>30</v>
      </c>
      <c r="N1165" s="52">
        <v>33</v>
      </c>
      <c r="O1165" s="52">
        <v>35</v>
      </c>
      <c r="P1165" s="58">
        <v>37</v>
      </c>
      <c r="Q1165" s="57">
        <v>30</v>
      </c>
      <c r="R1165" s="52">
        <v>30</v>
      </c>
      <c r="S1165" s="52">
        <v>31</v>
      </c>
      <c r="T1165" s="52">
        <v>33</v>
      </c>
      <c r="U1165" s="58">
        <v>31</v>
      </c>
      <c r="V1165" s="57">
        <v>35</v>
      </c>
      <c r="W1165" s="52">
        <v>35</v>
      </c>
      <c r="X1165" s="52">
        <v>30</v>
      </c>
      <c r="Y1165" s="58">
        <v>33</v>
      </c>
      <c r="Z1165" s="57">
        <v>27</v>
      </c>
      <c r="AA1165" s="52">
        <v>27</v>
      </c>
      <c r="AB1165" s="52">
        <v>27</v>
      </c>
      <c r="AC1165" s="58">
        <v>27</v>
      </c>
      <c r="AD1165" s="57">
        <v>31</v>
      </c>
      <c r="AE1165" s="52">
        <v>33</v>
      </c>
      <c r="AF1165" s="52">
        <v>30</v>
      </c>
      <c r="AG1165" s="58">
        <v>23</v>
      </c>
      <c r="AH1165" s="57">
        <v>29</v>
      </c>
      <c r="AI1165" s="52">
        <v>30</v>
      </c>
      <c r="AJ1165" s="52">
        <v>20</v>
      </c>
      <c r="AK1165" s="58"/>
      <c r="AL1165" s="57"/>
      <c r="AM1165" s="52"/>
      <c r="AN1165" s="52"/>
      <c r="AO1165" s="58"/>
      <c r="AP1165" s="57"/>
      <c r="AQ1165" s="52"/>
      <c r="AR1165" s="52"/>
      <c r="AS1165" s="58"/>
      <c r="AT1165" s="57"/>
      <c r="AU1165" s="52"/>
      <c r="AV1165" s="52"/>
      <c r="AW1165" s="58"/>
      <c r="AX1165" s="33">
        <f t="shared" si="1126"/>
        <v>970</v>
      </c>
      <c r="AY1165" s="31">
        <f t="shared" si="1127"/>
        <v>30.3125</v>
      </c>
      <c r="AZ1165" s="30">
        <f t="shared" si="1128"/>
        <v>0.7578125</v>
      </c>
      <c r="BA1165" s="34"/>
      <c r="BB1165" s="34"/>
      <c r="BC1165" s="34"/>
      <c r="BD1165" s="76"/>
      <c r="BE1165" s="34"/>
      <c r="BF1165" s="34"/>
      <c r="BG1165" s="34"/>
      <c r="BH1165" s="34"/>
    </row>
    <row r="1166" spans="1:60" s="17" customFormat="1" ht="19.5" customHeight="1" x14ac:dyDescent="0.35">
      <c r="A1166" s="41">
        <f t="shared" ref="A1166:B1169" si="1130">A1165</f>
        <v>45443</v>
      </c>
      <c r="B1166" s="37" t="str">
        <f t="shared" si="1130"/>
        <v>Yan Kapama</v>
      </c>
      <c r="C1166" s="65" t="s">
        <v>281</v>
      </c>
      <c r="D1166" s="67">
        <f t="shared" si="1125"/>
        <v>40</v>
      </c>
      <c r="E1166" s="57">
        <v>0</v>
      </c>
      <c r="F1166" s="52">
        <v>0</v>
      </c>
      <c r="G1166" s="52">
        <v>0</v>
      </c>
      <c r="H1166" s="58">
        <v>0</v>
      </c>
      <c r="I1166" s="57">
        <v>20</v>
      </c>
      <c r="J1166" s="52">
        <v>25</v>
      </c>
      <c r="K1166" s="52">
        <v>30</v>
      </c>
      <c r="L1166" s="58">
        <v>30</v>
      </c>
      <c r="M1166" s="57">
        <v>30</v>
      </c>
      <c r="N1166" s="52">
        <v>32</v>
      </c>
      <c r="O1166" s="52">
        <v>35</v>
      </c>
      <c r="P1166" s="58">
        <v>35</v>
      </c>
      <c r="Q1166" s="57">
        <v>35</v>
      </c>
      <c r="R1166" s="52">
        <v>20</v>
      </c>
      <c r="S1166" s="52">
        <v>30</v>
      </c>
      <c r="T1166" s="52">
        <v>40</v>
      </c>
      <c r="U1166" s="58">
        <v>0</v>
      </c>
      <c r="V1166" s="57"/>
      <c r="W1166" s="52"/>
      <c r="X1166" s="52"/>
      <c r="Y1166" s="58"/>
      <c r="Z1166" s="57"/>
      <c r="AA1166" s="52"/>
      <c r="AB1166" s="52"/>
      <c r="AC1166" s="58">
        <v>0</v>
      </c>
      <c r="AD1166" s="57">
        <v>30</v>
      </c>
      <c r="AE1166" s="52">
        <v>30</v>
      </c>
      <c r="AF1166" s="52">
        <v>33</v>
      </c>
      <c r="AG1166" s="58">
        <v>30</v>
      </c>
      <c r="AH1166" s="57">
        <v>20</v>
      </c>
      <c r="AI1166" s="52">
        <v>25</v>
      </c>
      <c r="AJ1166" s="52">
        <v>30</v>
      </c>
      <c r="AK1166" s="58"/>
      <c r="AL1166" s="57"/>
      <c r="AM1166" s="52"/>
      <c r="AN1166" s="52"/>
      <c r="AO1166" s="58"/>
      <c r="AP1166" s="57"/>
      <c r="AQ1166" s="52"/>
      <c r="AR1166" s="52"/>
      <c r="AS1166" s="58"/>
      <c r="AT1166" s="57"/>
      <c r="AU1166" s="52"/>
      <c r="AV1166" s="52"/>
      <c r="AW1166" s="58"/>
      <c r="AX1166" s="33">
        <f t="shared" si="1126"/>
        <v>560</v>
      </c>
      <c r="AY1166" s="31">
        <f t="shared" si="1127"/>
        <v>29.473684210526315</v>
      </c>
      <c r="AZ1166" s="30">
        <f t="shared" si="1128"/>
        <v>0.73684210526315785</v>
      </c>
      <c r="BA1166" s="34"/>
      <c r="BB1166" s="34"/>
      <c r="BC1166" s="34"/>
      <c r="BD1166" s="76"/>
      <c r="BE1166" s="34"/>
      <c r="BF1166" s="34"/>
      <c r="BG1166" s="34"/>
      <c r="BH1166" s="34"/>
    </row>
    <row r="1167" spans="1:60" s="17" customFormat="1" ht="19.5" customHeight="1" x14ac:dyDescent="0.35">
      <c r="A1167" s="41">
        <f>A1164</f>
        <v>45443</v>
      </c>
      <c r="B1167" s="37" t="str">
        <f t="shared" si="1130"/>
        <v>Yan Kapama</v>
      </c>
      <c r="C1167" s="65" t="s">
        <v>264</v>
      </c>
      <c r="D1167" s="67">
        <f t="shared" si="1125"/>
        <v>40</v>
      </c>
      <c r="E1167" s="57"/>
      <c r="F1167" s="52"/>
      <c r="G1167" s="52"/>
      <c r="H1167" s="58"/>
      <c r="I1167" s="57"/>
      <c r="J1167" s="52">
        <v>14</v>
      </c>
      <c r="K1167" s="52">
        <v>15</v>
      </c>
      <c r="L1167" s="58">
        <v>16</v>
      </c>
      <c r="M1167" s="57">
        <v>15</v>
      </c>
      <c r="N1167" s="52">
        <v>18</v>
      </c>
      <c r="O1167" s="52">
        <v>18</v>
      </c>
      <c r="P1167" s="58">
        <v>10</v>
      </c>
      <c r="Q1167" s="57">
        <v>15</v>
      </c>
      <c r="R1167" s="52">
        <v>16</v>
      </c>
      <c r="S1167" s="52">
        <v>16</v>
      </c>
      <c r="T1167" s="52">
        <v>16</v>
      </c>
      <c r="U1167" s="58">
        <v>15</v>
      </c>
      <c r="V1167" s="57">
        <v>15</v>
      </c>
      <c r="W1167" s="52">
        <v>20</v>
      </c>
      <c r="X1167" s="52">
        <v>18</v>
      </c>
      <c r="Y1167" s="58">
        <v>18</v>
      </c>
      <c r="Z1167" s="57">
        <v>0</v>
      </c>
      <c r="AA1167" s="52">
        <v>0</v>
      </c>
      <c r="AB1167" s="52">
        <v>0</v>
      </c>
      <c r="AC1167" s="58">
        <v>0</v>
      </c>
      <c r="AD1167" s="57">
        <v>0</v>
      </c>
      <c r="AE1167" s="52">
        <v>20</v>
      </c>
      <c r="AF1167" s="52">
        <v>20</v>
      </c>
      <c r="AG1167" s="58">
        <v>10</v>
      </c>
      <c r="AH1167" s="57">
        <v>13</v>
      </c>
      <c r="AI1167" s="52">
        <v>18</v>
      </c>
      <c r="AJ1167" s="52">
        <v>0</v>
      </c>
      <c r="AK1167" s="58"/>
      <c r="AL1167" s="57"/>
      <c r="AM1167" s="52"/>
      <c r="AN1167" s="52"/>
      <c r="AO1167" s="58"/>
      <c r="AP1167" s="57"/>
      <c r="AQ1167" s="52"/>
      <c r="AR1167" s="52"/>
      <c r="AS1167" s="58"/>
      <c r="AT1167" s="57"/>
      <c r="AU1167" s="52"/>
      <c r="AV1167" s="52"/>
      <c r="AW1167" s="58"/>
      <c r="AX1167" s="33">
        <f t="shared" si="1126"/>
        <v>336</v>
      </c>
      <c r="AY1167" s="31">
        <f t="shared" si="1127"/>
        <v>16</v>
      </c>
      <c r="AZ1167" s="30">
        <f t="shared" si="1128"/>
        <v>0.4</v>
      </c>
      <c r="BA1167" s="34"/>
      <c r="BB1167" s="34"/>
      <c r="BC1167" s="34"/>
      <c r="BD1167" s="76"/>
      <c r="BE1167" s="34"/>
      <c r="BF1167" s="34"/>
      <c r="BG1167" s="34"/>
      <c r="BH1167" s="34"/>
    </row>
    <row r="1168" spans="1:60" s="17" customFormat="1" ht="19.5" customHeight="1" x14ac:dyDescent="0.35">
      <c r="A1168" s="41">
        <f>A1167</f>
        <v>45443</v>
      </c>
      <c r="B1168" s="37" t="str">
        <f t="shared" si="1130"/>
        <v>Yan Kapama</v>
      </c>
      <c r="C1168" s="65">
        <f t="shared" ref="C1168:C1169" si="1131">C992</f>
        <v>0</v>
      </c>
      <c r="D1168" s="67">
        <f t="shared" si="1125"/>
        <v>40</v>
      </c>
      <c r="E1168" s="57"/>
      <c r="F1168" s="52"/>
      <c r="G1168" s="52"/>
      <c r="H1168" s="58"/>
      <c r="I1168" s="57"/>
      <c r="J1168" s="52"/>
      <c r="K1168" s="52"/>
      <c r="L1168" s="58"/>
      <c r="M1168" s="57"/>
      <c r="N1168" s="52"/>
      <c r="O1168" s="52"/>
      <c r="P1168" s="78"/>
      <c r="Q1168" s="57"/>
      <c r="R1168" s="52"/>
      <c r="S1168" s="52"/>
      <c r="T1168" s="52"/>
      <c r="U1168" s="58"/>
      <c r="V1168" s="80"/>
      <c r="W1168" s="52"/>
      <c r="X1168" s="52"/>
      <c r="Y1168" s="58"/>
      <c r="Z1168" s="57"/>
      <c r="AA1168" s="52"/>
      <c r="AB1168" s="52"/>
      <c r="AC1168" s="58"/>
      <c r="AD1168" s="57"/>
      <c r="AE1168" s="52"/>
      <c r="AF1168" s="52"/>
      <c r="AG1168" s="58"/>
      <c r="AH1168" s="57"/>
      <c r="AI1168" s="52"/>
      <c r="AJ1168" s="52"/>
      <c r="AK1168" s="58"/>
      <c r="AL1168" s="57"/>
      <c r="AM1168" s="52"/>
      <c r="AN1168" s="52"/>
      <c r="AO1168" s="58"/>
      <c r="AP1168" s="57"/>
      <c r="AQ1168" s="52"/>
      <c r="AR1168" s="52"/>
      <c r="AS1168" s="58"/>
      <c r="AT1168" s="57"/>
      <c r="AU1168" s="52"/>
      <c r="AV1168" s="52"/>
      <c r="AW1168" s="58"/>
      <c r="AX1168" s="33">
        <f t="shared" si="1126"/>
        <v>0</v>
      </c>
      <c r="AY1168" s="31">
        <f t="shared" si="1127"/>
        <v>0</v>
      </c>
      <c r="AZ1168" s="30">
        <f t="shared" si="1128"/>
        <v>0</v>
      </c>
      <c r="BA1168" s="34"/>
      <c r="BB1168" s="34"/>
      <c r="BC1168" s="34"/>
      <c r="BD1168" s="76"/>
      <c r="BE1168" s="34"/>
      <c r="BF1168" s="34"/>
      <c r="BG1168" s="34"/>
      <c r="BH1168" s="34"/>
    </row>
    <row r="1169" spans="1:60" s="17" customFormat="1" ht="19.5" customHeight="1" thickBot="1" x14ac:dyDescent="0.4">
      <c r="A1169" s="41">
        <f>A1168</f>
        <v>45443</v>
      </c>
      <c r="B1169" s="37" t="str">
        <f t="shared" si="1130"/>
        <v>Yan Kapama</v>
      </c>
      <c r="C1169" s="65">
        <f t="shared" si="1131"/>
        <v>0</v>
      </c>
      <c r="D1169" s="67">
        <f t="shared" si="1125"/>
        <v>40</v>
      </c>
      <c r="E1169" s="59"/>
      <c r="F1169" s="60"/>
      <c r="G1169" s="61"/>
      <c r="H1169" s="62"/>
      <c r="I1169" s="59"/>
      <c r="J1169" s="60"/>
      <c r="K1169" s="61"/>
      <c r="L1169" s="62"/>
      <c r="M1169" s="59"/>
      <c r="N1169" s="60"/>
      <c r="O1169" s="61"/>
      <c r="P1169" s="79"/>
      <c r="Q1169" s="64"/>
      <c r="R1169" s="61"/>
      <c r="S1169" s="61"/>
      <c r="T1169" s="61"/>
      <c r="U1169" s="62"/>
      <c r="V1169" s="81"/>
      <c r="W1169" s="60"/>
      <c r="X1169" s="61"/>
      <c r="Y1169" s="62"/>
      <c r="Z1169" s="59"/>
      <c r="AA1169" s="60"/>
      <c r="AB1169" s="61"/>
      <c r="AC1169" s="62"/>
      <c r="AD1169" s="59"/>
      <c r="AE1169" s="60"/>
      <c r="AF1169" s="61"/>
      <c r="AG1169" s="62"/>
      <c r="AH1169" s="59"/>
      <c r="AI1169" s="60"/>
      <c r="AJ1169" s="61"/>
      <c r="AK1169" s="62"/>
      <c r="AL1169" s="59"/>
      <c r="AM1169" s="60"/>
      <c r="AN1169" s="61"/>
      <c r="AO1169" s="62"/>
      <c r="AP1169" s="59"/>
      <c r="AQ1169" s="60"/>
      <c r="AR1169" s="61"/>
      <c r="AS1169" s="62"/>
      <c r="AT1169" s="59"/>
      <c r="AU1169" s="60"/>
      <c r="AV1169" s="61"/>
      <c r="AW1169" s="62"/>
      <c r="AX1169" s="33">
        <f t="shared" si="1126"/>
        <v>0</v>
      </c>
      <c r="AY1169" s="31">
        <f t="shared" si="1127"/>
        <v>0</v>
      </c>
      <c r="AZ1169" s="30">
        <f t="shared" si="1128"/>
        <v>0</v>
      </c>
      <c r="BA1169" s="34"/>
      <c r="BB1169" s="34"/>
      <c r="BC1169" s="34"/>
      <c r="BD1169" s="76"/>
      <c r="BE1169" s="34"/>
      <c r="BF1169" s="34"/>
      <c r="BG1169" s="34"/>
      <c r="BH1169" s="34"/>
    </row>
    <row r="1170" spans="1:60" s="17" customFormat="1" ht="19.5" customHeight="1" thickBot="1" x14ac:dyDescent="0.45">
      <c r="A1170" s="41">
        <f>A1169</f>
        <v>45443</v>
      </c>
      <c r="B1170" s="139" t="str">
        <f>B1163</f>
        <v>Yan Kapama</v>
      </c>
      <c r="C1170" s="140"/>
      <c r="D1170" s="40">
        <f>C1062/8</f>
        <v>500</v>
      </c>
      <c r="E1170" s="147">
        <f>SUM(E1163:H1169)</f>
        <v>368</v>
      </c>
      <c r="F1170" s="148"/>
      <c r="G1170" s="148"/>
      <c r="H1170" s="149"/>
      <c r="I1170" s="147">
        <f>SUM(I1163:L1169)</f>
        <v>487</v>
      </c>
      <c r="J1170" s="148"/>
      <c r="K1170" s="148"/>
      <c r="L1170" s="149"/>
      <c r="M1170" s="147">
        <f>SUM(M1163:P1169)</f>
        <v>580</v>
      </c>
      <c r="N1170" s="148"/>
      <c r="O1170" s="148"/>
      <c r="P1170" s="149"/>
      <c r="Q1170" s="151">
        <f>SUM(Q1163:U1169)</f>
        <v>640</v>
      </c>
      <c r="R1170" s="152"/>
      <c r="S1170" s="152"/>
      <c r="T1170" s="152"/>
      <c r="U1170" s="153"/>
      <c r="V1170" s="147">
        <f>SUM(V1163:Y1169)</f>
        <v>458</v>
      </c>
      <c r="W1170" s="148"/>
      <c r="X1170" s="148"/>
      <c r="Y1170" s="149"/>
      <c r="Z1170" s="147">
        <f>SUM(Z1163:AC1169)</f>
        <v>210</v>
      </c>
      <c r="AA1170" s="148"/>
      <c r="AB1170" s="148"/>
      <c r="AC1170" s="149"/>
      <c r="AD1170" s="147">
        <f>SUM(AD1163:AG1169)</f>
        <v>502</v>
      </c>
      <c r="AE1170" s="148"/>
      <c r="AF1170" s="148"/>
      <c r="AG1170" s="149"/>
      <c r="AH1170" s="147">
        <f>SUM(AH1163:AK1169)</f>
        <v>345</v>
      </c>
      <c r="AI1170" s="148"/>
      <c r="AJ1170" s="148"/>
      <c r="AK1170" s="149"/>
      <c r="AL1170" s="147">
        <f>SUM(AL1163:AO1169)</f>
        <v>0</v>
      </c>
      <c r="AM1170" s="148"/>
      <c r="AN1170" s="148"/>
      <c r="AO1170" s="149"/>
      <c r="AP1170" s="147">
        <f>SUM(AP1163:AS1169)</f>
        <v>0</v>
      </c>
      <c r="AQ1170" s="148"/>
      <c r="AR1170" s="148"/>
      <c r="AS1170" s="149"/>
      <c r="AT1170" s="147">
        <f>SUM(AT1163:AW1169)</f>
        <v>0</v>
      </c>
      <c r="AU1170" s="148"/>
      <c r="AV1170" s="148"/>
      <c r="AW1170" s="149"/>
      <c r="AX1170" s="87">
        <f>SUM(AX1163:AX1169)</f>
        <v>3590</v>
      </c>
      <c r="AY1170" s="88">
        <f>IFERROR(AVERAGEIF(E1170:AV1170,"&lt;&gt;0",(E1170:AV1170)),)</f>
        <v>448.75</v>
      </c>
      <c r="AZ1170" s="46">
        <f>IFERROR(AX1170/BB1164,0)</f>
        <v>0.89749999999999996</v>
      </c>
      <c r="BA1170" s="34"/>
      <c r="BB1170" s="34"/>
      <c r="BC1170" s="34"/>
      <c r="BD1170" s="76"/>
      <c r="BE1170" s="34"/>
      <c r="BF1170" s="34"/>
      <c r="BG1170" s="34"/>
      <c r="BH1170" s="34"/>
    </row>
    <row r="1171" spans="1:60" s="17" customFormat="1" ht="19.5" customHeight="1" thickBot="1" x14ac:dyDescent="0.4">
      <c r="A1171" s="42">
        <f>A1162</f>
        <v>45443</v>
      </c>
      <c r="B1171" s="38" t="str">
        <f>B1172</f>
        <v>Yıkama Takma</v>
      </c>
      <c r="C1171" s="39" t="s">
        <v>180</v>
      </c>
      <c r="D1171" s="69" t="s">
        <v>181</v>
      </c>
      <c r="E1171" s="48">
        <v>0.34375</v>
      </c>
      <c r="F1171" s="49">
        <v>0.35416666666666669</v>
      </c>
      <c r="G1171" s="49">
        <v>0.36458333333333331</v>
      </c>
      <c r="H1171" s="50">
        <v>0.375</v>
      </c>
      <c r="I1171" s="48">
        <v>0.38541666666666702</v>
      </c>
      <c r="J1171" s="49">
        <v>0.39583333333333298</v>
      </c>
      <c r="K1171" s="49">
        <v>0.40625</v>
      </c>
      <c r="L1171" s="50">
        <v>0.41666666666666702</v>
      </c>
      <c r="M1171" s="48">
        <v>0.4375</v>
      </c>
      <c r="N1171" s="49">
        <v>0.44791666666666702</v>
      </c>
      <c r="O1171" s="49">
        <v>0.45833333333333398</v>
      </c>
      <c r="P1171" s="50">
        <v>0.46875</v>
      </c>
      <c r="Q1171" s="48">
        <v>0.47916666666666702</v>
      </c>
      <c r="R1171" s="49">
        <v>0.48958333333333398</v>
      </c>
      <c r="S1171" s="49">
        <v>0.5</v>
      </c>
      <c r="T1171" s="50">
        <v>0.51041666666666696</v>
      </c>
      <c r="U1171" s="51">
        <v>0.52083333333333204</v>
      </c>
      <c r="V1171" s="48">
        <v>0.5625</v>
      </c>
      <c r="W1171" s="49">
        <v>0.57291666666666663</v>
      </c>
      <c r="X1171" s="49">
        <v>0.58333333333333304</v>
      </c>
      <c r="Y1171" s="50">
        <v>0.59375</v>
      </c>
      <c r="Z1171" s="48">
        <v>0.60416666666666696</v>
      </c>
      <c r="AA1171" s="49">
        <v>0.61458333333333304</v>
      </c>
      <c r="AB1171" s="49">
        <v>0.625</v>
      </c>
      <c r="AC1171" s="50">
        <v>0.63541666666666596</v>
      </c>
      <c r="AD1171" s="48">
        <v>0.65625</v>
      </c>
      <c r="AE1171" s="49">
        <v>0.66666666666666663</v>
      </c>
      <c r="AF1171" s="49">
        <v>0.67708333333333304</v>
      </c>
      <c r="AG1171" s="50">
        <v>0.6875</v>
      </c>
      <c r="AH1171" s="48">
        <v>0.69791666666666696</v>
      </c>
      <c r="AI1171" s="49">
        <v>0.70833333333333304</v>
      </c>
      <c r="AJ1171" s="49">
        <v>0.71875</v>
      </c>
      <c r="AK1171" s="50">
        <v>0.72916666666666696</v>
      </c>
      <c r="AL1171" s="48">
        <v>0.73958333333333404</v>
      </c>
      <c r="AM1171" s="49">
        <v>0.750000000000001</v>
      </c>
      <c r="AN1171" s="49">
        <v>0.76041666666666796</v>
      </c>
      <c r="AO1171" s="50">
        <v>0.77083333333333504</v>
      </c>
      <c r="AP1171" s="48">
        <v>0.781250000000002</v>
      </c>
      <c r="AQ1171" s="49">
        <v>0.79166666666666896</v>
      </c>
      <c r="AR1171" s="49">
        <v>0.80208333333333603</v>
      </c>
      <c r="AS1171" s="50">
        <v>0.812500000000003</v>
      </c>
      <c r="AT1171" s="48">
        <v>0.82291666666666996</v>
      </c>
      <c r="AU1171" s="49">
        <v>0.83333333333333703</v>
      </c>
      <c r="AV1171" s="49">
        <v>0.843750000000004</v>
      </c>
      <c r="AW1171" s="50">
        <v>0.85416666666666663</v>
      </c>
      <c r="AX1171" s="68" t="s">
        <v>260</v>
      </c>
      <c r="AY1171" s="28" t="s">
        <v>261</v>
      </c>
      <c r="AZ1171" s="29" t="s">
        <v>262</v>
      </c>
      <c r="BA1171" s="136" t="str">
        <f>B1172</f>
        <v>Yıkama Takma</v>
      </c>
      <c r="BB1171" s="137"/>
      <c r="BC1171" s="137"/>
      <c r="BD1171" s="137"/>
      <c r="BE1171" s="137"/>
      <c r="BF1171" s="137"/>
      <c r="BG1171" s="137"/>
      <c r="BH1171" s="138"/>
    </row>
    <row r="1172" spans="1:60" s="17" customFormat="1" ht="19.5" customHeight="1" thickBot="1" x14ac:dyDescent="0.4">
      <c r="A1172" s="41">
        <f t="shared" ref="A1172" si="1132">A1171</f>
        <v>45443</v>
      </c>
      <c r="B1172" s="37" t="str">
        <f>B996</f>
        <v>Yıkama Takma</v>
      </c>
      <c r="C1172" s="65" t="str">
        <f>C996</f>
        <v>MEHMET SAĞ</v>
      </c>
      <c r="D1172" s="70">
        <f>D996</f>
        <v>125</v>
      </c>
      <c r="E1172" s="63">
        <v>155</v>
      </c>
      <c r="F1172" s="55">
        <v>145</v>
      </c>
      <c r="G1172" s="55">
        <v>0</v>
      </c>
      <c r="H1172" s="56">
        <v>0</v>
      </c>
      <c r="I1172" s="63">
        <v>150</v>
      </c>
      <c r="J1172" s="55">
        <v>140</v>
      </c>
      <c r="K1172" s="55">
        <v>145</v>
      </c>
      <c r="L1172" s="56">
        <v>150</v>
      </c>
      <c r="M1172" s="63">
        <v>145</v>
      </c>
      <c r="N1172" s="55">
        <v>135</v>
      </c>
      <c r="O1172" s="55">
        <v>130</v>
      </c>
      <c r="P1172" s="56">
        <v>160</v>
      </c>
      <c r="Q1172" s="63">
        <v>60</v>
      </c>
      <c r="R1172" s="55">
        <v>150</v>
      </c>
      <c r="S1172" s="55">
        <v>140</v>
      </c>
      <c r="T1172" s="55">
        <v>135</v>
      </c>
      <c r="U1172" s="56">
        <v>130</v>
      </c>
      <c r="V1172" s="63">
        <v>155</v>
      </c>
      <c r="W1172" s="55">
        <v>70</v>
      </c>
      <c r="X1172" s="55">
        <v>135</v>
      </c>
      <c r="Y1172" s="56">
        <v>0</v>
      </c>
      <c r="Z1172" s="63">
        <v>145</v>
      </c>
      <c r="AA1172" s="55">
        <v>65</v>
      </c>
      <c r="AB1172" s="55">
        <v>0</v>
      </c>
      <c r="AC1172" s="56">
        <v>85</v>
      </c>
      <c r="AD1172" s="63">
        <v>0</v>
      </c>
      <c r="AE1172" s="55">
        <v>145</v>
      </c>
      <c r="AF1172" s="55">
        <v>130</v>
      </c>
      <c r="AG1172" s="56">
        <v>60</v>
      </c>
      <c r="AH1172" s="63">
        <v>130</v>
      </c>
      <c r="AI1172" s="55">
        <v>130</v>
      </c>
      <c r="AJ1172" s="55">
        <v>130</v>
      </c>
      <c r="AK1172" s="56"/>
      <c r="AL1172" s="63"/>
      <c r="AM1172" s="55"/>
      <c r="AN1172" s="55"/>
      <c r="AO1172" s="56"/>
      <c r="AP1172" s="63"/>
      <c r="AQ1172" s="55"/>
      <c r="AR1172" s="55"/>
      <c r="AS1172" s="56"/>
      <c r="AT1172" s="53"/>
      <c r="AU1172" s="54"/>
      <c r="AV1172" s="55"/>
      <c r="AW1172" s="56"/>
      <c r="AX1172" s="33">
        <f>SUM(E1172:AW1172)</f>
        <v>3450</v>
      </c>
      <c r="AY1172" s="31">
        <f>IFERROR(AVERAGEIF(E1172:AW1172,"&lt;&gt;0",(E1172:AW1172)),)</f>
        <v>127.77777777777777</v>
      </c>
      <c r="AZ1172" s="30">
        <f>IFERROR(AY1172/D1172,0)</f>
        <v>1.0222222222222221</v>
      </c>
      <c r="BA1172" s="103" t="s">
        <v>182</v>
      </c>
      <c r="BB1172" s="100" t="s">
        <v>183</v>
      </c>
      <c r="BC1172" s="100" t="s">
        <v>184</v>
      </c>
      <c r="BD1172" s="101" t="s">
        <v>185</v>
      </c>
      <c r="BE1172" s="100" t="s">
        <v>186</v>
      </c>
      <c r="BF1172" s="102" t="s">
        <v>187</v>
      </c>
      <c r="BG1172" s="100" t="s">
        <v>188</v>
      </c>
      <c r="BH1172" s="102" t="s">
        <v>189</v>
      </c>
    </row>
    <row r="1173" spans="1:60" s="17" customFormat="1" ht="19.5" customHeight="1" thickBot="1" x14ac:dyDescent="0.4">
      <c r="A1173" s="41">
        <f t="shared" ref="A1173:B1173" si="1133">A1172</f>
        <v>45443</v>
      </c>
      <c r="B1173" s="37" t="str">
        <f t="shared" si="1133"/>
        <v>Yıkama Takma</v>
      </c>
      <c r="C1173" s="65">
        <f t="shared" ref="C1173:C1178" si="1134">C997</f>
        <v>0</v>
      </c>
      <c r="D1173" s="67">
        <f t="shared" ref="D1173:D1178" si="1135">D1172</f>
        <v>125</v>
      </c>
      <c r="E1173" s="57"/>
      <c r="F1173" s="52"/>
      <c r="G1173" s="52"/>
      <c r="H1173" s="58"/>
      <c r="I1173" s="57"/>
      <c r="J1173" s="52"/>
      <c r="K1173" s="52"/>
      <c r="L1173" s="58"/>
      <c r="M1173" s="57"/>
      <c r="N1173" s="52"/>
      <c r="O1173" s="52"/>
      <c r="P1173" s="58"/>
      <c r="Q1173" s="57"/>
      <c r="R1173" s="52"/>
      <c r="S1173" s="52"/>
      <c r="T1173" s="52"/>
      <c r="U1173" s="58"/>
      <c r="V1173" s="57"/>
      <c r="W1173" s="52"/>
      <c r="X1173" s="52"/>
      <c r="Y1173" s="58"/>
      <c r="Z1173" s="57"/>
      <c r="AA1173" s="52"/>
      <c r="AB1173" s="52"/>
      <c r="AC1173" s="58"/>
      <c r="AD1173" s="57"/>
      <c r="AE1173" s="52"/>
      <c r="AF1173" s="52"/>
      <c r="AG1173" s="58"/>
      <c r="AH1173" s="57"/>
      <c r="AI1173" s="52"/>
      <c r="AJ1173" s="52"/>
      <c r="AK1173" s="58"/>
      <c r="AL1173" s="57"/>
      <c r="AM1173" s="52"/>
      <c r="AN1173" s="52"/>
      <c r="AO1173" s="58"/>
      <c r="AP1173" s="57"/>
      <c r="AQ1173" s="52"/>
      <c r="AR1173" s="52"/>
      <c r="AS1173" s="58"/>
      <c r="AT1173" s="57"/>
      <c r="AU1173" s="52"/>
      <c r="AV1173" s="52"/>
      <c r="AW1173" s="58"/>
      <c r="AX1173" s="33">
        <f t="shared" ref="AX1173:AX1178" si="1136">SUM(E1173:AW1173)</f>
        <v>0</v>
      </c>
      <c r="AY1173" s="31">
        <f t="shared" ref="AY1173:AY1178" si="1137">IFERROR(AVERAGEIF(E1173:AW1173,"&lt;&gt;0",(E1173:AW1173)),)</f>
        <v>0</v>
      </c>
      <c r="AZ1173" s="30">
        <f t="shared" ref="AZ1173:AZ1178" si="1138">IFERROR(AY1173/D1173,0)</f>
        <v>0</v>
      </c>
      <c r="BA1173" s="94">
        <f>AX1179+BA997</f>
        <v>12475</v>
      </c>
      <c r="BB1173" s="95">
        <f>(D1179*8)</f>
        <v>4000</v>
      </c>
      <c r="BC1173" s="96">
        <f>C1061-BA1173</f>
        <v>29836</v>
      </c>
      <c r="BD1173" s="96">
        <f>BA1164-BA1173</f>
        <v>1197</v>
      </c>
      <c r="BE1173" s="97">
        <f>IFERROR(BC1173/E1179,0)</f>
        <v>99.453333333333333</v>
      </c>
      <c r="BF1173" s="98">
        <f>IFERROR(BE1173/9,0)</f>
        <v>11.05037037037037</v>
      </c>
      <c r="BG1173" s="97">
        <f>IFERROR(BC1173/AY1179,0)</f>
        <v>69.184927536231882</v>
      </c>
      <c r="BH1173" s="97">
        <f>IFERROR(BG1173/9,0)</f>
        <v>7.6872141706924317</v>
      </c>
    </row>
    <row r="1174" spans="1:60" s="17" customFormat="1" ht="19.5" customHeight="1" x14ac:dyDescent="0.35">
      <c r="A1174" s="41">
        <f t="shared" ref="A1174:B1174" si="1139">A1173</f>
        <v>45443</v>
      </c>
      <c r="B1174" s="37" t="str">
        <f t="shared" si="1139"/>
        <v>Yıkama Takma</v>
      </c>
      <c r="C1174" s="65">
        <f t="shared" si="1134"/>
        <v>0</v>
      </c>
      <c r="D1174" s="67">
        <f t="shared" si="1135"/>
        <v>125</v>
      </c>
      <c r="E1174" s="57"/>
      <c r="F1174" s="52"/>
      <c r="G1174" s="52"/>
      <c r="H1174" s="58"/>
      <c r="I1174" s="57"/>
      <c r="J1174" s="52"/>
      <c r="K1174" s="52"/>
      <c r="L1174" s="58"/>
      <c r="M1174" s="57"/>
      <c r="N1174" s="52"/>
      <c r="O1174" s="52"/>
      <c r="P1174" s="58"/>
      <c r="Q1174" s="57"/>
      <c r="R1174" s="52"/>
      <c r="S1174" s="52"/>
      <c r="T1174" s="52"/>
      <c r="U1174" s="58"/>
      <c r="V1174" s="57"/>
      <c r="W1174" s="52"/>
      <c r="X1174" s="52"/>
      <c r="Y1174" s="58"/>
      <c r="Z1174" s="57"/>
      <c r="AA1174" s="52"/>
      <c r="AB1174" s="52"/>
      <c r="AC1174" s="58"/>
      <c r="AD1174" s="57"/>
      <c r="AE1174" s="52"/>
      <c r="AF1174" s="52"/>
      <c r="AG1174" s="58"/>
      <c r="AH1174" s="57"/>
      <c r="AI1174" s="52"/>
      <c r="AJ1174" s="52"/>
      <c r="AK1174" s="58"/>
      <c r="AL1174" s="57"/>
      <c r="AM1174" s="52"/>
      <c r="AN1174" s="52"/>
      <c r="AO1174" s="58"/>
      <c r="AP1174" s="57"/>
      <c r="AQ1174" s="52"/>
      <c r="AR1174" s="52"/>
      <c r="AS1174" s="58"/>
      <c r="AT1174" s="57"/>
      <c r="AU1174" s="52"/>
      <c r="AV1174" s="52"/>
      <c r="AW1174" s="58"/>
      <c r="AX1174" s="33">
        <f t="shared" si="1136"/>
        <v>0</v>
      </c>
      <c r="AY1174" s="31">
        <f t="shared" si="1137"/>
        <v>0</v>
      </c>
      <c r="AZ1174" s="30">
        <f t="shared" si="1138"/>
        <v>0</v>
      </c>
      <c r="BA1174" s="34"/>
      <c r="BB1174" s="34"/>
      <c r="BC1174" s="34"/>
      <c r="BD1174" s="76"/>
      <c r="BE1174" s="34"/>
      <c r="BF1174" s="34"/>
      <c r="BG1174" s="34"/>
      <c r="BH1174" s="34"/>
    </row>
    <row r="1175" spans="1:60" s="17" customFormat="1" ht="19.5" customHeight="1" x14ac:dyDescent="0.35">
      <c r="A1175" s="41">
        <f t="shared" ref="A1175:B1176" si="1140">A1174</f>
        <v>45443</v>
      </c>
      <c r="B1175" s="37" t="str">
        <f t="shared" si="1140"/>
        <v>Yıkama Takma</v>
      </c>
      <c r="C1175" s="65">
        <f t="shared" si="1134"/>
        <v>0</v>
      </c>
      <c r="D1175" s="67">
        <f t="shared" si="1135"/>
        <v>125</v>
      </c>
      <c r="E1175" s="57"/>
      <c r="F1175" s="52"/>
      <c r="G1175" s="52"/>
      <c r="H1175" s="58"/>
      <c r="I1175" s="57"/>
      <c r="J1175" s="52"/>
      <c r="K1175" s="52"/>
      <c r="L1175" s="58"/>
      <c r="M1175" s="57"/>
      <c r="N1175" s="52"/>
      <c r="O1175" s="52"/>
      <c r="P1175" s="58"/>
      <c r="Q1175" s="57"/>
      <c r="R1175" s="52"/>
      <c r="S1175" s="52"/>
      <c r="T1175" s="52"/>
      <c r="U1175" s="58"/>
      <c r="V1175" s="57"/>
      <c r="W1175" s="52"/>
      <c r="X1175" s="52"/>
      <c r="Y1175" s="58"/>
      <c r="Z1175" s="57"/>
      <c r="AA1175" s="52"/>
      <c r="AB1175" s="52"/>
      <c r="AC1175" s="58"/>
      <c r="AD1175" s="57"/>
      <c r="AE1175" s="52"/>
      <c r="AF1175" s="52"/>
      <c r="AG1175" s="58"/>
      <c r="AH1175" s="57"/>
      <c r="AI1175" s="52"/>
      <c r="AJ1175" s="52"/>
      <c r="AK1175" s="58"/>
      <c r="AL1175" s="57"/>
      <c r="AM1175" s="52"/>
      <c r="AN1175" s="52"/>
      <c r="AO1175" s="58"/>
      <c r="AP1175" s="57"/>
      <c r="AQ1175" s="52"/>
      <c r="AR1175" s="52"/>
      <c r="AS1175" s="58"/>
      <c r="AT1175" s="57"/>
      <c r="AU1175" s="52"/>
      <c r="AV1175" s="52"/>
      <c r="AW1175" s="58"/>
      <c r="AX1175" s="33">
        <f t="shared" si="1136"/>
        <v>0</v>
      </c>
      <c r="AY1175" s="31">
        <f t="shared" si="1137"/>
        <v>0</v>
      </c>
      <c r="AZ1175" s="30">
        <f t="shared" si="1138"/>
        <v>0</v>
      </c>
      <c r="BA1175" s="34"/>
      <c r="BB1175" s="34"/>
      <c r="BC1175" s="34"/>
      <c r="BD1175" s="76"/>
      <c r="BE1175" s="34"/>
      <c r="BF1175" s="34"/>
      <c r="BG1175" s="34"/>
      <c r="BH1175" s="34"/>
    </row>
    <row r="1176" spans="1:60" s="17" customFormat="1" ht="19.5" customHeight="1" x14ac:dyDescent="0.35">
      <c r="A1176" s="41">
        <f>A1173</f>
        <v>45443</v>
      </c>
      <c r="B1176" s="37" t="str">
        <f t="shared" si="1140"/>
        <v>Yıkama Takma</v>
      </c>
      <c r="C1176" s="65">
        <f t="shared" si="1134"/>
        <v>0</v>
      </c>
      <c r="D1176" s="67">
        <f t="shared" si="1135"/>
        <v>125</v>
      </c>
      <c r="E1176" s="57"/>
      <c r="F1176" s="52"/>
      <c r="G1176" s="52"/>
      <c r="H1176" s="58"/>
      <c r="I1176" s="57"/>
      <c r="J1176" s="52"/>
      <c r="K1176" s="52"/>
      <c r="L1176" s="58"/>
      <c r="M1176" s="57"/>
      <c r="N1176" s="52"/>
      <c r="O1176" s="52"/>
      <c r="P1176" s="58"/>
      <c r="Q1176" s="57"/>
      <c r="R1176" s="52"/>
      <c r="S1176" s="52"/>
      <c r="T1176" s="52"/>
      <c r="U1176" s="58"/>
      <c r="V1176" s="57"/>
      <c r="W1176" s="52"/>
      <c r="X1176" s="52"/>
      <c r="Y1176" s="58"/>
      <c r="Z1176" s="57"/>
      <c r="AA1176" s="52"/>
      <c r="AB1176" s="52"/>
      <c r="AC1176" s="58"/>
      <c r="AD1176" s="57"/>
      <c r="AE1176" s="52"/>
      <c r="AF1176" s="52"/>
      <c r="AG1176" s="58"/>
      <c r="AH1176" s="57"/>
      <c r="AI1176" s="52"/>
      <c r="AJ1176" s="52"/>
      <c r="AK1176" s="58"/>
      <c r="AL1176" s="57"/>
      <c r="AM1176" s="52"/>
      <c r="AN1176" s="52"/>
      <c r="AO1176" s="58"/>
      <c r="AP1176" s="57"/>
      <c r="AQ1176" s="52"/>
      <c r="AR1176" s="52"/>
      <c r="AS1176" s="58"/>
      <c r="AT1176" s="57"/>
      <c r="AU1176" s="52"/>
      <c r="AV1176" s="52"/>
      <c r="AW1176" s="58"/>
      <c r="AX1176" s="33">
        <f t="shared" si="1136"/>
        <v>0</v>
      </c>
      <c r="AY1176" s="31">
        <f t="shared" si="1137"/>
        <v>0</v>
      </c>
      <c r="AZ1176" s="30">
        <f t="shared" si="1138"/>
        <v>0</v>
      </c>
      <c r="BA1176" s="34"/>
      <c r="BB1176" s="34"/>
      <c r="BC1176" s="34"/>
      <c r="BD1176" s="76"/>
      <c r="BE1176" s="34"/>
      <c r="BF1176" s="34"/>
      <c r="BG1176" s="34"/>
      <c r="BH1176" s="34"/>
    </row>
    <row r="1177" spans="1:60" s="17" customFormat="1" ht="19.5" customHeight="1" x14ac:dyDescent="0.35">
      <c r="A1177" s="41">
        <f t="shared" ref="A1177:B1177" si="1141">A1176</f>
        <v>45443</v>
      </c>
      <c r="B1177" s="37" t="str">
        <f t="shared" si="1141"/>
        <v>Yıkama Takma</v>
      </c>
      <c r="C1177" s="65">
        <f t="shared" si="1134"/>
        <v>0</v>
      </c>
      <c r="D1177" s="67">
        <f t="shared" si="1135"/>
        <v>125</v>
      </c>
      <c r="E1177" s="57"/>
      <c r="F1177" s="52"/>
      <c r="G1177" s="52"/>
      <c r="H1177" s="58"/>
      <c r="I1177" s="57"/>
      <c r="J1177" s="52"/>
      <c r="K1177" s="52"/>
      <c r="L1177" s="58"/>
      <c r="M1177" s="57"/>
      <c r="N1177" s="52"/>
      <c r="O1177" s="52"/>
      <c r="P1177" s="58"/>
      <c r="Q1177" s="57"/>
      <c r="R1177" s="52"/>
      <c r="S1177" s="52"/>
      <c r="T1177" s="52"/>
      <c r="U1177" s="58"/>
      <c r="V1177" s="57"/>
      <c r="W1177" s="52"/>
      <c r="X1177" s="52"/>
      <c r="Y1177" s="58"/>
      <c r="Z1177" s="57"/>
      <c r="AA1177" s="52"/>
      <c r="AB1177" s="52"/>
      <c r="AC1177" s="58"/>
      <c r="AD1177" s="57"/>
      <c r="AE1177" s="52"/>
      <c r="AF1177" s="52"/>
      <c r="AG1177" s="58"/>
      <c r="AH1177" s="57"/>
      <c r="AI1177" s="52"/>
      <c r="AJ1177" s="52"/>
      <c r="AK1177" s="58"/>
      <c r="AL1177" s="57"/>
      <c r="AM1177" s="52"/>
      <c r="AN1177" s="52"/>
      <c r="AO1177" s="58"/>
      <c r="AP1177" s="57"/>
      <c r="AQ1177" s="52"/>
      <c r="AR1177" s="52"/>
      <c r="AS1177" s="58"/>
      <c r="AT1177" s="57"/>
      <c r="AU1177" s="52"/>
      <c r="AV1177" s="52"/>
      <c r="AW1177" s="58"/>
      <c r="AX1177" s="33">
        <f t="shared" si="1136"/>
        <v>0</v>
      </c>
      <c r="AY1177" s="31">
        <f t="shared" si="1137"/>
        <v>0</v>
      </c>
      <c r="AZ1177" s="30">
        <f t="shared" si="1138"/>
        <v>0</v>
      </c>
      <c r="BA1177" s="34"/>
      <c r="BB1177" s="34"/>
      <c r="BC1177" s="34"/>
      <c r="BD1177" s="76"/>
      <c r="BE1177" s="34"/>
      <c r="BF1177" s="34"/>
      <c r="BG1177" s="34"/>
      <c r="BH1177" s="34"/>
    </row>
    <row r="1178" spans="1:60" s="17" customFormat="1" ht="19.5" customHeight="1" thickBot="1" x14ac:dyDescent="0.4">
      <c r="A1178" s="41">
        <f t="shared" ref="A1178:B1179" si="1142">A1177</f>
        <v>45443</v>
      </c>
      <c r="B1178" s="37" t="str">
        <f t="shared" si="1142"/>
        <v>Yıkama Takma</v>
      </c>
      <c r="C1178" s="65">
        <f t="shared" si="1134"/>
        <v>0</v>
      </c>
      <c r="D1178" s="67">
        <f t="shared" si="1135"/>
        <v>125</v>
      </c>
      <c r="E1178" s="59"/>
      <c r="F1178" s="60"/>
      <c r="G1178" s="61"/>
      <c r="H1178" s="62"/>
      <c r="I1178" s="59"/>
      <c r="J1178" s="60"/>
      <c r="K1178" s="61"/>
      <c r="L1178" s="62"/>
      <c r="M1178" s="59"/>
      <c r="N1178" s="60"/>
      <c r="O1178" s="61"/>
      <c r="P1178" s="62"/>
      <c r="Q1178" s="64"/>
      <c r="R1178" s="61"/>
      <c r="S1178" s="61"/>
      <c r="T1178" s="61"/>
      <c r="U1178" s="62"/>
      <c r="V1178" s="59"/>
      <c r="W1178" s="60"/>
      <c r="X1178" s="61"/>
      <c r="Y1178" s="62"/>
      <c r="Z1178" s="59"/>
      <c r="AA1178" s="60"/>
      <c r="AB1178" s="61"/>
      <c r="AC1178" s="62"/>
      <c r="AD1178" s="59"/>
      <c r="AE1178" s="60"/>
      <c r="AF1178" s="61"/>
      <c r="AG1178" s="62"/>
      <c r="AH1178" s="59"/>
      <c r="AI1178" s="60"/>
      <c r="AJ1178" s="61"/>
      <c r="AK1178" s="62"/>
      <c r="AL1178" s="59"/>
      <c r="AM1178" s="60"/>
      <c r="AN1178" s="61"/>
      <c r="AO1178" s="62"/>
      <c r="AP1178" s="59"/>
      <c r="AQ1178" s="60"/>
      <c r="AR1178" s="61"/>
      <c r="AS1178" s="62"/>
      <c r="AT1178" s="59"/>
      <c r="AU1178" s="60"/>
      <c r="AV1178" s="61"/>
      <c r="AW1178" s="62"/>
      <c r="AX1178" s="33">
        <f t="shared" si="1136"/>
        <v>0</v>
      </c>
      <c r="AY1178" s="31">
        <f t="shared" si="1137"/>
        <v>0</v>
      </c>
      <c r="AZ1178" s="30">
        <f t="shared" si="1138"/>
        <v>0</v>
      </c>
      <c r="BA1178" s="34"/>
      <c r="BB1178" s="34"/>
      <c r="BC1178" s="34"/>
      <c r="BD1178" s="76"/>
      <c r="BE1178" s="34"/>
      <c r="BF1178" s="34"/>
      <c r="BG1178" s="34"/>
      <c r="BH1178" s="34"/>
    </row>
    <row r="1179" spans="1:60" s="17" customFormat="1" ht="19.5" customHeight="1" thickBot="1" x14ac:dyDescent="0.45">
      <c r="A1179" s="41">
        <f t="shared" si="1142"/>
        <v>45443</v>
      </c>
      <c r="B1179" s="139" t="str">
        <f>B1172</f>
        <v>Yıkama Takma</v>
      </c>
      <c r="C1179" s="140"/>
      <c r="D1179" s="40">
        <f>C1062/8</f>
        <v>500</v>
      </c>
      <c r="E1179" s="147">
        <f>SUM(E1172:H1178)</f>
        <v>300</v>
      </c>
      <c r="F1179" s="148"/>
      <c r="G1179" s="148"/>
      <c r="H1179" s="149"/>
      <c r="I1179" s="147">
        <f>SUM(I1172:L1178)</f>
        <v>585</v>
      </c>
      <c r="J1179" s="148"/>
      <c r="K1179" s="148"/>
      <c r="L1179" s="149"/>
      <c r="M1179" s="147">
        <f>SUM(M1172:P1178)</f>
        <v>570</v>
      </c>
      <c r="N1179" s="148"/>
      <c r="O1179" s="148"/>
      <c r="P1179" s="149"/>
      <c r="Q1179" s="147">
        <f>SUM(Q1172:U1178)</f>
        <v>615</v>
      </c>
      <c r="R1179" s="148"/>
      <c r="S1179" s="148"/>
      <c r="T1179" s="148"/>
      <c r="U1179" s="149"/>
      <c r="V1179" s="147">
        <f>SUM(V1172:Y1178)</f>
        <v>360</v>
      </c>
      <c r="W1179" s="148"/>
      <c r="X1179" s="148"/>
      <c r="Y1179" s="149"/>
      <c r="Z1179" s="147">
        <f>SUM(Z1172:AC1178)</f>
        <v>295</v>
      </c>
      <c r="AA1179" s="148"/>
      <c r="AB1179" s="148"/>
      <c r="AC1179" s="149"/>
      <c r="AD1179" s="147">
        <f>SUM(AD1172:AG1178)</f>
        <v>335</v>
      </c>
      <c r="AE1179" s="148"/>
      <c r="AF1179" s="148"/>
      <c r="AG1179" s="149"/>
      <c r="AH1179" s="147">
        <f>SUM(AH1172:AK1178)</f>
        <v>390</v>
      </c>
      <c r="AI1179" s="148"/>
      <c r="AJ1179" s="148"/>
      <c r="AK1179" s="149"/>
      <c r="AL1179" s="147">
        <f>SUM(AL1172:AO1178)</f>
        <v>0</v>
      </c>
      <c r="AM1179" s="148"/>
      <c r="AN1179" s="148"/>
      <c r="AO1179" s="149"/>
      <c r="AP1179" s="147">
        <f>SUM(AP1172:AS1178)</f>
        <v>0</v>
      </c>
      <c r="AQ1179" s="148"/>
      <c r="AR1179" s="148"/>
      <c r="AS1179" s="149"/>
      <c r="AT1179" s="147">
        <f>SUM(AT1172:AW1178)</f>
        <v>0</v>
      </c>
      <c r="AU1179" s="148"/>
      <c r="AV1179" s="148"/>
      <c r="AW1179" s="149"/>
      <c r="AX1179" s="87">
        <f>SUM(AX1172:AX1178)</f>
        <v>3450</v>
      </c>
      <c r="AY1179" s="88">
        <f>IFERROR(AVERAGEIF(E1179:AV1179,"&lt;&gt;0",(E1179:AV1179)),)</f>
        <v>431.25</v>
      </c>
      <c r="AZ1179" s="46">
        <f>IFERROR(AX1179/BB1173,0)</f>
        <v>0.86250000000000004</v>
      </c>
      <c r="BA1179" s="34"/>
      <c r="BB1179" s="34"/>
      <c r="BC1179" s="34"/>
      <c r="BD1179" s="76"/>
      <c r="BE1179" s="34"/>
      <c r="BF1179" s="34"/>
      <c r="BG1179" s="34"/>
      <c r="BH1179" s="34"/>
    </row>
    <row r="1180" spans="1:60" s="17" customFormat="1" ht="19.5" customHeight="1" thickBot="1" x14ac:dyDescent="0.4">
      <c r="A1180" s="42">
        <f>A1171</f>
        <v>45443</v>
      </c>
      <c r="B1180" s="38" t="str">
        <f>B1181</f>
        <v>Kol Reçme</v>
      </c>
      <c r="C1180" s="39" t="s">
        <v>180</v>
      </c>
      <c r="D1180" s="69" t="s">
        <v>181</v>
      </c>
      <c r="E1180" s="48">
        <v>0.34375</v>
      </c>
      <c r="F1180" s="49">
        <v>0.35416666666666669</v>
      </c>
      <c r="G1180" s="49">
        <v>0.36458333333333331</v>
      </c>
      <c r="H1180" s="50">
        <v>0.375</v>
      </c>
      <c r="I1180" s="48">
        <v>0.38541666666666702</v>
      </c>
      <c r="J1180" s="49">
        <v>0.39583333333333298</v>
      </c>
      <c r="K1180" s="49">
        <v>0.40625</v>
      </c>
      <c r="L1180" s="50">
        <v>0.41666666666666702</v>
      </c>
      <c r="M1180" s="48">
        <v>0.4375</v>
      </c>
      <c r="N1180" s="49">
        <v>0.44791666666666702</v>
      </c>
      <c r="O1180" s="49">
        <v>0.45833333333333398</v>
      </c>
      <c r="P1180" s="50">
        <v>0.46875</v>
      </c>
      <c r="Q1180" s="82">
        <v>0.47916666666666702</v>
      </c>
      <c r="R1180" s="83">
        <v>0.48958333333333398</v>
      </c>
      <c r="S1180" s="83">
        <v>0.5</v>
      </c>
      <c r="T1180" s="84">
        <v>0.51041666666666696</v>
      </c>
      <c r="U1180" s="85">
        <v>0.52083333333333204</v>
      </c>
      <c r="V1180" s="48">
        <v>0.5625</v>
      </c>
      <c r="W1180" s="49">
        <v>0.57291666666666663</v>
      </c>
      <c r="X1180" s="49">
        <v>0.58333333333333304</v>
      </c>
      <c r="Y1180" s="50">
        <v>0.59375</v>
      </c>
      <c r="Z1180" s="48">
        <v>0.60416666666666696</v>
      </c>
      <c r="AA1180" s="49">
        <v>0.61458333333333304</v>
      </c>
      <c r="AB1180" s="49">
        <v>0.625</v>
      </c>
      <c r="AC1180" s="50">
        <v>0.63541666666666596</v>
      </c>
      <c r="AD1180" s="48">
        <v>0.65625</v>
      </c>
      <c r="AE1180" s="49">
        <v>0.66666666666666663</v>
      </c>
      <c r="AF1180" s="49">
        <v>0.67708333333333304</v>
      </c>
      <c r="AG1180" s="50">
        <v>0.6875</v>
      </c>
      <c r="AH1180" s="48">
        <v>0.69791666666666696</v>
      </c>
      <c r="AI1180" s="49">
        <v>0.70833333333333304</v>
      </c>
      <c r="AJ1180" s="49">
        <v>0.71875</v>
      </c>
      <c r="AK1180" s="50">
        <v>0.72916666666666696</v>
      </c>
      <c r="AL1180" s="48">
        <v>0.73958333333333404</v>
      </c>
      <c r="AM1180" s="49">
        <v>0.750000000000001</v>
      </c>
      <c r="AN1180" s="49">
        <v>0.76041666666666796</v>
      </c>
      <c r="AO1180" s="50">
        <v>0.77083333333333504</v>
      </c>
      <c r="AP1180" s="48">
        <v>0.781250000000002</v>
      </c>
      <c r="AQ1180" s="49">
        <v>0.79166666666666896</v>
      </c>
      <c r="AR1180" s="49">
        <v>0.80208333333333603</v>
      </c>
      <c r="AS1180" s="50">
        <v>0.812500000000003</v>
      </c>
      <c r="AT1180" s="48">
        <v>0.82291666666666996</v>
      </c>
      <c r="AU1180" s="49">
        <v>0.83333333333333703</v>
      </c>
      <c r="AV1180" s="49">
        <v>0.843750000000004</v>
      </c>
      <c r="AW1180" s="50">
        <v>0.85416666666666663</v>
      </c>
      <c r="AX1180" s="68" t="s">
        <v>260</v>
      </c>
      <c r="AY1180" s="28" t="s">
        <v>261</v>
      </c>
      <c r="AZ1180" s="29" t="s">
        <v>262</v>
      </c>
      <c r="BA1180" s="136" t="str">
        <f>B1181</f>
        <v>Kol Reçme</v>
      </c>
      <c r="BB1180" s="137"/>
      <c r="BC1180" s="137"/>
      <c r="BD1180" s="137"/>
      <c r="BE1180" s="137"/>
      <c r="BF1180" s="137"/>
      <c r="BG1180" s="137"/>
      <c r="BH1180" s="138"/>
    </row>
    <row r="1181" spans="1:60" s="17" customFormat="1" ht="19.5" customHeight="1" thickBot="1" x14ac:dyDescent="0.4">
      <c r="A1181" s="41">
        <f t="shared" ref="A1181" si="1143">A1180</f>
        <v>45443</v>
      </c>
      <c r="B1181" s="37" t="str">
        <f>B1005</f>
        <v>Kol Reçme</v>
      </c>
      <c r="C1181" s="65" t="s">
        <v>62</v>
      </c>
      <c r="D1181" s="70">
        <f>D1005</f>
        <v>60</v>
      </c>
      <c r="E1181" s="63">
        <v>40</v>
      </c>
      <c r="F1181" s="55">
        <v>45</v>
      </c>
      <c r="G1181" s="55">
        <v>45</v>
      </c>
      <c r="H1181" s="56">
        <v>40</v>
      </c>
      <c r="I1181" s="63">
        <v>45</v>
      </c>
      <c r="J1181" s="55">
        <v>45</v>
      </c>
      <c r="K1181" s="55">
        <v>40</v>
      </c>
      <c r="L1181" s="56">
        <v>40</v>
      </c>
      <c r="M1181" s="63">
        <v>45</v>
      </c>
      <c r="N1181" s="55">
        <v>50</v>
      </c>
      <c r="O1181" s="55">
        <v>40</v>
      </c>
      <c r="P1181" s="56">
        <v>45</v>
      </c>
      <c r="Q1181" s="63">
        <v>45</v>
      </c>
      <c r="R1181" s="55">
        <v>15</v>
      </c>
      <c r="S1181" s="55">
        <v>50</v>
      </c>
      <c r="T1181" s="55">
        <v>50</v>
      </c>
      <c r="U1181" s="56">
        <v>40</v>
      </c>
      <c r="V1181" s="63">
        <v>50</v>
      </c>
      <c r="W1181" s="55">
        <v>40</v>
      </c>
      <c r="X1181" s="55">
        <v>40</v>
      </c>
      <c r="Y1181" s="56">
        <v>20</v>
      </c>
      <c r="Z1181" s="63">
        <v>0</v>
      </c>
      <c r="AA1181" s="55">
        <v>0</v>
      </c>
      <c r="AB1181" s="55">
        <v>0</v>
      </c>
      <c r="AC1181" s="56">
        <v>0</v>
      </c>
      <c r="AD1181" s="63">
        <v>0</v>
      </c>
      <c r="AE1181" s="55">
        <v>50</v>
      </c>
      <c r="AF1181" s="55">
        <v>40</v>
      </c>
      <c r="AG1181" s="56">
        <v>40</v>
      </c>
      <c r="AH1181" s="63">
        <v>40</v>
      </c>
      <c r="AI1181" s="55">
        <v>40</v>
      </c>
      <c r="AJ1181" s="55">
        <v>45</v>
      </c>
      <c r="AK1181" s="56"/>
      <c r="AL1181" s="53"/>
      <c r="AM1181" s="54"/>
      <c r="AN1181" s="55"/>
      <c r="AO1181" s="56"/>
      <c r="AP1181" s="53"/>
      <c r="AQ1181" s="54"/>
      <c r="AR1181" s="55"/>
      <c r="AS1181" s="56"/>
      <c r="AT1181" s="53"/>
      <c r="AU1181" s="54"/>
      <c r="AV1181" s="55"/>
      <c r="AW1181" s="56"/>
      <c r="AX1181" s="33">
        <f>SUM(E1181:AW1181)</f>
        <v>1125</v>
      </c>
      <c r="AY1181" s="31">
        <f>IFERROR(AVERAGEIF(E1181:AW1181,"&lt;&gt;0",(E1181:AW1181)),)</f>
        <v>41.666666666666664</v>
      </c>
      <c r="AZ1181" s="30">
        <f>IFERROR(AY1181/D1181,0)</f>
        <v>0.69444444444444442</v>
      </c>
      <c r="BA1181" s="103" t="s">
        <v>182</v>
      </c>
      <c r="BB1181" s="100" t="s">
        <v>183</v>
      </c>
      <c r="BC1181" s="100" t="s">
        <v>184</v>
      </c>
      <c r="BD1181" s="101" t="s">
        <v>185</v>
      </c>
      <c r="BE1181" s="100" t="s">
        <v>186</v>
      </c>
      <c r="BF1181" s="102" t="s">
        <v>187</v>
      </c>
      <c r="BG1181" s="100" t="s">
        <v>188</v>
      </c>
      <c r="BH1181" s="102" t="s">
        <v>189</v>
      </c>
    </row>
    <row r="1182" spans="1:60" s="17" customFormat="1" ht="19.5" customHeight="1" thickBot="1" x14ac:dyDescent="0.4">
      <c r="A1182" s="41">
        <f t="shared" ref="A1182:B1182" si="1144">A1181</f>
        <v>45443</v>
      </c>
      <c r="B1182" s="37" t="str">
        <f t="shared" si="1144"/>
        <v>Kol Reçme</v>
      </c>
      <c r="C1182" s="65" t="s">
        <v>264</v>
      </c>
      <c r="D1182" s="67">
        <f t="shared" ref="D1182:D1187" si="1145">D1181</f>
        <v>60</v>
      </c>
      <c r="E1182" s="57">
        <v>25</v>
      </c>
      <c r="F1182" s="52">
        <v>32</v>
      </c>
      <c r="G1182" s="52">
        <v>32</v>
      </c>
      <c r="H1182" s="58">
        <v>45</v>
      </c>
      <c r="I1182" s="57"/>
      <c r="J1182" s="52"/>
      <c r="K1182" s="52"/>
      <c r="L1182" s="58"/>
      <c r="M1182" s="57"/>
      <c r="N1182" s="52"/>
      <c r="O1182" s="52"/>
      <c r="P1182" s="58"/>
      <c r="Q1182" s="57"/>
      <c r="R1182" s="52"/>
      <c r="S1182" s="52"/>
      <c r="T1182" s="52"/>
      <c r="U1182" s="58">
        <v>0</v>
      </c>
      <c r="V1182" s="57"/>
      <c r="W1182" s="52"/>
      <c r="X1182" s="52"/>
      <c r="Y1182" s="58"/>
      <c r="Z1182" s="57"/>
      <c r="AA1182" s="52"/>
      <c r="AB1182" s="52"/>
      <c r="AC1182" s="58">
        <v>0</v>
      </c>
      <c r="AD1182" s="57"/>
      <c r="AE1182" s="52"/>
      <c r="AF1182" s="52"/>
      <c r="AG1182" s="58"/>
      <c r="AH1182" s="57"/>
      <c r="AI1182" s="52"/>
      <c r="AJ1182" s="52"/>
      <c r="AK1182" s="58"/>
      <c r="AL1182" s="57"/>
      <c r="AM1182" s="52"/>
      <c r="AN1182" s="52"/>
      <c r="AO1182" s="58"/>
      <c r="AP1182" s="57"/>
      <c r="AQ1182" s="52"/>
      <c r="AR1182" s="52"/>
      <c r="AS1182" s="58"/>
      <c r="AT1182" s="57"/>
      <c r="AU1182" s="52"/>
      <c r="AV1182" s="52"/>
      <c r="AW1182" s="58"/>
      <c r="AX1182" s="33">
        <f t="shared" ref="AX1182:AX1187" si="1146">SUM(E1182:AW1182)</f>
        <v>134</v>
      </c>
      <c r="AY1182" s="31">
        <f t="shared" ref="AY1182:AY1187" si="1147">IFERROR(AVERAGEIF(E1182:AW1182,"&lt;&gt;0",(E1182:AW1182)),)</f>
        <v>33.5</v>
      </c>
      <c r="AZ1182" s="30">
        <f t="shared" ref="AZ1182:AZ1187" si="1148">IFERROR(AY1182/D1182,0)</f>
        <v>0.55833333333333335</v>
      </c>
      <c r="BA1182" s="94">
        <f>AX1188+BA1006</f>
        <v>12094</v>
      </c>
      <c r="BB1182" s="95">
        <f>(D1188*8)</f>
        <v>4000</v>
      </c>
      <c r="BC1182" s="96">
        <f>C1061-BA1182</f>
        <v>30217</v>
      </c>
      <c r="BD1182" s="96">
        <f>BA1173-BA1182</f>
        <v>381</v>
      </c>
      <c r="BE1182" s="97">
        <f>IFERROR(BC1182/E1188,0)</f>
        <v>50.194352159468437</v>
      </c>
      <c r="BF1182" s="98">
        <f>IFERROR(BE1182/9,0)</f>
        <v>5.5771502399409378</v>
      </c>
      <c r="BG1182" s="97">
        <f>IFERROR(BC1182/AY1188,0)</f>
        <v>65.599999999999994</v>
      </c>
      <c r="BH1182" s="97">
        <f>IFERROR(BG1182/9,0)</f>
        <v>7.2888888888888879</v>
      </c>
    </row>
    <row r="1183" spans="1:60" s="17" customFormat="1" ht="19.5" customHeight="1" x14ac:dyDescent="0.35">
      <c r="A1183" s="41">
        <f t="shared" ref="A1183:B1183" si="1149">A1182</f>
        <v>45443</v>
      </c>
      <c r="B1183" s="37" t="str">
        <f t="shared" si="1149"/>
        <v>Kol Reçme</v>
      </c>
      <c r="C1183" s="65" t="s">
        <v>271</v>
      </c>
      <c r="D1183" s="67">
        <f t="shared" si="1145"/>
        <v>60</v>
      </c>
      <c r="E1183" s="57">
        <v>10</v>
      </c>
      <c r="F1183" s="52">
        <v>23</v>
      </c>
      <c r="G1183" s="52">
        <v>25</v>
      </c>
      <c r="H1183" s="58">
        <v>30</v>
      </c>
      <c r="I1183" s="57">
        <v>30</v>
      </c>
      <c r="J1183" s="52">
        <v>30</v>
      </c>
      <c r="K1183" s="52">
        <v>30</v>
      </c>
      <c r="L1183" s="58">
        <v>34</v>
      </c>
      <c r="M1183" s="57">
        <v>35</v>
      </c>
      <c r="N1183" s="52">
        <v>35</v>
      </c>
      <c r="O1183" s="52">
        <v>30</v>
      </c>
      <c r="P1183" s="58">
        <v>37</v>
      </c>
      <c r="Q1183" s="57">
        <v>35</v>
      </c>
      <c r="R1183" s="52">
        <v>36</v>
      </c>
      <c r="S1183" s="52">
        <v>36</v>
      </c>
      <c r="T1183" s="52">
        <v>37</v>
      </c>
      <c r="U1183" s="58">
        <v>32</v>
      </c>
      <c r="V1183" s="57">
        <v>40</v>
      </c>
      <c r="W1183" s="52">
        <v>36</v>
      </c>
      <c r="X1183" s="52">
        <v>32</v>
      </c>
      <c r="Y1183" s="58">
        <v>32</v>
      </c>
      <c r="Z1183" s="57">
        <v>7</v>
      </c>
      <c r="AA1183" s="52">
        <v>30</v>
      </c>
      <c r="AB1183" s="52">
        <v>30</v>
      </c>
      <c r="AC1183" s="58">
        <v>30</v>
      </c>
      <c r="AD1183" s="57">
        <v>35</v>
      </c>
      <c r="AE1183" s="52">
        <v>34</v>
      </c>
      <c r="AF1183" s="52">
        <v>32</v>
      </c>
      <c r="AG1183" s="58">
        <v>24</v>
      </c>
      <c r="AH1183" s="57">
        <v>61</v>
      </c>
      <c r="AI1183" s="52">
        <v>30</v>
      </c>
      <c r="AJ1183" s="52">
        <v>30</v>
      </c>
      <c r="AK1183" s="58"/>
      <c r="AL1183" s="57"/>
      <c r="AM1183" s="52"/>
      <c r="AN1183" s="52"/>
      <c r="AO1183" s="58"/>
      <c r="AP1183" s="57"/>
      <c r="AQ1183" s="52"/>
      <c r="AR1183" s="52"/>
      <c r="AS1183" s="58"/>
      <c r="AT1183" s="57"/>
      <c r="AU1183" s="52"/>
      <c r="AV1183" s="52"/>
      <c r="AW1183" s="58"/>
      <c r="AX1183" s="33">
        <f t="shared" si="1146"/>
        <v>1008</v>
      </c>
      <c r="AY1183" s="31">
        <f t="shared" si="1147"/>
        <v>31.5</v>
      </c>
      <c r="AZ1183" s="30">
        <f t="shared" si="1148"/>
        <v>0.52500000000000002</v>
      </c>
      <c r="BA1183" s="34"/>
      <c r="BB1183" s="34"/>
      <c r="BC1183" s="34"/>
      <c r="BD1183" s="76"/>
      <c r="BE1183" s="34"/>
      <c r="BF1183" s="34"/>
      <c r="BG1183" s="34"/>
      <c r="BH1183" s="34"/>
    </row>
    <row r="1184" spans="1:60" s="17" customFormat="1" ht="19.5" customHeight="1" x14ac:dyDescent="0.35">
      <c r="A1184" s="41">
        <f t="shared" ref="A1184:B1185" si="1150">A1183</f>
        <v>45443</v>
      </c>
      <c r="B1184" s="37" t="str">
        <f t="shared" si="1150"/>
        <v>Kol Reçme</v>
      </c>
      <c r="C1184" s="65" t="s">
        <v>94</v>
      </c>
      <c r="D1184" s="67">
        <f t="shared" si="1145"/>
        <v>60</v>
      </c>
      <c r="E1184" s="57">
        <v>50</v>
      </c>
      <c r="F1184" s="52">
        <v>50</v>
      </c>
      <c r="G1184" s="52">
        <v>60</v>
      </c>
      <c r="H1184" s="58">
        <v>50</v>
      </c>
      <c r="I1184" s="57">
        <v>30</v>
      </c>
      <c r="J1184" s="52">
        <v>62</v>
      </c>
      <c r="K1184" s="52">
        <v>50</v>
      </c>
      <c r="L1184" s="58">
        <v>50</v>
      </c>
      <c r="M1184" s="57">
        <v>50</v>
      </c>
      <c r="N1184" s="52">
        <v>60</v>
      </c>
      <c r="O1184" s="52">
        <v>50</v>
      </c>
      <c r="P1184" s="58">
        <v>50</v>
      </c>
      <c r="Q1184" s="57">
        <v>50</v>
      </c>
      <c r="R1184" s="52">
        <v>60</v>
      </c>
      <c r="S1184" s="52">
        <v>60</v>
      </c>
      <c r="T1184" s="52">
        <v>60</v>
      </c>
      <c r="U1184" s="58">
        <v>36</v>
      </c>
      <c r="V1184" s="57">
        <v>50</v>
      </c>
      <c r="W1184" s="52">
        <v>30</v>
      </c>
      <c r="X1184" s="52">
        <v>60</v>
      </c>
      <c r="Y1184" s="58">
        <v>40</v>
      </c>
      <c r="Z1184" s="57">
        <v>30</v>
      </c>
      <c r="AA1184" s="52">
        <v>0</v>
      </c>
      <c r="AB1184" s="52">
        <v>0</v>
      </c>
      <c r="AC1184" s="58">
        <v>0</v>
      </c>
      <c r="AD1184" s="57">
        <v>50</v>
      </c>
      <c r="AE1184" s="52">
        <v>0</v>
      </c>
      <c r="AF1184" s="52">
        <v>50</v>
      </c>
      <c r="AG1184" s="58">
        <v>50</v>
      </c>
      <c r="AH1184" s="57">
        <v>60</v>
      </c>
      <c r="AI1184" s="52">
        <v>60</v>
      </c>
      <c r="AJ1184" s="52">
        <v>60</v>
      </c>
      <c r="AK1184" s="58"/>
      <c r="AL1184" s="57"/>
      <c r="AM1184" s="52"/>
      <c r="AN1184" s="52"/>
      <c r="AO1184" s="58"/>
      <c r="AP1184" s="57"/>
      <c r="AQ1184" s="52"/>
      <c r="AR1184" s="52"/>
      <c r="AS1184" s="58"/>
      <c r="AT1184" s="57"/>
      <c r="AU1184" s="52"/>
      <c r="AV1184" s="52"/>
      <c r="AW1184" s="58"/>
      <c r="AX1184" s="33">
        <f t="shared" si="1146"/>
        <v>1418</v>
      </c>
      <c r="AY1184" s="31">
        <f t="shared" si="1147"/>
        <v>50.642857142857146</v>
      </c>
      <c r="AZ1184" s="30">
        <f t="shared" si="1148"/>
        <v>0.84404761904761905</v>
      </c>
      <c r="BA1184" s="34"/>
      <c r="BB1184" s="34"/>
      <c r="BC1184" s="34"/>
      <c r="BD1184" s="76"/>
      <c r="BE1184" s="34"/>
      <c r="BF1184" s="34"/>
      <c r="BG1184" s="34"/>
      <c r="BH1184" s="34"/>
    </row>
    <row r="1185" spans="1:60" s="17" customFormat="1" ht="19.5" customHeight="1" x14ac:dyDescent="0.35">
      <c r="A1185" s="41">
        <f>A1182</f>
        <v>45443</v>
      </c>
      <c r="B1185" s="37" t="str">
        <f t="shared" si="1150"/>
        <v>Kol Reçme</v>
      </c>
      <c r="C1185" s="65">
        <f t="shared" ref="C1185:C1187" si="1151">C1009</f>
        <v>0</v>
      </c>
      <c r="D1185" s="67">
        <f t="shared" si="1145"/>
        <v>60</v>
      </c>
      <c r="E1185" s="57"/>
      <c r="F1185" s="52"/>
      <c r="G1185" s="52"/>
      <c r="H1185" s="58"/>
      <c r="I1185" s="57"/>
      <c r="J1185" s="52"/>
      <c r="K1185" s="52"/>
      <c r="L1185" s="58"/>
      <c r="M1185" s="57"/>
      <c r="N1185" s="52"/>
      <c r="O1185" s="52"/>
      <c r="P1185" s="58"/>
      <c r="Q1185" s="57"/>
      <c r="R1185" s="52"/>
      <c r="S1185" s="52"/>
      <c r="T1185" s="52"/>
      <c r="U1185" s="58"/>
      <c r="V1185" s="57"/>
      <c r="W1185" s="52"/>
      <c r="X1185" s="52"/>
      <c r="Y1185" s="58"/>
      <c r="Z1185" s="57"/>
      <c r="AA1185" s="52"/>
      <c r="AB1185" s="52"/>
      <c r="AC1185" s="58"/>
      <c r="AD1185" s="57"/>
      <c r="AE1185" s="52"/>
      <c r="AF1185" s="52"/>
      <c r="AG1185" s="58"/>
      <c r="AH1185" s="57"/>
      <c r="AI1185" s="52"/>
      <c r="AJ1185" s="52"/>
      <c r="AK1185" s="58"/>
      <c r="AL1185" s="57"/>
      <c r="AM1185" s="52"/>
      <c r="AN1185" s="52"/>
      <c r="AO1185" s="58"/>
      <c r="AP1185" s="57"/>
      <c r="AQ1185" s="52"/>
      <c r="AR1185" s="52"/>
      <c r="AS1185" s="58"/>
      <c r="AT1185" s="57"/>
      <c r="AU1185" s="52"/>
      <c r="AV1185" s="52"/>
      <c r="AW1185" s="58"/>
      <c r="AX1185" s="33">
        <f t="shared" si="1146"/>
        <v>0</v>
      </c>
      <c r="AY1185" s="31">
        <f t="shared" si="1147"/>
        <v>0</v>
      </c>
      <c r="AZ1185" s="30">
        <f t="shared" si="1148"/>
        <v>0</v>
      </c>
      <c r="BA1185" s="34"/>
      <c r="BB1185" s="34"/>
      <c r="BC1185" s="34"/>
      <c r="BD1185" s="76"/>
      <c r="BE1185" s="34"/>
      <c r="BF1185" s="34"/>
      <c r="BG1185" s="34"/>
      <c r="BH1185" s="34"/>
    </row>
    <row r="1186" spans="1:60" s="17" customFormat="1" ht="19.5" customHeight="1" x14ac:dyDescent="0.35">
      <c r="A1186" s="41">
        <f t="shared" ref="A1186:B1186" si="1152">A1185</f>
        <v>45443</v>
      </c>
      <c r="B1186" s="37" t="str">
        <f t="shared" si="1152"/>
        <v>Kol Reçme</v>
      </c>
      <c r="C1186" s="65">
        <f t="shared" si="1151"/>
        <v>0</v>
      </c>
      <c r="D1186" s="67">
        <f t="shared" si="1145"/>
        <v>60</v>
      </c>
      <c r="E1186" s="57"/>
      <c r="F1186" s="52"/>
      <c r="G1186" s="52"/>
      <c r="H1186" s="58"/>
      <c r="I1186" s="57"/>
      <c r="J1186" s="52"/>
      <c r="K1186" s="52"/>
      <c r="L1186" s="58"/>
      <c r="M1186" s="57"/>
      <c r="N1186" s="52"/>
      <c r="O1186" s="52"/>
      <c r="P1186" s="78"/>
      <c r="Q1186" s="57"/>
      <c r="R1186" s="52"/>
      <c r="S1186" s="52"/>
      <c r="T1186" s="52"/>
      <c r="U1186" s="58"/>
      <c r="V1186" s="80"/>
      <c r="W1186" s="52"/>
      <c r="X1186" s="52"/>
      <c r="Y1186" s="58"/>
      <c r="Z1186" s="57"/>
      <c r="AA1186" s="52"/>
      <c r="AB1186" s="52"/>
      <c r="AC1186" s="58"/>
      <c r="AD1186" s="57"/>
      <c r="AE1186" s="52"/>
      <c r="AF1186" s="52"/>
      <c r="AG1186" s="58"/>
      <c r="AH1186" s="57"/>
      <c r="AI1186" s="52"/>
      <c r="AJ1186" s="52"/>
      <c r="AK1186" s="58"/>
      <c r="AL1186" s="57"/>
      <c r="AM1186" s="52"/>
      <c r="AN1186" s="52"/>
      <c r="AO1186" s="58"/>
      <c r="AP1186" s="57"/>
      <c r="AQ1186" s="52"/>
      <c r="AR1186" s="52"/>
      <c r="AS1186" s="58"/>
      <c r="AT1186" s="57"/>
      <c r="AU1186" s="52"/>
      <c r="AV1186" s="52"/>
      <c r="AW1186" s="58"/>
      <c r="AX1186" s="33">
        <f t="shared" si="1146"/>
        <v>0</v>
      </c>
      <c r="AY1186" s="31">
        <f t="shared" si="1147"/>
        <v>0</v>
      </c>
      <c r="AZ1186" s="30">
        <f t="shared" si="1148"/>
        <v>0</v>
      </c>
      <c r="BA1186" s="34"/>
      <c r="BB1186" s="34"/>
      <c r="BC1186" s="34"/>
      <c r="BD1186" s="76"/>
      <c r="BE1186" s="34"/>
      <c r="BF1186" s="34"/>
      <c r="BG1186" s="34"/>
      <c r="BH1186" s="34"/>
    </row>
    <row r="1187" spans="1:60" s="17" customFormat="1" ht="19.5" customHeight="1" thickBot="1" x14ac:dyDescent="0.4">
      <c r="A1187" s="41">
        <f t="shared" ref="A1187:B1188" si="1153">A1186</f>
        <v>45443</v>
      </c>
      <c r="B1187" s="37" t="str">
        <f t="shared" si="1153"/>
        <v>Kol Reçme</v>
      </c>
      <c r="C1187" s="65">
        <f t="shared" si="1151"/>
        <v>0</v>
      </c>
      <c r="D1187" s="67">
        <f t="shared" si="1145"/>
        <v>60</v>
      </c>
      <c r="E1187" s="59"/>
      <c r="F1187" s="60"/>
      <c r="G1187" s="61"/>
      <c r="H1187" s="62"/>
      <c r="I1187" s="59"/>
      <c r="J1187" s="60"/>
      <c r="K1187" s="61"/>
      <c r="L1187" s="62"/>
      <c r="M1187" s="59"/>
      <c r="N1187" s="60"/>
      <c r="O1187" s="61"/>
      <c r="P1187" s="79"/>
      <c r="Q1187" s="64"/>
      <c r="R1187" s="61"/>
      <c r="S1187" s="61"/>
      <c r="T1187" s="61"/>
      <c r="U1187" s="62"/>
      <c r="V1187" s="81"/>
      <c r="W1187" s="60"/>
      <c r="X1187" s="61"/>
      <c r="Y1187" s="62"/>
      <c r="Z1187" s="59"/>
      <c r="AA1187" s="60"/>
      <c r="AB1187" s="61"/>
      <c r="AC1187" s="62"/>
      <c r="AD1187" s="59"/>
      <c r="AE1187" s="60"/>
      <c r="AF1187" s="61"/>
      <c r="AG1187" s="62"/>
      <c r="AH1187" s="59"/>
      <c r="AI1187" s="60"/>
      <c r="AJ1187" s="61"/>
      <c r="AK1187" s="62"/>
      <c r="AL1187" s="59"/>
      <c r="AM1187" s="60"/>
      <c r="AN1187" s="61"/>
      <c r="AO1187" s="62"/>
      <c r="AP1187" s="59"/>
      <c r="AQ1187" s="60"/>
      <c r="AR1187" s="61"/>
      <c r="AS1187" s="62"/>
      <c r="AT1187" s="59"/>
      <c r="AU1187" s="60"/>
      <c r="AV1187" s="61"/>
      <c r="AW1187" s="62"/>
      <c r="AX1187" s="33">
        <f t="shared" si="1146"/>
        <v>0</v>
      </c>
      <c r="AY1187" s="31">
        <f t="shared" si="1147"/>
        <v>0</v>
      </c>
      <c r="AZ1187" s="30">
        <f t="shared" si="1148"/>
        <v>0</v>
      </c>
      <c r="BA1187" s="34"/>
      <c r="BB1187" s="34"/>
      <c r="BC1187" s="34"/>
      <c r="BD1187" s="76"/>
      <c r="BE1187" s="34"/>
      <c r="BF1187" s="34"/>
      <c r="BG1187" s="34"/>
      <c r="BH1187" s="34"/>
    </row>
    <row r="1188" spans="1:60" s="17" customFormat="1" ht="19.5" customHeight="1" thickBot="1" x14ac:dyDescent="0.45">
      <c r="A1188" s="41">
        <f t="shared" si="1153"/>
        <v>45443</v>
      </c>
      <c r="B1188" s="139" t="str">
        <f>B1181</f>
        <v>Kol Reçme</v>
      </c>
      <c r="C1188" s="140"/>
      <c r="D1188" s="40">
        <f>C1062/8</f>
        <v>500</v>
      </c>
      <c r="E1188" s="147">
        <f>SUM(E1181:H1187)</f>
        <v>602</v>
      </c>
      <c r="F1188" s="148"/>
      <c r="G1188" s="148"/>
      <c r="H1188" s="149"/>
      <c r="I1188" s="147">
        <f>SUM(I1181:L1187)</f>
        <v>486</v>
      </c>
      <c r="J1188" s="148"/>
      <c r="K1188" s="148"/>
      <c r="L1188" s="149"/>
      <c r="M1188" s="147">
        <f>SUM(M1181:P1187)</f>
        <v>527</v>
      </c>
      <c r="N1188" s="148"/>
      <c r="O1188" s="148"/>
      <c r="P1188" s="149"/>
      <c r="Q1188" s="151">
        <f>SUM(Q1181:U1187)</f>
        <v>642</v>
      </c>
      <c r="R1188" s="152"/>
      <c r="S1188" s="152"/>
      <c r="T1188" s="152"/>
      <c r="U1188" s="153"/>
      <c r="V1188" s="147">
        <f>SUM(V1181:Y1187)</f>
        <v>470</v>
      </c>
      <c r="W1188" s="148"/>
      <c r="X1188" s="148"/>
      <c r="Y1188" s="149"/>
      <c r="Z1188" s="147">
        <f>SUM(Z1181:AC1187)</f>
        <v>127</v>
      </c>
      <c r="AA1188" s="148"/>
      <c r="AB1188" s="148"/>
      <c r="AC1188" s="149"/>
      <c r="AD1188" s="147">
        <f>SUM(AD1181:AG1187)</f>
        <v>405</v>
      </c>
      <c r="AE1188" s="148"/>
      <c r="AF1188" s="148"/>
      <c r="AG1188" s="149"/>
      <c r="AH1188" s="147">
        <f>SUM(AH1181:AK1187)</f>
        <v>426</v>
      </c>
      <c r="AI1188" s="148"/>
      <c r="AJ1188" s="148"/>
      <c r="AK1188" s="149"/>
      <c r="AL1188" s="147">
        <f>SUM(AL1181:AO1187)</f>
        <v>0</v>
      </c>
      <c r="AM1188" s="148"/>
      <c r="AN1188" s="148"/>
      <c r="AO1188" s="149"/>
      <c r="AP1188" s="147">
        <f>SUM(AP1181:AS1187)</f>
        <v>0</v>
      </c>
      <c r="AQ1188" s="148"/>
      <c r="AR1188" s="148"/>
      <c r="AS1188" s="149"/>
      <c r="AT1188" s="147">
        <f>SUM(AT1181:AW1187)</f>
        <v>0</v>
      </c>
      <c r="AU1188" s="148"/>
      <c r="AV1188" s="148"/>
      <c r="AW1188" s="149"/>
      <c r="AX1188" s="87">
        <f>SUM(AX1181:AX1187)</f>
        <v>3685</v>
      </c>
      <c r="AY1188" s="88">
        <f>IFERROR(AVERAGEIF(E1188:AV1188,"&lt;&gt;0",(E1188:AV1188)),)</f>
        <v>460.625</v>
      </c>
      <c r="AZ1188" s="46">
        <f>IFERROR(AX1188/BB1182,0)</f>
        <v>0.92125000000000001</v>
      </c>
      <c r="BA1188" s="34"/>
      <c r="BB1188" s="34"/>
      <c r="BC1188" s="34"/>
      <c r="BD1188" s="76"/>
      <c r="BE1188" s="34"/>
      <c r="BF1188" s="34"/>
      <c r="BG1188" s="34"/>
      <c r="BH1188" s="34"/>
    </row>
    <row r="1189" spans="1:60" s="17" customFormat="1" ht="19.5" customHeight="1" thickBot="1" x14ac:dyDescent="0.4">
      <c r="A1189" s="42">
        <f>A1180</f>
        <v>45443</v>
      </c>
      <c r="B1189" s="38" t="str">
        <f>B1190</f>
        <v>Etek Reçme</v>
      </c>
      <c r="C1189" s="39" t="s">
        <v>180</v>
      </c>
      <c r="D1189" s="69" t="s">
        <v>181</v>
      </c>
      <c r="E1189" s="48">
        <v>0.34375</v>
      </c>
      <c r="F1189" s="49">
        <v>0.35416666666666669</v>
      </c>
      <c r="G1189" s="49">
        <v>0.36458333333333331</v>
      </c>
      <c r="H1189" s="50">
        <v>0.375</v>
      </c>
      <c r="I1189" s="48">
        <v>0.38541666666666702</v>
      </c>
      <c r="J1189" s="49">
        <v>0.39583333333333298</v>
      </c>
      <c r="K1189" s="49">
        <v>0.40625</v>
      </c>
      <c r="L1189" s="50">
        <v>0.41666666666666702</v>
      </c>
      <c r="M1189" s="48">
        <v>0.4375</v>
      </c>
      <c r="N1189" s="49">
        <v>0.44791666666666702</v>
      </c>
      <c r="O1189" s="49">
        <v>0.45833333333333398</v>
      </c>
      <c r="P1189" s="50">
        <v>0.46875</v>
      </c>
      <c r="Q1189" s="82">
        <v>0.47916666666666702</v>
      </c>
      <c r="R1189" s="83">
        <v>0.48958333333333398</v>
      </c>
      <c r="S1189" s="83">
        <v>0.5</v>
      </c>
      <c r="T1189" s="84">
        <v>0.51041666666666696</v>
      </c>
      <c r="U1189" s="85">
        <v>0.52083333333333204</v>
      </c>
      <c r="V1189" s="48">
        <v>0.5625</v>
      </c>
      <c r="W1189" s="49">
        <v>0.57291666666666663</v>
      </c>
      <c r="X1189" s="49">
        <v>0.58333333333333304</v>
      </c>
      <c r="Y1189" s="50">
        <v>0.59375</v>
      </c>
      <c r="Z1189" s="48">
        <v>0.60416666666666696</v>
      </c>
      <c r="AA1189" s="49">
        <v>0.61458333333333304</v>
      </c>
      <c r="AB1189" s="49">
        <v>0.625</v>
      </c>
      <c r="AC1189" s="50">
        <v>0.63541666666666596</v>
      </c>
      <c r="AD1189" s="48">
        <v>0.65625</v>
      </c>
      <c r="AE1189" s="49">
        <v>0.66666666666666663</v>
      </c>
      <c r="AF1189" s="49">
        <v>0.67708333333333304</v>
      </c>
      <c r="AG1189" s="50">
        <v>0.6875</v>
      </c>
      <c r="AH1189" s="48">
        <v>0.69791666666666696</v>
      </c>
      <c r="AI1189" s="49">
        <v>0.70833333333333304</v>
      </c>
      <c r="AJ1189" s="49">
        <v>0.71875</v>
      </c>
      <c r="AK1189" s="50">
        <v>0.72916666666666696</v>
      </c>
      <c r="AL1189" s="48">
        <v>0.73958333333333404</v>
      </c>
      <c r="AM1189" s="49">
        <v>0.750000000000001</v>
      </c>
      <c r="AN1189" s="49">
        <v>0.76041666666666796</v>
      </c>
      <c r="AO1189" s="50">
        <v>0.77083333333333504</v>
      </c>
      <c r="AP1189" s="48">
        <v>0.781250000000002</v>
      </c>
      <c r="AQ1189" s="49">
        <v>0.79166666666666896</v>
      </c>
      <c r="AR1189" s="49">
        <v>0.80208333333333603</v>
      </c>
      <c r="AS1189" s="50">
        <v>0.812500000000003</v>
      </c>
      <c r="AT1189" s="48">
        <v>0.82291666666666996</v>
      </c>
      <c r="AU1189" s="49">
        <v>0.83333333333333703</v>
      </c>
      <c r="AV1189" s="49">
        <v>0.843750000000004</v>
      </c>
      <c r="AW1189" s="50">
        <v>0.85416666666666663</v>
      </c>
      <c r="AX1189" s="68" t="s">
        <v>260</v>
      </c>
      <c r="AY1189" s="28" t="s">
        <v>261</v>
      </c>
      <c r="AZ1189" s="29" t="s">
        <v>262</v>
      </c>
      <c r="BA1189" s="136" t="str">
        <f>B1190</f>
        <v>Etek Reçme</v>
      </c>
      <c r="BB1189" s="137"/>
      <c r="BC1189" s="137"/>
      <c r="BD1189" s="137"/>
      <c r="BE1189" s="137"/>
      <c r="BF1189" s="137"/>
      <c r="BG1189" s="137"/>
      <c r="BH1189" s="138"/>
    </row>
    <row r="1190" spans="1:60" s="17" customFormat="1" ht="19.5" customHeight="1" thickBot="1" x14ac:dyDescent="0.4">
      <c r="A1190" s="41">
        <f t="shared" ref="A1190" si="1154">A1189</f>
        <v>45443</v>
      </c>
      <c r="B1190" s="37" t="str">
        <f>B1014</f>
        <v>Etek Reçme</v>
      </c>
      <c r="C1190" s="65" t="str">
        <f>C1014</f>
        <v>BEGÜM DURMAZ</v>
      </c>
      <c r="D1190" s="70">
        <f>D1014</f>
        <v>120</v>
      </c>
      <c r="E1190" s="63">
        <v>90</v>
      </c>
      <c r="F1190" s="55">
        <v>70</v>
      </c>
      <c r="G1190" s="55">
        <v>115</v>
      </c>
      <c r="H1190" s="56">
        <v>85</v>
      </c>
      <c r="I1190" s="63">
        <v>85</v>
      </c>
      <c r="J1190" s="55">
        <v>80</v>
      </c>
      <c r="K1190" s="55">
        <v>100</v>
      </c>
      <c r="L1190" s="56">
        <v>25</v>
      </c>
      <c r="M1190" s="63">
        <v>110</v>
      </c>
      <c r="N1190" s="55">
        <v>90</v>
      </c>
      <c r="O1190" s="55">
        <v>110</v>
      </c>
      <c r="P1190" s="56">
        <v>85</v>
      </c>
      <c r="Q1190" s="63">
        <v>85</v>
      </c>
      <c r="R1190" s="55">
        <v>125</v>
      </c>
      <c r="S1190" s="55">
        <v>150</v>
      </c>
      <c r="T1190" s="55">
        <v>150</v>
      </c>
      <c r="U1190" s="56">
        <v>160</v>
      </c>
      <c r="V1190" s="63">
        <v>150</v>
      </c>
      <c r="W1190" s="55">
        <v>165</v>
      </c>
      <c r="X1190" s="55">
        <v>104</v>
      </c>
      <c r="Y1190" s="56">
        <v>104</v>
      </c>
      <c r="Z1190" s="63">
        <v>150</v>
      </c>
      <c r="AA1190" s="55">
        <v>150</v>
      </c>
      <c r="AB1190" s="55">
        <v>150</v>
      </c>
      <c r="AC1190" s="56">
        <v>150</v>
      </c>
      <c r="AD1190" s="63">
        <v>150</v>
      </c>
      <c r="AE1190" s="55">
        <v>50</v>
      </c>
      <c r="AF1190" s="55">
        <v>73</v>
      </c>
      <c r="AG1190" s="56">
        <v>74</v>
      </c>
      <c r="AH1190" s="63">
        <v>105</v>
      </c>
      <c r="AI1190" s="55">
        <v>105</v>
      </c>
      <c r="AJ1190" s="55">
        <v>150</v>
      </c>
      <c r="AK1190" s="56"/>
      <c r="AL1190" s="53"/>
      <c r="AM1190" s="54"/>
      <c r="AN1190" s="55"/>
      <c r="AO1190" s="56"/>
      <c r="AP1190" s="53"/>
      <c r="AQ1190" s="54"/>
      <c r="AR1190" s="55"/>
      <c r="AS1190" s="56"/>
      <c r="AT1190" s="53"/>
      <c r="AU1190" s="54"/>
      <c r="AV1190" s="55"/>
      <c r="AW1190" s="56"/>
      <c r="AX1190" s="33">
        <f>SUM(E1190:AW1190)</f>
        <v>3545</v>
      </c>
      <c r="AY1190" s="31">
        <f>IFERROR(AVERAGEIF(E1190:AW1190,"&lt;&gt;0",(E1190:AW1190)),)</f>
        <v>110.78125</v>
      </c>
      <c r="AZ1190" s="30">
        <f>IFERROR(AY1190/D1190,0)</f>
        <v>0.92317708333333337</v>
      </c>
      <c r="BA1190" s="103" t="s">
        <v>182</v>
      </c>
      <c r="BB1190" s="100" t="s">
        <v>183</v>
      </c>
      <c r="BC1190" s="100" t="s">
        <v>184</v>
      </c>
      <c r="BD1190" s="101" t="s">
        <v>185</v>
      </c>
      <c r="BE1190" s="100" t="s">
        <v>186</v>
      </c>
      <c r="BF1190" s="102" t="s">
        <v>187</v>
      </c>
      <c r="BG1190" s="100" t="s">
        <v>188</v>
      </c>
      <c r="BH1190" s="102" t="s">
        <v>189</v>
      </c>
    </row>
    <row r="1191" spans="1:60" s="17" customFormat="1" ht="19.5" customHeight="1" thickBot="1" x14ac:dyDescent="0.4">
      <c r="A1191" s="41">
        <f t="shared" ref="A1191:B1191" si="1155">A1190</f>
        <v>45443</v>
      </c>
      <c r="B1191" s="37" t="str">
        <f t="shared" si="1155"/>
        <v>Etek Reçme</v>
      </c>
      <c r="C1191" s="65">
        <f t="shared" ref="C1191:C1196" si="1156">C1015</f>
        <v>0</v>
      </c>
      <c r="D1191" s="67">
        <f t="shared" ref="D1191:D1196" si="1157">D1190</f>
        <v>120</v>
      </c>
      <c r="E1191" s="57"/>
      <c r="F1191" s="52"/>
      <c r="G1191" s="52"/>
      <c r="H1191" s="58"/>
      <c r="I1191" s="57"/>
      <c r="J1191" s="52"/>
      <c r="K1191" s="52"/>
      <c r="L1191" s="58"/>
      <c r="M1191" s="57"/>
      <c r="N1191" s="52"/>
      <c r="O1191" s="52"/>
      <c r="P1191" s="58"/>
      <c r="Q1191" s="57"/>
      <c r="R1191" s="52"/>
      <c r="S1191" s="52"/>
      <c r="T1191" s="52"/>
      <c r="U1191" s="58"/>
      <c r="V1191" s="57"/>
      <c r="W1191" s="52"/>
      <c r="X1191" s="52"/>
      <c r="Y1191" s="58"/>
      <c r="Z1191" s="57"/>
      <c r="AA1191" s="52"/>
      <c r="AB1191" s="52"/>
      <c r="AC1191" s="58"/>
      <c r="AD1191" s="57"/>
      <c r="AE1191" s="52"/>
      <c r="AF1191" s="52"/>
      <c r="AG1191" s="58"/>
      <c r="AH1191" s="57"/>
      <c r="AI1191" s="52"/>
      <c r="AJ1191" s="52"/>
      <c r="AK1191" s="58"/>
      <c r="AL1191" s="57"/>
      <c r="AM1191" s="52"/>
      <c r="AN1191" s="52"/>
      <c r="AO1191" s="58"/>
      <c r="AP1191" s="57"/>
      <c r="AQ1191" s="52"/>
      <c r="AR1191" s="52"/>
      <c r="AS1191" s="58"/>
      <c r="AT1191" s="57"/>
      <c r="AU1191" s="52"/>
      <c r="AV1191" s="52"/>
      <c r="AW1191" s="58"/>
      <c r="AX1191" s="33">
        <f t="shared" ref="AX1191:AX1196" si="1158">SUM(E1191:AW1191)</f>
        <v>0</v>
      </c>
      <c r="AY1191" s="31">
        <f t="shared" ref="AY1191:AY1196" si="1159">IFERROR(AVERAGEIF(E1191:AW1191,"&lt;&gt;0",(E1191:AW1191)),)</f>
        <v>0</v>
      </c>
      <c r="AZ1191" s="30">
        <f t="shared" ref="AZ1191:AZ1196" si="1160">IFERROR(AY1191/D1191,0)</f>
        <v>0</v>
      </c>
      <c r="BA1191" s="94">
        <f>AX1197+BA1015</f>
        <v>11652</v>
      </c>
      <c r="BB1191" s="95">
        <f>(D1197*8)</f>
        <v>4000</v>
      </c>
      <c r="BC1191" s="96">
        <f>C1061-BA1191</f>
        <v>30659</v>
      </c>
      <c r="BD1191" s="96">
        <f>BA1182-BA1191</f>
        <v>442</v>
      </c>
      <c r="BE1191" s="97">
        <f>IFERROR(BC1191/E1197,0)</f>
        <v>85.163888888888891</v>
      </c>
      <c r="BF1191" s="98">
        <f>IFERROR(BE1191/9,0)</f>
        <v>9.4626543209876548</v>
      </c>
      <c r="BG1191" s="97">
        <f>IFERROR(BC1191/AY1197,0)</f>
        <v>69.188152327221445</v>
      </c>
      <c r="BH1191" s="97">
        <f>IFERROR(BG1191/9,0)</f>
        <v>7.6875724808023831</v>
      </c>
    </row>
    <row r="1192" spans="1:60" s="17" customFormat="1" ht="19.5" customHeight="1" x14ac:dyDescent="0.35">
      <c r="A1192" s="41">
        <f t="shared" ref="A1192:B1192" si="1161">A1191</f>
        <v>45443</v>
      </c>
      <c r="B1192" s="37" t="str">
        <f t="shared" si="1161"/>
        <v>Etek Reçme</v>
      </c>
      <c r="C1192" s="65">
        <f t="shared" si="1156"/>
        <v>0</v>
      </c>
      <c r="D1192" s="67">
        <f t="shared" si="1157"/>
        <v>120</v>
      </c>
      <c r="E1192" s="57"/>
      <c r="F1192" s="52"/>
      <c r="G1192" s="52"/>
      <c r="H1192" s="58"/>
      <c r="I1192" s="57"/>
      <c r="J1192" s="52"/>
      <c r="K1192" s="52"/>
      <c r="L1192" s="58"/>
      <c r="M1192" s="57"/>
      <c r="N1192" s="52"/>
      <c r="O1192" s="52"/>
      <c r="P1192" s="58"/>
      <c r="Q1192" s="57"/>
      <c r="R1192" s="52"/>
      <c r="S1192" s="52"/>
      <c r="T1192" s="52"/>
      <c r="U1192" s="58"/>
      <c r="V1192" s="57"/>
      <c r="W1192" s="52"/>
      <c r="X1192" s="52"/>
      <c r="Y1192" s="58"/>
      <c r="Z1192" s="57"/>
      <c r="AA1192" s="52"/>
      <c r="AB1192" s="52"/>
      <c r="AC1192" s="58"/>
      <c r="AD1192" s="57"/>
      <c r="AE1192" s="52"/>
      <c r="AF1192" s="52"/>
      <c r="AG1192" s="58"/>
      <c r="AH1192" s="57"/>
      <c r="AI1192" s="52"/>
      <c r="AJ1192" s="52"/>
      <c r="AK1192" s="58"/>
      <c r="AL1192" s="57"/>
      <c r="AM1192" s="52"/>
      <c r="AN1192" s="52"/>
      <c r="AO1192" s="58"/>
      <c r="AP1192" s="57"/>
      <c r="AQ1192" s="52"/>
      <c r="AR1192" s="52"/>
      <c r="AS1192" s="58"/>
      <c r="AT1192" s="57"/>
      <c r="AU1192" s="52"/>
      <c r="AV1192" s="52"/>
      <c r="AW1192" s="58"/>
      <c r="AX1192" s="33">
        <f t="shared" si="1158"/>
        <v>0</v>
      </c>
      <c r="AY1192" s="31">
        <f t="shared" si="1159"/>
        <v>0</v>
      </c>
      <c r="AZ1192" s="30">
        <f t="shared" si="1160"/>
        <v>0</v>
      </c>
      <c r="BA1192" s="34"/>
      <c r="BB1192" s="34"/>
      <c r="BC1192" s="34"/>
      <c r="BD1192" s="76"/>
      <c r="BE1192" s="34"/>
      <c r="BF1192" s="34"/>
      <c r="BG1192" s="34"/>
      <c r="BH1192" s="34"/>
    </row>
    <row r="1193" spans="1:60" s="17" customFormat="1" ht="19.5" customHeight="1" x14ac:dyDescent="0.35">
      <c r="A1193" s="41">
        <f t="shared" ref="A1193:B1194" si="1162">A1192</f>
        <v>45443</v>
      </c>
      <c r="B1193" s="37" t="str">
        <f t="shared" si="1162"/>
        <v>Etek Reçme</v>
      </c>
      <c r="C1193" s="65">
        <f t="shared" si="1156"/>
        <v>0</v>
      </c>
      <c r="D1193" s="67">
        <f t="shared" si="1157"/>
        <v>120</v>
      </c>
      <c r="E1193" s="57"/>
      <c r="F1193" s="52"/>
      <c r="G1193" s="52"/>
      <c r="H1193" s="58"/>
      <c r="I1193" s="57"/>
      <c r="J1193" s="52"/>
      <c r="K1193" s="52"/>
      <c r="L1193" s="58"/>
      <c r="M1193" s="57"/>
      <c r="N1193" s="52"/>
      <c r="O1193" s="52"/>
      <c r="P1193" s="58"/>
      <c r="Q1193" s="57"/>
      <c r="R1193" s="52"/>
      <c r="S1193" s="52"/>
      <c r="T1193" s="52"/>
      <c r="U1193" s="58"/>
      <c r="V1193" s="57"/>
      <c r="W1193" s="52"/>
      <c r="X1193" s="52"/>
      <c r="Y1193" s="58"/>
      <c r="Z1193" s="57"/>
      <c r="AA1193" s="52"/>
      <c r="AB1193" s="52"/>
      <c r="AC1193" s="58"/>
      <c r="AD1193" s="57"/>
      <c r="AE1193" s="52"/>
      <c r="AF1193" s="52"/>
      <c r="AG1193" s="58"/>
      <c r="AH1193" s="57"/>
      <c r="AI1193" s="52"/>
      <c r="AJ1193" s="52"/>
      <c r="AK1193" s="58"/>
      <c r="AL1193" s="57"/>
      <c r="AM1193" s="52"/>
      <c r="AN1193" s="52"/>
      <c r="AO1193" s="58"/>
      <c r="AP1193" s="57"/>
      <c r="AQ1193" s="52"/>
      <c r="AR1193" s="52"/>
      <c r="AS1193" s="58"/>
      <c r="AT1193" s="57"/>
      <c r="AU1193" s="52"/>
      <c r="AV1193" s="52"/>
      <c r="AW1193" s="58"/>
      <c r="AX1193" s="33">
        <f t="shared" si="1158"/>
        <v>0</v>
      </c>
      <c r="AY1193" s="31">
        <f t="shared" si="1159"/>
        <v>0</v>
      </c>
      <c r="AZ1193" s="30">
        <f t="shared" si="1160"/>
        <v>0</v>
      </c>
      <c r="BA1193" s="34"/>
      <c r="BB1193" s="34"/>
      <c r="BC1193" s="34"/>
      <c r="BD1193" s="76"/>
      <c r="BE1193" s="34"/>
      <c r="BF1193" s="34"/>
      <c r="BG1193" s="34"/>
      <c r="BH1193" s="34"/>
    </row>
    <row r="1194" spans="1:60" s="17" customFormat="1" ht="19.5" customHeight="1" x14ac:dyDescent="0.35">
      <c r="A1194" s="41">
        <f>A1191</f>
        <v>45443</v>
      </c>
      <c r="B1194" s="37" t="str">
        <f t="shared" si="1162"/>
        <v>Etek Reçme</v>
      </c>
      <c r="C1194" s="65">
        <f t="shared" si="1156"/>
        <v>0</v>
      </c>
      <c r="D1194" s="67">
        <f t="shared" si="1157"/>
        <v>120</v>
      </c>
      <c r="E1194" s="57"/>
      <c r="F1194" s="52"/>
      <c r="G1194" s="52"/>
      <c r="H1194" s="58"/>
      <c r="I1194" s="57"/>
      <c r="J1194" s="52"/>
      <c r="K1194" s="52"/>
      <c r="L1194" s="58"/>
      <c r="M1194" s="57"/>
      <c r="N1194" s="52"/>
      <c r="O1194" s="52"/>
      <c r="P1194" s="58"/>
      <c r="Q1194" s="57"/>
      <c r="R1194" s="52"/>
      <c r="S1194" s="52"/>
      <c r="T1194" s="52"/>
      <c r="U1194" s="58"/>
      <c r="V1194" s="57"/>
      <c r="W1194" s="52"/>
      <c r="X1194" s="52"/>
      <c r="Y1194" s="58"/>
      <c r="Z1194" s="57"/>
      <c r="AA1194" s="52"/>
      <c r="AB1194" s="52"/>
      <c r="AC1194" s="58"/>
      <c r="AD1194" s="57"/>
      <c r="AE1194" s="52"/>
      <c r="AF1194" s="52"/>
      <c r="AG1194" s="58"/>
      <c r="AH1194" s="57"/>
      <c r="AI1194" s="52"/>
      <c r="AJ1194" s="52"/>
      <c r="AK1194" s="58"/>
      <c r="AL1194" s="57"/>
      <c r="AM1194" s="52"/>
      <c r="AN1194" s="52"/>
      <c r="AO1194" s="58"/>
      <c r="AP1194" s="57"/>
      <c r="AQ1194" s="52"/>
      <c r="AR1194" s="52"/>
      <c r="AS1194" s="58"/>
      <c r="AT1194" s="57"/>
      <c r="AU1194" s="52"/>
      <c r="AV1194" s="52"/>
      <c r="AW1194" s="58"/>
      <c r="AX1194" s="33">
        <f t="shared" si="1158"/>
        <v>0</v>
      </c>
      <c r="AY1194" s="31">
        <f t="shared" si="1159"/>
        <v>0</v>
      </c>
      <c r="AZ1194" s="30">
        <f t="shared" si="1160"/>
        <v>0</v>
      </c>
      <c r="BA1194" s="34"/>
      <c r="BB1194" s="34"/>
      <c r="BC1194" s="34"/>
      <c r="BD1194" s="76"/>
      <c r="BE1194" s="34"/>
      <c r="BF1194" s="34"/>
      <c r="BG1194" s="34"/>
      <c r="BH1194" s="34"/>
    </row>
    <row r="1195" spans="1:60" s="17" customFormat="1" ht="19.5" customHeight="1" x14ac:dyDescent="0.35">
      <c r="A1195" s="41">
        <f t="shared" ref="A1195:B1195" si="1163">A1194</f>
        <v>45443</v>
      </c>
      <c r="B1195" s="37" t="str">
        <f t="shared" si="1163"/>
        <v>Etek Reçme</v>
      </c>
      <c r="C1195" s="65">
        <f t="shared" si="1156"/>
        <v>0</v>
      </c>
      <c r="D1195" s="67">
        <f t="shared" si="1157"/>
        <v>120</v>
      </c>
      <c r="E1195" s="57"/>
      <c r="F1195" s="52"/>
      <c r="G1195" s="52"/>
      <c r="H1195" s="58"/>
      <c r="I1195" s="57"/>
      <c r="J1195" s="52"/>
      <c r="K1195" s="52"/>
      <c r="L1195" s="58"/>
      <c r="M1195" s="57"/>
      <c r="N1195" s="52"/>
      <c r="O1195" s="52"/>
      <c r="P1195" s="78"/>
      <c r="Q1195" s="57"/>
      <c r="R1195" s="52"/>
      <c r="S1195" s="52"/>
      <c r="T1195" s="52"/>
      <c r="U1195" s="58"/>
      <c r="V1195" s="80"/>
      <c r="W1195" s="52"/>
      <c r="X1195" s="52"/>
      <c r="Y1195" s="58"/>
      <c r="Z1195" s="57"/>
      <c r="AA1195" s="52"/>
      <c r="AB1195" s="52"/>
      <c r="AC1195" s="58"/>
      <c r="AD1195" s="57"/>
      <c r="AE1195" s="52"/>
      <c r="AF1195" s="52"/>
      <c r="AG1195" s="58"/>
      <c r="AH1195" s="57"/>
      <c r="AI1195" s="52"/>
      <c r="AJ1195" s="52"/>
      <c r="AK1195" s="58"/>
      <c r="AL1195" s="57"/>
      <c r="AM1195" s="52"/>
      <c r="AN1195" s="52"/>
      <c r="AO1195" s="58"/>
      <c r="AP1195" s="57"/>
      <c r="AQ1195" s="52"/>
      <c r="AR1195" s="52"/>
      <c r="AS1195" s="58"/>
      <c r="AT1195" s="57"/>
      <c r="AU1195" s="52"/>
      <c r="AV1195" s="52"/>
      <c r="AW1195" s="58"/>
      <c r="AX1195" s="33">
        <f t="shared" si="1158"/>
        <v>0</v>
      </c>
      <c r="AY1195" s="31">
        <f t="shared" si="1159"/>
        <v>0</v>
      </c>
      <c r="AZ1195" s="30">
        <f t="shared" si="1160"/>
        <v>0</v>
      </c>
      <c r="BA1195" s="34"/>
      <c r="BB1195" s="34"/>
      <c r="BC1195" s="34"/>
      <c r="BD1195" s="76"/>
      <c r="BE1195" s="34"/>
      <c r="BF1195" s="34"/>
      <c r="BG1195" s="34"/>
      <c r="BH1195" s="34"/>
    </row>
    <row r="1196" spans="1:60" s="17" customFormat="1" ht="19.5" customHeight="1" thickBot="1" x14ac:dyDescent="0.4">
      <c r="A1196" s="41">
        <f t="shared" ref="A1196:B1197" si="1164">A1195</f>
        <v>45443</v>
      </c>
      <c r="B1196" s="37" t="str">
        <f t="shared" si="1164"/>
        <v>Etek Reçme</v>
      </c>
      <c r="C1196" s="65">
        <f t="shared" si="1156"/>
        <v>0</v>
      </c>
      <c r="D1196" s="67">
        <f t="shared" si="1157"/>
        <v>120</v>
      </c>
      <c r="E1196" s="59"/>
      <c r="F1196" s="60"/>
      <c r="G1196" s="61"/>
      <c r="H1196" s="62"/>
      <c r="I1196" s="59"/>
      <c r="J1196" s="60"/>
      <c r="K1196" s="61"/>
      <c r="L1196" s="62"/>
      <c r="M1196" s="59"/>
      <c r="N1196" s="60"/>
      <c r="O1196" s="61"/>
      <c r="P1196" s="79"/>
      <c r="Q1196" s="64"/>
      <c r="R1196" s="61"/>
      <c r="S1196" s="61"/>
      <c r="T1196" s="61"/>
      <c r="U1196" s="62"/>
      <c r="V1196" s="81"/>
      <c r="W1196" s="60"/>
      <c r="X1196" s="61"/>
      <c r="Y1196" s="62"/>
      <c r="Z1196" s="59"/>
      <c r="AA1196" s="60"/>
      <c r="AB1196" s="61"/>
      <c r="AC1196" s="62"/>
      <c r="AD1196" s="59"/>
      <c r="AE1196" s="60"/>
      <c r="AF1196" s="61"/>
      <c r="AG1196" s="62"/>
      <c r="AH1196" s="59"/>
      <c r="AI1196" s="60"/>
      <c r="AJ1196" s="61"/>
      <c r="AK1196" s="62"/>
      <c r="AL1196" s="59"/>
      <c r="AM1196" s="60"/>
      <c r="AN1196" s="61"/>
      <c r="AO1196" s="62"/>
      <c r="AP1196" s="59"/>
      <c r="AQ1196" s="60"/>
      <c r="AR1196" s="61"/>
      <c r="AS1196" s="62"/>
      <c r="AT1196" s="59"/>
      <c r="AU1196" s="60"/>
      <c r="AV1196" s="61"/>
      <c r="AW1196" s="62"/>
      <c r="AX1196" s="33">
        <f t="shared" si="1158"/>
        <v>0</v>
      </c>
      <c r="AY1196" s="31">
        <f t="shared" si="1159"/>
        <v>0</v>
      </c>
      <c r="AZ1196" s="30">
        <f t="shared" si="1160"/>
        <v>0</v>
      </c>
      <c r="BA1196" s="34"/>
      <c r="BB1196" s="34"/>
      <c r="BC1196" s="34"/>
      <c r="BD1196" s="76"/>
      <c r="BE1196" s="34"/>
      <c r="BF1196" s="34"/>
      <c r="BG1196" s="34"/>
      <c r="BH1196" s="34"/>
    </row>
    <row r="1197" spans="1:60" s="17" customFormat="1" ht="19.5" customHeight="1" thickBot="1" x14ac:dyDescent="0.45">
      <c r="A1197" s="41">
        <f t="shared" si="1164"/>
        <v>45443</v>
      </c>
      <c r="B1197" s="139" t="str">
        <f>B1190</f>
        <v>Etek Reçme</v>
      </c>
      <c r="C1197" s="140"/>
      <c r="D1197" s="40">
        <f>C1062/8</f>
        <v>500</v>
      </c>
      <c r="E1197" s="147">
        <f>SUM(E1190:H1196)</f>
        <v>360</v>
      </c>
      <c r="F1197" s="148"/>
      <c r="G1197" s="148"/>
      <c r="H1197" s="149"/>
      <c r="I1197" s="147">
        <f>SUM(I1190:L1196)</f>
        <v>290</v>
      </c>
      <c r="J1197" s="148"/>
      <c r="K1197" s="148"/>
      <c r="L1197" s="149"/>
      <c r="M1197" s="147">
        <f>SUM(M1190:P1196)</f>
        <v>395</v>
      </c>
      <c r="N1197" s="148"/>
      <c r="O1197" s="148"/>
      <c r="P1197" s="149"/>
      <c r="Q1197" s="151">
        <f>SUM(Q1190:U1196)</f>
        <v>670</v>
      </c>
      <c r="R1197" s="152"/>
      <c r="S1197" s="152"/>
      <c r="T1197" s="152"/>
      <c r="U1197" s="153"/>
      <c r="V1197" s="147">
        <f>SUM(V1190:Y1196)</f>
        <v>523</v>
      </c>
      <c r="W1197" s="148"/>
      <c r="X1197" s="148"/>
      <c r="Y1197" s="149"/>
      <c r="Z1197" s="147">
        <f>SUM(Z1190:AC1196)</f>
        <v>600</v>
      </c>
      <c r="AA1197" s="148"/>
      <c r="AB1197" s="148"/>
      <c r="AC1197" s="149"/>
      <c r="AD1197" s="147">
        <f>SUM(AD1190:AG1196)</f>
        <v>347</v>
      </c>
      <c r="AE1197" s="148"/>
      <c r="AF1197" s="148"/>
      <c r="AG1197" s="149"/>
      <c r="AH1197" s="147">
        <f>SUM(AH1190:AK1196)</f>
        <v>360</v>
      </c>
      <c r="AI1197" s="148"/>
      <c r="AJ1197" s="148"/>
      <c r="AK1197" s="149"/>
      <c r="AL1197" s="147">
        <f>SUM(AL1190:AO1196)</f>
        <v>0</v>
      </c>
      <c r="AM1197" s="148"/>
      <c r="AN1197" s="148"/>
      <c r="AO1197" s="149"/>
      <c r="AP1197" s="147">
        <f>SUM(AP1190:AS1196)</f>
        <v>0</v>
      </c>
      <c r="AQ1197" s="148"/>
      <c r="AR1197" s="148"/>
      <c r="AS1197" s="149"/>
      <c r="AT1197" s="147">
        <f>SUM(AT1190:AW1196)</f>
        <v>0</v>
      </c>
      <c r="AU1197" s="148"/>
      <c r="AV1197" s="148"/>
      <c r="AW1197" s="149"/>
      <c r="AX1197" s="87">
        <f>SUM(AX1190:AX1196)</f>
        <v>3545</v>
      </c>
      <c r="AY1197" s="88">
        <f>IFERROR(AVERAGEIF(E1197:AV1197,"&lt;&gt;0",(E1197:AV1197)),)</f>
        <v>443.125</v>
      </c>
      <c r="AZ1197" s="46">
        <f>IFERROR(AX1197/BB1191,0)</f>
        <v>0.88624999999999998</v>
      </c>
      <c r="BA1197" s="34"/>
      <c r="BB1197" s="34"/>
      <c r="BC1197" s="34"/>
      <c r="BD1197" s="76"/>
      <c r="BE1197" s="34"/>
      <c r="BF1197" s="34"/>
      <c r="BG1197" s="34"/>
      <c r="BH1197" s="34"/>
    </row>
    <row r="1198" spans="1:60" s="17" customFormat="1" ht="19.5" customHeight="1" thickBot="1" x14ac:dyDescent="0.4">
      <c r="A1198" s="42">
        <f>A1162</f>
        <v>45443</v>
      </c>
      <c r="B1198" s="38" t="str">
        <f>B1199</f>
        <v>Çevirme</v>
      </c>
      <c r="C1198" s="39" t="s">
        <v>180</v>
      </c>
      <c r="D1198" s="69" t="s">
        <v>181</v>
      </c>
      <c r="E1198" s="48">
        <v>0.34375</v>
      </c>
      <c r="F1198" s="49">
        <v>0.35416666666666669</v>
      </c>
      <c r="G1198" s="49">
        <v>0.36458333333333331</v>
      </c>
      <c r="H1198" s="50">
        <v>0.375</v>
      </c>
      <c r="I1198" s="48">
        <v>0.38541666666666702</v>
      </c>
      <c r="J1198" s="49">
        <v>0.39583333333333298</v>
      </c>
      <c r="K1198" s="49">
        <v>0.40625</v>
      </c>
      <c r="L1198" s="50">
        <v>0.41666666666666702</v>
      </c>
      <c r="M1198" s="48">
        <v>0.4375</v>
      </c>
      <c r="N1198" s="49">
        <v>0.44791666666666702</v>
      </c>
      <c r="O1198" s="49">
        <v>0.45833333333333398</v>
      </c>
      <c r="P1198" s="50">
        <v>0.46875</v>
      </c>
      <c r="Q1198" s="48">
        <v>0.47916666666666702</v>
      </c>
      <c r="R1198" s="49">
        <v>0.48958333333333398</v>
      </c>
      <c r="S1198" s="49">
        <v>0.5</v>
      </c>
      <c r="T1198" s="50">
        <v>0.51041666666666696</v>
      </c>
      <c r="U1198" s="51">
        <v>0.52083333333333204</v>
      </c>
      <c r="V1198" s="48">
        <v>0.5625</v>
      </c>
      <c r="W1198" s="49">
        <v>0.57291666666666663</v>
      </c>
      <c r="X1198" s="49">
        <v>0.58333333333333304</v>
      </c>
      <c r="Y1198" s="50">
        <v>0.59375</v>
      </c>
      <c r="Z1198" s="48">
        <v>0.60416666666666696</v>
      </c>
      <c r="AA1198" s="49">
        <v>0.61458333333333304</v>
      </c>
      <c r="AB1198" s="49">
        <v>0.625</v>
      </c>
      <c r="AC1198" s="50">
        <v>0.63541666666666596</v>
      </c>
      <c r="AD1198" s="48">
        <v>0.65625</v>
      </c>
      <c r="AE1198" s="49">
        <v>0.66666666666666663</v>
      </c>
      <c r="AF1198" s="49">
        <v>0.67708333333333304</v>
      </c>
      <c r="AG1198" s="50">
        <v>0.6875</v>
      </c>
      <c r="AH1198" s="48">
        <v>0.69791666666666696</v>
      </c>
      <c r="AI1198" s="49">
        <v>0.70833333333333304</v>
      </c>
      <c r="AJ1198" s="49">
        <v>0.71875</v>
      </c>
      <c r="AK1198" s="50">
        <v>0.72916666666666696</v>
      </c>
      <c r="AL1198" s="48">
        <v>0.73958333333333404</v>
      </c>
      <c r="AM1198" s="49">
        <v>0.750000000000001</v>
      </c>
      <c r="AN1198" s="49">
        <v>0.76041666666666796</v>
      </c>
      <c r="AO1198" s="50">
        <v>0.77083333333333504</v>
      </c>
      <c r="AP1198" s="48">
        <v>0.781250000000002</v>
      </c>
      <c r="AQ1198" s="49">
        <v>0.79166666666666896</v>
      </c>
      <c r="AR1198" s="49">
        <v>0.80208333333333603</v>
      </c>
      <c r="AS1198" s="50">
        <v>0.812500000000003</v>
      </c>
      <c r="AT1198" s="48">
        <v>0.82291666666666996</v>
      </c>
      <c r="AU1198" s="49">
        <v>0.83333333333333703</v>
      </c>
      <c r="AV1198" s="49">
        <v>0.843750000000004</v>
      </c>
      <c r="AW1198" s="50">
        <v>0.85416666666666663</v>
      </c>
      <c r="AX1198" s="68" t="s">
        <v>260</v>
      </c>
      <c r="AY1198" s="28" t="s">
        <v>261</v>
      </c>
      <c r="AZ1198" s="29" t="s">
        <v>262</v>
      </c>
      <c r="BA1198" s="136" t="str">
        <f>B1199</f>
        <v>Çevirme</v>
      </c>
      <c r="BB1198" s="137"/>
      <c r="BC1198" s="137"/>
      <c r="BD1198" s="137"/>
      <c r="BE1198" s="137"/>
      <c r="BF1198" s="137"/>
      <c r="BG1198" s="137"/>
      <c r="BH1198" s="138"/>
    </row>
    <row r="1199" spans="1:60" s="17" customFormat="1" ht="19.5" customHeight="1" thickBot="1" x14ac:dyDescent="0.4">
      <c r="A1199" s="41">
        <f t="shared" ref="A1199" si="1165">A1198</f>
        <v>45443</v>
      </c>
      <c r="B1199" s="37" t="str">
        <f>B1023</f>
        <v>Çevirme</v>
      </c>
      <c r="C1199" s="65" t="str">
        <f>C1023</f>
        <v>SEZER BOZKURT</v>
      </c>
      <c r="D1199" s="70">
        <f>D987</f>
        <v>40</v>
      </c>
      <c r="E1199" s="63">
        <v>40</v>
      </c>
      <c r="F1199" s="55">
        <v>44</v>
      </c>
      <c r="G1199" s="55">
        <v>37</v>
      </c>
      <c r="H1199" s="56">
        <v>40</v>
      </c>
      <c r="I1199" s="63">
        <v>40</v>
      </c>
      <c r="J1199" s="55">
        <v>40</v>
      </c>
      <c r="K1199" s="55">
        <v>40</v>
      </c>
      <c r="L1199" s="56">
        <v>40</v>
      </c>
      <c r="M1199" s="63">
        <v>43</v>
      </c>
      <c r="N1199" s="55">
        <v>43</v>
      </c>
      <c r="O1199" s="55">
        <v>32</v>
      </c>
      <c r="P1199" s="56">
        <v>50</v>
      </c>
      <c r="Q1199" s="63">
        <v>50</v>
      </c>
      <c r="R1199" s="55">
        <v>46</v>
      </c>
      <c r="S1199" s="55">
        <v>36</v>
      </c>
      <c r="T1199" s="55">
        <v>45</v>
      </c>
      <c r="U1199" s="56">
        <v>45</v>
      </c>
      <c r="V1199" s="63">
        <v>43</v>
      </c>
      <c r="W1199" s="55">
        <v>40</v>
      </c>
      <c r="X1199" s="55">
        <v>43</v>
      </c>
      <c r="Y1199" s="56">
        <v>35</v>
      </c>
      <c r="Z1199" s="63">
        <v>39</v>
      </c>
      <c r="AA1199" s="55">
        <v>39</v>
      </c>
      <c r="AB1199" s="55">
        <v>40</v>
      </c>
      <c r="AC1199" s="56">
        <v>40</v>
      </c>
      <c r="AD1199" s="63">
        <v>40</v>
      </c>
      <c r="AE1199" s="55">
        <v>40</v>
      </c>
      <c r="AF1199" s="55">
        <v>40</v>
      </c>
      <c r="AG1199" s="56">
        <v>40</v>
      </c>
      <c r="AH1199" s="63">
        <v>36</v>
      </c>
      <c r="AI1199" s="55">
        <v>40</v>
      </c>
      <c r="AJ1199" s="55">
        <v>40</v>
      </c>
      <c r="AK1199" s="56"/>
      <c r="AL1199" s="63"/>
      <c r="AM1199" s="55"/>
      <c r="AN1199" s="55"/>
      <c r="AO1199" s="56"/>
      <c r="AP1199" s="63"/>
      <c r="AQ1199" s="55"/>
      <c r="AR1199" s="55"/>
      <c r="AS1199" s="56"/>
      <c r="AT1199" s="53"/>
      <c r="AU1199" s="54"/>
      <c r="AV1199" s="55"/>
      <c r="AW1199" s="56"/>
      <c r="AX1199" s="33">
        <f>SUM(E1199:AW1199)</f>
        <v>1306</v>
      </c>
      <c r="AY1199" s="31">
        <f>IFERROR(AVERAGEIF(E1199:AW1199,"&lt;&gt;0",(E1199:AW1199)),)</f>
        <v>40.8125</v>
      </c>
      <c r="AZ1199" s="30">
        <f>IFERROR(AY1199/D1199,0)</f>
        <v>1.0203125</v>
      </c>
      <c r="BA1199" s="103" t="s">
        <v>182</v>
      </c>
      <c r="BB1199" s="100" t="s">
        <v>183</v>
      </c>
      <c r="BC1199" s="100" t="s">
        <v>184</v>
      </c>
      <c r="BD1199" s="101" t="s">
        <v>185</v>
      </c>
      <c r="BE1199" s="100" t="s">
        <v>186</v>
      </c>
      <c r="BF1199" s="102" t="s">
        <v>187</v>
      </c>
      <c r="BG1199" s="100" t="s">
        <v>188</v>
      </c>
      <c r="BH1199" s="102" t="s">
        <v>189</v>
      </c>
    </row>
    <row r="1200" spans="1:60" s="17" customFormat="1" ht="19.5" customHeight="1" thickBot="1" x14ac:dyDescent="0.4">
      <c r="A1200" s="41">
        <f t="shared" ref="A1200:B1200" si="1166">A1199</f>
        <v>45443</v>
      </c>
      <c r="B1200" s="37" t="str">
        <f t="shared" si="1166"/>
        <v>Çevirme</v>
      </c>
      <c r="C1200" s="65" t="str">
        <f t="shared" ref="C1200:C1205" si="1167">C1024</f>
        <v>SEMRA ARAZ</v>
      </c>
      <c r="D1200" s="67">
        <f t="shared" ref="D1200:D1205" si="1168">D1199</f>
        <v>40</v>
      </c>
      <c r="E1200" s="57">
        <v>50</v>
      </c>
      <c r="F1200" s="52">
        <v>50</v>
      </c>
      <c r="G1200" s="52">
        <v>50</v>
      </c>
      <c r="H1200" s="58">
        <v>53</v>
      </c>
      <c r="I1200" s="57">
        <v>50</v>
      </c>
      <c r="J1200" s="52">
        <v>53</v>
      </c>
      <c r="K1200" s="52">
        <v>50</v>
      </c>
      <c r="L1200" s="58">
        <v>55</v>
      </c>
      <c r="M1200" s="57">
        <v>55</v>
      </c>
      <c r="N1200" s="52">
        <v>55</v>
      </c>
      <c r="O1200" s="52">
        <v>53</v>
      </c>
      <c r="P1200" s="58">
        <v>67</v>
      </c>
      <c r="Q1200" s="57">
        <v>65</v>
      </c>
      <c r="R1200" s="52">
        <v>67</v>
      </c>
      <c r="S1200" s="52">
        <v>65</v>
      </c>
      <c r="T1200" s="52">
        <v>66</v>
      </c>
      <c r="U1200" s="58">
        <v>50</v>
      </c>
      <c r="V1200" s="57">
        <v>60</v>
      </c>
      <c r="W1200" s="52">
        <v>55</v>
      </c>
      <c r="X1200" s="52">
        <v>55</v>
      </c>
      <c r="Y1200" s="58">
        <v>54</v>
      </c>
      <c r="Z1200" s="57">
        <v>53</v>
      </c>
      <c r="AA1200" s="52">
        <v>52</v>
      </c>
      <c r="AB1200" s="52">
        <v>50</v>
      </c>
      <c r="AC1200" s="58">
        <v>54</v>
      </c>
      <c r="AD1200" s="57">
        <v>60</v>
      </c>
      <c r="AE1200" s="52">
        <v>60</v>
      </c>
      <c r="AF1200" s="52">
        <v>55</v>
      </c>
      <c r="AG1200" s="58">
        <v>50</v>
      </c>
      <c r="AH1200" s="57">
        <v>50</v>
      </c>
      <c r="AI1200" s="52">
        <v>50</v>
      </c>
      <c r="AJ1200" s="52">
        <v>53</v>
      </c>
      <c r="AK1200" s="58"/>
      <c r="AL1200" s="57"/>
      <c r="AM1200" s="52"/>
      <c r="AN1200" s="52"/>
      <c r="AO1200" s="58"/>
      <c r="AP1200" s="57"/>
      <c r="AQ1200" s="52"/>
      <c r="AR1200" s="52"/>
      <c r="AS1200" s="58"/>
      <c r="AT1200" s="57"/>
      <c r="AU1200" s="52"/>
      <c r="AV1200" s="52"/>
      <c r="AW1200" s="58"/>
      <c r="AX1200" s="33">
        <f t="shared" ref="AX1200:AX1205" si="1169">SUM(E1200:AW1200)</f>
        <v>1765</v>
      </c>
      <c r="AY1200" s="31">
        <f t="shared" ref="AY1200:AY1205" si="1170">IFERROR(AVERAGEIF(E1200:AW1200,"&lt;&gt;0",(E1200:AW1200)),)</f>
        <v>55.15625</v>
      </c>
      <c r="AZ1200" s="30">
        <f t="shared" ref="AZ1200:AZ1205" si="1171">IFERROR(AY1200/D1200,0)</f>
        <v>1.37890625</v>
      </c>
      <c r="BA1200" s="94">
        <f>AX1206+BA1024</f>
        <v>12121</v>
      </c>
      <c r="BB1200" s="95">
        <f>(D1206*8)</f>
        <v>4000</v>
      </c>
      <c r="BC1200" s="96">
        <f>C1061-BA1200</f>
        <v>30190</v>
      </c>
      <c r="BD1200" s="96">
        <f>BA1182-BA1200</f>
        <v>-27</v>
      </c>
      <c r="BE1200" s="97">
        <f>IFERROR(BC1200/E1206,0)</f>
        <v>82.939560439560438</v>
      </c>
      <c r="BF1200" s="98">
        <f>IFERROR(BE1200/9,0)</f>
        <v>9.2155067155067147</v>
      </c>
      <c r="BG1200" s="97">
        <f>IFERROR(BC1200/AY1206,0)</f>
        <v>65.8810692853246</v>
      </c>
      <c r="BH1200" s="97">
        <f>IFERROR(BG1200/9,0)</f>
        <v>7.320118809480511</v>
      </c>
    </row>
    <row r="1201" spans="1:60" s="17" customFormat="1" ht="19.5" customHeight="1" x14ac:dyDescent="0.35">
      <c r="A1201" s="41">
        <f t="shared" ref="A1201:B1201" si="1172">A1200</f>
        <v>45443</v>
      </c>
      <c r="B1201" s="37" t="str">
        <f t="shared" si="1172"/>
        <v>Çevirme</v>
      </c>
      <c r="C1201" s="65" t="str">
        <f t="shared" si="1167"/>
        <v>NECLA KOÇ</v>
      </c>
      <c r="D1201" s="67">
        <f t="shared" si="1168"/>
        <v>40</v>
      </c>
      <c r="E1201" s="57"/>
      <c r="F1201" s="52"/>
      <c r="G1201" s="52"/>
      <c r="H1201" s="58"/>
      <c r="I1201" s="57"/>
      <c r="J1201" s="52"/>
      <c r="K1201" s="52"/>
      <c r="L1201" s="58"/>
      <c r="M1201" s="57"/>
      <c r="N1201" s="52"/>
      <c r="O1201" s="52"/>
      <c r="P1201" s="58"/>
      <c r="Q1201" s="57"/>
      <c r="R1201" s="52">
        <v>70</v>
      </c>
      <c r="S1201" s="52">
        <v>70</v>
      </c>
      <c r="T1201" s="52">
        <v>60</v>
      </c>
      <c r="U1201" s="58">
        <v>70</v>
      </c>
      <c r="V1201" s="57">
        <v>70</v>
      </c>
      <c r="W1201" s="52">
        <v>70</v>
      </c>
      <c r="X1201" s="52">
        <v>70</v>
      </c>
      <c r="Y1201" s="58"/>
      <c r="Z1201" s="57"/>
      <c r="AA1201" s="52"/>
      <c r="AB1201" s="52"/>
      <c r="AC1201" s="58"/>
      <c r="AD1201" s="57"/>
      <c r="AE1201" s="52"/>
      <c r="AF1201" s="52"/>
      <c r="AG1201" s="58"/>
      <c r="AH1201" s="57"/>
      <c r="AI1201" s="52"/>
      <c r="AJ1201" s="52"/>
      <c r="AK1201" s="58"/>
      <c r="AL1201" s="57"/>
      <c r="AM1201" s="52"/>
      <c r="AN1201" s="52"/>
      <c r="AO1201" s="58"/>
      <c r="AP1201" s="57"/>
      <c r="AQ1201" s="52"/>
      <c r="AR1201" s="52"/>
      <c r="AS1201" s="58"/>
      <c r="AT1201" s="57"/>
      <c r="AU1201" s="52"/>
      <c r="AV1201" s="52"/>
      <c r="AW1201" s="58"/>
      <c r="AX1201" s="33">
        <f t="shared" si="1169"/>
        <v>480</v>
      </c>
      <c r="AY1201" s="31">
        <f t="shared" si="1170"/>
        <v>68.571428571428569</v>
      </c>
      <c r="AZ1201" s="30">
        <f t="shared" si="1171"/>
        <v>1.7142857142857142</v>
      </c>
      <c r="BA1201" s="34"/>
      <c r="BB1201" s="34"/>
      <c r="BC1201" s="34"/>
      <c r="BD1201" s="76"/>
      <c r="BE1201" s="34"/>
      <c r="BF1201" s="34"/>
      <c r="BG1201" s="34"/>
      <c r="BH1201" s="34"/>
    </row>
    <row r="1202" spans="1:60" s="17" customFormat="1" ht="19.5" customHeight="1" x14ac:dyDescent="0.35">
      <c r="A1202" s="41">
        <f t="shared" ref="A1202:B1203" si="1173">A1201</f>
        <v>45443</v>
      </c>
      <c r="B1202" s="37" t="str">
        <f t="shared" si="1173"/>
        <v>Çevirme</v>
      </c>
      <c r="C1202" s="65" t="str">
        <f t="shared" si="1167"/>
        <v>ARZU ÖZÇAĞLAYAN</v>
      </c>
      <c r="D1202" s="67">
        <f t="shared" si="1168"/>
        <v>40</v>
      </c>
      <c r="E1202" s="57"/>
      <c r="F1202" s="52"/>
      <c r="G1202" s="52"/>
      <c r="H1202" s="58"/>
      <c r="I1202" s="57"/>
      <c r="J1202" s="52"/>
      <c r="K1202" s="52"/>
      <c r="L1202" s="58"/>
      <c r="M1202" s="57"/>
      <c r="N1202" s="52"/>
      <c r="O1202" s="52"/>
      <c r="P1202" s="58"/>
      <c r="Q1202" s="57"/>
      <c r="R1202" s="52"/>
      <c r="S1202" s="52"/>
      <c r="T1202" s="52"/>
      <c r="U1202" s="58"/>
      <c r="V1202" s="57"/>
      <c r="W1202" s="52"/>
      <c r="X1202" s="52"/>
      <c r="Y1202" s="58"/>
      <c r="Z1202" s="57"/>
      <c r="AA1202" s="52"/>
      <c r="AB1202" s="52"/>
      <c r="AC1202" s="58"/>
      <c r="AD1202" s="57"/>
      <c r="AE1202" s="52"/>
      <c r="AF1202" s="52"/>
      <c r="AG1202" s="58"/>
      <c r="AH1202" s="57"/>
      <c r="AI1202" s="52"/>
      <c r="AJ1202" s="52"/>
      <c r="AK1202" s="58"/>
      <c r="AL1202" s="57"/>
      <c r="AM1202" s="52"/>
      <c r="AN1202" s="52"/>
      <c r="AO1202" s="58"/>
      <c r="AP1202" s="57"/>
      <c r="AQ1202" s="52"/>
      <c r="AR1202" s="52"/>
      <c r="AS1202" s="58"/>
      <c r="AT1202" s="57"/>
      <c r="AU1202" s="52"/>
      <c r="AV1202" s="52"/>
      <c r="AW1202" s="58"/>
      <c r="AX1202" s="33">
        <f t="shared" si="1169"/>
        <v>0</v>
      </c>
      <c r="AY1202" s="31">
        <f t="shared" si="1170"/>
        <v>0</v>
      </c>
      <c r="AZ1202" s="30">
        <f t="shared" si="1171"/>
        <v>0</v>
      </c>
      <c r="BA1202" s="34"/>
      <c r="BB1202" s="34"/>
      <c r="BC1202" s="34"/>
      <c r="BD1202" s="76"/>
      <c r="BE1202" s="34"/>
      <c r="BF1202" s="34"/>
      <c r="BG1202" s="34"/>
      <c r="BH1202" s="34"/>
    </row>
    <row r="1203" spans="1:60" s="17" customFormat="1" ht="19.5" customHeight="1" x14ac:dyDescent="0.35">
      <c r="A1203" s="41">
        <f>A1200</f>
        <v>45443</v>
      </c>
      <c r="B1203" s="37" t="str">
        <f t="shared" si="1173"/>
        <v>Çevirme</v>
      </c>
      <c r="C1203" s="65">
        <f t="shared" si="1167"/>
        <v>0</v>
      </c>
      <c r="D1203" s="67">
        <f t="shared" si="1168"/>
        <v>40</v>
      </c>
      <c r="E1203" s="57"/>
      <c r="F1203" s="52"/>
      <c r="G1203" s="52"/>
      <c r="H1203" s="58"/>
      <c r="I1203" s="57"/>
      <c r="J1203" s="52"/>
      <c r="K1203" s="52"/>
      <c r="L1203" s="58"/>
      <c r="M1203" s="57"/>
      <c r="N1203" s="52"/>
      <c r="O1203" s="52"/>
      <c r="P1203" s="58"/>
      <c r="Q1203" s="57"/>
      <c r="R1203" s="52"/>
      <c r="S1203" s="52"/>
      <c r="T1203" s="52"/>
      <c r="U1203" s="58"/>
      <c r="V1203" s="57"/>
      <c r="W1203" s="52"/>
      <c r="X1203" s="52"/>
      <c r="Y1203" s="58"/>
      <c r="Z1203" s="57"/>
      <c r="AA1203" s="52"/>
      <c r="AB1203" s="52">
        <v>51</v>
      </c>
      <c r="AC1203" s="58">
        <v>27</v>
      </c>
      <c r="AD1203" s="57">
        <v>37</v>
      </c>
      <c r="AE1203" s="52"/>
      <c r="AF1203" s="52"/>
      <c r="AG1203" s="58"/>
      <c r="AH1203" s="57"/>
      <c r="AI1203" s="52"/>
      <c r="AJ1203" s="52"/>
      <c r="AK1203" s="58"/>
      <c r="AL1203" s="57"/>
      <c r="AM1203" s="52"/>
      <c r="AN1203" s="52"/>
      <c r="AO1203" s="58"/>
      <c r="AP1203" s="57"/>
      <c r="AQ1203" s="52"/>
      <c r="AR1203" s="52"/>
      <c r="AS1203" s="58"/>
      <c r="AT1203" s="57"/>
      <c r="AU1203" s="52"/>
      <c r="AV1203" s="52"/>
      <c r="AW1203" s="58"/>
      <c r="AX1203" s="33">
        <f t="shared" si="1169"/>
        <v>115</v>
      </c>
      <c r="AY1203" s="31">
        <f t="shared" si="1170"/>
        <v>38.333333333333336</v>
      </c>
      <c r="AZ1203" s="30">
        <f t="shared" si="1171"/>
        <v>0.95833333333333337</v>
      </c>
      <c r="BA1203" s="34"/>
      <c r="BB1203" s="34"/>
      <c r="BC1203" s="34"/>
      <c r="BD1203" s="76"/>
      <c r="BE1203" s="34"/>
      <c r="BF1203" s="34"/>
      <c r="BG1203" s="34"/>
      <c r="BH1203" s="34"/>
    </row>
    <row r="1204" spans="1:60" s="17" customFormat="1" ht="19.5" customHeight="1" x14ac:dyDescent="0.35">
      <c r="A1204" s="41">
        <f t="shared" ref="A1204:B1204" si="1174">A1203</f>
        <v>45443</v>
      </c>
      <c r="B1204" s="37" t="str">
        <f t="shared" si="1174"/>
        <v>Çevirme</v>
      </c>
      <c r="C1204" s="65">
        <f t="shared" si="1167"/>
        <v>0</v>
      </c>
      <c r="D1204" s="67">
        <f t="shared" si="1168"/>
        <v>40</v>
      </c>
      <c r="E1204" s="57"/>
      <c r="F1204" s="52"/>
      <c r="G1204" s="52"/>
      <c r="H1204" s="58"/>
      <c r="I1204" s="57"/>
      <c r="J1204" s="52"/>
      <c r="K1204" s="52"/>
      <c r="L1204" s="58"/>
      <c r="M1204" s="57"/>
      <c r="N1204" s="52"/>
      <c r="O1204" s="52"/>
      <c r="P1204" s="58"/>
      <c r="Q1204" s="57"/>
      <c r="R1204" s="52"/>
      <c r="S1204" s="52"/>
      <c r="T1204" s="52"/>
      <c r="U1204" s="58"/>
      <c r="V1204" s="57"/>
      <c r="W1204" s="52"/>
      <c r="X1204" s="52"/>
      <c r="Y1204" s="58"/>
      <c r="Z1204" s="57"/>
      <c r="AA1204" s="52"/>
      <c r="AB1204" s="52"/>
      <c r="AC1204" s="58"/>
      <c r="AD1204" s="57"/>
      <c r="AE1204" s="52"/>
      <c r="AF1204" s="52"/>
      <c r="AG1204" s="58"/>
      <c r="AH1204" s="57"/>
      <c r="AI1204" s="52"/>
      <c r="AJ1204" s="52"/>
      <c r="AK1204" s="58"/>
      <c r="AL1204" s="57"/>
      <c r="AM1204" s="52"/>
      <c r="AN1204" s="52"/>
      <c r="AO1204" s="58"/>
      <c r="AP1204" s="57"/>
      <c r="AQ1204" s="52"/>
      <c r="AR1204" s="52"/>
      <c r="AS1204" s="58"/>
      <c r="AT1204" s="57"/>
      <c r="AU1204" s="52"/>
      <c r="AV1204" s="52"/>
      <c r="AW1204" s="58"/>
      <c r="AX1204" s="33">
        <f t="shared" si="1169"/>
        <v>0</v>
      </c>
      <c r="AY1204" s="31">
        <f t="shared" si="1170"/>
        <v>0</v>
      </c>
      <c r="AZ1204" s="30">
        <f t="shared" si="1171"/>
        <v>0</v>
      </c>
      <c r="BA1204" s="34"/>
      <c r="BB1204" s="34"/>
      <c r="BC1204" s="34"/>
      <c r="BD1204" s="76"/>
      <c r="BE1204" s="34"/>
      <c r="BF1204" s="34"/>
      <c r="BG1204" s="34"/>
      <c r="BH1204" s="34"/>
    </row>
    <row r="1205" spans="1:60" s="17" customFormat="1" ht="19.5" customHeight="1" thickBot="1" x14ac:dyDescent="0.4">
      <c r="A1205" s="41">
        <f t="shared" ref="A1205:B1206" si="1175">A1204</f>
        <v>45443</v>
      </c>
      <c r="B1205" s="37" t="str">
        <f t="shared" si="1175"/>
        <v>Çevirme</v>
      </c>
      <c r="C1205" s="65">
        <f t="shared" si="1167"/>
        <v>0</v>
      </c>
      <c r="D1205" s="67">
        <f t="shared" si="1168"/>
        <v>40</v>
      </c>
      <c r="E1205" s="59"/>
      <c r="F1205" s="60"/>
      <c r="G1205" s="61"/>
      <c r="H1205" s="62"/>
      <c r="I1205" s="59"/>
      <c r="J1205" s="60"/>
      <c r="K1205" s="61"/>
      <c r="L1205" s="62"/>
      <c r="M1205" s="59"/>
      <c r="N1205" s="60"/>
      <c r="O1205" s="61"/>
      <c r="P1205" s="62"/>
      <c r="Q1205" s="64"/>
      <c r="R1205" s="61"/>
      <c r="S1205" s="61"/>
      <c r="T1205" s="61"/>
      <c r="U1205" s="62"/>
      <c r="V1205" s="59"/>
      <c r="W1205" s="60"/>
      <c r="X1205" s="61"/>
      <c r="Y1205" s="62"/>
      <c r="Z1205" s="59"/>
      <c r="AA1205" s="60"/>
      <c r="AB1205" s="61"/>
      <c r="AC1205" s="62"/>
      <c r="AD1205" s="59"/>
      <c r="AE1205" s="60"/>
      <c r="AF1205" s="61"/>
      <c r="AG1205" s="62"/>
      <c r="AH1205" s="59"/>
      <c r="AI1205" s="60"/>
      <c r="AJ1205" s="61"/>
      <c r="AK1205" s="62"/>
      <c r="AL1205" s="59"/>
      <c r="AM1205" s="60"/>
      <c r="AN1205" s="61"/>
      <c r="AO1205" s="62"/>
      <c r="AP1205" s="59"/>
      <c r="AQ1205" s="60"/>
      <c r="AR1205" s="61"/>
      <c r="AS1205" s="62"/>
      <c r="AT1205" s="59"/>
      <c r="AU1205" s="60"/>
      <c r="AV1205" s="61"/>
      <c r="AW1205" s="62"/>
      <c r="AX1205" s="33">
        <f t="shared" si="1169"/>
        <v>0</v>
      </c>
      <c r="AY1205" s="31">
        <f t="shared" si="1170"/>
        <v>0</v>
      </c>
      <c r="AZ1205" s="30">
        <f t="shared" si="1171"/>
        <v>0</v>
      </c>
      <c r="BA1205" s="34"/>
      <c r="BB1205" s="34"/>
      <c r="BC1205" s="34"/>
      <c r="BD1205" s="76"/>
      <c r="BE1205" s="34"/>
      <c r="BF1205" s="34"/>
      <c r="BG1205" s="34"/>
      <c r="BH1205" s="34"/>
    </row>
    <row r="1206" spans="1:60" s="17" customFormat="1" ht="19.5" customHeight="1" thickBot="1" x14ac:dyDescent="0.45">
      <c r="A1206" s="41">
        <f t="shared" si="1175"/>
        <v>45443</v>
      </c>
      <c r="B1206" s="139" t="str">
        <f>B1199</f>
        <v>Çevirme</v>
      </c>
      <c r="C1206" s="140"/>
      <c r="D1206" s="40">
        <f>C1062/8</f>
        <v>500</v>
      </c>
      <c r="E1206" s="147">
        <f>SUM(E1199:H1205)</f>
        <v>364</v>
      </c>
      <c r="F1206" s="148"/>
      <c r="G1206" s="148"/>
      <c r="H1206" s="149"/>
      <c r="I1206" s="147">
        <f>SUM(I1199:L1205)</f>
        <v>368</v>
      </c>
      <c r="J1206" s="148"/>
      <c r="K1206" s="148"/>
      <c r="L1206" s="149"/>
      <c r="M1206" s="147">
        <f>SUM(M1199:P1205)</f>
        <v>398</v>
      </c>
      <c r="N1206" s="148"/>
      <c r="O1206" s="148"/>
      <c r="P1206" s="149"/>
      <c r="Q1206" s="147">
        <f>SUM(Q1199:U1205)</f>
        <v>805</v>
      </c>
      <c r="R1206" s="148"/>
      <c r="S1206" s="148"/>
      <c r="T1206" s="148"/>
      <c r="U1206" s="149"/>
      <c r="V1206" s="147">
        <f>SUM(V1199:Y1205)</f>
        <v>595</v>
      </c>
      <c r="W1206" s="148"/>
      <c r="X1206" s="148"/>
      <c r="Y1206" s="149"/>
      <c r="Z1206" s="147">
        <f>SUM(Z1199:AC1205)</f>
        <v>445</v>
      </c>
      <c r="AA1206" s="148"/>
      <c r="AB1206" s="148"/>
      <c r="AC1206" s="149"/>
      <c r="AD1206" s="147">
        <f>SUM(AD1199:AG1205)</f>
        <v>422</v>
      </c>
      <c r="AE1206" s="148"/>
      <c r="AF1206" s="148"/>
      <c r="AG1206" s="149"/>
      <c r="AH1206" s="147">
        <f>SUM(AH1199:AK1205)</f>
        <v>269</v>
      </c>
      <c r="AI1206" s="148"/>
      <c r="AJ1206" s="148"/>
      <c r="AK1206" s="149"/>
      <c r="AL1206" s="147">
        <f>SUM(AL1199:AO1205)</f>
        <v>0</v>
      </c>
      <c r="AM1206" s="148"/>
      <c r="AN1206" s="148"/>
      <c r="AO1206" s="149"/>
      <c r="AP1206" s="147">
        <f>SUM(AP1199:AS1205)</f>
        <v>0</v>
      </c>
      <c r="AQ1206" s="148"/>
      <c r="AR1206" s="148"/>
      <c r="AS1206" s="149"/>
      <c r="AT1206" s="147">
        <f>SUM(AT1199:AW1205)</f>
        <v>0</v>
      </c>
      <c r="AU1206" s="148"/>
      <c r="AV1206" s="148"/>
      <c r="AW1206" s="149"/>
      <c r="AX1206" s="87">
        <f>SUM(AX1199:AX1205)</f>
        <v>3666</v>
      </c>
      <c r="AY1206" s="88">
        <f>IFERROR(AVERAGEIF(E1206:AV1206,"&lt;&gt;0",(E1206:AV1206)),)</f>
        <v>458.25</v>
      </c>
      <c r="AZ1206" s="46">
        <f>IFERROR(AX1206/BB1200,0)</f>
        <v>0.91649999999999998</v>
      </c>
      <c r="BA1206" s="34"/>
      <c r="BB1206" s="34"/>
      <c r="BC1206" s="34"/>
      <c r="BD1206" s="76"/>
      <c r="BE1206" s="34"/>
      <c r="BF1206" s="34"/>
      <c r="BG1206" s="34"/>
      <c r="BH1206" s="34"/>
    </row>
    <row r="1207" spans="1:60" s="17" customFormat="1" ht="19.5" customHeight="1" thickBot="1" x14ac:dyDescent="0.4">
      <c r="A1207" s="42">
        <f>A1198</f>
        <v>45443</v>
      </c>
      <c r="B1207" s="38" t="str">
        <f>B1208</f>
        <v>ÇEVİRME BEDEN</v>
      </c>
      <c r="C1207" s="39" t="s">
        <v>180</v>
      </c>
      <c r="D1207" s="69" t="s">
        <v>181</v>
      </c>
      <c r="E1207" s="48">
        <v>0.34375</v>
      </c>
      <c r="F1207" s="49">
        <v>0.35416666666666669</v>
      </c>
      <c r="G1207" s="49">
        <v>0.36458333333333331</v>
      </c>
      <c r="H1207" s="50">
        <v>0.375</v>
      </c>
      <c r="I1207" s="48">
        <v>0.38541666666666702</v>
      </c>
      <c r="J1207" s="49">
        <v>0.39583333333333298</v>
      </c>
      <c r="K1207" s="49">
        <v>0.40625</v>
      </c>
      <c r="L1207" s="50">
        <v>0.41666666666666702</v>
      </c>
      <c r="M1207" s="48">
        <v>0.4375</v>
      </c>
      <c r="N1207" s="49">
        <v>0.44791666666666702</v>
      </c>
      <c r="O1207" s="49">
        <v>0.45833333333333398</v>
      </c>
      <c r="P1207" s="50">
        <v>0.46875</v>
      </c>
      <c r="Q1207" s="48">
        <v>0.47916666666666702</v>
      </c>
      <c r="R1207" s="49">
        <v>0.48958333333333398</v>
      </c>
      <c r="S1207" s="49">
        <v>0.5</v>
      </c>
      <c r="T1207" s="50">
        <v>0.51041666666666696</v>
      </c>
      <c r="U1207" s="51">
        <v>0.52083333333333204</v>
      </c>
      <c r="V1207" s="48">
        <v>0.5625</v>
      </c>
      <c r="W1207" s="49">
        <v>0.57291666666666663</v>
      </c>
      <c r="X1207" s="49">
        <v>0.58333333333333304</v>
      </c>
      <c r="Y1207" s="50">
        <v>0.59375</v>
      </c>
      <c r="Z1207" s="48">
        <v>0.60416666666666696</v>
      </c>
      <c r="AA1207" s="49">
        <v>0.61458333333333304</v>
      </c>
      <c r="AB1207" s="49">
        <v>0.625</v>
      </c>
      <c r="AC1207" s="50">
        <v>0.63541666666666596</v>
      </c>
      <c r="AD1207" s="48">
        <v>0.65625</v>
      </c>
      <c r="AE1207" s="49">
        <v>0.66666666666666663</v>
      </c>
      <c r="AF1207" s="49">
        <v>0.67708333333333304</v>
      </c>
      <c r="AG1207" s="50">
        <v>0.6875</v>
      </c>
      <c r="AH1207" s="48">
        <v>0.69791666666666696</v>
      </c>
      <c r="AI1207" s="49">
        <v>0.70833333333333304</v>
      </c>
      <c r="AJ1207" s="49">
        <v>0.71875</v>
      </c>
      <c r="AK1207" s="50">
        <v>0.72916666666666696</v>
      </c>
      <c r="AL1207" s="48">
        <v>0.73958333333333404</v>
      </c>
      <c r="AM1207" s="49">
        <v>0.750000000000001</v>
      </c>
      <c r="AN1207" s="49">
        <v>0.76041666666666796</v>
      </c>
      <c r="AO1207" s="50">
        <v>0.77083333333333504</v>
      </c>
      <c r="AP1207" s="48">
        <v>0.781250000000002</v>
      </c>
      <c r="AQ1207" s="49">
        <v>0.79166666666666896</v>
      </c>
      <c r="AR1207" s="49">
        <v>0.80208333333333603</v>
      </c>
      <c r="AS1207" s="50">
        <v>0.812500000000003</v>
      </c>
      <c r="AT1207" s="48">
        <v>0.82291666666666996</v>
      </c>
      <c r="AU1207" s="49">
        <v>0.83333333333333703</v>
      </c>
      <c r="AV1207" s="49">
        <v>0.843750000000004</v>
      </c>
      <c r="AW1207" s="50">
        <v>0.85416666666666663</v>
      </c>
      <c r="AX1207" s="68" t="s">
        <v>260</v>
      </c>
      <c r="AY1207" s="28" t="s">
        <v>261</v>
      </c>
      <c r="AZ1207" s="29" t="s">
        <v>262</v>
      </c>
      <c r="BA1207" s="136" t="str">
        <f>B1208</f>
        <v>ÇEVİRME BEDEN</v>
      </c>
      <c r="BB1207" s="137"/>
      <c r="BC1207" s="137"/>
      <c r="BD1207" s="137"/>
      <c r="BE1207" s="137"/>
      <c r="BF1207" s="137"/>
      <c r="BG1207" s="137"/>
      <c r="BH1207" s="138"/>
    </row>
    <row r="1208" spans="1:60" s="17" customFormat="1" ht="19.5" customHeight="1" thickBot="1" x14ac:dyDescent="0.4">
      <c r="A1208" s="41">
        <f t="shared" ref="A1208" si="1176">A1207</f>
        <v>45443</v>
      </c>
      <c r="B1208" s="37" t="str">
        <f>B1032</f>
        <v>ÇEVİRME BEDEN</v>
      </c>
      <c r="C1208" s="65" t="str">
        <f>C1032</f>
        <v>ARZU ÖZÇAĞLAYAN</v>
      </c>
      <c r="D1208" s="70">
        <f>D1023</f>
        <v>40</v>
      </c>
      <c r="E1208" s="63">
        <v>90</v>
      </c>
      <c r="F1208" s="55">
        <v>90</v>
      </c>
      <c r="G1208" s="55">
        <v>90</v>
      </c>
      <c r="H1208" s="56">
        <v>30</v>
      </c>
      <c r="I1208" s="63">
        <v>43</v>
      </c>
      <c r="J1208" s="55">
        <v>42</v>
      </c>
      <c r="K1208" s="55">
        <v>47</v>
      </c>
      <c r="L1208" s="56">
        <v>46</v>
      </c>
      <c r="M1208" s="63">
        <v>46</v>
      </c>
      <c r="N1208" s="55">
        <v>50</v>
      </c>
      <c r="O1208" s="55">
        <v>35</v>
      </c>
      <c r="P1208" s="56">
        <v>49</v>
      </c>
      <c r="Q1208" s="63">
        <v>50</v>
      </c>
      <c r="R1208" s="55">
        <v>46</v>
      </c>
      <c r="S1208" s="55">
        <v>45</v>
      </c>
      <c r="T1208" s="55">
        <v>50</v>
      </c>
      <c r="U1208" s="56">
        <v>45</v>
      </c>
      <c r="V1208" s="63">
        <v>53</v>
      </c>
      <c r="W1208" s="55">
        <v>54</v>
      </c>
      <c r="X1208" s="55">
        <v>95</v>
      </c>
      <c r="Y1208" s="56">
        <v>400</v>
      </c>
      <c r="Z1208" s="63">
        <v>90</v>
      </c>
      <c r="AA1208" s="55">
        <v>50</v>
      </c>
      <c r="AB1208" s="55">
        <v>50</v>
      </c>
      <c r="AC1208" s="56">
        <v>42</v>
      </c>
      <c r="AD1208" s="63">
        <v>50</v>
      </c>
      <c r="AE1208" s="55">
        <v>50</v>
      </c>
      <c r="AF1208" s="55">
        <v>40</v>
      </c>
      <c r="AG1208" s="56">
        <v>45</v>
      </c>
      <c r="AH1208" s="63">
        <v>50</v>
      </c>
      <c r="AI1208" s="55">
        <v>50</v>
      </c>
      <c r="AJ1208" s="55"/>
      <c r="AK1208" s="56"/>
      <c r="AL1208" s="63"/>
      <c r="AM1208" s="55"/>
      <c r="AN1208" s="55"/>
      <c r="AO1208" s="56"/>
      <c r="AP1208" s="63"/>
      <c r="AQ1208" s="55"/>
      <c r="AR1208" s="55"/>
      <c r="AS1208" s="56"/>
      <c r="AT1208" s="53"/>
      <c r="AU1208" s="54"/>
      <c r="AV1208" s="55"/>
      <c r="AW1208" s="56"/>
      <c r="AX1208" s="33">
        <f>SUM(E1208:AW1208)</f>
        <v>2013</v>
      </c>
      <c r="AY1208" s="31">
        <f>IFERROR(AVERAGEIF(E1208:AW1208,"&lt;&gt;0",(E1208:AW1208)),)</f>
        <v>64.935483870967744</v>
      </c>
      <c r="AZ1208" s="30">
        <f>IFERROR(AY1208/D1208,0)</f>
        <v>1.6233870967741937</v>
      </c>
      <c r="BA1208" s="93"/>
      <c r="BB1208" s="93" t="str">
        <f t="shared" ref="BB1208" si="1177">BA1062</f>
        <v>XS</v>
      </c>
      <c r="BC1208" s="93" t="str">
        <f t="shared" ref="BC1208" si="1178">BB1062</f>
        <v>S</v>
      </c>
      <c r="BD1208" s="93" t="str">
        <f t="shared" ref="BD1208" si="1179">BC1062</f>
        <v>M</v>
      </c>
      <c r="BE1208" s="93" t="str">
        <f t="shared" ref="BE1208" si="1180">BD1062</f>
        <v>L</v>
      </c>
      <c r="BF1208" s="93" t="str">
        <f t="shared" ref="BF1208" si="1181">BE1062</f>
        <v>XL</v>
      </c>
      <c r="BG1208" s="93" t="str">
        <f t="shared" ref="BG1208" si="1182">BF1062</f>
        <v>XXL</v>
      </c>
      <c r="BH1208" s="93"/>
    </row>
    <row r="1209" spans="1:60" s="17" customFormat="1" ht="19.5" customHeight="1" thickBot="1" x14ac:dyDescent="0.4">
      <c r="A1209" s="41">
        <f t="shared" ref="A1209:B1209" si="1183">A1208</f>
        <v>45443</v>
      </c>
      <c r="B1209" s="37" t="str">
        <f t="shared" si="1183"/>
        <v>ÇEVİRME BEDEN</v>
      </c>
      <c r="C1209" s="65" t="str">
        <f t="shared" ref="C1209:C1214" si="1184">C1033</f>
        <v>NECLA KOÇ</v>
      </c>
      <c r="D1209" s="67">
        <f t="shared" ref="D1209:D1214" si="1185">D1208</f>
        <v>40</v>
      </c>
      <c r="E1209" s="57"/>
      <c r="F1209" s="52"/>
      <c r="G1209" s="52"/>
      <c r="H1209" s="58"/>
      <c r="I1209" s="57"/>
      <c r="J1209" s="52"/>
      <c r="K1209" s="52"/>
      <c r="L1209" s="58"/>
      <c r="M1209" s="57"/>
      <c r="N1209" s="52"/>
      <c r="O1209" s="52"/>
      <c r="P1209" s="58"/>
      <c r="Q1209" s="57"/>
      <c r="R1209" s="52"/>
      <c r="S1209" s="52"/>
      <c r="T1209" s="52"/>
      <c r="U1209" s="58">
        <v>60</v>
      </c>
      <c r="V1209" s="57"/>
      <c r="W1209" s="52"/>
      <c r="X1209" s="52">
        <v>110</v>
      </c>
      <c r="Y1209" s="58">
        <v>110</v>
      </c>
      <c r="Z1209" s="57">
        <v>110</v>
      </c>
      <c r="AA1209" s="52">
        <v>65</v>
      </c>
      <c r="AB1209" s="52">
        <v>50</v>
      </c>
      <c r="AC1209" s="58"/>
      <c r="AD1209" s="57"/>
      <c r="AE1209" s="52"/>
      <c r="AF1209" s="52"/>
      <c r="AG1209" s="58"/>
      <c r="AH1209" s="57"/>
      <c r="AI1209" s="52"/>
      <c r="AJ1209" s="52"/>
      <c r="AK1209" s="58"/>
      <c r="AL1209" s="57"/>
      <c r="AM1209" s="52"/>
      <c r="AN1209" s="52"/>
      <c r="AO1209" s="58"/>
      <c r="AP1209" s="57"/>
      <c r="AQ1209" s="52"/>
      <c r="AR1209" s="52"/>
      <c r="AS1209" s="58"/>
      <c r="AT1209" s="57"/>
      <c r="AU1209" s="52"/>
      <c r="AV1209" s="52"/>
      <c r="AW1209" s="58"/>
      <c r="AX1209" s="33">
        <f t="shared" ref="AX1209:AX1214" si="1186">SUM(E1209:AW1209)</f>
        <v>505</v>
      </c>
      <c r="AY1209" s="31">
        <f t="shared" ref="AY1209:AY1214" si="1187">IFERROR(AVERAGEIF(E1209:AW1209,"&lt;&gt;0",(E1209:AW1209)),)</f>
        <v>84.166666666666671</v>
      </c>
      <c r="AZ1209" s="30">
        <f t="shared" ref="AZ1209:AZ1214" si="1188">IFERROR(AY1209/D1209,0)</f>
        <v>2.104166666666667</v>
      </c>
      <c r="BA1209" s="94" t="s">
        <v>194</v>
      </c>
      <c r="BB1209" s="96">
        <f t="shared" ref="BB1209:BG1209" si="1189">BB1101</f>
        <v>0</v>
      </c>
      <c r="BC1209" s="96">
        <f t="shared" si="1189"/>
        <v>0</v>
      </c>
      <c r="BD1209" s="96">
        <f t="shared" si="1189"/>
        <v>0</v>
      </c>
      <c r="BE1209" s="96">
        <f t="shared" si="1189"/>
        <v>0</v>
      </c>
      <c r="BF1209" s="96">
        <f t="shared" si="1189"/>
        <v>0</v>
      </c>
      <c r="BG1209" s="96">
        <f t="shared" si="1189"/>
        <v>0</v>
      </c>
      <c r="BH1209" s="99">
        <f>SUM(BB1209:BG1209)</f>
        <v>0</v>
      </c>
    </row>
    <row r="1210" spans="1:60" s="17" customFormat="1" ht="19.5" customHeight="1" thickBot="1" x14ac:dyDescent="0.4">
      <c r="A1210" s="41">
        <f t="shared" ref="A1210:B1210" si="1190">A1209</f>
        <v>45443</v>
      </c>
      <c r="B1210" s="37" t="str">
        <f t="shared" si="1190"/>
        <v>ÇEVİRME BEDEN</v>
      </c>
      <c r="C1210" s="65" t="str">
        <f t="shared" si="1184"/>
        <v>SEZER BOZKURT</v>
      </c>
      <c r="D1210" s="67">
        <f t="shared" si="1185"/>
        <v>40</v>
      </c>
      <c r="E1210" s="57"/>
      <c r="F1210" s="52"/>
      <c r="G1210" s="52"/>
      <c r="H1210" s="58"/>
      <c r="I1210" s="57"/>
      <c r="J1210" s="52"/>
      <c r="K1210" s="52"/>
      <c r="L1210" s="58"/>
      <c r="M1210" s="57"/>
      <c r="N1210" s="52"/>
      <c r="O1210" s="52"/>
      <c r="P1210" s="58"/>
      <c r="Q1210" s="57"/>
      <c r="R1210" s="52"/>
      <c r="S1210" s="52"/>
      <c r="T1210" s="52"/>
      <c r="U1210" s="58"/>
      <c r="V1210" s="57"/>
      <c r="W1210" s="52"/>
      <c r="X1210" s="52"/>
      <c r="Y1210" s="58"/>
      <c r="Z1210" s="57"/>
      <c r="AA1210" s="52"/>
      <c r="AB1210" s="52"/>
      <c r="AC1210" s="58"/>
      <c r="AD1210" s="57"/>
      <c r="AE1210" s="52"/>
      <c r="AF1210" s="52"/>
      <c r="AG1210" s="58"/>
      <c r="AH1210" s="57"/>
      <c r="AI1210" s="52"/>
      <c r="AJ1210" s="52"/>
      <c r="AK1210" s="58"/>
      <c r="AL1210" s="57"/>
      <c r="AM1210" s="52"/>
      <c r="AN1210" s="52"/>
      <c r="AO1210" s="58"/>
      <c r="AP1210" s="57"/>
      <c r="AQ1210" s="52"/>
      <c r="AR1210" s="52"/>
      <c r="AS1210" s="58"/>
      <c r="AT1210" s="57"/>
      <c r="AU1210" s="52"/>
      <c r="AV1210" s="52"/>
      <c r="AW1210" s="58"/>
      <c r="AX1210" s="33">
        <f t="shared" si="1186"/>
        <v>0</v>
      </c>
      <c r="AY1210" s="31">
        <f t="shared" si="1187"/>
        <v>0</v>
      </c>
      <c r="AZ1210" s="30">
        <f t="shared" si="1188"/>
        <v>0</v>
      </c>
      <c r="BA1210" s="94" t="s">
        <v>195</v>
      </c>
      <c r="BB1210" s="96">
        <f>SUMIF(C1208:C1214,BB1208,AX1208:AX1214)+BB1034</f>
        <v>0</v>
      </c>
      <c r="BC1210" s="96">
        <f>SUMIF(C1208:C1214,BC1208,AX1208:AX1214)+BC1034</f>
        <v>0</v>
      </c>
      <c r="BD1210" s="96">
        <f>SUMIF(C1208:C1214,BD1208,AX1208:AX1214)+BD1034</f>
        <v>0</v>
      </c>
      <c r="BE1210" s="96">
        <f>SUMIF(C1208:C1214,BE1208,AX1208:AX1214)+BE1034</f>
        <v>0</v>
      </c>
      <c r="BF1210" s="96">
        <f>SUMIF(C1208:C1214,BF1208,AX1208:AX1214)+BF1034</f>
        <v>0</v>
      </c>
      <c r="BG1210" s="96">
        <f>SUMIF(C1208:C1214,BG1208,AX1208:AX1214)+BG1034</f>
        <v>0</v>
      </c>
      <c r="BH1210" s="99">
        <f>SUM(BB1210:BG1210)</f>
        <v>0</v>
      </c>
    </row>
    <row r="1211" spans="1:60" s="17" customFormat="1" ht="19.5" customHeight="1" thickBot="1" x14ac:dyDescent="0.4">
      <c r="A1211" s="41">
        <f t="shared" ref="A1211:B1212" si="1191">A1210</f>
        <v>45443</v>
      </c>
      <c r="B1211" s="37" t="str">
        <f t="shared" si="1191"/>
        <v>ÇEVİRME BEDEN</v>
      </c>
      <c r="C1211" s="65" t="str">
        <f t="shared" si="1184"/>
        <v>MELAHAT EROL</v>
      </c>
      <c r="D1211" s="67">
        <f t="shared" si="1185"/>
        <v>40</v>
      </c>
      <c r="E1211" s="57"/>
      <c r="F1211" s="52"/>
      <c r="G1211" s="52"/>
      <c r="H1211" s="58"/>
      <c r="I1211" s="57"/>
      <c r="J1211" s="52"/>
      <c r="K1211" s="52"/>
      <c r="L1211" s="58"/>
      <c r="M1211" s="57"/>
      <c r="N1211" s="52"/>
      <c r="O1211" s="52"/>
      <c r="P1211" s="58"/>
      <c r="Q1211" s="57"/>
      <c r="R1211" s="52"/>
      <c r="S1211" s="52"/>
      <c r="T1211" s="52"/>
      <c r="U1211" s="58"/>
      <c r="V1211" s="57">
        <v>35</v>
      </c>
      <c r="W1211" s="52">
        <v>55</v>
      </c>
      <c r="X1211" s="52"/>
      <c r="Y1211" s="58"/>
      <c r="Z1211" s="57"/>
      <c r="AA1211" s="52"/>
      <c r="AB1211" s="52"/>
      <c r="AC1211" s="58"/>
      <c r="AD1211" s="57"/>
      <c r="AE1211" s="52"/>
      <c r="AF1211" s="52"/>
      <c r="AG1211" s="58"/>
      <c r="AH1211" s="57"/>
      <c r="AI1211" s="52"/>
      <c r="AJ1211" s="52"/>
      <c r="AK1211" s="58"/>
      <c r="AL1211" s="57"/>
      <c r="AM1211" s="52"/>
      <c r="AN1211" s="52"/>
      <c r="AO1211" s="58"/>
      <c r="AP1211" s="57"/>
      <c r="AQ1211" s="52"/>
      <c r="AR1211" s="52"/>
      <c r="AS1211" s="58"/>
      <c r="AT1211" s="57"/>
      <c r="AU1211" s="52"/>
      <c r="AV1211" s="52"/>
      <c r="AW1211" s="58"/>
      <c r="AX1211" s="33">
        <f t="shared" si="1186"/>
        <v>90</v>
      </c>
      <c r="AY1211" s="31">
        <f t="shared" si="1187"/>
        <v>45</v>
      </c>
      <c r="AZ1211" s="30">
        <f t="shared" si="1188"/>
        <v>1.125</v>
      </c>
      <c r="BA1211" s="94" t="s">
        <v>196</v>
      </c>
      <c r="BB1211" s="96">
        <f t="shared" ref="BB1211:BG1211" si="1192">BB1209-BB1210</f>
        <v>0</v>
      </c>
      <c r="BC1211" s="96">
        <f t="shared" si="1192"/>
        <v>0</v>
      </c>
      <c r="BD1211" s="96">
        <f t="shared" si="1192"/>
        <v>0</v>
      </c>
      <c r="BE1211" s="96">
        <f t="shared" si="1192"/>
        <v>0</v>
      </c>
      <c r="BF1211" s="96">
        <f t="shared" si="1192"/>
        <v>0</v>
      </c>
      <c r="BG1211" s="96">
        <f t="shared" si="1192"/>
        <v>0</v>
      </c>
      <c r="BH1211" s="99">
        <f>SUM(BB1211:BG1211)</f>
        <v>0</v>
      </c>
    </row>
    <row r="1212" spans="1:60" s="17" customFormat="1" ht="19.5" customHeight="1" x14ac:dyDescent="0.35">
      <c r="A1212" s="41">
        <f>A1209</f>
        <v>45443</v>
      </c>
      <c r="B1212" s="37" t="str">
        <f t="shared" si="1191"/>
        <v>ÇEVİRME BEDEN</v>
      </c>
      <c r="C1212" s="65" t="s">
        <v>22</v>
      </c>
      <c r="D1212" s="67">
        <f t="shared" si="1185"/>
        <v>40</v>
      </c>
      <c r="E1212" s="57"/>
      <c r="F1212" s="52"/>
      <c r="G1212" s="52"/>
      <c r="H1212" s="58"/>
      <c r="I1212" s="57">
        <v>30</v>
      </c>
      <c r="J1212" s="52">
        <v>34</v>
      </c>
      <c r="K1212" s="52">
        <v>35</v>
      </c>
      <c r="L1212" s="58">
        <v>36</v>
      </c>
      <c r="M1212" s="57">
        <v>43</v>
      </c>
      <c r="N1212" s="52">
        <v>40</v>
      </c>
      <c r="O1212" s="52">
        <v>44</v>
      </c>
      <c r="P1212" s="58">
        <v>42</v>
      </c>
      <c r="Q1212" s="57">
        <v>40</v>
      </c>
      <c r="R1212" s="52">
        <v>42</v>
      </c>
      <c r="S1212" s="52">
        <v>32</v>
      </c>
      <c r="T1212" s="52">
        <v>45</v>
      </c>
      <c r="U1212" s="58"/>
      <c r="V1212" s="57"/>
      <c r="W1212" s="52"/>
      <c r="X1212" s="52"/>
      <c r="Y1212" s="58"/>
      <c r="Z1212" s="57"/>
      <c r="AA1212" s="52"/>
      <c r="AB1212" s="52"/>
      <c r="AC1212" s="58">
        <v>36</v>
      </c>
      <c r="AD1212" s="57">
        <v>45</v>
      </c>
      <c r="AE1212" s="52">
        <v>40</v>
      </c>
      <c r="AF1212" s="52">
        <v>35</v>
      </c>
      <c r="AG1212" s="58">
        <v>40</v>
      </c>
      <c r="AH1212" s="57">
        <v>33</v>
      </c>
      <c r="AI1212" s="52">
        <v>45</v>
      </c>
      <c r="AJ1212" s="52"/>
      <c r="AK1212" s="58"/>
      <c r="AL1212" s="57"/>
      <c r="AM1212" s="52"/>
      <c r="AN1212" s="52"/>
      <c r="AO1212" s="58"/>
      <c r="AP1212" s="57"/>
      <c r="AQ1212" s="52"/>
      <c r="AR1212" s="52"/>
      <c r="AS1212" s="58"/>
      <c r="AT1212" s="57"/>
      <c r="AU1212" s="52"/>
      <c r="AV1212" s="52"/>
      <c r="AW1212" s="58"/>
      <c r="AX1212" s="33">
        <f t="shared" si="1186"/>
        <v>737</v>
      </c>
      <c r="AY1212" s="31">
        <f t="shared" si="1187"/>
        <v>38.789473684210527</v>
      </c>
      <c r="AZ1212" s="30">
        <f t="shared" si="1188"/>
        <v>0.96973684210526323</v>
      </c>
      <c r="BA1212" s="34"/>
      <c r="BB1212" s="34"/>
      <c r="BC1212" s="34"/>
      <c r="BD1212" s="76"/>
      <c r="BE1212" s="34"/>
      <c r="BF1212" s="34"/>
      <c r="BG1212" s="34"/>
      <c r="BH1212" s="34"/>
    </row>
    <row r="1213" spans="1:60" s="17" customFormat="1" ht="19.5" customHeight="1" x14ac:dyDescent="0.35">
      <c r="A1213" s="41">
        <f t="shared" ref="A1213:B1213" si="1193">A1212</f>
        <v>45443</v>
      </c>
      <c r="B1213" s="37" t="str">
        <f t="shared" si="1193"/>
        <v>ÇEVİRME BEDEN</v>
      </c>
      <c r="C1213" s="65">
        <f t="shared" si="1184"/>
        <v>0</v>
      </c>
      <c r="D1213" s="67">
        <f t="shared" si="1185"/>
        <v>40</v>
      </c>
      <c r="E1213" s="57"/>
      <c r="F1213" s="52"/>
      <c r="G1213" s="52"/>
      <c r="H1213" s="58"/>
      <c r="I1213" s="57"/>
      <c r="J1213" s="52"/>
      <c r="K1213" s="52"/>
      <c r="L1213" s="58"/>
      <c r="M1213" s="57"/>
      <c r="N1213" s="52"/>
      <c r="O1213" s="52"/>
      <c r="P1213" s="58"/>
      <c r="Q1213" s="57"/>
      <c r="R1213" s="52"/>
      <c r="S1213" s="52"/>
      <c r="T1213" s="52"/>
      <c r="U1213" s="58"/>
      <c r="V1213" s="57"/>
      <c r="W1213" s="52"/>
      <c r="X1213" s="52"/>
      <c r="Y1213" s="58"/>
      <c r="Z1213" s="57"/>
      <c r="AA1213" s="52"/>
      <c r="AB1213" s="52"/>
      <c r="AC1213" s="58"/>
      <c r="AD1213" s="57"/>
      <c r="AE1213" s="52"/>
      <c r="AF1213" s="52"/>
      <c r="AG1213" s="58"/>
      <c r="AH1213" s="57"/>
      <c r="AI1213" s="52"/>
      <c r="AJ1213" s="52"/>
      <c r="AK1213" s="58"/>
      <c r="AL1213" s="57"/>
      <c r="AM1213" s="52"/>
      <c r="AN1213" s="52"/>
      <c r="AO1213" s="58"/>
      <c r="AP1213" s="57"/>
      <c r="AQ1213" s="52"/>
      <c r="AR1213" s="52"/>
      <c r="AS1213" s="58"/>
      <c r="AT1213" s="57"/>
      <c r="AU1213" s="52"/>
      <c r="AV1213" s="52"/>
      <c r="AW1213" s="58"/>
      <c r="AX1213" s="33">
        <f t="shared" si="1186"/>
        <v>0</v>
      </c>
      <c r="AY1213" s="31">
        <f t="shared" si="1187"/>
        <v>0</v>
      </c>
      <c r="AZ1213" s="30">
        <f t="shared" si="1188"/>
        <v>0</v>
      </c>
      <c r="BA1213" s="34"/>
      <c r="BB1213" s="34"/>
      <c r="BC1213" s="34"/>
      <c r="BD1213" s="76"/>
      <c r="BE1213" s="34"/>
      <c r="BF1213" s="34"/>
      <c r="BG1213" s="34"/>
      <c r="BH1213" s="34"/>
    </row>
    <row r="1214" spans="1:60" s="17" customFormat="1" ht="19.5" customHeight="1" thickBot="1" x14ac:dyDescent="0.4">
      <c r="A1214" s="41">
        <f t="shared" ref="A1214:B1215" si="1194">A1213</f>
        <v>45443</v>
      </c>
      <c r="B1214" s="37" t="str">
        <f t="shared" si="1194"/>
        <v>ÇEVİRME BEDEN</v>
      </c>
      <c r="C1214" s="65">
        <f t="shared" si="1184"/>
        <v>0</v>
      </c>
      <c r="D1214" s="67">
        <f t="shared" si="1185"/>
        <v>40</v>
      </c>
      <c r="E1214" s="59"/>
      <c r="F1214" s="60"/>
      <c r="G1214" s="61"/>
      <c r="H1214" s="62"/>
      <c r="I1214" s="59"/>
      <c r="J1214" s="60"/>
      <c r="K1214" s="61"/>
      <c r="L1214" s="62"/>
      <c r="M1214" s="59"/>
      <c r="N1214" s="60"/>
      <c r="O1214" s="61"/>
      <c r="P1214" s="62"/>
      <c r="Q1214" s="64"/>
      <c r="R1214" s="61"/>
      <c r="S1214" s="61"/>
      <c r="T1214" s="61"/>
      <c r="U1214" s="62"/>
      <c r="V1214" s="59"/>
      <c r="W1214" s="60"/>
      <c r="X1214" s="61"/>
      <c r="Y1214" s="62"/>
      <c r="Z1214" s="59"/>
      <c r="AA1214" s="60"/>
      <c r="AB1214" s="61"/>
      <c r="AC1214" s="62"/>
      <c r="AD1214" s="59"/>
      <c r="AE1214" s="60"/>
      <c r="AF1214" s="61"/>
      <c r="AG1214" s="62"/>
      <c r="AH1214" s="59"/>
      <c r="AI1214" s="60"/>
      <c r="AJ1214" s="61"/>
      <c r="AK1214" s="62"/>
      <c r="AL1214" s="59"/>
      <c r="AM1214" s="60"/>
      <c r="AN1214" s="61"/>
      <c r="AO1214" s="62"/>
      <c r="AP1214" s="59"/>
      <c r="AQ1214" s="60"/>
      <c r="AR1214" s="61"/>
      <c r="AS1214" s="62"/>
      <c r="AT1214" s="59"/>
      <c r="AU1214" s="60"/>
      <c r="AV1214" s="61"/>
      <c r="AW1214" s="62"/>
      <c r="AX1214" s="33">
        <f t="shared" si="1186"/>
        <v>0</v>
      </c>
      <c r="AY1214" s="31">
        <f t="shared" si="1187"/>
        <v>0</v>
      </c>
      <c r="AZ1214" s="30">
        <f t="shared" si="1188"/>
        <v>0</v>
      </c>
      <c r="BA1214" s="34"/>
      <c r="BB1214" s="34"/>
      <c r="BC1214" s="34"/>
      <c r="BD1214" s="76"/>
      <c r="BE1214" s="34"/>
      <c r="BF1214" s="34"/>
      <c r="BG1214" s="34"/>
      <c r="BH1214" s="34"/>
    </row>
    <row r="1215" spans="1:60" s="17" customFormat="1" ht="19.5" customHeight="1" thickBot="1" x14ac:dyDescent="0.45">
      <c r="A1215" s="41">
        <f t="shared" si="1194"/>
        <v>45443</v>
      </c>
      <c r="B1215" s="139" t="str">
        <f>B1208</f>
        <v>ÇEVİRME BEDEN</v>
      </c>
      <c r="C1215" s="140"/>
      <c r="D1215" s="40">
        <f>C1062/8</f>
        <v>500</v>
      </c>
      <c r="E1215" s="147">
        <f>SUM(E1208:H1214)</f>
        <v>300</v>
      </c>
      <c r="F1215" s="148"/>
      <c r="G1215" s="148"/>
      <c r="H1215" s="149"/>
      <c r="I1215" s="147">
        <f>SUM(I1208:L1214)</f>
        <v>313</v>
      </c>
      <c r="J1215" s="148"/>
      <c r="K1215" s="148"/>
      <c r="L1215" s="149"/>
      <c r="M1215" s="147">
        <f>SUM(M1208:P1214)</f>
        <v>349</v>
      </c>
      <c r="N1215" s="148"/>
      <c r="O1215" s="148"/>
      <c r="P1215" s="149"/>
      <c r="Q1215" s="147">
        <f>SUM(Q1208:U1214)</f>
        <v>455</v>
      </c>
      <c r="R1215" s="148"/>
      <c r="S1215" s="148"/>
      <c r="T1215" s="148"/>
      <c r="U1215" s="149"/>
      <c r="V1215" s="147">
        <f>SUM(V1208:Y1214)</f>
        <v>912</v>
      </c>
      <c r="W1215" s="148"/>
      <c r="X1215" s="148"/>
      <c r="Y1215" s="149"/>
      <c r="Z1215" s="147">
        <f>SUM(Z1208:AC1214)</f>
        <v>493</v>
      </c>
      <c r="AA1215" s="148"/>
      <c r="AB1215" s="148"/>
      <c r="AC1215" s="149"/>
      <c r="AD1215" s="147">
        <f>SUM(AD1208:AG1214)</f>
        <v>345</v>
      </c>
      <c r="AE1215" s="148"/>
      <c r="AF1215" s="148"/>
      <c r="AG1215" s="149"/>
      <c r="AH1215" s="147">
        <f>SUM(AH1208:AK1214)</f>
        <v>178</v>
      </c>
      <c r="AI1215" s="148"/>
      <c r="AJ1215" s="148"/>
      <c r="AK1215" s="149"/>
      <c r="AL1215" s="147">
        <f>SUM(AL1208:AO1214)</f>
        <v>0</v>
      </c>
      <c r="AM1215" s="148"/>
      <c r="AN1215" s="148"/>
      <c r="AO1215" s="149"/>
      <c r="AP1215" s="147">
        <f>SUM(AP1208:AS1214)</f>
        <v>0</v>
      </c>
      <c r="AQ1215" s="148"/>
      <c r="AR1215" s="148"/>
      <c r="AS1215" s="149"/>
      <c r="AT1215" s="147">
        <f>SUM(AT1208:AW1214)</f>
        <v>0</v>
      </c>
      <c r="AU1215" s="148"/>
      <c r="AV1215" s="148"/>
      <c r="AW1215" s="149"/>
      <c r="AX1215" s="87">
        <f>SUM(AX1208:AX1214)</f>
        <v>3345</v>
      </c>
      <c r="AY1215" s="88">
        <f>IFERROR(AVERAGEIF(E1215:AV1215,"&lt;&gt;0",(E1215:AV1215)),)</f>
        <v>418.125</v>
      </c>
      <c r="AZ1215" s="46">
        <f>IFERROR(AX1215/BB1209,0)</f>
        <v>0</v>
      </c>
      <c r="BA1215" s="34"/>
      <c r="BB1215" s="34"/>
      <c r="BC1215" s="34"/>
      <c r="BD1215" s="76"/>
      <c r="BE1215" s="34"/>
      <c r="BF1215" s="34"/>
      <c r="BG1215" s="34"/>
      <c r="BH1215" s="34"/>
    </row>
    <row r="1216" spans="1:60" s="17" customFormat="1" ht="19.5" customHeight="1" thickBot="1" x14ac:dyDescent="0.4">
      <c r="A1216" s="42">
        <f>A1207</f>
        <v>45443</v>
      </c>
      <c r="B1216" s="38">
        <v>50</v>
      </c>
      <c r="C1216" s="39" t="s">
        <v>180</v>
      </c>
      <c r="D1216" s="69" t="s">
        <v>181</v>
      </c>
      <c r="E1216" s="48">
        <v>0.34375</v>
      </c>
      <c r="F1216" s="49">
        <v>0.35416666666666669</v>
      </c>
      <c r="G1216" s="49">
        <v>0.36458333333333331</v>
      </c>
      <c r="H1216" s="50">
        <v>0.375</v>
      </c>
      <c r="I1216" s="48">
        <v>0.38541666666666702</v>
      </c>
      <c r="J1216" s="49">
        <v>0.39583333333333298</v>
      </c>
      <c r="K1216" s="49">
        <v>0.40625</v>
      </c>
      <c r="L1216" s="50">
        <v>0.41666666666666702</v>
      </c>
      <c r="M1216" s="48">
        <v>0.4375</v>
      </c>
      <c r="N1216" s="49">
        <v>0.44791666666666702</v>
      </c>
      <c r="O1216" s="49">
        <v>0.45833333333333398</v>
      </c>
      <c r="P1216" s="50">
        <v>0.46875</v>
      </c>
      <c r="Q1216" s="82">
        <v>0.47916666666666702</v>
      </c>
      <c r="R1216" s="83">
        <v>0.48958333333333398</v>
      </c>
      <c r="S1216" s="83">
        <v>0.5</v>
      </c>
      <c r="T1216" s="84">
        <v>0.51041666666666696</v>
      </c>
      <c r="U1216" s="85">
        <v>0.52083333333333204</v>
      </c>
      <c r="V1216" s="48">
        <v>0.5625</v>
      </c>
      <c r="W1216" s="49">
        <v>0.57291666666666663</v>
      </c>
      <c r="X1216" s="49">
        <v>0.58333333333333304</v>
      </c>
      <c r="Y1216" s="50">
        <v>0.59375</v>
      </c>
      <c r="Z1216" s="48">
        <v>0.60416666666666696</v>
      </c>
      <c r="AA1216" s="49">
        <v>0.61458333333333304</v>
      </c>
      <c r="AB1216" s="49">
        <v>0.625</v>
      </c>
      <c r="AC1216" s="50">
        <v>0.63541666666666596</v>
      </c>
      <c r="AD1216" s="48">
        <v>0.65625</v>
      </c>
      <c r="AE1216" s="49">
        <v>0.66666666666666663</v>
      </c>
      <c r="AF1216" s="49">
        <v>0.67708333333333304</v>
      </c>
      <c r="AG1216" s="50">
        <v>0.6875</v>
      </c>
      <c r="AH1216" s="48">
        <v>0.69791666666666696</v>
      </c>
      <c r="AI1216" s="49">
        <v>0.70833333333333304</v>
      </c>
      <c r="AJ1216" s="49">
        <v>0.71875</v>
      </c>
      <c r="AK1216" s="50">
        <v>0.72916666666666696</v>
      </c>
      <c r="AL1216" s="48">
        <v>0.73958333333333404</v>
      </c>
      <c r="AM1216" s="49">
        <v>0.750000000000001</v>
      </c>
      <c r="AN1216" s="49">
        <v>0.76041666666666796</v>
      </c>
      <c r="AO1216" s="50">
        <v>0.77083333333333504</v>
      </c>
      <c r="AP1216" s="48">
        <v>0.781250000000002</v>
      </c>
      <c r="AQ1216" s="49">
        <v>0.79166666666666896</v>
      </c>
      <c r="AR1216" s="49">
        <v>0.80208333333333603</v>
      </c>
      <c r="AS1216" s="50">
        <v>0.812500000000003</v>
      </c>
      <c r="AT1216" s="48">
        <v>0.82291666666666996</v>
      </c>
      <c r="AU1216" s="49">
        <v>0.83333333333333703</v>
      </c>
      <c r="AV1216" s="49">
        <v>0.843750000000004</v>
      </c>
      <c r="AW1216" s="50">
        <v>0.85416666666666663</v>
      </c>
      <c r="AX1216" s="68" t="s">
        <v>260</v>
      </c>
      <c r="AY1216" s="28" t="s">
        <v>261</v>
      </c>
      <c r="AZ1216" s="29" t="s">
        <v>262</v>
      </c>
      <c r="BA1216" s="136" t="str">
        <f>B1217</f>
        <v>Ütü</v>
      </c>
      <c r="BB1216" s="137"/>
      <c r="BC1216" s="137"/>
      <c r="BD1216" s="137"/>
      <c r="BE1216" s="137"/>
      <c r="BF1216" s="137"/>
      <c r="BG1216" s="137"/>
      <c r="BH1216" s="138"/>
    </row>
    <row r="1217" spans="1:60" s="17" customFormat="1" ht="19.5" customHeight="1" thickBot="1" x14ac:dyDescent="0.4">
      <c r="A1217" s="41">
        <f t="shared" ref="A1217" si="1195">A1216</f>
        <v>45443</v>
      </c>
      <c r="B1217" s="37" t="str">
        <f>B1041</f>
        <v>Ütü</v>
      </c>
      <c r="C1217" s="65" t="str">
        <f>C1041</f>
        <v>FARUK BİÇER</v>
      </c>
      <c r="D1217" s="70">
        <f>D1041</f>
        <v>45</v>
      </c>
      <c r="E1217" s="63">
        <v>26</v>
      </c>
      <c r="F1217" s="55">
        <v>43</v>
      </c>
      <c r="G1217" s="55">
        <v>45</v>
      </c>
      <c r="H1217" s="56">
        <v>47</v>
      </c>
      <c r="I1217" s="63">
        <v>44</v>
      </c>
      <c r="J1217" s="55">
        <v>23</v>
      </c>
      <c r="K1217" s="55">
        <v>40</v>
      </c>
      <c r="L1217" s="56">
        <v>44</v>
      </c>
      <c r="M1217" s="63">
        <v>51</v>
      </c>
      <c r="N1217" s="55">
        <v>46</v>
      </c>
      <c r="O1217" s="55">
        <v>51</v>
      </c>
      <c r="P1217" s="56">
        <v>46</v>
      </c>
      <c r="Q1217" s="63">
        <v>54</v>
      </c>
      <c r="R1217" s="55">
        <v>52</v>
      </c>
      <c r="S1217" s="55">
        <v>24</v>
      </c>
      <c r="T1217" s="55">
        <v>47</v>
      </c>
      <c r="U1217" s="56">
        <v>48</v>
      </c>
      <c r="V1217" s="63"/>
      <c r="W1217" s="55"/>
      <c r="X1217" s="55"/>
      <c r="Y1217" s="56"/>
      <c r="Z1217" s="63"/>
      <c r="AA1217" s="55"/>
      <c r="AB1217" s="55">
        <v>50</v>
      </c>
      <c r="AC1217" s="56">
        <v>48</v>
      </c>
      <c r="AD1217" s="63">
        <v>52</v>
      </c>
      <c r="AE1217" s="55">
        <v>50</v>
      </c>
      <c r="AF1217" s="55">
        <v>54</v>
      </c>
      <c r="AG1217" s="56">
        <v>51</v>
      </c>
      <c r="AH1217" s="63">
        <v>33</v>
      </c>
      <c r="AI1217" s="55">
        <v>58</v>
      </c>
      <c r="AJ1217" s="55">
        <v>53</v>
      </c>
      <c r="AK1217" s="56"/>
      <c r="AL1217" s="53"/>
      <c r="AM1217" s="54"/>
      <c r="AN1217" s="55"/>
      <c r="AO1217" s="56"/>
      <c r="AP1217" s="53"/>
      <c r="AQ1217" s="54"/>
      <c r="AR1217" s="55"/>
      <c r="AS1217" s="56"/>
      <c r="AT1217" s="53"/>
      <c r="AU1217" s="54"/>
      <c r="AV1217" s="55"/>
      <c r="AW1217" s="56"/>
      <c r="AX1217" s="33">
        <f>SUM(E1217:AW1217)</f>
        <v>1180</v>
      </c>
      <c r="AY1217" s="31">
        <f>IFERROR(AVERAGEIF(E1217:AW1217,"&lt;&gt;0",(E1217:AW1217)),)</f>
        <v>45.384615384615387</v>
      </c>
      <c r="AZ1217" s="30">
        <f>IFERROR(AY1217/D1217,0)</f>
        <v>1.0085470085470085</v>
      </c>
      <c r="BA1217" s="103" t="s">
        <v>182</v>
      </c>
      <c r="BB1217" s="100" t="s">
        <v>183</v>
      </c>
      <c r="BC1217" s="100" t="s">
        <v>184</v>
      </c>
      <c r="BD1217" s="101" t="s">
        <v>185</v>
      </c>
      <c r="BE1217" s="100" t="s">
        <v>186</v>
      </c>
      <c r="BF1217" s="102" t="s">
        <v>187</v>
      </c>
      <c r="BG1217" s="100" t="s">
        <v>188</v>
      </c>
      <c r="BH1217" s="102" t="s">
        <v>189</v>
      </c>
    </row>
    <row r="1218" spans="1:60" s="17" customFormat="1" ht="19.5" customHeight="1" thickBot="1" x14ac:dyDescent="0.4">
      <c r="A1218" s="41">
        <f t="shared" ref="A1218:B1218" si="1196">A1217</f>
        <v>45443</v>
      </c>
      <c r="B1218" s="37" t="str">
        <f t="shared" si="1196"/>
        <v>Ütü</v>
      </c>
      <c r="C1218" s="65" t="str">
        <f t="shared" ref="C1218:C1223" si="1197">C1042</f>
        <v>HANİFE BOZKURT</v>
      </c>
      <c r="D1218" s="67">
        <f t="shared" ref="D1218:D1223" si="1198">D1217</f>
        <v>45</v>
      </c>
      <c r="E1218" s="57">
        <v>31</v>
      </c>
      <c r="F1218" s="52">
        <v>28</v>
      </c>
      <c r="G1218" s="52">
        <v>32</v>
      </c>
      <c r="H1218" s="58">
        <v>33</v>
      </c>
      <c r="I1218" s="57">
        <v>32</v>
      </c>
      <c r="J1218" s="52"/>
      <c r="K1218" s="52"/>
      <c r="L1218" s="58"/>
      <c r="M1218" s="57"/>
      <c r="N1218" s="52"/>
      <c r="O1218" s="52"/>
      <c r="P1218" s="58"/>
      <c r="Q1218" s="57"/>
      <c r="R1218" s="52"/>
      <c r="S1218" s="52"/>
      <c r="T1218" s="52"/>
      <c r="U1218" s="58"/>
      <c r="V1218" s="57">
        <v>33</v>
      </c>
      <c r="W1218" s="52">
        <v>40</v>
      </c>
      <c r="X1218" s="52">
        <v>41</v>
      </c>
      <c r="Y1218" s="58">
        <v>45</v>
      </c>
      <c r="Z1218" s="57">
        <v>47</v>
      </c>
      <c r="AA1218" s="52">
        <v>47</v>
      </c>
      <c r="AB1218" s="52"/>
      <c r="AC1218" s="58">
        <v>38</v>
      </c>
      <c r="AD1218" s="57">
        <v>20</v>
      </c>
      <c r="AE1218" s="52">
        <v>33</v>
      </c>
      <c r="AF1218" s="52">
        <v>40</v>
      </c>
      <c r="AG1218" s="58">
        <v>35</v>
      </c>
      <c r="AH1218" s="57">
        <v>29</v>
      </c>
      <c r="AI1218" s="52">
        <v>41</v>
      </c>
      <c r="AJ1218" s="52">
        <v>40</v>
      </c>
      <c r="AK1218" s="58"/>
      <c r="AL1218" s="57"/>
      <c r="AM1218" s="52"/>
      <c r="AN1218" s="52"/>
      <c r="AO1218" s="58"/>
      <c r="AP1218" s="57"/>
      <c r="AQ1218" s="52"/>
      <c r="AR1218" s="52"/>
      <c r="AS1218" s="58"/>
      <c r="AT1218" s="57"/>
      <c r="AU1218" s="52"/>
      <c r="AV1218" s="52"/>
      <c r="AW1218" s="58"/>
      <c r="AX1218" s="33">
        <f t="shared" ref="AX1218:AX1223" si="1199">SUM(E1218:AW1218)</f>
        <v>685</v>
      </c>
      <c r="AY1218" s="31">
        <f t="shared" ref="AY1218:AY1223" si="1200">IFERROR(AVERAGEIF(E1218:AW1218,"&lt;&gt;0",(E1218:AW1218)),)</f>
        <v>36.05263157894737</v>
      </c>
      <c r="AZ1218" s="30">
        <f t="shared" ref="AZ1218:AZ1223" si="1201">IFERROR(AY1218/D1218,0)</f>
        <v>0.80116959064327486</v>
      </c>
      <c r="BA1218" s="94">
        <f>AX1224+BA1042</f>
        <v>10947</v>
      </c>
      <c r="BB1218" s="95">
        <f>(D1206*8)</f>
        <v>4000</v>
      </c>
      <c r="BC1218" s="96">
        <f>C1061-BA1218</f>
        <v>31364</v>
      </c>
      <c r="BD1218" s="96">
        <f>BA1191-BA1218</f>
        <v>705</v>
      </c>
      <c r="BE1218" s="97">
        <f>IFERROR(BC1218/E1224,0)</f>
        <v>80.010204081632651</v>
      </c>
      <c r="BF1218" s="98">
        <f>IFERROR(BE1218/9,0)</f>
        <v>8.8900226757369616</v>
      </c>
      <c r="BG1218" s="97">
        <f>IFERROR(BC1218/AY1224,0)</f>
        <v>79.50316856780735</v>
      </c>
      <c r="BH1218" s="97">
        <f>IFERROR(BG1218/9,0)</f>
        <v>8.8336853964230393</v>
      </c>
    </row>
    <row r="1219" spans="1:60" s="17" customFormat="1" ht="19.5" customHeight="1" x14ac:dyDescent="0.35">
      <c r="A1219" s="41">
        <f t="shared" ref="A1219:B1219" si="1202">A1218</f>
        <v>45443</v>
      </c>
      <c r="B1219" s="37" t="str">
        <f t="shared" si="1202"/>
        <v>Ütü</v>
      </c>
      <c r="C1219" s="65" t="str">
        <f t="shared" si="1197"/>
        <v>BAİSE KURTULDU</v>
      </c>
      <c r="D1219" s="67">
        <f t="shared" si="1198"/>
        <v>45</v>
      </c>
      <c r="E1219" s="57">
        <v>25</v>
      </c>
      <c r="F1219" s="52">
        <v>26</v>
      </c>
      <c r="G1219" s="52">
        <v>29</v>
      </c>
      <c r="H1219" s="58">
        <v>27</v>
      </c>
      <c r="I1219" s="57">
        <v>27</v>
      </c>
      <c r="J1219" s="52">
        <v>30</v>
      </c>
      <c r="K1219" s="52">
        <v>30</v>
      </c>
      <c r="L1219" s="58">
        <v>27</v>
      </c>
      <c r="M1219" s="57">
        <v>32</v>
      </c>
      <c r="N1219" s="52">
        <v>30</v>
      </c>
      <c r="O1219" s="52">
        <v>35</v>
      </c>
      <c r="P1219" s="58">
        <v>35</v>
      </c>
      <c r="Q1219" s="57">
        <v>34</v>
      </c>
      <c r="R1219" s="52">
        <v>30</v>
      </c>
      <c r="S1219" s="52">
        <v>30</v>
      </c>
      <c r="T1219" s="52"/>
      <c r="U1219" s="58">
        <v>27</v>
      </c>
      <c r="V1219" s="57">
        <v>31</v>
      </c>
      <c r="W1219" s="52">
        <v>30</v>
      </c>
      <c r="X1219" s="52">
        <v>33</v>
      </c>
      <c r="Y1219" s="58">
        <v>32</v>
      </c>
      <c r="Z1219" s="57">
        <v>30</v>
      </c>
      <c r="AA1219" s="52">
        <v>32</v>
      </c>
      <c r="AB1219" s="52">
        <v>22</v>
      </c>
      <c r="AC1219" s="58">
        <v>33</v>
      </c>
      <c r="AD1219" s="57">
        <v>26</v>
      </c>
      <c r="AE1219" s="52">
        <v>31</v>
      </c>
      <c r="AF1219" s="52">
        <v>31</v>
      </c>
      <c r="AG1219" s="58">
        <v>29</v>
      </c>
      <c r="AH1219" s="57">
        <v>27</v>
      </c>
      <c r="AI1219" s="52">
        <v>32</v>
      </c>
      <c r="AJ1219" s="52">
        <v>34</v>
      </c>
      <c r="AK1219" s="58"/>
      <c r="AL1219" s="57"/>
      <c r="AM1219" s="52"/>
      <c r="AN1219" s="52"/>
      <c r="AO1219" s="58"/>
      <c r="AP1219" s="57"/>
      <c r="AQ1219" s="52"/>
      <c r="AR1219" s="52"/>
      <c r="AS1219" s="58"/>
      <c r="AT1219" s="57"/>
      <c r="AU1219" s="52"/>
      <c r="AV1219" s="52"/>
      <c r="AW1219" s="58"/>
      <c r="AX1219" s="33">
        <f t="shared" si="1199"/>
        <v>927</v>
      </c>
      <c r="AY1219" s="31">
        <f t="shared" si="1200"/>
        <v>29.903225806451612</v>
      </c>
      <c r="AZ1219" s="30">
        <f t="shared" si="1201"/>
        <v>0.6645161290322581</v>
      </c>
      <c r="BA1219" s="34"/>
      <c r="BB1219" s="34"/>
      <c r="BC1219" s="34"/>
      <c r="BD1219" s="76"/>
      <c r="BE1219" s="34"/>
      <c r="BF1219" s="34"/>
      <c r="BG1219" s="34"/>
      <c r="BH1219" s="34"/>
    </row>
    <row r="1220" spans="1:60" s="17" customFormat="1" ht="19.5" customHeight="1" x14ac:dyDescent="0.35">
      <c r="A1220" s="41">
        <f t="shared" ref="A1220:B1221" si="1203">A1219</f>
        <v>45443</v>
      </c>
      <c r="B1220" s="37" t="str">
        <f t="shared" si="1203"/>
        <v>Ütü</v>
      </c>
      <c r="C1220" s="65" t="str">
        <f t="shared" si="1197"/>
        <v>DERYA KESKİN</v>
      </c>
      <c r="D1220" s="67">
        <f t="shared" si="1198"/>
        <v>45</v>
      </c>
      <c r="E1220" s="57"/>
      <c r="F1220" s="52"/>
      <c r="G1220" s="52"/>
      <c r="H1220" s="58"/>
      <c r="I1220" s="57"/>
      <c r="J1220" s="52"/>
      <c r="K1220" s="52"/>
      <c r="L1220" s="58"/>
      <c r="M1220" s="57"/>
      <c r="N1220" s="52"/>
      <c r="O1220" s="52"/>
      <c r="P1220" s="58"/>
      <c r="Q1220" s="57"/>
      <c r="R1220" s="52"/>
      <c r="S1220" s="52"/>
      <c r="T1220" s="52">
        <v>19</v>
      </c>
      <c r="U1220" s="58">
        <v>21</v>
      </c>
      <c r="V1220" s="57">
        <v>21</v>
      </c>
      <c r="W1220" s="52">
        <v>21</v>
      </c>
      <c r="X1220" s="52">
        <v>20</v>
      </c>
      <c r="Y1220" s="58">
        <v>22</v>
      </c>
      <c r="Z1220" s="57">
        <v>16</v>
      </c>
      <c r="AA1220" s="52">
        <v>24</v>
      </c>
      <c r="AB1220" s="52"/>
      <c r="AC1220" s="58"/>
      <c r="AD1220" s="57"/>
      <c r="AE1220" s="52"/>
      <c r="AF1220" s="52"/>
      <c r="AG1220" s="58"/>
      <c r="AH1220" s="57"/>
      <c r="AI1220" s="52"/>
      <c r="AJ1220" s="52"/>
      <c r="AK1220" s="58"/>
      <c r="AL1220" s="57"/>
      <c r="AM1220" s="52"/>
      <c r="AN1220" s="52"/>
      <c r="AO1220" s="58"/>
      <c r="AP1220" s="57"/>
      <c r="AQ1220" s="52"/>
      <c r="AR1220" s="52"/>
      <c r="AS1220" s="58"/>
      <c r="AT1220" s="57"/>
      <c r="AU1220" s="52"/>
      <c r="AV1220" s="52"/>
      <c r="AW1220" s="58"/>
      <c r="AX1220" s="33">
        <f t="shared" si="1199"/>
        <v>164</v>
      </c>
      <c r="AY1220" s="31">
        <f t="shared" si="1200"/>
        <v>20.5</v>
      </c>
      <c r="AZ1220" s="30">
        <f t="shared" si="1201"/>
        <v>0.45555555555555555</v>
      </c>
      <c r="BA1220" s="34"/>
      <c r="BB1220" s="34"/>
      <c r="BC1220" s="34"/>
      <c r="BD1220" s="76"/>
      <c r="BE1220" s="34"/>
      <c r="BF1220" s="34"/>
      <c r="BG1220" s="34"/>
      <c r="BH1220" s="34"/>
    </row>
    <row r="1221" spans="1:60" s="17" customFormat="1" ht="19.5" customHeight="1" x14ac:dyDescent="0.35">
      <c r="A1221" s="41">
        <f>A1218</f>
        <v>45443</v>
      </c>
      <c r="B1221" s="37" t="str">
        <f t="shared" si="1203"/>
        <v>Ütü</v>
      </c>
      <c r="C1221" s="65" t="str">
        <f t="shared" si="1197"/>
        <v>NEDİME KÖSE</v>
      </c>
      <c r="D1221" s="67">
        <f t="shared" si="1198"/>
        <v>45</v>
      </c>
      <c r="E1221" s="57"/>
      <c r="F1221" s="52"/>
      <c r="G1221" s="52"/>
      <c r="H1221" s="58"/>
      <c r="I1221" s="57"/>
      <c r="J1221" s="52"/>
      <c r="K1221" s="52"/>
      <c r="L1221" s="58"/>
      <c r="M1221" s="57"/>
      <c r="N1221" s="52"/>
      <c r="O1221" s="52"/>
      <c r="P1221" s="58"/>
      <c r="Q1221" s="57"/>
      <c r="R1221" s="52">
        <v>10</v>
      </c>
      <c r="S1221" s="52">
        <v>21</v>
      </c>
      <c r="T1221" s="52"/>
      <c r="U1221" s="58"/>
      <c r="V1221" s="57"/>
      <c r="W1221" s="52">
        <v>20</v>
      </c>
      <c r="X1221" s="52">
        <v>20</v>
      </c>
      <c r="Y1221" s="58">
        <v>21</v>
      </c>
      <c r="Z1221" s="57">
        <v>20</v>
      </c>
      <c r="AA1221" s="52">
        <v>25</v>
      </c>
      <c r="AB1221" s="52">
        <v>23</v>
      </c>
      <c r="AC1221" s="58">
        <v>17</v>
      </c>
      <c r="AD1221" s="57">
        <v>23</v>
      </c>
      <c r="AE1221" s="52"/>
      <c r="AF1221" s="52"/>
      <c r="AG1221" s="58"/>
      <c r="AH1221" s="57"/>
      <c r="AI1221" s="52"/>
      <c r="AJ1221" s="52"/>
      <c r="AK1221" s="58"/>
      <c r="AL1221" s="57"/>
      <c r="AM1221" s="52"/>
      <c r="AN1221" s="52"/>
      <c r="AO1221" s="58"/>
      <c r="AP1221" s="57"/>
      <c r="AQ1221" s="52"/>
      <c r="AR1221" s="52"/>
      <c r="AS1221" s="58"/>
      <c r="AT1221" s="57"/>
      <c r="AU1221" s="52"/>
      <c r="AV1221" s="52"/>
      <c r="AW1221" s="58"/>
      <c r="AX1221" s="33">
        <f t="shared" si="1199"/>
        <v>200</v>
      </c>
      <c r="AY1221" s="31">
        <f t="shared" si="1200"/>
        <v>20</v>
      </c>
      <c r="AZ1221" s="30">
        <f t="shared" si="1201"/>
        <v>0.44444444444444442</v>
      </c>
      <c r="BA1221" s="34"/>
      <c r="BB1221" s="34"/>
      <c r="BC1221" s="34"/>
      <c r="BD1221" s="76"/>
      <c r="BE1221" s="34"/>
      <c r="BF1221" s="34"/>
      <c r="BG1221" s="34"/>
      <c r="BH1221" s="34"/>
    </row>
    <row r="1222" spans="1:60" s="17" customFormat="1" ht="19.5" customHeight="1" x14ac:dyDescent="0.35">
      <c r="A1222" s="41">
        <f t="shared" ref="A1222:B1222" si="1204">A1221</f>
        <v>45443</v>
      </c>
      <c r="B1222" s="37" t="str">
        <f t="shared" si="1204"/>
        <v>Ütü</v>
      </c>
      <c r="C1222" s="65">
        <f t="shared" si="1197"/>
        <v>0</v>
      </c>
      <c r="D1222" s="67">
        <f t="shared" si="1198"/>
        <v>45</v>
      </c>
      <c r="E1222" s="57"/>
      <c r="F1222" s="52"/>
      <c r="G1222" s="52"/>
      <c r="H1222" s="58"/>
      <c r="I1222" s="57"/>
      <c r="J1222" s="52"/>
      <c r="K1222" s="52"/>
      <c r="L1222" s="58"/>
      <c r="M1222" s="57"/>
      <c r="N1222" s="52"/>
      <c r="O1222" s="52"/>
      <c r="P1222" s="78"/>
      <c r="Q1222" s="57"/>
      <c r="R1222" s="52"/>
      <c r="S1222" s="52"/>
      <c r="T1222" s="52"/>
      <c r="U1222" s="58"/>
      <c r="V1222" s="80"/>
      <c r="W1222" s="52"/>
      <c r="X1222" s="52"/>
      <c r="Y1222" s="58"/>
      <c r="Z1222" s="57"/>
      <c r="AA1222" s="52"/>
      <c r="AB1222" s="52"/>
      <c r="AC1222" s="58"/>
      <c r="AD1222" s="57"/>
      <c r="AE1222" s="52"/>
      <c r="AF1222" s="52"/>
      <c r="AG1222" s="58"/>
      <c r="AH1222" s="57"/>
      <c r="AI1222" s="52"/>
      <c r="AJ1222" s="52"/>
      <c r="AK1222" s="58"/>
      <c r="AL1222" s="57"/>
      <c r="AM1222" s="52"/>
      <c r="AN1222" s="52"/>
      <c r="AO1222" s="58"/>
      <c r="AP1222" s="57"/>
      <c r="AQ1222" s="52"/>
      <c r="AR1222" s="52"/>
      <c r="AS1222" s="58"/>
      <c r="AT1222" s="57"/>
      <c r="AU1222" s="52"/>
      <c r="AV1222" s="52"/>
      <c r="AW1222" s="58"/>
      <c r="AX1222" s="33">
        <f t="shared" si="1199"/>
        <v>0</v>
      </c>
      <c r="AY1222" s="31">
        <f t="shared" si="1200"/>
        <v>0</v>
      </c>
      <c r="AZ1222" s="30">
        <f t="shared" si="1201"/>
        <v>0</v>
      </c>
      <c r="BA1222" s="34"/>
      <c r="BB1222" s="34"/>
      <c r="BC1222" s="34"/>
      <c r="BD1222" s="76"/>
      <c r="BE1222" s="34"/>
      <c r="BF1222" s="34"/>
      <c r="BG1222" s="34"/>
      <c r="BH1222" s="34"/>
    </row>
    <row r="1223" spans="1:60" s="17" customFormat="1" ht="19.5" customHeight="1" thickBot="1" x14ac:dyDescent="0.4">
      <c r="A1223" s="41">
        <f t="shared" ref="A1223:B1224" si="1205">A1222</f>
        <v>45443</v>
      </c>
      <c r="B1223" s="37" t="str">
        <f t="shared" si="1205"/>
        <v>Ütü</v>
      </c>
      <c r="C1223" s="65">
        <f t="shared" si="1197"/>
        <v>0</v>
      </c>
      <c r="D1223" s="67">
        <f t="shared" si="1198"/>
        <v>45</v>
      </c>
      <c r="E1223" s="59"/>
      <c r="F1223" s="60"/>
      <c r="G1223" s="61"/>
      <c r="H1223" s="62"/>
      <c r="I1223" s="59"/>
      <c r="J1223" s="60"/>
      <c r="K1223" s="61"/>
      <c r="L1223" s="62"/>
      <c r="M1223" s="59"/>
      <c r="N1223" s="60"/>
      <c r="O1223" s="61"/>
      <c r="P1223" s="79"/>
      <c r="Q1223" s="64"/>
      <c r="R1223" s="61"/>
      <c r="S1223" s="61"/>
      <c r="T1223" s="61"/>
      <c r="U1223" s="62"/>
      <c r="V1223" s="81"/>
      <c r="W1223" s="60"/>
      <c r="X1223" s="61"/>
      <c r="Y1223" s="62"/>
      <c r="Z1223" s="59"/>
      <c r="AA1223" s="60"/>
      <c r="AB1223" s="61"/>
      <c r="AC1223" s="62"/>
      <c r="AD1223" s="59"/>
      <c r="AE1223" s="60"/>
      <c r="AF1223" s="61"/>
      <c r="AG1223" s="62"/>
      <c r="AH1223" s="59"/>
      <c r="AI1223" s="60"/>
      <c r="AJ1223" s="61"/>
      <c r="AK1223" s="62"/>
      <c r="AL1223" s="59"/>
      <c r="AM1223" s="60"/>
      <c r="AN1223" s="61"/>
      <c r="AO1223" s="62"/>
      <c r="AP1223" s="59"/>
      <c r="AQ1223" s="60"/>
      <c r="AR1223" s="61"/>
      <c r="AS1223" s="62"/>
      <c r="AT1223" s="59"/>
      <c r="AU1223" s="60"/>
      <c r="AV1223" s="61"/>
      <c r="AW1223" s="62"/>
      <c r="AX1223" s="33">
        <f t="shared" si="1199"/>
        <v>0</v>
      </c>
      <c r="AY1223" s="31">
        <f t="shared" si="1200"/>
        <v>0</v>
      </c>
      <c r="AZ1223" s="30">
        <f t="shared" si="1201"/>
        <v>0</v>
      </c>
      <c r="BA1223" s="34"/>
      <c r="BB1223" s="34"/>
      <c r="BC1223" s="34"/>
      <c r="BD1223" s="76"/>
      <c r="BE1223" s="34"/>
      <c r="BF1223" s="34"/>
      <c r="BG1223" s="34"/>
      <c r="BH1223" s="34"/>
    </row>
    <row r="1224" spans="1:60" s="17" customFormat="1" ht="19.5" customHeight="1" thickBot="1" x14ac:dyDescent="0.45">
      <c r="A1224" s="41">
        <f t="shared" si="1205"/>
        <v>45443</v>
      </c>
      <c r="B1224" s="139" t="str">
        <f>B1217</f>
        <v>Ütü</v>
      </c>
      <c r="C1224" s="140"/>
      <c r="D1224" s="40">
        <f>C1062/8</f>
        <v>500</v>
      </c>
      <c r="E1224" s="141">
        <f>SUM(E1217:H1223)</f>
        <v>392</v>
      </c>
      <c r="F1224" s="142"/>
      <c r="G1224" s="142"/>
      <c r="H1224" s="143"/>
      <c r="I1224" s="141">
        <f>SUM(I1217:L1223)</f>
        <v>297</v>
      </c>
      <c r="J1224" s="142"/>
      <c r="K1224" s="142"/>
      <c r="L1224" s="143"/>
      <c r="M1224" s="141">
        <f>SUM(M1217:P1223)</f>
        <v>326</v>
      </c>
      <c r="N1224" s="142"/>
      <c r="O1224" s="142"/>
      <c r="P1224" s="143"/>
      <c r="Q1224" s="144">
        <f>SUM(Q1217:U1223)</f>
        <v>417</v>
      </c>
      <c r="R1224" s="145"/>
      <c r="S1224" s="145"/>
      <c r="T1224" s="145"/>
      <c r="U1224" s="146"/>
      <c r="V1224" s="141">
        <f>SUM(V1217:Y1223)</f>
        <v>430</v>
      </c>
      <c r="W1224" s="142"/>
      <c r="X1224" s="142"/>
      <c r="Y1224" s="143"/>
      <c r="Z1224" s="141">
        <f>SUM(Z1217:AC1223)</f>
        <v>472</v>
      </c>
      <c r="AA1224" s="142"/>
      <c r="AB1224" s="142"/>
      <c r="AC1224" s="143"/>
      <c r="AD1224" s="147">
        <f>SUM(AD1217:AG1223)</f>
        <v>475</v>
      </c>
      <c r="AE1224" s="148"/>
      <c r="AF1224" s="148"/>
      <c r="AG1224" s="149"/>
      <c r="AH1224" s="147">
        <f>SUM(AH1217:AK1223)</f>
        <v>347</v>
      </c>
      <c r="AI1224" s="148"/>
      <c r="AJ1224" s="148"/>
      <c r="AK1224" s="149"/>
      <c r="AL1224" s="147">
        <f>SUM(AL1217:AO1223)</f>
        <v>0</v>
      </c>
      <c r="AM1224" s="148"/>
      <c r="AN1224" s="148"/>
      <c r="AO1224" s="149"/>
      <c r="AP1224" s="147">
        <f>SUM(AP1217:AS1223)</f>
        <v>0</v>
      </c>
      <c r="AQ1224" s="148"/>
      <c r="AR1224" s="148"/>
      <c r="AS1224" s="149"/>
      <c r="AT1224" s="147">
        <f>SUM(AT1217:AW1223)</f>
        <v>0</v>
      </c>
      <c r="AU1224" s="148"/>
      <c r="AV1224" s="148"/>
      <c r="AW1224" s="149"/>
      <c r="AX1224" s="87">
        <f>SUM(AX1217:AX1223)</f>
        <v>3156</v>
      </c>
      <c r="AY1224" s="88">
        <f>IFERROR(AVERAGEIF(E1224:AV1224,"&lt;&gt;0",(E1224:AV1224)),)</f>
        <v>394.5</v>
      </c>
      <c r="AZ1224" s="46">
        <f>IFERROR(AX1224/BB1218,0)</f>
        <v>0.78900000000000003</v>
      </c>
      <c r="BA1224" s="34"/>
      <c r="BB1224" s="34"/>
      <c r="BC1224" s="34"/>
      <c r="BD1224" s="76"/>
      <c r="BE1224" s="34"/>
      <c r="BF1224" s="34"/>
      <c r="BG1224" s="34"/>
      <c r="BH1224" s="34"/>
    </row>
    <row r="1225" spans="1:60" s="17" customFormat="1" ht="19.5" customHeight="1" thickBot="1" x14ac:dyDescent="0.4">
      <c r="A1225" s="115">
        <f>A1216</f>
        <v>45443</v>
      </c>
      <c r="B1225" s="113" t="str">
        <f>B1226</f>
        <v>Kalite</v>
      </c>
      <c r="C1225" s="39" t="s">
        <v>180</v>
      </c>
      <c r="D1225" s="69" t="s">
        <v>181</v>
      </c>
      <c r="E1225" s="48">
        <v>0.34375</v>
      </c>
      <c r="F1225" s="49">
        <v>0.35416666666666669</v>
      </c>
      <c r="G1225" s="49">
        <v>0.36458333333333331</v>
      </c>
      <c r="H1225" s="50">
        <v>0.375</v>
      </c>
      <c r="I1225" s="48">
        <v>0.38541666666666702</v>
      </c>
      <c r="J1225" s="49">
        <v>0.39583333333333298</v>
      </c>
      <c r="K1225" s="49">
        <v>0.40625</v>
      </c>
      <c r="L1225" s="50">
        <v>0.41666666666666702</v>
      </c>
      <c r="M1225" s="48">
        <v>0.4375</v>
      </c>
      <c r="N1225" s="49">
        <v>0.44791666666666702</v>
      </c>
      <c r="O1225" s="49">
        <v>0.45833333333333398</v>
      </c>
      <c r="P1225" s="50">
        <v>0.46875</v>
      </c>
      <c r="Q1225" s="82">
        <v>0.47916666666666702</v>
      </c>
      <c r="R1225" s="83">
        <v>0.48958333333333398</v>
      </c>
      <c r="S1225" s="83">
        <v>0.5</v>
      </c>
      <c r="T1225" s="84">
        <v>0.51041666666666696</v>
      </c>
      <c r="U1225" s="85">
        <v>0.52083333333333204</v>
      </c>
      <c r="V1225" s="48">
        <v>0.5625</v>
      </c>
      <c r="W1225" s="49">
        <v>0.57291666666666663</v>
      </c>
      <c r="X1225" s="49">
        <v>0.58333333333333304</v>
      </c>
      <c r="Y1225" s="50">
        <v>0.59375</v>
      </c>
      <c r="Z1225" s="48">
        <v>0.60416666666666696</v>
      </c>
      <c r="AA1225" s="49">
        <v>0.61458333333333304</v>
      </c>
      <c r="AB1225" s="49">
        <v>0.625</v>
      </c>
      <c r="AC1225" s="50">
        <v>0.63541666666666596</v>
      </c>
      <c r="AD1225" s="48">
        <v>0.65625</v>
      </c>
      <c r="AE1225" s="49">
        <v>0.66666666666666663</v>
      </c>
      <c r="AF1225" s="49">
        <v>0.67708333333333304</v>
      </c>
      <c r="AG1225" s="50">
        <v>0.6875</v>
      </c>
      <c r="AH1225" s="48">
        <v>0.69791666666666696</v>
      </c>
      <c r="AI1225" s="49">
        <v>0.70833333333333304</v>
      </c>
      <c r="AJ1225" s="49">
        <v>0.71875</v>
      </c>
      <c r="AK1225" s="50">
        <v>0.72916666666666696</v>
      </c>
      <c r="AL1225" s="48">
        <v>0.73958333333333404</v>
      </c>
      <c r="AM1225" s="49">
        <v>0.750000000000001</v>
      </c>
      <c r="AN1225" s="49">
        <v>0.76041666666666796</v>
      </c>
      <c r="AO1225" s="50">
        <v>0.77083333333333504</v>
      </c>
      <c r="AP1225" s="48">
        <v>0.781250000000002</v>
      </c>
      <c r="AQ1225" s="49">
        <v>0.79166666666666896</v>
      </c>
      <c r="AR1225" s="49">
        <v>0.80208333333333603</v>
      </c>
      <c r="AS1225" s="50">
        <v>0.812500000000003</v>
      </c>
      <c r="AT1225" s="48">
        <v>0.82291666666666996</v>
      </c>
      <c r="AU1225" s="49">
        <v>0.83333333333333703</v>
      </c>
      <c r="AV1225" s="49">
        <v>0.843750000000004</v>
      </c>
      <c r="AW1225" s="50">
        <v>0.85416666666666663</v>
      </c>
      <c r="AX1225" s="68" t="s">
        <v>260</v>
      </c>
      <c r="AY1225" s="28" t="s">
        <v>261</v>
      </c>
      <c r="AZ1225" s="29" t="s">
        <v>262</v>
      </c>
      <c r="BA1225" s="136" t="str">
        <f>B1226</f>
        <v>Kalite</v>
      </c>
      <c r="BB1225" s="137"/>
      <c r="BC1225" s="137"/>
      <c r="BD1225" s="137"/>
      <c r="BE1225" s="137"/>
      <c r="BF1225" s="137"/>
      <c r="BG1225" s="137"/>
      <c r="BH1225" s="138"/>
    </row>
    <row r="1226" spans="1:60" s="17" customFormat="1" ht="19.5" customHeight="1" thickBot="1" x14ac:dyDescent="0.4">
      <c r="A1226" s="116">
        <f t="shared" ref="A1226" si="1206">A1225</f>
        <v>45443</v>
      </c>
      <c r="B1226" s="114" t="str">
        <f>B1050</f>
        <v>Kalite</v>
      </c>
      <c r="C1226" s="65" t="str">
        <f>C1050</f>
        <v>MELAHAT EROL</v>
      </c>
      <c r="D1226" s="70">
        <f>D1050</f>
        <v>28</v>
      </c>
      <c r="E1226" s="63">
        <v>20</v>
      </c>
      <c r="F1226" s="55">
        <v>26</v>
      </c>
      <c r="G1226" s="55">
        <v>26</v>
      </c>
      <c r="H1226" s="56">
        <v>30</v>
      </c>
      <c r="I1226" s="63">
        <v>31</v>
      </c>
      <c r="J1226" s="55">
        <v>26</v>
      </c>
      <c r="K1226" s="55">
        <v>27</v>
      </c>
      <c r="L1226" s="56">
        <v>30</v>
      </c>
      <c r="M1226" s="63">
        <v>35</v>
      </c>
      <c r="N1226" s="55">
        <v>33</v>
      </c>
      <c r="O1226" s="55"/>
      <c r="P1226" s="56"/>
      <c r="Q1226" s="63"/>
      <c r="R1226" s="55">
        <v>34</v>
      </c>
      <c r="S1226" s="55">
        <v>34</v>
      </c>
      <c r="T1226" s="55">
        <v>32</v>
      </c>
      <c r="U1226" s="56">
        <v>27</v>
      </c>
      <c r="V1226" s="63">
        <v>10</v>
      </c>
      <c r="W1226" s="55"/>
      <c r="X1226" s="55">
        <v>30</v>
      </c>
      <c r="Y1226" s="56">
        <v>27</v>
      </c>
      <c r="Z1226" s="63">
        <v>30</v>
      </c>
      <c r="AA1226" s="55">
        <v>32</v>
      </c>
      <c r="AB1226" s="55">
        <v>27</v>
      </c>
      <c r="AC1226" s="56">
        <v>30</v>
      </c>
      <c r="AD1226" s="63">
        <v>27</v>
      </c>
      <c r="AE1226" s="55">
        <v>30</v>
      </c>
      <c r="AF1226" s="55">
        <v>29</v>
      </c>
      <c r="AG1226" s="56">
        <v>32</v>
      </c>
      <c r="AH1226" s="63">
        <v>22</v>
      </c>
      <c r="AI1226" s="55">
        <v>31</v>
      </c>
      <c r="AJ1226" s="55">
        <v>35</v>
      </c>
      <c r="AK1226" s="56"/>
      <c r="AL1226" s="53"/>
      <c r="AM1226" s="54"/>
      <c r="AN1226" s="55"/>
      <c r="AO1226" s="56"/>
      <c r="AP1226" s="53"/>
      <c r="AQ1226" s="54"/>
      <c r="AR1226" s="55"/>
      <c r="AS1226" s="56"/>
      <c r="AT1226" s="53"/>
      <c r="AU1226" s="54"/>
      <c r="AV1226" s="55"/>
      <c r="AW1226" s="56"/>
      <c r="AX1226" s="33">
        <f>SUM(E1226:AW1226)</f>
        <v>803</v>
      </c>
      <c r="AY1226" s="31">
        <f>IFERROR(AVERAGEIF(E1226:AW1226,"&lt;&gt;0",(E1226:AW1226)),)</f>
        <v>28.678571428571427</v>
      </c>
      <c r="AZ1226" s="30">
        <f>IFERROR(AY1226/D1226,0)</f>
        <v>1.0242346938775511</v>
      </c>
      <c r="BA1226" s="103" t="s">
        <v>182</v>
      </c>
      <c r="BB1226" s="100" t="s">
        <v>183</v>
      </c>
      <c r="BC1226" s="100" t="s">
        <v>184</v>
      </c>
      <c r="BD1226" s="101" t="s">
        <v>185</v>
      </c>
      <c r="BE1226" s="100" t="s">
        <v>186</v>
      </c>
      <c r="BF1226" s="102" t="s">
        <v>187</v>
      </c>
      <c r="BG1226" s="100" t="s">
        <v>188</v>
      </c>
      <c r="BH1226" s="102" t="s">
        <v>189</v>
      </c>
    </row>
    <row r="1227" spans="1:60" s="17" customFormat="1" ht="19.5" customHeight="1" thickBot="1" x14ac:dyDescent="0.4">
      <c r="A1227" s="116">
        <f t="shared" ref="A1227:B1227" si="1207">A1226</f>
        <v>45443</v>
      </c>
      <c r="B1227" s="114" t="str">
        <f t="shared" si="1207"/>
        <v>Kalite</v>
      </c>
      <c r="C1227" s="65" t="str">
        <f t="shared" ref="C1227:C1232" si="1208">C1051</f>
        <v>DERYA KESKİN</v>
      </c>
      <c r="D1227" s="67">
        <f t="shared" ref="D1227:D1232" si="1209">D1226</f>
        <v>28</v>
      </c>
      <c r="E1227" s="57">
        <v>18</v>
      </c>
      <c r="F1227" s="52">
        <v>15</v>
      </c>
      <c r="G1227" s="52">
        <v>25</v>
      </c>
      <c r="H1227" s="58">
        <v>25</v>
      </c>
      <c r="I1227" s="57"/>
      <c r="J1227" s="52"/>
      <c r="K1227" s="52"/>
      <c r="L1227" s="58"/>
      <c r="M1227" s="57"/>
      <c r="N1227" s="52"/>
      <c r="O1227" s="52"/>
      <c r="P1227" s="58"/>
      <c r="Q1227" s="57"/>
      <c r="R1227" s="52"/>
      <c r="S1227" s="52"/>
      <c r="T1227" s="52"/>
      <c r="U1227" s="58"/>
      <c r="V1227" s="57"/>
      <c r="W1227" s="52"/>
      <c r="X1227" s="52"/>
      <c r="Y1227" s="58"/>
      <c r="Z1227" s="57"/>
      <c r="AA1227" s="52"/>
      <c r="AB1227" s="52"/>
      <c r="AC1227" s="58"/>
      <c r="AD1227" s="57"/>
      <c r="AE1227" s="52"/>
      <c r="AF1227" s="52"/>
      <c r="AG1227" s="58"/>
      <c r="AH1227" s="57"/>
      <c r="AI1227" s="52"/>
      <c r="AJ1227" s="52"/>
      <c r="AK1227" s="58"/>
      <c r="AL1227" s="57"/>
      <c r="AM1227" s="52"/>
      <c r="AN1227" s="52"/>
      <c r="AO1227" s="58"/>
      <c r="AP1227" s="57"/>
      <c r="AQ1227" s="52"/>
      <c r="AR1227" s="52"/>
      <c r="AS1227" s="58"/>
      <c r="AT1227" s="57"/>
      <c r="AU1227" s="52"/>
      <c r="AV1227" s="52"/>
      <c r="AW1227" s="58"/>
      <c r="AX1227" s="33">
        <f t="shared" ref="AX1227:AX1232" si="1210">SUM(E1227:AW1227)</f>
        <v>83</v>
      </c>
      <c r="AY1227" s="31">
        <f t="shared" ref="AY1227:AY1232" si="1211">IFERROR(AVERAGEIF(E1227:AW1227,"&lt;&gt;0",(E1227:AW1227)),)</f>
        <v>20.75</v>
      </c>
      <c r="AZ1227" s="30">
        <f t="shared" ref="AZ1227:AZ1232" si="1212">IFERROR(AY1227/D1227,0)</f>
        <v>0.7410714285714286</v>
      </c>
      <c r="BA1227" s="94">
        <f>AX1233+BA1051</f>
        <v>10543</v>
      </c>
      <c r="BB1227" s="95">
        <f>(D1233*8)</f>
        <v>4000</v>
      </c>
      <c r="BC1227" s="96">
        <f>C1061-BA1227</f>
        <v>31768</v>
      </c>
      <c r="BD1227" s="96">
        <f>BA1218-BA1227</f>
        <v>404</v>
      </c>
      <c r="BE1227" s="97">
        <f>IFERROR(BC1227/E1233,0)</f>
        <v>89.740112994350284</v>
      </c>
      <c r="BF1227" s="98">
        <f>IFERROR(BE1227/9,0)</f>
        <v>9.9711236660389204</v>
      </c>
      <c r="BG1227" s="97">
        <f>IFERROR(BC1227/AY1233,0)</f>
        <v>84.433222591362124</v>
      </c>
      <c r="BH1227" s="97">
        <f>IFERROR(BG1227/9,0)</f>
        <v>9.3814691768180136</v>
      </c>
    </row>
    <row r="1228" spans="1:60" s="17" customFormat="1" ht="19.5" customHeight="1" x14ac:dyDescent="0.35">
      <c r="A1228" s="116">
        <f t="shared" ref="A1228:B1228" si="1213">A1227</f>
        <v>45443</v>
      </c>
      <c r="B1228" s="114" t="str">
        <f t="shared" si="1213"/>
        <v>Kalite</v>
      </c>
      <c r="C1228" s="65" t="str">
        <f t="shared" si="1208"/>
        <v>GÜLCAN MUHTANCI</v>
      </c>
      <c r="D1228" s="67">
        <f t="shared" si="1209"/>
        <v>28</v>
      </c>
      <c r="E1228" s="57">
        <v>17</v>
      </c>
      <c r="F1228" s="52">
        <v>21</v>
      </c>
      <c r="G1228" s="52">
        <v>22</v>
      </c>
      <c r="H1228" s="58">
        <v>27</v>
      </c>
      <c r="I1228" s="57">
        <v>25</v>
      </c>
      <c r="J1228" s="52">
        <v>28</v>
      </c>
      <c r="K1228" s="52">
        <v>26</v>
      </c>
      <c r="L1228" s="58">
        <v>26</v>
      </c>
      <c r="M1228" s="57">
        <v>30</v>
      </c>
      <c r="N1228" s="52">
        <v>32</v>
      </c>
      <c r="O1228" s="52">
        <v>27</v>
      </c>
      <c r="P1228" s="58">
        <v>30</v>
      </c>
      <c r="Q1228" s="57">
        <v>28</v>
      </c>
      <c r="R1228" s="52">
        <v>33</v>
      </c>
      <c r="S1228" s="52">
        <v>32</v>
      </c>
      <c r="T1228" s="52">
        <v>30</v>
      </c>
      <c r="U1228" s="58">
        <v>25</v>
      </c>
      <c r="V1228" s="57">
        <v>25</v>
      </c>
      <c r="W1228" s="52">
        <v>28</v>
      </c>
      <c r="X1228" s="52">
        <v>30</v>
      </c>
      <c r="Y1228" s="58">
        <v>31</v>
      </c>
      <c r="Z1228" s="57">
        <v>25</v>
      </c>
      <c r="AA1228" s="52">
        <v>28</v>
      </c>
      <c r="AB1228" s="52">
        <v>25</v>
      </c>
      <c r="AC1228" s="58">
        <v>25</v>
      </c>
      <c r="AD1228" s="57">
        <v>25</v>
      </c>
      <c r="AE1228" s="52">
        <v>25</v>
      </c>
      <c r="AF1228" s="52">
        <v>26</v>
      </c>
      <c r="AG1228" s="58">
        <v>30</v>
      </c>
      <c r="AH1228" s="57">
        <v>25</v>
      </c>
      <c r="AI1228" s="52">
        <v>31</v>
      </c>
      <c r="AJ1228" s="52">
        <v>30</v>
      </c>
      <c r="AK1228" s="58"/>
      <c r="AL1228" s="57"/>
      <c r="AM1228" s="52"/>
      <c r="AN1228" s="52"/>
      <c r="AO1228" s="58"/>
      <c r="AP1228" s="57"/>
      <c r="AQ1228" s="52"/>
      <c r="AR1228" s="52"/>
      <c r="AS1228" s="58"/>
      <c r="AT1228" s="57"/>
      <c r="AU1228" s="52"/>
      <c r="AV1228" s="52"/>
      <c r="AW1228" s="58"/>
      <c r="AX1228" s="33">
        <f t="shared" si="1210"/>
        <v>868</v>
      </c>
      <c r="AY1228" s="31">
        <f t="shared" si="1211"/>
        <v>27.125</v>
      </c>
      <c r="AZ1228" s="30">
        <f t="shared" si="1212"/>
        <v>0.96875</v>
      </c>
      <c r="BA1228" s="34"/>
      <c r="BB1228" s="34"/>
      <c r="BC1228" s="34"/>
      <c r="BD1228" s="76"/>
      <c r="BE1228" s="34"/>
      <c r="BF1228" s="34"/>
      <c r="BG1228" s="34"/>
      <c r="BH1228" s="34"/>
    </row>
    <row r="1229" spans="1:60" s="17" customFormat="1" ht="19.5" customHeight="1" x14ac:dyDescent="0.35">
      <c r="A1229" s="116">
        <f t="shared" ref="A1229:B1230" si="1214">A1228</f>
        <v>45443</v>
      </c>
      <c r="B1229" s="114" t="str">
        <f t="shared" si="1214"/>
        <v>Kalite</v>
      </c>
      <c r="C1229" s="65" t="str">
        <f t="shared" si="1208"/>
        <v>NEZAHAT ALTIN</v>
      </c>
      <c r="D1229" s="67">
        <f t="shared" si="1209"/>
        <v>28</v>
      </c>
      <c r="E1229" s="57"/>
      <c r="F1229" s="52"/>
      <c r="G1229" s="52"/>
      <c r="H1229" s="58"/>
      <c r="I1229" s="57">
        <v>27</v>
      </c>
      <c r="J1229" s="52">
        <v>28</v>
      </c>
      <c r="K1229" s="52">
        <v>27</v>
      </c>
      <c r="L1229" s="58">
        <v>24</v>
      </c>
      <c r="M1229" s="57">
        <v>32</v>
      </c>
      <c r="N1229" s="52">
        <v>33</v>
      </c>
      <c r="O1229" s="52">
        <v>30</v>
      </c>
      <c r="P1229" s="58">
        <v>31</v>
      </c>
      <c r="Q1229" s="57">
        <v>32</v>
      </c>
      <c r="R1229" s="52">
        <v>34</v>
      </c>
      <c r="S1229" s="52">
        <v>27</v>
      </c>
      <c r="T1229" s="52">
        <v>30</v>
      </c>
      <c r="U1229" s="58">
        <v>25</v>
      </c>
      <c r="V1229" s="57">
        <v>30</v>
      </c>
      <c r="W1229" s="52">
        <v>29</v>
      </c>
      <c r="X1229" s="52">
        <v>31</v>
      </c>
      <c r="Y1229" s="58">
        <v>34</v>
      </c>
      <c r="Z1229" s="57">
        <v>15</v>
      </c>
      <c r="AA1229" s="52">
        <v>30</v>
      </c>
      <c r="AB1229" s="52">
        <v>23</v>
      </c>
      <c r="AC1229" s="58">
        <v>30</v>
      </c>
      <c r="AD1229" s="57">
        <v>27</v>
      </c>
      <c r="AE1229" s="52">
        <v>24</v>
      </c>
      <c r="AF1229" s="52">
        <v>30</v>
      </c>
      <c r="AG1229" s="58">
        <v>30</v>
      </c>
      <c r="AH1229" s="57">
        <v>30</v>
      </c>
      <c r="AI1229" s="52">
        <v>32</v>
      </c>
      <c r="AJ1229" s="52">
        <v>28</v>
      </c>
      <c r="AK1229" s="58"/>
      <c r="AL1229" s="57"/>
      <c r="AM1229" s="52"/>
      <c r="AN1229" s="52"/>
      <c r="AO1229" s="58"/>
      <c r="AP1229" s="57"/>
      <c r="AQ1229" s="52"/>
      <c r="AR1229" s="52"/>
      <c r="AS1229" s="58"/>
      <c r="AT1229" s="57"/>
      <c r="AU1229" s="52"/>
      <c r="AV1229" s="52"/>
      <c r="AW1229" s="58"/>
      <c r="AX1229" s="33">
        <f t="shared" si="1210"/>
        <v>803</v>
      </c>
      <c r="AY1229" s="31">
        <f t="shared" si="1211"/>
        <v>28.678571428571427</v>
      </c>
      <c r="AZ1229" s="30">
        <f t="shared" si="1212"/>
        <v>1.0242346938775511</v>
      </c>
      <c r="BA1229" s="34"/>
      <c r="BB1229" s="34"/>
      <c r="BC1229" s="34"/>
      <c r="BD1229" s="76"/>
      <c r="BE1229" s="34"/>
      <c r="BF1229" s="34"/>
      <c r="BG1229" s="34"/>
      <c r="BH1229" s="34"/>
    </row>
    <row r="1230" spans="1:60" s="17" customFormat="1" ht="19.5" customHeight="1" x14ac:dyDescent="0.35">
      <c r="A1230" s="116">
        <f>A1227</f>
        <v>45443</v>
      </c>
      <c r="B1230" s="114" t="str">
        <f t="shared" si="1214"/>
        <v>Kalite</v>
      </c>
      <c r="C1230" s="65" t="str">
        <f t="shared" si="1208"/>
        <v>NEDİME KÖSE</v>
      </c>
      <c r="D1230" s="67">
        <f t="shared" si="1209"/>
        <v>28</v>
      </c>
      <c r="E1230" s="57">
        <v>20</v>
      </c>
      <c r="F1230" s="52">
        <v>20</v>
      </c>
      <c r="G1230" s="52">
        <v>21</v>
      </c>
      <c r="H1230" s="58">
        <v>21</v>
      </c>
      <c r="I1230" s="57">
        <v>22</v>
      </c>
      <c r="J1230" s="52">
        <v>26</v>
      </c>
      <c r="K1230" s="52">
        <v>24</v>
      </c>
      <c r="L1230" s="58">
        <v>23</v>
      </c>
      <c r="M1230" s="57">
        <v>27</v>
      </c>
      <c r="N1230" s="52"/>
      <c r="O1230" s="52"/>
      <c r="P1230" s="58"/>
      <c r="Q1230" s="57"/>
      <c r="R1230" s="52"/>
      <c r="S1230" s="52"/>
      <c r="T1230" s="52"/>
      <c r="U1230" s="58"/>
      <c r="V1230" s="57"/>
      <c r="W1230" s="52"/>
      <c r="X1230" s="52"/>
      <c r="Y1230" s="58"/>
      <c r="Z1230" s="57"/>
      <c r="AA1230" s="52"/>
      <c r="AB1230" s="52"/>
      <c r="AC1230" s="58"/>
      <c r="AD1230" s="57"/>
      <c r="AE1230" s="52"/>
      <c r="AF1230" s="52"/>
      <c r="AG1230" s="58"/>
      <c r="AH1230" s="57"/>
      <c r="AI1230" s="52"/>
      <c r="AJ1230" s="52"/>
      <c r="AK1230" s="58"/>
      <c r="AL1230" s="57"/>
      <c r="AM1230" s="52"/>
      <c r="AN1230" s="52"/>
      <c r="AO1230" s="58"/>
      <c r="AP1230" s="57"/>
      <c r="AQ1230" s="52"/>
      <c r="AR1230" s="52"/>
      <c r="AS1230" s="58"/>
      <c r="AT1230" s="57"/>
      <c r="AU1230" s="52"/>
      <c r="AV1230" s="52"/>
      <c r="AW1230" s="58"/>
      <c r="AX1230" s="33">
        <f t="shared" si="1210"/>
        <v>204</v>
      </c>
      <c r="AY1230" s="31">
        <f t="shared" si="1211"/>
        <v>22.666666666666668</v>
      </c>
      <c r="AZ1230" s="30">
        <f t="shared" si="1212"/>
        <v>0.80952380952380953</v>
      </c>
      <c r="BA1230" s="34"/>
      <c r="BB1230" s="34"/>
      <c r="BC1230" s="34"/>
      <c r="BD1230" s="76"/>
      <c r="BE1230" s="34"/>
      <c r="BF1230" s="34"/>
      <c r="BG1230" s="34"/>
      <c r="BH1230" s="34"/>
    </row>
    <row r="1231" spans="1:60" s="17" customFormat="1" ht="19.5" customHeight="1" x14ac:dyDescent="0.35">
      <c r="A1231" s="116">
        <f t="shared" ref="A1231:B1231" si="1215">A1230</f>
        <v>45443</v>
      </c>
      <c r="B1231" s="114" t="str">
        <f t="shared" si="1215"/>
        <v>Kalite</v>
      </c>
      <c r="C1231" s="65" t="str">
        <f t="shared" si="1208"/>
        <v>ESRA DURSUN</v>
      </c>
      <c r="D1231" s="67">
        <f t="shared" si="1209"/>
        <v>28</v>
      </c>
      <c r="E1231" s="57"/>
      <c r="F1231" s="52"/>
      <c r="G1231" s="52"/>
      <c r="H1231" s="58"/>
      <c r="I1231" s="57"/>
      <c r="J1231" s="52"/>
      <c r="K1231" s="52"/>
      <c r="L1231" s="58"/>
      <c r="M1231" s="57"/>
      <c r="N1231" s="52"/>
      <c r="O1231" s="52"/>
      <c r="P1231" s="78"/>
      <c r="Q1231" s="57"/>
      <c r="R1231" s="52"/>
      <c r="S1231" s="52"/>
      <c r="T1231" s="52"/>
      <c r="U1231" s="58"/>
      <c r="V1231" s="80"/>
      <c r="W1231" s="52"/>
      <c r="X1231" s="52">
        <v>11</v>
      </c>
      <c r="Y1231" s="58">
        <v>15</v>
      </c>
      <c r="Z1231" s="57">
        <v>16</v>
      </c>
      <c r="AA1231" s="52">
        <v>19</v>
      </c>
      <c r="AB1231" s="52">
        <v>10</v>
      </c>
      <c r="AC1231" s="58">
        <v>13</v>
      </c>
      <c r="AD1231" s="57">
        <v>20</v>
      </c>
      <c r="AE1231" s="52">
        <v>22</v>
      </c>
      <c r="AF1231" s="52">
        <v>23</v>
      </c>
      <c r="AG1231" s="58">
        <v>26</v>
      </c>
      <c r="AH1231" s="57">
        <v>26</v>
      </c>
      <c r="AI1231" s="52">
        <v>27</v>
      </c>
      <c r="AJ1231" s="52">
        <v>21</v>
      </c>
      <c r="AK1231" s="58"/>
      <c r="AL1231" s="57"/>
      <c r="AM1231" s="52"/>
      <c r="AN1231" s="52"/>
      <c r="AO1231" s="58"/>
      <c r="AP1231" s="57"/>
      <c r="AQ1231" s="52"/>
      <c r="AR1231" s="52"/>
      <c r="AS1231" s="58"/>
      <c r="AT1231" s="57"/>
      <c r="AU1231" s="52"/>
      <c r="AV1231" s="52"/>
      <c r="AW1231" s="58"/>
      <c r="AX1231" s="33">
        <f t="shared" si="1210"/>
        <v>249</v>
      </c>
      <c r="AY1231" s="31">
        <f t="shared" si="1211"/>
        <v>19.153846153846153</v>
      </c>
      <c r="AZ1231" s="30">
        <f t="shared" si="1212"/>
        <v>0.68406593406593408</v>
      </c>
      <c r="BA1231" s="34"/>
      <c r="BB1231" s="34"/>
      <c r="BC1231" s="34"/>
      <c r="BD1231" s="76"/>
      <c r="BE1231" s="34"/>
      <c r="BF1231" s="34"/>
      <c r="BG1231" s="34"/>
      <c r="BH1231" s="34"/>
    </row>
    <row r="1232" spans="1:60" s="17" customFormat="1" ht="19.5" customHeight="1" thickBot="1" x14ac:dyDescent="0.4">
      <c r="A1232" s="116">
        <f t="shared" ref="A1232:B1233" si="1216">A1231</f>
        <v>45443</v>
      </c>
      <c r="B1232" s="114" t="str">
        <f t="shared" si="1216"/>
        <v>Kalite</v>
      </c>
      <c r="C1232" s="65" t="str">
        <f t="shared" si="1208"/>
        <v>NECLA KOÇ</v>
      </c>
      <c r="D1232" s="67">
        <f t="shared" si="1209"/>
        <v>28</v>
      </c>
      <c r="E1232" s="59"/>
      <c r="F1232" s="60"/>
      <c r="G1232" s="61"/>
      <c r="H1232" s="62"/>
      <c r="I1232" s="59"/>
      <c r="J1232" s="60"/>
      <c r="K1232" s="61"/>
      <c r="L1232" s="62"/>
      <c r="M1232" s="59"/>
      <c r="N1232" s="60"/>
      <c r="O1232" s="61"/>
      <c r="P1232" s="79"/>
      <c r="Q1232" s="64"/>
      <c r="R1232" s="61"/>
      <c r="S1232" s="61"/>
      <c r="T1232" s="61"/>
      <c r="U1232" s="62"/>
      <c r="V1232" s="81"/>
      <c r="W1232" s="60"/>
      <c r="X1232" s="61"/>
      <c r="Y1232" s="62"/>
      <c r="Z1232" s="59"/>
      <c r="AA1232" s="60"/>
      <c r="AB1232" s="61"/>
      <c r="AC1232" s="62"/>
      <c r="AD1232" s="59"/>
      <c r="AE1232" s="60"/>
      <c r="AF1232" s="61"/>
      <c r="AG1232" s="62"/>
      <c r="AH1232" s="59"/>
      <c r="AI1232" s="60"/>
      <c r="AJ1232" s="61"/>
      <c r="AK1232" s="62"/>
      <c r="AL1232" s="59"/>
      <c r="AM1232" s="60"/>
      <c r="AN1232" s="61"/>
      <c r="AO1232" s="62"/>
      <c r="AP1232" s="59"/>
      <c r="AQ1232" s="60"/>
      <c r="AR1232" s="61"/>
      <c r="AS1232" s="62"/>
      <c r="AT1232" s="59"/>
      <c r="AU1232" s="60"/>
      <c r="AV1232" s="61"/>
      <c r="AW1232" s="62"/>
      <c r="AX1232" s="33">
        <f t="shared" si="1210"/>
        <v>0</v>
      </c>
      <c r="AY1232" s="31">
        <f t="shared" si="1211"/>
        <v>0</v>
      </c>
      <c r="AZ1232" s="30">
        <f t="shared" si="1212"/>
        <v>0</v>
      </c>
      <c r="BA1232" s="34"/>
      <c r="BB1232" s="34"/>
      <c r="BC1232" s="34"/>
      <c r="BD1232" s="76"/>
      <c r="BE1232" s="34"/>
      <c r="BF1232" s="34"/>
      <c r="BG1232" s="34"/>
      <c r="BH1232" s="34"/>
    </row>
    <row r="1233" spans="1:60" s="17" customFormat="1" ht="19.5" customHeight="1" thickBot="1" x14ac:dyDescent="0.45">
      <c r="A1233" s="117">
        <f t="shared" si="1216"/>
        <v>45443</v>
      </c>
      <c r="B1233" s="150" t="str">
        <f>B1226</f>
        <v>Kalite</v>
      </c>
      <c r="C1233" s="140"/>
      <c r="D1233" s="40">
        <f>C1062/8</f>
        <v>500</v>
      </c>
      <c r="E1233" s="147">
        <f>SUM(E1226:H1232)</f>
        <v>354</v>
      </c>
      <c r="F1233" s="148"/>
      <c r="G1233" s="148"/>
      <c r="H1233" s="149"/>
      <c r="I1233" s="147">
        <f>SUM(I1226:L1232)</f>
        <v>420</v>
      </c>
      <c r="J1233" s="148"/>
      <c r="K1233" s="148"/>
      <c r="L1233" s="149"/>
      <c r="M1233" s="147">
        <f>SUM(M1226:P1232)</f>
        <v>340</v>
      </c>
      <c r="N1233" s="148"/>
      <c r="O1233" s="148"/>
      <c r="P1233" s="149"/>
      <c r="Q1233" s="147">
        <f>SUM(Q1226:U1232)</f>
        <v>423</v>
      </c>
      <c r="R1233" s="148"/>
      <c r="S1233" s="148"/>
      <c r="T1233" s="148"/>
      <c r="U1233" s="149"/>
      <c r="V1233" s="147">
        <f>SUM(V1226:Y1232)</f>
        <v>331</v>
      </c>
      <c r="W1233" s="148"/>
      <c r="X1233" s="148"/>
      <c r="Y1233" s="149"/>
      <c r="Z1233" s="147">
        <f>SUM(Z1226:AC1232)</f>
        <v>378</v>
      </c>
      <c r="AA1233" s="148"/>
      <c r="AB1233" s="148"/>
      <c r="AC1233" s="149"/>
      <c r="AD1233" s="147">
        <f>SUM(AD1226:AG1232)</f>
        <v>426</v>
      </c>
      <c r="AE1233" s="148"/>
      <c r="AF1233" s="148"/>
      <c r="AG1233" s="149"/>
      <c r="AH1233" s="147">
        <f>SUM(AH1226:AK1232)</f>
        <v>338</v>
      </c>
      <c r="AI1233" s="148"/>
      <c r="AJ1233" s="148"/>
      <c r="AK1233" s="149"/>
      <c r="AL1233" s="147">
        <f>SUM(AL1226:AO1232)</f>
        <v>0</v>
      </c>
      <c r="AM1233" s="148"/>
      <c r="AN1233" s="148"/>
      <c r="AO1233" s="149"/>
      <c r="AP1233" s="147">
        <f>SUM(AP1226:AS1232)</f>
        <v>0</v>
      </c>
      <c r="AQ1233" s="148"/>
      <c r="AR1233" s="148"/>
      <c r="AS1233" s="149"/>
      <c r="AT1233" s="147">
        <f>SUM(AT1226:AW1232)</f>
        <v>0</v>
      </c>
      <c r="AU1233" s="148"/>
      <c r="AV1233" s="148"/>
      <c r="AW1233" s="149"/>
      <c r="AX1233" s="87">
        <f>SUM(AX1226:AX1232)</f>
        <v>3010</v>
      </c>
      <c r="AY1233" s="88">
        <f>IFERROR(AVERAGEIF(E1233:AV1233,"&lt;&gt;0",(E1233:AV1233)),)</f>
        <v>376.25</v>
      </c>
      <c r="AZ1233" s="46">
        <f>IFERROR(AX1233/BB1227,0)</f>
        <v>0.75249999999999995</v>
      </c>
      <c r="BA1233" s="34"/>
      <c r="BB1233" s="34"/>
      <c r="BC1233" s="34"/>
      <c r="BD1233" s="76"/>
      <c r="BE1233" s="34"/>
      <c r="BF1233" s="34"/>
      <c r="BG1233" s="34"/>
      <c r="BH1233" s="34"/>
    </row>
    <row r="1234" spans="1:60" s="17" customFormat="1" ht="19.5" customHeight="1" x14ac:dyDescent="0.35">
      <c r="A1234" s="109"/>
      <c r="B1234" s="35" t="s">
        <v>168</v>
      </c>
      <c r="C1234" s="24">
        <v>45446</v>
      </c>
      <c r="D1234" s="109"/>
      <c r="E1234" s="109"/>
      <c r="F1234" s="109"/>
      <c r="G1234" s="109"/>
      <c r="H1234" s="109"/>
      <c r="I1234" s="109"/>
      <c r="J1234" s="109"/>
      <c r="K1234" s="109"/>
      <c r="L1234" s="109"/>
      <c r="M1234" s="109"/>
      <c r="N1234" s="109"/>
      <c r="O1234" s="109"/>
      <c r="P1234" s="109"/>
      <c r="Q1234" s="109"/>
      <c r="R1234" s="109"/>
      <c r="S1234" s="109"/>
      <c r="T1234" s="109"/>
      <c r="U1234" s="109"/>
      <c r="V1234" s="109"/>
      <c r="W1234" s="109"/>
      <c r="X1234" s="109"/>
      <c r="Y1234" s="109"/>
      <c r="Z1234" s="109"/>
      <c r="AA1234" s="109"/>
      <c r="AB1234" s="109"/>
      <c r="AC1234" s="109"/>
      <c r="AD1234" s="109"/>
      <c r="AE1234" s="109"/>
      <c r="AF1234" s="109"/>
      <c r="AG1234" s="109"/>
      <c r="AH1234" s="109"/>
      <c r="AI1234" s="109"/>
      <c r="AJ1234" s="109"/>
      <c r="AK1234" s="109"/>
      <c r="AL1234" s="109"/>
      <c r="AM1234" s="109"/>
      <c r="AN1234" s="109"/>
      <c r="AO1234" s="109"/>
      <c r="AP1234" s="109"/>
      <c r="AQ1234" s="109"/>
      <c r="AR1234" s="109"/>
      <c r="AS1234" s="109"/>
      <c r="AT1234" s="109"/>
      <c r="AU1234" s="109"/>
      <c r="AV1234" s="109"/>
      <c r="AW1234" s="109"/>
      <c r="AX1234" s="109"/>
      <c r="AY1234" s="109"/>
      <c r="AZ1234" s="109"/>
      <c r="BA1234" s="109"/>
      <c r="BB1234" s="109"/>
      <c r="BC1234" s="109"/>
      <c r="BD1234" s="110"/>
      <c r="BE1234" s="109"/>
      <c r="BF1234" s="109"/>
      <c r="BG1234" s="109"/>
      <c r="BH1234" s="109"/>
    </row>
    <row r="1235" spans="1:60" s="17" customFormat="1" ht="19.5" customHeight="1" x14ac:dyDescent="0.35">
      <c r="A1235" s="109"/>
      <c r="B1235" s="35" t="s">
        <v>169</v>
      </c>
      <c r="C1235" s="77">
        <f>C1059</f>
        <v>0</v>
      </c>
      <c r="D1235" s="109"/>
      <c r="E1235" s="109"/>
      <c r="F1235" s="109"/>
      <c r="G1235" s="109"/>
      <c r="H1235" s="109"/>
      <c r="I1235" s="109"/>
      <c r="J1235" s="109"/>
      <c r="K1235" s="109"/>
      <c r="L1235" s="109"/>
      <c r="M1235" s="109"/>
      <c r="N1235" s="109"/>
      <c r="O1235" s="109"/>
      <c r="P1235" s="109"/>
      <c r="Q1235" s="109"/>
      <c r="R1235" s="109"/>
      <c r="S1235" s="109"/>
      <c r="T1235" s="109"/>
      <c r="U1235" s="109"/>
      <c r="V1235" s="109"/>
      <c r="W1235" s="109"/>
      <c r="X1235" s="109"/>
      <c r="Y1235" s="109"/>
      <c r="Z1235" s="109"/>
      <c r="AA1235" s="109"/>
      <c r="AB1235" s="109"/>
      <c r="AC1235" s="109"/>
      <c r="AD1235" s="109"/>
      <c r="AE1235" s="109"/>
      <c r="AF1235" s="109"/>
      <c r="AG1235" s="109"/>
      <c r="AH1235" s="109"/>
      <c r="AI1235" s="109"/>
      <c r="AJ1235" s="109"/>
      <c r="AK1235" s="109"/>
      <c r="AL1235" s="109"/>
      <c r="AM1235" s="109"/>
      <c r="AN1235" s="109"/>
      <c r="AO1235" s="109"/>
      <c r="AP1235" s="109"/>
      <c r="AQ1235" s="109"/>
      <c r="AR1235" s="109"/>
      <c r="AS1235" s="109"/>
      <c r="AT1235" s="109"/>
      <c r="AU1235" s="109"/>
      <c r="AV1235" s="109"/>
      <c r="AW1235" s="109"/>
      <c r="AX1235" s="109"/>
      <c r="AY1235" s="109"/>
      <c r="AZ1235" s="109"/>
      <c r="BA1235" s="20" t="s">
        <v>170</v>
      </c>
      <c r="BB1235" s="21" t="s">
        <v>171</v>
      </c>
      <c r="BC1235" s="26" t="s">
        <v>172</v>
      </c>
      <c r="BD1235" s="110"/>
      <c r="BE1235" s="109"/>
      <c r="BF1235" s="109"/>
      <c r="BG1235" s="109"/>
      <c r="BH1235" s="109"/>
    </row>
    <row r="1236" spans="1:60" s="17" customFormat="1" ht="19.5" customHeight="1" x14ac:dyDescent="0.35">
      <c r="A1236" s="109"/>
      <c r="B1236" s="35" t="s">
        <v>173</v>
      </c>
      <c r="C1236" s="77" t="str">
        <f>C1060</f>
        <v>H&amp;M MAN</v>
      </c>
      <c r="D1236" s="109"/>
      <c r="E1236" s="109"/>
      <c r="F1236" s="109"/>
      <c r="G1236" s="109"/>
      <c r="H1236" s="109"/>
      <c r="I1236" s="109"/>
      <c r="J1236" s="109"/>
      <c r="K1236" s="109"/>
      <c r="L1236" s="109"/>
      <c r="M1236" s="109"/>
      <c r="N1236" s="109"/>
      <c r="O1236" s="109"/>
      <c r="P1236" s="109"/>
      <c r="Q1236" s="109"/>
      <c r="R1236" s="109"/>
      <c r="S1236" s="109"/>
      <c r="T1236" s="109"/>
      <c r="U1236" s="109"/>
      <c r="V1236" s="109"/>
      <c r="W1236" s="109"/>
      <c r="X1236" s="109"/>
      <c r="Y1236" s="109"/>
      <c r="Z1236" s="109"/>
      <c r="AA1236" s="109"/>
      <c r="AB1236" s="109"/>
      <c r="AC1236" s="109"/>
      <c r="AD1236" s="109"/>
      <c r="AE1236" s="109"/>
      <c r="AF1236" s="109"/>
      <c r="AG1236" s="109"/>
      <c r="AH1236" s="109"/>
      <c r="AI1236" s="109"/>
      <c r="AJ1236" s="109"/>
      <c r="AK1236" s="109"/>
      <c r="AL1236" s="109"/>
      <c r="AM1236" s="109"/>
      <c r="AN1236" s="109"/>
      <c r="AO1236" s="109"/>
      <c r="AP1236" s="109"/>
      <c r="AQ1236" s="109"/>
      <c r="AR1236" s="109"/>
      <c r="AS1236" s="109"/>
      <c r="AT1236" s="109"/>
      <c r="AU1236" s="109"/>
      <c r="AV1236" s="109"/>
      <c r="AW1236" s="109"/>
      <c r="AX1236" s="109"/>
      <c r="AY1236" s="109"/>
      <c r="AZ1236" s="109"/>
      <c r="BA1236" s="32" t="s">
        <v>174</v>
      </c>
      <c r="BB1236" s="22" t="s">
        <v>175</v>
      </c>
      <c r="BC1236" s="109"/>
      <c r="BD1236" s="110"/>
      <c r="BE1236" s="109"/>
      <c r="BF1236" s="109"/>
      <c r="BG1236" s="109"/>
      <c r="BH1236" s="109"/>
    </row>
    <row r="1237" spans="1:60" s="17" customFormat="1" ht="19.5" customHeight="1" thickBot="1" x14ac:dyDescent="0.4">
      <c r="A1237" s="109"/>
      <c r="B1237" s="35" t="s">
        <v>176</v>
      </c>
      <c r="C1237" s="25">
        <f>C1061</f>
        <v>42311</v>
      </c>
      <c r="D1237" s="109"/>
      <c r="E1237" s="109"/>
      <c r="F1237" s="109"/>
      <c r="G1237" s="109"/>
      <c r="H1237" s="109"/>
      <c r="I1237" s="109"/>
      <c r="J1237" s="109"/>
      <c r="K1237" s="109"/>
      <c r="L1237" s="109"/>
      <c r="M1237" s="109"/>
      <c r="N1237" s="109"/>
      <c r="O1237" s="109"/>
      <c r="P1237" s="109"/>
      <c r="Q1237" s="109"/>
      <c r="R1237" s="109"/>
      <c r="S1237" s="109"/>
      <c r="T1237" s="109"/>
      <c r="U1237" s="109"/>
      <c r="V1237" s="109"/>
      <c r="W1237" s="109"/>
      <c r="X1237" s="109"/>
      <c r="Y1237" s="109"/>
      <c r="Z1237" s="109"/>
      <c r="AA1237" s="109"/>
      <c r="AB1237" s="109"/>
      <c r="AC1237" s="109"/>
      <c r="AD1237" s="109"/>
      <c r="AE1237" s="109"/>
      <c r="AF1237" s="109"/>
      <c r="AG1237" s="109"/>
      <c r="AH1237" s="109"/>
      <c r="AI1237" s="109"/>
      <c r="AJ1237" s="109"/>
      <c r="AK1237" s="109"/>
      <c r="AL1237" s="109"/>
      <c r="AM1237" s="109"/>
      <c r="AN1237" s="109"/>
      <c r="AO1237" s="109"/>
      <c r="AP1237" s="109"/>
      <c r="AQ1237" s="109"/>
      <c r="AR1237" s="109"/>
      <c r="AS1237" s="109"/>
      <c r="AT1237" s="109"/>
      <c r="AU1237" s="109"/>
      <c r="AV1237" s="109"/>
      <c r="AW1237" s="109"/>
      <c r="AX1237" s="109"/>
      <c r="AY1237" s="109"/>
      <c r="AZ1237" s="109"/>
      <c r="BA1237" s="27" t="s">
        <v>177</v>
      </c>
      <c r="BB1237" s="23" t="s">
        <v>178</v>
      </c>
      <c r="BC1237" s="109"/>
      <c r="BD1237" s="110"/>
      <c r="BE1237" s="109"/>
      <c r="BF1237" s="109"/>
      <c r="BG1237" s="109"/>
      <c r="BH1237" s="109"/>
    </row>
    <row r="1238" spans="1:60" s="17" customFormat="1" ht="19.5" customHeight="1" x14ac:dyDescent="0.35">
      <c r="A1238" s="109"/>
      <c r="B1238" s="36" t="s">
        <v>179</v>
      </c>
      <c r="C1238" s="25">
        <f>C1062</f>
        <v>4000</v>
      </c>
      <c r="D1238" s="109"/>
      <c r="E1238" s="109"/>
      <c r="F1238" s="109"/>
      <c r="G1238" s="109"/>
      <c r="H1238" s="109"/>
      <c r="I1238" s="109"/>
      <c r="J1238" s="109"/>
      <c r="K1238" s="109"/>
      <c r="L1238" s="109"/>
      <c r="M1238" s="109"/>
      <c r="N1238" s="109"/>
      <c r="O1238" s="109"/>
      <c r="P1238" s="109"/>
      <c r="Q1238" s="109"/>
      <c r="R1238" s="109"/>
      <c r="S1238" s="109"/>
      <c r="T1238" s="109"/>
      <c r="U1238" s="109"/>
      <c r="V1238" s="109"/>
      <c r="W1238" s="109"/>
      <c r="X1238" s="109"/>
      <c r="Y1238" s="109"/>
      <c r="Z1238" s="109"/>
      <c r="AA1238" s="109"/>
      <c r="AB1238" s="109"/>
      <c r="AC1238" s="109"/>
      <c r="AD1238" s="109"/>
      <c r="AE1238" s="109"/>
      <c r="AF1238" s="109"/>
      <c r="AG1238" s="109"/>
      <c r="AH1238" s="109"/>
      <c r="AI1238" s="109"/>
      <c r="AJ1238" s="109"/>
      <c r="AK1238" s="109"/>
      <c r="AL1238" s="109"/>
      <c r="AM1238" s="109"/>
      <c r="AN1238" s="109"/>
      <c r="AO1238" s="109"/>
      <c r="AP1238" s="109"/>
      <c r="AQ1238" s="109"/>
      <c r="AR1238" s="109"/>
      <c r="AS1238" s="109"/>
      <c r="AT1238" s="109"/>
      <c r="AU1238" s="109"/>
      <c r="AV1238" s="109"/>
      <c r="AW1238" s="109"/>
      <c r="AX1238" s="109"/>
      <c r="AY1238" s="109"/>
      <c r="AZ1238" s="109"/>
      <c r="BA1238" s="12" t="str">
        <f t="shared" ref="BA1238:BG1238" si="1217">BA1062</f>
        <v>XS</v>
      </c>
      <c r="BB1238" s="12" t="str">
        <f t="shared" si="1217"/>
        <v>S</v>
      </c>
      <c r="BC1238" s="12" t="str">
        <f t="shared" si="1217"/>
        <v>M</v>
      </c>
      <c r="BD1238" s="12" t="str">
        <f t="shared" si="1217"/>
        <v>L</v>
      </c>
      <c r="BE1238" s="12" t="str">
        <f t="shared" si="1217"/>
        <v>XL</v>
      </c>
      <c r="BF1238" s="12" t="str">
        <f t="shared" si="1217"/>
        <v>XXL</v>
      </c>
      <c r="BG1238" s="12">
        <f t="shared" si="1217"/>
        <v>0</v>
      </c>
      <c r="BH1238" s="13"/>
    </row>
    <row r="1239" spans="1:60" s="17" customFormat="1" ht="19.5" customHeight="1" thickBot="1" x14ac:dyDescent="0.4">
      <c r="A1239" s="109"/>
      <c r="B1239" s="36" t="s">
        <v>197</v>
      </c>
      <c r="C1239" s="25" t="str">
        <f>C1063</f>
        <v>EKRU</v>
      </c>
      <c r="D1239" s="109"/>
      <c r="E1239" s="109"/>
      <c r="F1239" s="109"/>
      <c r="G1239" s="109"/>
      <c r="H1239" s="109"/>
      <c r="I1239" s="109"/>
      <c r="J1239" s="109"/>
      <c r="K1239" s="109"/>
      <c r="L1239" s="109"/>
      <c r="M1239" s="109"/>
      <c r="N1239" s="109"/>
      <c r="O1239" s="109"/>
      <c r="P1239" s="109"/>
      <c r="Q1239" s="109"/>
      <c r="R1239" s="109"/>
      <c r="S1239" s="109"/>
      <c r="T1239" s="109"/>
      <c r="U1239" s="109"/>
      <c r="V1239" s="109"/>
      <c r="W1239" s="109"/>
      <c r="X1239" s="109"/>
      <c r="Y1239" s="109"/>
      <c r="Z1239" s="109"/>
      <c r="AA1239" s="109"/>
      <c r="AB1239" s="109"/>
      <c r="AC1239" s="109"/>
      <c r="AD1239" s="109"/>
      <c r="AE1239" s="109"/>
      <c r="AF1239" s="109"/>
      <c r="AG1239" s="109"/>
      <c r="AH1239" s="109"/>
      <c r="AI1239" s="109"/>
      <c r="AJ1239" s="109"/>
      <c r="AK1239" s="109"/>
      <c r="AL1239" s="109"/>
      <c r="AM1239" s="109"/>
      <c r="AN1239" s="109"/>
      <c r="AO1239" s="109"/>
      <c r="AP1239" s="109"/>
      <c r="AQ1239" s="109"/>
      <c r="AR1239" s="109"/>
      <c r="AS1239" s="109"/>
      <c r="AT1239" s="109"/>
      <c r="AU1239" s="109"/>
      <c r="AV1239" s="109"/>
      <c r="AW1239" s="109"/>
      <c r="AX1239" s="109"/>
      <c r="AY1239" s="109"/>
      <c r="AZ1239" s="109"/>
      <c r="BA1239" s="14">
        <f t="shared" ref="BA1239:BG1239" si="1218">BA1063</f>
        <v>492</v>
      </c>
      <c r="BB1239" s="14">
        <f t="shared" si="1218"/>
        <v>11438</v>
      </c>
      <c r="BC1239" s="14">
        <f t="shared" si="1218"/>
        <v>13689</v>
      </c>
      <c r="BD1239" s="14">
        <f t="shared" si="1218"/>
        <v>9760</v>
      </c>
      <c r="BE1239" s="14">
        <f t="shared" si="1218"/>
        <v>4794</v>
      </c>
      <c r="BF1239" s="14">
        <f t="shared" si="1218"/>
        <v>2138</v>
      </c>
      <c r="BG1239" s="14">
        <f t="shared" si="1218"/>
        <v>0</v>
      </c>
      <c r="BH1239" s="15">
        <f>SUM(BA1239:BG1239)</f>
        <v>42311</v>
      </c>
    </row>
    <row r="1240" spans="1:60" s="17" customFormat="1" ht="19.5" customHeight="1" thickBot="1" x14ac:dyDescent="0.4">
      <c r="A1240" s="42">
        <f>C1234</f>
        <v>45446</v>
      </c>
      <c r="B1240" s="38" t="str">
        <f>B1241</f>
        <v>Yaka İç Dikiş</v>
      </c>
      <c r="C1240" s="39" t="s">
        <v>180</v>
      </c>
      <c r="D1240" s="69" t="s">
        <v>181</v>
      </c>
      <c r="E1240" s="48">
        <v>0.34375</v>
      </c>
      <c r="F1240" s="49">
        <v>0.35416666666666669</v>
      </c>
      <c r="G1240" s="49">
        <v>0.36458333333333331</v>
      </c>
      <c r="H1240" s="50">
        <v>0.375</v>
      </c>
      <c r="I1240" s="48">
        <v>0.38541666666666702</v>
      </c>
      <c r="J1240" s="49">
        <v>0.39583333333333298</v>
      </c>
      <c r="K1240" s="49">
        <v>0.40625</v>
      </c>
      <c r="L1240" s="50">
        <v>0.41666666666666702</v>
      </c>
      <c r="M1240" s="48">
        <v>0.4375</v>
      </c>
      <c r="N1240" s="49">
        <v>0.44791666666666702</v>
      </c>
      <c r="O1240" s="49">
        <v>0.45833333333333398</v>
      </c>
      <c r="P1240" s="50">
        <v>0.46875</v>
      </c>
      <c r="Q1240" s="48">
        <v>0.47916666666666702</v>
      </c>
      <c r="R1240" s="49">
        <v>0.48958333333333398</v>
      </c>
      <c r="S1240" s="49">
        <v>0.5</v>
      </c>
      <c r="T1240" s="50">
        <v>0.51041666666666696</v>
      </c>
      <c r="U1240" s="51">
        <v>0.52083333333333204</v>
      </c>
      <c r="V1240" s="48">
        <v>0.5625</v>
      </c>
      <c r="W1240" s="49">
        <v>0.57291666666666663</v>
      </c>
      <c r="X1240" s="49">
        <v>0.58333333333333304</v>
      </c>
      <c r="Y1240" s="50">
        <v>0.59375</v>
      </c>
      <c r="Z1240" s="48">
        <v>0.60416666666666696</v>
      </c>
      <c r="AA1240" s="49">
        <v>0.61458333333333304</v>
      </c>
      <c r="AB1240" s="49">
        <v>0.625</v>
      </c>
      <c r="AC1240" s="50">
        <v>0.63541666666666596</v>
      </c>
      <c r="AD1240" s="48">
        <v>0.65625</v>
      </c>
      <c r="AE1240" s="49">
        <v>0.66666666666666663</v>
      </c>
      <c r="AF1240" s="49">
        <v>0.67708333333333304</v>
      </c>
      <c r="AG1240" s="50">
        <v>0.6875</v>
      </c>
      <c r="AH1240" s="48">
        <v>0.69791666666666696</v>
      </c>
      <c r="AI1240" s="49">
        <v>0.70833333333333304</v>
      </c>
      <c r="AJ1240" s="49">
        <v>0.71875</v>
      </c>
      <c r="AK1240" s="50">
        <v>0.72916666666666696</v>
      </c>
      <c r="AL1240" s="48">
        <v>0.73958333333333404</v>
      </c>
      <c r="AM1240" s="49">
        <v>0.750000000000001</v>
      </c>
      <c r="AN1240" s="49">
        <v>0.76041666666666796</v>
      </c>
      <c r="AO1240" s="50">
        <v>0.77083333333333504</v>
      </c>
      <c r="AP1240" s="48">
        <v>0.781250000000002</v>
      </c>
      <c r="AQ1240" s="49">
        <v>0.79166666666666896</v>
      </c>
      <c r="AR1240" s="49">
        <v>0.80208333333333603</v>
      </c>
      <c r="AS1240" s="50">
        <v>0.812500000000003</v>
      </c>
      <c r="AT1240" s="48">
        <v>0.82291666666666996</v>
      </c>
      <c r="AU1240" s="49">
        <v>0.83333333333333703</v>
      </c>
      <c r="AV1240" s="49">
        <v>0.843750000000004</v>
      </c>
      <c r="AW1240" s="50">
        <v>0.85416666666666663</v>
      </c>
      <c r="AX1240" s="68" t="s">
        <v>260</v>
      </c>
      <c r="AY1240" s="28" t="s">
        <v>261</v>
      </c>
      <c r="AZ1240" s="29" t="s">
        <v>262</v>
      </c>
      <c r="BA1240" s="136" t="str">
        <f>B1241</f>
        <v>Yaka İç Dikiş</v>
      </c>
      <c r="BB1240" s="137"/>
      <c r="BC1240" s="137"/>
      <c r="BD1240" s="137"/>
      <c r="BE1240" s="137"/>
      <c r="BF1240" s="137"/>
      <c r="BG1240" s="137"/>
      <c r="BH1240" s="138"/>
    </row>
    <row r="1241" spans="1:60" s="17" customFormat="1" ht="19.5" customHeight="1" thickBot="1" x14ac:dyDescent="0.4">
      <c r="A1241" s="41">
        <f t="shared" ref="A1241:A1246" si="1219">A1240</f>
        <v>45446</v>
      </c>
      <c r="B1241" s="37" t="str">
        <f>B1065</f>
        <v>Yaka İç Dikiş</v>
      </c>
      <c r="C1241" s="66" t="str">
        <f>C1065</f>
        <v>HAZİME AVCİ</v>
      </c>
      <c r="D1241" s="70">
        <f>D1065</f>
        <v>200</v>
      </c>
      <c r="E1241" s="63">
        <v>180</v>
      </c>
      <c r="F1241" s="55">
        <v>200</v>
      </c>
      <c r="G1241" s="55">
        <v>220</v>
      </c>
      <c r="H1241" s="56"/>
      <c r="I1241" s="63"/>
      <c r="J1241" s="55"/>
      <c r="K1241" s="55"/>
      <c r="L1241" s="56"/>
      <c r="M1241" s="63"/>
      <c r="N1241" s="55"/>
      <c r="O1241" s="55"/>
      <c r="P1241" s="56"/>
      <c r="Q1241" s="63"/>
      <c r="R1241" s="55"/>
      <c r="S1241" s="55"/>
      <c r="T1241" s="55"/>
      <c r="U1241" s="56"/>
      <c r="V1241" s="63"/>
      <c r="W1241" s="55"/>
      <c r="X1241" s="55"/>
      <c r="Y1241" s="56"/>
      <c r="Z1241" s="63"/>
      <c r="AA1241" s="55"/>
      <c r="AB1241" s="55"/>
      <c r="AC1241" s="56">
        <v>0</v>
      </c>
      <c r="AD1241" s="63"/>
      <c r="AE1241" s="55"/>
      <c r="AF1241" s="55"/>
      <c r="AG1241" s="56"/>
      <c r="AH1241" s="63"/>
      <c r="AI1241" s="55"/>
      <c r="AJ1241" s="55"/>
      <c r="AK1241" s="56"/>
      <c r="AL1241" s="63"/>
      <c r="AM1241" s="55"/>
      <c r="AN1241" s="55"/>
      <c r="AO1241" s="56"/>
      <c r="AP1241" s="63"/>
      <c r="AQ1241" s="54"/>
      <c r="AR1241" s="55"/>
      <c r="AS1241" s="56"/>
      <c r="AT1241" s="53"/>
      <c r="AU1241" s="54"/>
      <c r="AV1241" s="55"/>
      <c r="AW1241" s="56"/>
      <c r="AX1241" s="33">
        <f>SUM(E1241:AW1241)</f>
        <v>600</v>
      </c>
      <c r="AY1241" s="31">
        <f>IFERROR(AVERAGEIF(E1241:AW1241,"&lt;&gt;0",(E1241:AW1241)),)</f>
        <v>200</v>
      </c>
      <c r="AZ1241" s="30">
        <f>IFERROR(AY1241/D1241,0)</f>
        <v>1</v>
      </c>
      <c r="BA1241" s="103" t="s">
        <v>182</v>
      </c>
      <c r="BB1241" s="100" t="s">
        <v>183</v>
      </c>
      <c r="BC1241" s="100" t="s">
        <v>184</v>
      </c>
      <c r="BD1241" s="101" t="s">
        <v>185</v>
      </c>
      <c r="BE1241" s="100" t="s">
        <v>186</v>
      </c>
      <c r="BF1241" s="102" t="s">
        <v>187</v>
      </c>
      <c r="BG1241" s="100" t="s">
        <v>188</v>
      </c>
      <c r="BH1241" s="102" t="s">
        <v>189</v>
      </c>
    </row>
    <row r="1242" spans="1:60" s="17" customFormat="1" ht="19.5" customHeight="1" thickBot="1" x14ac:dyDescent="0.4">
      <c r="A1242" s="41">
        <f t="shared" si="1219"/>
        <v>45446</v>
      </c>
      <c r="B1242" s="37" t="str">
        <f>B1241</f>
        <v>Yaka İç Dikiş</v>
      </c>
      <c r="C1242" s="66">
        <f>C1066</f>
        <v>0</v>
      </c>
      <c r="D1242" s="67">
        <f>D1241</f>
        <v>200</v>
      </c>
      <c r="E1242" s="57"/>
      <c r="F1242" s="52"/>
      <c r="G1242" s="52"/>
      <c r="H1242" s="58"/>
      <c r="I1242" s="57"/>
      <c r="J1242" s="52"/>
      <c r="K1242" s="52"/>
      <c r="L1242" s="58"/>
      <c r="M1242" s="57"/>
      <c r="N1242" s="52"/>
      <c r="O1242" s="52"/>
      <c r="P1242" s="58"/>
      <c r="Q1242" s="57"/>
      <c r="R1242" s="52"/>
      <c r="S1242" s="52"/>
      <c r="T1242" s="52"/>
      <c r="U1242" s="58"/>
      <c r="V1242" s="57"/>
      <c r="W1242" s="52"/>
      <c r="X1242" s="52"/>
      <c r="Y1242" s="58"/>
      <c r="Z1242" s="57"/>
      <c r="AA1242" s="52"/>
      <c r="AB1242" s="52"/>
      <c r="AC1242" s="58"/>
      <c r="AD1242" s="57"/>
      <c r="AE1242" s="52"/>
      <c r="AF1242" s="52"/>
      <c r="AG1242" s="58"/>
      <c r="AH1242" s="57"/>
      <c r="AI1242" s="52"/>
      <c r="AJ1242" s="52"/>
      <c r="AK1242" s="58"/>
      <c r="AL1242" s="57"/>
      <c r="AM1242" s="52"/>
      <c r="AN1242" s="52"/>
      <c r="AO1242" s="58"/>
      <c r="AP1242" s="57"/>
      <c r="AQ1242" s="52"/>
      <c r="AR1242" s="52"/>
      <c r="AS1242" s="58"/>
      <c r="AT1242" s="57"/>
      <c r="AU1242" s="52"/>
      <c r="AV1242" s="52"/>
      <c r="AW1242" s="58"/>
      <c r="AX1242" s="33">
        <f>SUM(E1242:AW1242)</f>
        <v>0</v>
      </c>
      <c r="AY1242" s="31">
        <f>IFERROR(AVERAGEIF(E1242:AW1242,"&lt;&gt;0",(E1242:AW1242)),)</f>
        <v>0</v>
      </c>
      <c r="AZ1242" s="30">
        <f>IFERROR(AY1242/D1242,0)</f>
        <v>0</v>
      </c>
      <c r="BA1242" s="94">
        <f>AX1246+BA1066</f>
        <v>22370</v>
      </c>
      <c r="BB1242" s="95">
        <f>(D1246*8)</f>
        <v>4000</v>
      </c>
      <c r="BC1242" s="96">
        <f>C1237-BA1242</f>
        <v>19941</v>
      </c>
      <c r="BD1242" s="96">
        <f>BC1242</f>
        <v>19941</v>
      </c>
      <c r="BE1242" s="97">
        <f>IFERROR(BC1242/E1246,0)</f>
        <v>33.234999999999999</v>
      </c>
      <c r="BF1242" s="98">
        <f>IFERROR(BE1242/9,0)</f>
        <v>3.6927777777777777</v>
      </c>
      <c r="BG1242" s="97">
        <f>IFERROR(BC1242/AY1246,0)</f>
        <v>33.234999999999999</v>
      </c>
      <c r="BH1242" s="97">
        <f>IFERROR(BG1242/9,0)</f>
        <v>3.6927777777777777</v>
      </c>
    </row>
    <row r="1243" spans="1:60" s="17" customFormat="1" ht="19.5" customHeight="1" x14ac:dyDescent="0.35">
      <c r="A1243" s="41">
        <f t="shared" si="1219"/>
        <v>45446</v>
      </c>
      <c r="B1243" s="37" t="str">
        <f>B1242</f>
        <v>Yaka İç Dikiş</v>
      </c>
      <c r="C1243" s="66">
        <f>C1067</f>
        <v>0</v>
      </c>
      <c r="D1243" s="67">
        <f>D1242</f>
        <v>200</v>
      </c>
      <c r="E1243" s="57"/>
      <c r="F1243" s="52"/>
      <c r="G1243" s="52"/>
      <c r="H1243" s="58"/>
      <c r="I1243" s="57"/>
      <c r="J1243" s="52"/>
      <c r="K1243" s="52"/>
      <c r="L1243" s="58"/>
      <c r="M1243" s="57"/>
      <c r="N1243" s="52"/>
      <c r="O1243" s="52"/>
      <c r="P1243" s="58"/>
      <c r="Q1243" s="57"/>
      <c r="R1243" s="52"/>
      <c r="S1243" s="52"/>
      <c r="T1243" s="52"/>
      <c r="U1243" s="58"/>
      <c r="V1243" s="57"/>
      <c r="W1243" s="52"/>
      <c r="X1243" s="52"/>
      <c r="Y1243" s="58"/>
      <c r="Z1243" s="57"/>
      <c r="AA1243" s="52"/>
      <c r="AB1243" s="52"/>
      <c r="AC1243" s="58"/>
      <c r="AD1243" s="57"/>
      <c r="AE1243" s="52"/>
      <c r="AF1243" s="52"/>
      <c r="AG1243" s="58"/>
      <c r="AH1243" s="57"/>
      <c r="AI1243" s="52"/>
      <c r="AJ1243" s="52"/>
      <c r="AK1243" s="58"/>
      <c r="AL1243" s="57"/>
      <c r="AM1243" s="52"/>
      <c r="AN1243" s="52"/>
      <c r="AO1243" s="58"/>
      <c r="AP1243" s="57"/>
      <c r="AQ1243" s="52"/>
      <c r="AR1243" s="52"/>
      <c r="AS1243" s="58"/>
      <c r="AT1243" s="57"/>
      <c r="AU1243" s="52"/>
      <c r="AV1243" s="52"/>
      <c r="AW1243" s="58"/>
      <c r="AX1243" s="33">
        <f>SUM(E1243:AW1243)</f>
        <v>0</v>
      </c>
      <c r="AY1243" s="31">
        <f>IFERROR(AVERAGEIF(E1243:AW1243,"&lt;&gt;0",(E1243:AW1243)),)</f>
        <v>0</v>
      </c>
      <c r="AZ1243" s="30">
        <f>IFERROR(AY1243/D1243,0)</f>
        <v>0</v>
      </c>
      <c r="BA1243" s="34"/>
      <c r="BB1243" s="34"/>
      <c r="BC1243" s="34"/>
      <c r="BD1243" s="76"/>
      <c r="BE1243" s="34"/>
      <c r="BF1243" s="34"/>
      <c r="BG1243" s="34"/>
      <c r="BH1243" s="34"/>
    </row>
    <row r="1244" spans="1:60" s="17" customFormat="1" ht="19.5" customHeight="1" x14ac:dyDescent="0.35">
      <c r="A1244" s="41">
        <f t="shared" si="1219"/>
        <v>45446</v>
      </c>
      <c r="B1244" s="37" t="str">
        <f>B1243</f>
        <v>Yaka İç Dikiş</v>
      </c>
      <c r="C1244" s="66">
        <f>C1068</f>
        <v>0</v>
      </c>
      <c r="D1244" s="67">
        <f>D1243</f>
        <v>200</v>
      </c>
      <c r="E1244" s="57"/>
      <c r="F1244" s="52"/>
      <c r="G1244" s="52"/>
      <c r="H1244" s="58"/>
      <c r="I1244" s="57"/>
      <c r="J1244" s="52"/>
      <c r="K1244" s="52"/>
      <c r="L1244" s="58"/>
      <c r="M1244" s="57"/>
      <c r="N1244" s="52"/>
      <c r="O1244" s="52"/>
      <c r="P1244" s="58"/>
      <c r="Q1244" s="57"/>
      <c r="R1244" s="52"/>
      <c r="S1244" s="52"/>
      <c r="T1244" s="52"/>
      <c r="U1244" s="58"/>
      <c r="V1244" s="57"/>
      <c r="W1244" s="52"/>
      <c r="X1244" s="52"/>
      <c r="Y1244" s="58"/>
      <c r="Z1244" s="57"/>
      <c r="AA1244" s="52"/>
      <c r="AB1244" s="52"/>
      <c r="AC1244" s="58"/>
      <c r="AD1244" s="57"/>
      <c r="AE1244" s="52"/>
      <c r="AF1244" s="52"/>
      <c r="AG1244" s="58"/>
      <c r="AH1244" s="57"/>
      <c r="AI1244" s="52"/>
      <c r="AJ1244" s="52"/>
      <c r="AK1244" s="58"/>
      <c r="AL1244" s="57"/>
      <c r="AM1244" s="52"/>
      <c r="AN1244" s="52"/>
      <c r="AO1244" s="58"/>
      <c r="AP1244" s="57"/>
      <c r="AQ1244" s="52"/>
      <c r="AR1244" s="52"/>
      <c r="AS1244" s="58"/>
      <c r="AT1244" s="57"/>
      <c r="AU1244" s="52"/>
      <c r="AV1244" s="52"/>
      <c r="AW1244" s="58"/>
      <c r="AX1244" s="33">
        <f>SUM(E1244:AW1244)</f>
        <v>0</v>
      </c>
      <c r="AY1244" s="31">
        <f>IFERROR(AVERAGEIF(E1244:AW1244,"&lt;&gt;0",(E1244:AW1244)),)</f>
        <v>0</v>
      </c>
      <c r="AZ1244" s="30">
        <f>IFERROR(AY1244/D1244,0)</f>
        <v>0</v>
      </c>
      <c r="BA1244" s="34"/>
      <c r="BB1244" s="34"/>
      <c r="BC1244" s="34"/>
      <c r="BD1244" s="76"/>
      <c r="BE1244" s="34"/>
      <c r="BF1244" s="34"/>
      <c r="BG1244" s="34"/>
      <c r="BH1244" s="34"/>
    </row>
    <row r="1245" spans="1:60" s="17" customFormat="1" ht="19.5" customHeight="1" thickBot="1" x14ac:dyDescent="0.4">
      <c r="A1245" s="41">
        <f t="shared" si="1219"/>
        <v>45446</v>
      </c>
      <c r="B1245" s="37" t="str">
        <f>B1244</f>
        <v>Yaka İç Dikiş</v>
      </c>
      <c r="C1245" s="66">
        <f>C1069</f>
        <v>0</v>
      </c>
      <c r="D1245" s="67">
        <f>D1244</f>
        <v>200</v>
      </c>
      <c r="E1245" s="64"/>
      <c r="F1245" s="61"/>
      <c r="G1245" s="61"/>
      <c r="H1245" s="62"/>
      <c r="I1245" s="64"/>
      <c r="J1245" s="61"/>
      <c r="K1245" s="61"/>
      <c r="L1245" s="62"/>
      <c r="M1245" s="64"/>
      <c r="N1245" s="61"/>
      <c r="O1245" s="61"/>
      <c r="P1245" s="62"/>
      <c r="Q1245" s="64"/>
      <c r="R1245" s="61"/>
      <c r="S1245" s="61"/>
      <c r="T1245" s="61"/>
      <c r="U1245" s="62"/>
      <c r="V1245" s="64"/>
      <c r="W1245" s="61"/>
      <c r="X1245" s="61"/>
      <c r="Y1245" s="62"/>
      <c r="Z1245" s="59"/>
      <c r="AA1245" s="60"/>
      <c r="AB1245" s="61"/>
      <c r="AC1245" s="62"/>
      <c r="AD1245" s="59"/>
      <c r="AE1245" s="60"/>
      <c r="AF1245" s="61"/>
      <c r="AG1245" s="62"/>
      <c r="AH1245" s="59"/>
      <c r="AI1245" s="60"/>
      <c r="AJ1245" s="61"/>
      <c r="AK1245" s="62"/>
      <c r="AL1245" s="59"/>
      <c r="AM1245" s="60"/>
      <c r="AN1245" s="61"/>
      <c r="AO1245" s="62"/>
      <c r="AP1245" s="59"/>
      <c r="AQ1245" s="60"/>
      <c r="AR1245" s="61"/>
      <c r="AS1245" s="62"/>
      <c r="AT1245" s="59"/>
      <c r="AU1245" s="60"/>
      <c r="AV1245" s="61"/>
      <c r="AW1245" s="62"/>
      <c r="AX1245" s="43">
        <f>SUM(E1245:AW1245)</f>
        <v>0</v>
      </c>
      <c r="AY1245" s="44">
        <f>IFERROR(AVERAGEIF(E1245:AW1245,"&lt;&gt;0",(E1245:AW1245)),)</f>
        <v>0</v>
      </c>
      <c r="AZ1245" s="45">
        <f>IFERROR(AY1245/D1245,0)</f>
        <v>0</v>
      </c>
      <c r="BA1245" s="34"/>
      <c r="BB1245" s="34"/>
      <c r="BC1245" s="34"/>
      <c r="BD1245" s="76"/>
      <c r="BE1245" s="34"/>
      <c r="BF1245" s="34"/>
      <c r="BG1245" s="34"/>
      <c r="BH1245" s="34"/>
    </row>
    <row r="1246" spans="1:60" s="17" customFormat="1" ht="19.5" customHeight="1" thickBot="1" x14ac:dyDescent="0.45">
      <c r="A1246" s="41">
        <f t="shared" si="1219"/>
        <v>45446</v>
      </c>
      <c r="B1246" s="139" t="str">
        <f>B1241</f>
        <v>Yaka İç Dikiş</v>
      </c>
      <c r="C1246" s="140"/>
      <c r="D1246" s="40">
        <f>C1238/8</f>
        <v>500</v>
      </c>
      <c r="E1246" s="151">
        <f>SUM(E1241:H1245)</f>
        <v>600</v>
      </c>
      <c r="F1246" s="152"/>
      <c r="G1246" s="152"/>
      <c r="H1246" s="153"/>
      <c r="I1246" s="151">
        <f>SUM(I1241:L1245)</f>
        <v>0</v>
      </c>
      <c r="J1246" s="152"/>
      <c r="K1246" s="152"/>
      <c r="L1246" s="153"/>
      <c r="M1246" s="151">
        <f>SUM(M1241:P1245)</f>
        <v>0</v>
      </c>
      <c r="N1246" s="152"/>
      <c r="O1246" s="152"/>
      <c r="P1246" s="153"/>
      <c r="Q1246" s="151">
        <f>SUM(Q1241:U1245)</f>
        <v>0</v>
      </c>
      <c r="R1246" s="152"/>
      <c r="S1246" s="152"/>
      <c r="T1246" s="152"/>
      <c r="U1246" s="153"/>
      <c r="V1246" s="151">
        <f>SUM(V1241:Y1245)</f>
        <v>0</v>
      </c>
      <c r="W1246" s="152"/>
      <c r="X1246" s="152"/>
      <c r="Y1246" s="153"/>
      <c r="Z1246" s="151">
        <f>SUM(Z1241:AC1245)</f>
        <v>0</v>
      </c>
      <c r="AA1246" s="152"/>
      <c r="AB1246" s="152"/>
      <c r="AC1246" s="153"/>
      <c r="AD1246" s="151">
        <f>SUM(AD1241:AG1245)</f>
        <v>0</v>
      </c>
      <c r="AE1246" s="152"/>
      <c r="AF1246" s="152"/>
      <c r="AG1246" s="153"/>
      <c r="AH1246" s="151">
        <f>SUM(AH1241:AK1245)</f>
        <v>0</v>
      </c>
      <c r="AI1246" s="152"/>
      <c r="AJ1246" s="152"/>
      <c r="AK1246" s="153"/>
      <c r="AL1246" s="151">
        <f>SUM(AL1241:AO1245)</f>
        <v>0</v>
      </c>
      <c r="AM1246" s="152"/>
      <c r="AN1246" s="152"/>
      <c r="AO1246" s="153"/>
      <c r="AP1246" s="151">
        <f>SUM(AP1241:AS1245)</f>
        <v>0</v>
      </c>
      <c r="AQ1246" s="152"/>
      <c r="AR1246" s="152"/>
      <c r="AS1246" s="153"/>
      <c r="AT1246" s="151">
        <f>SUM(AT1241:AW1245)</f>
        <v>0</v>
      </c>
      <c r="AU1246" s="152"/>
      <c r="AV1246" s="152"/>
      <c r="AW1246" s="153"/>
      <c r="AX1246" s="87">
        <f>SUM(AX1241:AX1245)</f>
        <v>600</v>
      </c>
      <c r="AY1246" s="88">
        <f>IFERROR(AVERAGEIF(E1246:AV1246,"&lt;&gt;0",(E1246:AV1246)),)</f>
        <v>600</v>
      </c>
      <c r="AZ1246" s="46">
        <f>IFERROR(AX1246/BB1242,0)</f>
        <v>0.15</v>
      </c>
      <c r="BA1246" s="34"/>
      <c r="BB1246" s="34"/>
      <c r="BC1246" s="34"/>
      <c r="BD1246" s="76"/>
      <c r="BE1246" s="34"/>
      <c r="BF1246" s="34"/>
      <c r="BG1246" s="34"/>
      <c r="BH1246" s="34"/>
    </row>
    <row r="1247" spans="1:60" s="17" customFormat="1" ht="19.5" customHeight="1" thickBot="1" x14ac:dyDescent="0.4">
      <c r="A1247" s="42">
        <f>A1240</f>
        <v>45446</v>
      </c>
      <c r="B1247" s="38" t="str">
        <f>B1248</f>
        <v>Yaka Tıktık</v>
      </c>
      <c r="C1247" s="39" t="s">
        <v>180</v>
      </c>
      <c r="D1247" s="69" t="s">
        <v>181</v>
      </c>
      <c r="E1247" s="48">
        <v>0.34375</v>
      </c>
      <c r="F1247" s="49">
        <v>0.35416666666666669</v>
      </c>
      <c r="G1247" s="49">
        <v>0.36458333333333331</v>
      </c>
      <c r="H1247" s="50">
        <v>0.375</v>
      </c>
      <c r="I1247" s="48">
        <v>0.38541666666666702</v>
      </c>
      <c r="J1247" s="49">
        <v>0.39583333333333298</v>
      </c>
      <c r="K1247" s="49">
        <v>0.40625</v>
      </c>
      <c r="L1247" s="50">
        <v>0.41666666666666702</v>
      </c>
      <c r="M1247" s="48">
        <v>0.4375</v>
      </c>
      <c r="N1247" s="49">
        <v>0.44791666666666702</v>
      </c>
      <c r="O1247" s="49">
        <v>0.45833333333333398</v>
      </c>
      <c r="P1247" s="50">
        <v>0.46875</v>
      </c>
      <c r="Q1247" s="48">
        <v>0.47916666666666702</v>
      </c>
      <c r="R1247" s="49">
        <v>0.48958333333333398</v>
      </c>
      <c r="S1247" s="49">
        <v>0.5</v>
      </c>
      <c r="T1247" s="50">
        <v>0.51041666666666696</v>
      </c>
      <c r="U1247" s="51">
        <v>0.52083333333333204</v>
      </c>
      <c r="V1247" s="48">
        <v>0.5625</v>
      </c>
      <c r="W1247" s="49">
        <v>0.57291666666666663</v>
      </c>
      <c r="X1247" s="49">
        <v>0.58333333333333304</v>
      </c>
      <c r="Y1247" s="50">
        <v>0.59375</v>
      </c>
      <c r="Z1247" s="48">
        <v>0.60416666666666696</v>
      </c>
      <c r="AA1247" s="49">
        <v>0.61458333333333304</v>
      </c>
      <c r="AB1247" s="49">
        <v>0.625</v>
      </c>
      <c r="AC1247" s="50">
        <v>0.63541666666666596</v>
      </c>
      <c r="AD1247" s="48">
        <v>0.65625</v>
      </c>
      <c r="AE1247" s="49">
        <v>0.66666666666666663</v>
      </c>
      <c r="AF1247" s="49">
        <v>0.67708333333333304</v>
      </c>
      <c r="AG1247" s="50">
        <v>0.6875</v>
      </c>
      <c r="AH1247" s="48">
        <v>0.69791666666666696</v>
      </c>
      <c r="AI1247" s="49">
        <v>0.70833333333333304</v>
      </c>
      <c r="AJ1247" s="49">
        <v>0.71875</v>
      </c>
      <c r="AK1247" s="50">
        <v>0.72916666666666696</v>
      </c>
      <c r="AL1247" s="48">
        <v>0.73958333333333404</v>
      </c>
      <c r="AM1247" s="49">
        <v>0.750000000000001</v>
      </c>
      <c r="AN1247" s="49">
        <v>0.76041666666666796</v>
      </c>
      <c r="AO1247" s="50">
        <v>0.77083333333333504</v>
      </c>
      <c r="AP1247" s="48">
        <v>0.781250000000002</v>
      </c>
      <c r="AQ1247" s="49">
        <v>0.79166666666666896</v>
      </c>
      <c r="AR1247" s="49">
        <v>0.80208333333333603</v>
      </c>
      <c r="AS1247" s="50">
        <v>0.812500000000003</v>
      </c>
      <c r="AT1247" s="48">
        <v>0.82291666666666996</v>
      </c>
      <c r="AU1247" s="49">
        <v>0.83333333333333703</v>
      </c>
      <c r="AV1247" s="49">
        <v>0.843750000000004</v>
      </c>
      <c r="AW1247" s="50">
        <v>0.85416666666666663</v>
      </c>
      <c r="AX1247" s="68" t="s">
        <v>260</v>
      </c>
      <c r="AY1247" s="28" t="s">
        <v>261</v>
      </c>
      <c r="AZ1247" s="29" t="s">
        <v>262</v>
      </c>
      <c r="BA1247" s="136" t="str">
        <f>B1248</f>
        <v>Yaka Tıktık</v>
      </c>
      <c r="BB1247" s="137"/>
      <c r="BC1247" s="137"/>
      <c r="BD1247" s="137"/>
      <c r="BE1247" s="137"/>
      <c r="BF1247" s="137"/>
      <c r="BG1247" s="137"/>
      <c r="BH1247" s="138"/>
    </row>
    <row r="1248" spans="1:60" s="17" customFormat="1" ht="19.5" customHeight="1" thickBot="1" x14ac:dyDescent="0.4">
      <c r="A1248" s="41">
        <f>A1240</f>
        <v>45446</v>
      </c>
      <c r="B1248" s="37" t="str">
        <f>B1072</f>
        <v>Yaka Tıktık</v>
      </c>
      <c r="C1248" s="66" t="str">
        <f>C1072</f>
        <v>HAYAL ŞENER</v>
      </c>
      <c r="D1248" s="70">
        <f>D1072</f>
        <v>150</v>
      </c>
      <c r="E1248" s="63">
        <v>115</v>
      </c>
      <c r="F1248" s="55">
        <v>125</v>
      </c>
      <c r="G1248" s="55">
        <v>115</v>
      </c>
      <c r="H1248" s="56">
        <v>100</v>
      </c>
      <c r="I1248" s="63">
        <v>125</v>
      </c>
      <c r="J1248" s="55">
        <v>100</v>
      </c>
      <c r="K1248" s="55">
        <v>115</v>
      </c>
      <c r="L1248" s="56">
        <v>100</v>
      </c>
      <c r="M1248" s="63">
        <v>130</v>
      </c>
      <c r="N1248" s="55">
        <v>120</v>
      </c>
      <c r="O1248" s="55">
        <v>105</v>
      </c>
      <c r="P1248" s="56">
        <v>130</v>
      </c>
      <c r="Q1248" s="63">
        <v>110</v>
      </c>
      <c r="R1248" s="55">
        <v>100</v>
      </c>
      <c r="S1248" s="55">
        <v>100</v>
      </c>
      <c r="T1248" s="55">
        <v>125</v>
      </c>
      <c r="U1248" s="56">
        <v>80</v>
      </c>
      <c r="V1248" s="63">
        <v>105</v>
      </c>
      <c r="W1248" s="55">
        <v>125</v>
      </c>
      <c r="X1248" s="55">
        <v>130</v>
      </c>
      <c r="Y1248" s="56">
        <v>115</v>
      </c>
      <c r="Z1248" s="63">
        <v>120</v>
      </c>
      <c r="AA1248" s="55">
        <v>115</v>
      </c>
      <c r="AB1248" s="55">
        <v>100</v>
      </c>
      <c r="AC1248" s="56">
        <v>90</v>
      </c>
      <c r="AD1248" s="63">
        <v>100</v>
      </c>
      <c r="AE1248" s="55">
        <v>125</v>
      </c>
      <c r="AF1248" s="55">
        <v>105</v>
      </c>
      <c r="AG1248" s="56">
        <v>90</v>
      </c>
      <c r="AH1248" s="63">
        <v>60</v>
      </c>
      <c r="AI1248" s="55">
        <v>85</v>
      </c>
      <c r="AJ1248" s="55">
        <v>75</v>
      </c>
      <c r="AK1248" s="56"/>
      <c r="AL1248" s="63"/>
      <c r="AM1248" s="55"/>
      <c r="AN1248" s="55"/>
      <c r="AO1248" s="56"/>
      <c r="AP1248" s="63"/>
      <c r="AQ1248" s="54"/>
      <c r="AR1248" s="55"/>
      <c r="AS1248" s="56"/>
      <c r="AT1248" s="53"/>
      <c r="AU1248" s="54"/>
      <c r="AV1248" s="55"/>
      <c r="AW1248" s="56"/>
      <c r="AX1248" s="33">
        <f>SUM(E1248:AW1248)</f>
        <v>3435</v>
      </c>
      <c r="AY1248" s="31">
        <f>IFERROR(AVERAGEIF(E1248:AW1248,"&lt;&gt;0",(E1248:AW1248)),)</f>
        <v>107.34375</v>
      </c>
      <c r="AZ1248" s="30">
        <f>IFERROR(AY1248/D1248,0)</f>
        <v>0.71562499999999996</v>
      </c>
      <c r="BA1248" s="103" t="s">
        <v>182</v>
      </c>
      <c r="BB1248" s="100" t="s">
        <v>183</v>
      </c>
      <c r="BC1248" s="100" t="s">
        <v>184</v>
      </c>
      <c r="BD1248" s="101" t="s">
        <v>185</v>
      </c>
      <c r="BE1248" s="100" t="s">
        <v>186</v>
      </c>
      <c r="BF1248" s="102" t="s">
        <v>187</v>
      </c>
      <c r="BG1248" s="100" t="s">
        <v>188</v>
      </c>
      <c r="BH1248" s="102" t="s">
        <v>189</v>
      </c>
    </row>
    <row r="1249" spans="1:60" s="17" customFormat="1" ht="19.5" customHeight="1" thickBot="1" x14ac:dyDescent="0.4">
      <c r="A1249" s="41">
        <f t="shared" ref="A1249:B1249" si="1220">A1248</f>
        <v>45446</v>
      </c>
      <c r="B1249" s="37" t="str">
        <f t="shared" si="1220"/>
        <v>Yaka Tıktık</v>
      </c>
      <c r="C1249" s="66">
        <f>C1073</f>
        <v>0</v>
      </c>
      <c r="D1249" s="67">
        <f>D1248</f>
        <v>150</v>
      </c>
      <c r="E1249" s="57"/>
      <c r="F1249" s="52"/>
      <c r="G1249" s="52"/>
      <c r="H1249" s="58"/>
      <c r="I1249" s="57"/>
      <c r="J1249" s="52"/>
      <c r="K1249" s="52"/>
      <c r="L1249" s="58"/>
      <c r="M1249" s="57"/>
      <c r="N1249" s="52"/>
      <c r="O1249" s="52"/>
      <c r="P1249" s="58"/>
      <c r="Q1249" s="57"/>
      <c r="R1249" s="52"/>
      <c r="S1249" s="52"/>
      <c r="T1249" s="52"/>
      <c r="U1249" s="58"/>
      <c r="V1249" s="57"/>
      <c r="W1249" s="52"/>
      <c r="X1249" s="52"/>
      <c r="Y1249" s="58"/>
      <c r="Z1249" s="57"/>
      <c r="AA1249" s="52"/>
      <c r="AB1249" s="52"/>
      <c r="AC1249" s="58"/>
      <c r="AD1249" s="57"/>
      <c r="AE1249" s="52"/>
      <c r="AF1249" s="52"/>
      <c r="AG1249" s="58"/>
      <c r="AH1249" s="57"/>
      <c r="AI1249" s="52"/>
      <c r="AJ1249" s="52"/>
      <c r="AK1249" s="58"/>
      <c r="AL1249" s="57"/>
      <c r="AM1249" s="52"/>
      <c r="AN1249" s="52"/>
      <c r="AO1249" s="58"/>
      <c r="AP1249" s="57"/>
      <c r="AQ1249" s="52"/>
      <c r="AR1249" s="52"/>
      <c r="AS1249" s="58"/>
      <c r="AT1249" s="57"/>
      <c r="AU1249" s="52"/>
      <c r="AV1249" s="52"/>
      <c r="AW1249" s="58"/>
      <c r="AX1249" s="33">
        <f>SUM(E1249:AW1249)</f>
        <v>0</v>
      </c>
      <c r="AY1249" s="31">
        <f>IFERROR(AVERAGEIF(E1249:AW1249,"&lt;&gt;0",(E1249:AW1249)),)</f>
        <v>0</v>
      </c>
      <c r="AZ1249" s="30">
        <f>IFERROR(AY1249/D1249,0)</f>
        <v>0</v>
      </c>
      <c r="BA1249" s="94">
        <f>AX1253+BA1073</f>
        <v>16105</v>
      </c>
      <c r="BB1249" s="95">
        <f>(D1253*8)</f>
        <v>4000</v>
      </c>
      <c r="BC1249" s="96">
        <f>C1237-BA1249</f>
        <v>26206</v>
      </c>
      <c r="BD1249" s="96">
        <f>BA1242-BA1249</f>
        <v>6265</v>
      </c>
      <c r="BE1249" s="97">
        <f>IFERROR(BC1249/E1253,0)</f>
        <v>57.595604395604397</v>
      </c>
      <c r="BF1249" s="98">
        <f>IFERROR(BE1249/9,0)</f>
        <v>6.3995115995115999</v>
      </c>
      <c r="BG1249" s="97">
        <f>IFERROR(BC1249/AY1253,0)</f>
        <v>61.032896652110622</v>
      </c>
      <c r="BH1249" s="97">
        <f>IFERROR(BG1249/9,0)</f>
        <v>6.781432961345625</v>
      </c>
    </row>
    <row r="1250" spans="1:60" s="17" customFormat="1" ht="19.5" customHeight="1" x14ac:dyDescent="0.35">
      <c r="A1250" s="41">
        <f t="shared" ref="A1250:B1250" si="1221">A1249</f>
        <v>45446</v>
      </c>
      <c r="B1250" s="37" t="str">
        <f t="shared" si="1221"/>
        <v>Yaka Tıktık</v>
      </c>
      <c r="C1250" s="66">
        <f>C1074</f>
        <v>0</v>
      </c>
      <c r="D1250" s="67">
        <f>D1249</f>
        <v>150</v>
      </c>
      <c r="E1250" s="57"/>
      <c r="F1250" s="52"/>
      <c r="G1250" s="52"/>
      <c r="H1250" s="58"/>
      <c r="I1250" s="57"/>
      <c r="J1250" s="52"/>
      <c r="K1250" s="52"/>
      <c r="L1250" s="58"/>
      <c r="M1250" s="57"/>
      <c r="N1250" s="52"/>
      <c r="O1250" s="52"/>
      <c r="P1250" s="58"/>
      <c r="Q1250" s="57"/>
      <c r="R1250" s="52"/>
      <c r="S1250" s="52"/>
      <c r="T1250" s="52"/>
      <c r="U1250" s="58"/>
      <c r="V1250" s="57"/>
      <c r="W1250" s="52"/>
      <c r="X1250" s="52"/>
      <c r="Y1250" s="58"/>
      <c r="Z1250" s="57"/>
      <c r="AA1250" s="52"/>
      <c r="AB1250" s="52"/>
      <c r="AC1250" s="58"/>
      <c r="AD1250" s="57"/>
      <c r="AE1250" s="52"/>
      <c r="AF1250" s="52"/>
      <c r="AG1250" s="58"/>
      <c r="AH1250" s="57"/>
      <c r="AI1250" s="52"/>
      <c r="AJ1250" s="52"/>
      <c r="AK1250" s="58"/>
      <c r="AL1250" s="57"/>
      <c r="AM1250" s="52"/>
      <c r="AN1250" s="52"/>
      <c r="AO1250" s="58"/>
      <c r="AP1250" s="57"/>
      <c r="AQ1250" s="52"/>
      <c r="AR1250" s="52"/>
      <c r="AS1250" s="58"/>
      <c r="AT1250" s="57"/>
      <c r="AU1250" s="52"/>
      <c r="AV1250" s="52"/>
      <c r="AW1250" s="58"/>
      <c r="AX1250" s="33">
        <f>SUM(E1250:AW1250)</f>
        <v>0</v>
      </c>
      <c r="AY1250" s="31">
        <f>IFERROR(AVERAGEIF(E1250:AW1250,"&lt;&gt;0",(E1250:AW1250)),)</f>
        <v>0</v>
      </c>
      <c r="AZ1250" s="30">
        <f>IFERROR(AY1250/D1250,0)</f>
        <v>0</v>
      </c>
      <c r="BA1250" s="34"/>
      <c r="BB1250" s="34"/>
      <c r="BC1250" s="34"/>
      <c r="BD1250" s="76"/>
      <c r="BE1250" s="34"/>
      <c r="BF1250" s="34"/>
      <c r="BG1250" s="34"/>
      <c r="BH1250" s="34"/>
    </row>
    <row r="1251" spans="1:60" s="17" customFormat="1" ht="19.5" customHeight="1" x14ac:dyDescent="0.35">
      <c r="A1251" s="41">
        <f t="shared" ref="A1251:B1251" si="1222">A1250</f>
        <v>45446</v>
      </c>
      <c r="B1251" s="37" t="str">
        <f t="shared" si="1222"/>
        <v>Yaka Tıktık</v>
      </c>
      <c r="C1251" s="66">
        <f>C1075</f>
        <v>0</v>
      </c>
      <c r="D1251" s="67">
        <f>D1250</f>
        <v>150</v>
      </c>
      <c r="E1251" s="57"/>
      <c r="F1251" s="52"/>
      <c r="G1251" s="52"/>
      <c r="H1251" s="58"/>
      <c r="I1251" s="57"/>
      <c r="J1251" s="52"/>
      <c r="K1251" s="52"/>
      <c r="L1251" s="58"/>
      <c r="M1251" s="57"/>
      <c r="N1251" s="52"/>
      <c r="O1251" s="52"/>
      <c r="P1251" s="58"/>
      <c r="Q1251" s="57"/>
      <c r="R1251" s="52"/>
      <c r="S1251" s="52"/>
      <c r="T1251" s="52"/>
      <c r="U1251" s="58"/>
      <c r="V1251" s="57"/>
      <c r="W1251" s="52"/>
      <c r="X1251" s="52"/>
      <c r="Y1251" s="58"/>
      <c r="Z1251" s="57"/>
      <c r="AA1251" s="52"/>
      <c r="AB1251" s="52"/>
      <c r="AC1251" s="58"/>
      <c r="AD1251" s="57"/>
      <c r="AE1251" s="52"/>
      <c r="AF1251" s="52"/>
      <c r="AG1251" s="58"/>
      <c r="AH1251" s="57"/>
      <c r="AI1251" s="52"/>
      <c r="AJ1251" s="52"/>
      <c r="AK1251" s="58"/>
      <c r="AL1251" s="57"/>
      <c r="AM1251" s="52"/>
      <c r="AN1251" s="52"/>
      <c r="AO1251" s="58"/>
      <c r="AP1251" s="57"/>
      <c r="AQ1251" s="52"/>
      <c r="AR1251" s="52"/>
      <c r="AS1251" s="58"/>
      <c r="AT1251" s="57"/>
      <c r="AU1251" s="52"/>
      <c r="AV1251" s="52"/>
      <c r="AW1251" s="58"/>
      <c r="AX1251" s="33">
        <f>SUM(E1251:AW1251)</f>
        <v>0</v>
      </c>
      <c r="AY1251" s="31">
        <f>IFERROR(AVERAGEIF(E1251:AW1251,"&lt;&gt;0",(E1251:AW1251)),)</f>
        <v>0</v>
      </c>
      <c r="AZ1251" s="30">
        <f>IFERROR(AY1251/D1251,0)</f>
        <v>0</v>
      </c>
      <c r="BA1251" s="34"/>
      <c r="BB1251" s="34"/>
      <c r="BC1251" s="34"/>
      <c r="BD1251" s="76"/>
      <c r="BE1251" s="34"/>
      <c r="BF1251" s="34"/>
      <c r="BG1251" s="34"/>
      <c r="BH1251" s="34"/>
    </row>
    <row r="1252" spans="1:60" s="17" customFormat="1" ht="19.5" customHeight="1" thickBot="1" x14ac:dyDescent="0.4">
      <c r="A1252" s="41">
        <f t="shared" ref="A1252:B1252" si="1223">A1251</f>
        <v>45446</v>
      </c>
      <c r="B1252" s="37" t="str">
        <f t="shared" si="1223"/>
        <v>Yaka Tıktık</v>
      </c>
      <c r="C1252" s="66">
        <f>C1076</f>
        <v>0</v>
      </c>
      <c r="D1252" s="67">
        <f>D1251</f>
        <v>150</v>
      </c>
      <c r="E1252" s="64"/>
      <c r="F1252" s="61"/>
      <c r="G1252" s="61"/>
      <c r="H1252" s="62"/>
      <c r="I1252" s="64"/>
      <c r="J1252" s="61"/>
      <c r="K1252" s="61"/>
      <c r="L1252" s="62"/>
      <c r="M1252" s="64"/>
      <c r="N1252" s="61"/>
      <c r="O1252" s="61"/>
      <c r="P1252" s="62"/>
      <c r="Q1252" s="64"/>
      <c r="R1252" s="61"/>
      <c r="S1252" s="61"/>
      <c r="T1252" s="61"/>
      <c r="U1252" s="62"/>
      <c r="V1252" s="64"/>
      <c r="W1252" s="61"/>
      <c r="X1252" s="61"/>
      <c r="Y1252" s="62"/>
      <c r="Z1252" s="59"/>
      <c r="AA1252" s="60"/>
      <c r="AB1252" s="61"/>
      <c r="AC1252" s="62"/>
      <c r="AD1252" s="59"/>
      <c r="AE1252" s="60"/>
      <c r="AF1252" s="61"/>
      <c r="AG1252" s="62"/>
      <c r="AH1252" s="59"/>
      <c r="AI1252" s="60"/>
      <c r="AJ1252" s="61"/>
      <c r="AK1252" s="62"/>
      <c r="AL1252" s="59"/>
      <c r="AM1252" s="60"/>
      <c r="AN1252" s="61"/>
      <c r="AO1252" s="62"/>
      <c r="AP1252" s="59"/>
      <c r="AQ1252" s="60"/>
      <c r="AR1252" s="61"/>
      <c r="AS1252" s="62"/>
      <c r="AT1252" s="59"/>
      <c r="AU1252" s="60"/>
      <c r="AV1252" s="61"/>
      <c r="AW1252" s="62"/>
      <c r="AX1252" s="43">
        <f>SUM(E1252:AW1252)</f>
        <v>0</v>
      </c>
      <c r="AY1252" s="44">
        <f>IFERROR(AVERAGEIF(E1252:AW1252,"&lt;&gt;0",(E1252:AW1252)),)</f>
        <v>0</v>
      </c>
      <c r="AZ1252" s="45">
        <f>IFERROR(AY1252/D1252,0)</f>
        <v>0</v>
      </c>
      <c r="BA1252" s="34"/>
      <c r="BB1252" s="34"/>
      <c r="BC1252" s="34"/>
      <c r="BD1252" s="76"/>
      <c r="BE1252" s="34"/>
      <c r="BF1252" s="34"/>
      <c r="BG1252" s="34"/>
      <c r="BH1252" s="34"/>
    </row>
    <row r="1253" spans="1:60" s="17" customFormat="1" ht="19.5" customHeight="1" thickBot="1" x14ac:dyDescent="0.45">
      <c r="A1253" s="41">
        <f>A1252</f>
        <v>45446</v>
      </c>
      <c r="B1253" s="139" t="str">
        <f>B1248</f>
        <v>Yaka Tıktık</v>
      </c>
      <c r="C1253" s="140"/>
      <c r="D1253" s="40">
        <f>C1238/8</f>
        <v>500</v>
      </c>
      <c r="E1253" s="151">
        <f>SUM(E1248:H1252)</f>
        <v>455</v>
      </c>
      <c r="F1253" s="152"/>
      <c r="G1253" s="152"/>
      <c r="H1253" s="153"/>
      <c r="I1253" s="151">
        <f>SUM(I1248:L1252)</f>
        <v>440</v>
      </c>
      <c r="J1253" s="152"/>
      <c r="K1253" s="152"/>
      <c r="L1253" s="153"/>
      <c r="M1253" s="151">
        <f>SUM(M1248:P1252)</f>
        <v>485</v>
      </c>
      <c r="N1253" s="152"/>
      <c r="O1253" s="152"/>
      <c r="P1253" s="153"/>
      <c r="Q1253" s="151">
        <f>SUM(Q1248:U1252)</f>
        <v>515</v>
      </c>
      <c r="R1253" s="152"/>
      <c r="S1253" s="152"/>
      <c r="T1253" s="152"/>
      <c r="U1253" s="153"/>
      <c r="V1253" s="151">
        <f>SUM(V1248:Y1252)</f>
        <v>475</v>
      </c>
      <c r="W1253" s="152"/>
      <c r="X1253" s="152"/>
      <c r="Y1253" s="153"/>
      <c r="Z1253" s="151">
        <f>SUM(Z1248:AC1252)</f>
        <v>425</v>
      </c>
      <c r="AA1253" s="152"/>
      <c r="AB1253" s="152"/>
      <c r="AC1253" s="153"/>
      <c r="AD1253" s="151">
        <f>SUM(AD1248:AG1252)</f>
        <v>420</v>
      </c>
      <c r="AE1253" s="152"/>
      <c r="AF1253" s="152"/>
      <c r="AG1253" s="153"/>
      <c r="AH1253" s="151">
        <f>SUM(AH1248:AK1252)</f>
        <v>220</v>
      </c>
      <c r="AI1253" s="152"/>
      <c r="AJ1253" s="152"/>
      <c r="AK1253" s="153"/>
      <c r="AL1253" s="151">
        <f>SUM(AL1248:AO1252)</f>
        <v>0</v>
      </c>
      <c r="AM1253" s="152"/>
      <c r="AN1253" s="152"/>
      <c r="AO1253" s="153"/>
      <c r="AP1253" s="151">
        <f>SUM(AP1248:AS1252)</f>
        <v>0</v>
      </c>
      <c r="AQ1253" s="152"/>
      <c r="AR1253" s="152"/>
      <c r="AS1253" s="153"/>
      <c r="AT1253" s="151">
        <f>SUM(AT1248:AW1252)</f>
        <v>0</v>
      </c>
      <c r="AU1253" s="152"/>
      <c r="AV1253" s="152"/>
      <c r="AW1253" s="153"/>
      <c r="AX1253" s="87">
        <f>SUM(AX1248:AX1252)</f>
        <v>3435</v>
      </c>
      <c r="AY1253" s="88">
        <f>IFERROR(AVERAGEIF(E1253:AV1253,"&lt;&gt;0",(E1253:AV1253)),)</f>
        <v>429.375</v>
      </c>
      <c r="AZ1253" s="46">
        <f>IFERROR(AX1253/BB1249,0)</f>
        <v>0.85875000000000001</v>
      </c>
      <c r="BA1253" s="34"/>
      <c r="BB1253" s="34"/>
      <c r="BC1253" s="34"/>
      <c r="BD1253" s="76"/>
      <c r="BE1253" s="34"/>
      <c r="BF1253" s="34"/>
      <c r="BG1253" s="34"/>
      <c r="BH1253" s="34"/>
    </row>
    <row r="1254" spans="1:60" s="17" customFormat="1" ht="19.5" customHeight="1" thickBot="1" x14ac:dyDescent="0.4">
      <c r="A1254" s="42">
        <f>A1240</f>
        <v>45446</v>
      </c>
      <c r="B1254" s="38" t="str">
        <f>B1255</f>
        <v>Etiket Hazırlama</v>
      </c>
      <c r="C1254" s="39" t="s">
        <v>180</v>
      </c>
      <c r="D1254" s="69" t="s">
        <v>181</v>
      </c>
      <c r="E1254" s="48">
        <v>0.34375</v>
      </c>
      <c r="F1254" s="49">
        <v>0.35416666666666669</v>
      </c>
      <c r="G1254" s="49">
        <v>0.36458333333333331</v>
      </c>
      <c r="H1254" s="50">
        <v>0.375</v>
      </c>
      <c r="I1254" s="48">
        <v>0.38541666666666702</v>
      </c>
      <c r="J1254" s="49">
        <v>0.39583333333333298</v>
      </c>
      <c r="K1254" s="49">
        <v>0.40625</v>
      </c>
      <c r="L1254" s="50">
        <v>0.41666666666666702</v>
      </c>
      <c r="M1254" s="48">
        <v>0.4375</v>
      </c>
      <c r="N1254" s="49">
        <v>0.44791666666666702</v>
      </c>
      <c r="O1254" s="49">
        <v>0.45833333333333398</v>
      </c>
      <c r="P1254" s="50">
        <v>0.46875</v>
      </c>
      <c r="Q1254" s="48">
        <v>0.47916666666666702</v>
      </c>
      <c r="R1254" s="49">
        <v>0.48958333333333398</v>
      </c>
      <c r="S1254" s="49">
        <v>0.5</v>
      </c>
      <c r="T1254" s="50">
        <v>0.51041666666666696</v>
      </c>
      <c r="U1254" s="51">
        <v>0.52083333333333204</v>
      </c>
      <c r="V1254" s="48">
        <v>0.5625</v>
      </c>
      <c r="W1254" s="49">
        <v>0.57291666666666663</v>
      </c>
      <c r="X1254" s="49">
        <v>0.58333333333333304</v>
      </c>
      <c r="Y1254" s="50">
        <v>0.59375</v>
      </c>
      <c r="Z1254" s="48">
        <v>0.60416666666666696</v>
      </c>
      <c r="AA1254" s="49">
        <v>0.61458333333333304</v>
      </c>
      <c r="AB1254" s="49">
        <v>0.625</v>
      </c>
      <c r="AC1254" s="50">
        <v>0.63541666666666596</v>
      </c>
      <c r="AD1254" s="48">
        <v>0.65625</v>
      </c>
      <c r="AE1254" s="49">
        <v>0.66666666666666663</v>
      </c>
      <c r="AF1254" s="49">
        <v>0.67708333333333304</v>
      </c>
      <c r="AG1254" s="50">
        <v>0.6875</v>
      </c>
      <c r="AH1254" s="48">
        <v>0.69791666666666696</v>
      </c>
      <c r="AI1254" s="49">
        <v>0.70833333333333304</v>
      </c>
      <c r="AJ1254" s="49">
        <v>0.71875</v>
      </c>
      <c r="AK1254" s="50">
        <v>0.72916666666666696</v>
      </c>
      <c r="AL1254" s="48">
        <v>0.73958333333333404</v>
      </c>
      <c r="AM1254" s="49">
        <v>0.750000000000001</v>
      </c>
      <c r="AN1254" s="49">
        <v>0.76041666666666796</v>
      </c>
      <c r="AO1254" s="50">
        <v>0.77083333333333504</v>
      </c>
      <c r="AP1254" s="48">
        <v>0.781250000000002</v>
      </c>
      <c r="AQ1254" s="49">
        <v>0.79166666666666896</v>
      </c>
      <c r="AR1254" s="49">
        <v>0.80208333333333603</v>
      </c>
      <c r="AS1254" s="50">
        <v>0.812500000000003</v>
      </c>
      <c r="AT1254" s="48">
        <v>0.82291666666666996</v>
      </c>
      <c r="AU1254" s="49">
        <v>0.83333333333333703</v>
      </c>
      <c r="AV1254" s="49">
        <v>0.843750000000004</v>
      </c>
      <c r="AW1254" s="50">
        <v>0.85416666666666663</v>
      </c>
      <c r="AX1254" s="68" t="s">
        <v>260</v>
      </c>
      <c r="AY1254" s="28" t="s">
        <v>261</v>
      </c>
      <c r="AZ1254" s="29" t="s">
        <v>262</v>
      </c>
      <c r="BA1254" s="136" t="str">
        <f>B1255</f>
        <v>Etiket Hazırlama</v>
      </c>
      <c r="BB1254" s="137"/>
      <c r="BC1254" s="137"/>
      <c r="BD1254" s="137"/>
      <c r="BE1254" s="137"/>
      <c r="BF1254" s="137"/>
      <c r="BG1254" s="137"/>
      <c r="BH1254" s="138"/>
    </row>
    <row r="1255" spans="1:60" s="17" customFormat="1" ht="19.5" customHeight="1" thickBot="1" x14ac:dyDescent="0.4">
      <c r="A1255" s="41">
        <f t="shared" ref="A1255:A1260" si="1224">A1254</f>
        <v>45446</v>
      </c>
      <c r="B1255" s="37" t="str">
        <f>B1079</f>
        <v>Etiket Hazırlama</v>
      </c>
      <c r="C1255" s="66" t="str">
        <f>C1079</f>
        <v>EMİNE PİŞKİN</v>
      </c>
      <c r="D1255" s="70">
        <f>D1079</f>
        <v>120</v>
      </c>
      <c r="E1255" s="63">
        <v>110</v>
      </c>
      <c r="F1255" s="55">
        <v>110</v>
      </c>
      <c r="G1255" s="55">
        <v>110</v>
      </c>
      <c r="H1255" s="56">
        <v>110</v>
      </c>
      <c r="I1255" s="63">
        <v>120</v>
      </c>
      <c r="J1255" s="55">
        <v>120</v>
      </c>
      <c r="K1255" s="55">
        <v>130</v>
      </c>
      <c r="L1255" s="56">
        <v>110</v>
      </c>
      <c r="M1255" s="63">
        <v>130</v>
      </c>
      <c r="N1255" s="55">
        <v>130</v>
      </c>
      <c r="O1255" s="55">
        <v>120</v>
      </c>
      <c r="P1255" s="56">
        <v>120</v>
      </c>
      <c r="Q1255" s="63">
        <v>110</v>
      </c>
      <c r="R1255" s="55">
        <v>125</v>
      </c>
      <c r="S1255" s="55">
        <v>120</v>
      </c>
      <c r="T1255" s="55">
        <v>120</v>
      </c>
      <c r="U1255" s="56">
        <v>125</v>
      </c>
      <c r="V1255" s="63">
        <v>135</v>
      </c>
      <c r="W1255" s="55">
        <v>120</v>
      </c>
      <c r="X1255" s="55">
        <v>110</v>
      </c>
      <c r="Y1255" s="56">
        <v>120</v>
      </c>
      <c r="Z1255" s="63">
        <v>120</v>
      </c>
      <c r="AA1255" s="55">
        <v>120</v>
      </c>
      <c r="AB1255" s="55">
        <v>120</v>
      </c>
      <c r="AC1255" s="56">
        <v>130</v>
      </c>
      <c r="AD1255" s="63">
        <v>120</v>
      </c>
      <c r="AE1255" s="55">
        <v>120</v>
      </c>
      <c r="AF1255" s="55">
        <v>110</v>
      </c>
      <c r="AG1255" s="56">
        <v>110</v>
      </c>
      <c r="AH1255" s="63">
        <v>120</v>
      </c>
      <c r="AI1255" s="55">
        <v>120</v>
      </c>
      <c r="AJ1255" s="55">
        <v>130</v>
      </c>
      <c r="AK1255" s="56"/>
      <c r="AL1255" s="63"/>
      <c r="AM1255" s="55"/>
      <c r="AN1255" s="55"/>
      <c r="AO1255" s="56"/>
      <c r="AP1255" s="63"/>
      <c r="AQ1255" s="54"/>
      <c r="AR1255" s="55"/>
      <c r="AS1255" s="56"/>
      <c r="AT1255" s="53"/>
      <c r="AU1255" s="54"/>
      <c r="AV1255" s="55"/>
      <c r="AW1255" s="56"/>
      <c r="AX1255" s="33">
        <f>SUM(E1255:AW1255)</f>
        <v>3825</v>
      </c>
      <c r="AY1255" s="31">
        <f>IFERROR(AVERAGEIF(E1255:AW1255,"&lt;&gt;0",(E1255:AW1255)),)</f>
        <v>119.53125</v>
      </c>
      <c r="AZ1255" s="30">
        <f>IFERROR(AY1255/D1255,0)</f>
        <v>0.99609375</v>
      </c>
      <c r="BA1255" s="103" t="s">
        <v>182</v>
      </c>
      <c r="BB1255" s="100" t="s">
        <v>183</v>
      </c>
      <c r="BC1255" s="100" t="s">
        <v>184</v>
      </c>
      <c r="BD1255" s="101" t="s">
        <v>185</v>
      </c>
      <c r="BE1255" s="100" t="s">
        <v>186</v>
      </c>
      <c r="BF1255" s="102" t="s">
        <v>187</v>
      </c>
      <c r="BG1255" s="100" t="s">
        <v>188</v>
      </c>
      <c r="BH1255" s="102" t="s">
        <v>189</v>
      </c>
    </row>
    <row r="1256" spans="1:60" s="17" customFormat="1" ht="19.5" customHeight="1" thickBot="1" x14ac:dyDescent="0.4">
      <c r="A1256" s="41">
        <f t="shared" si="1224"/>
        <v>45446</v>
      </c>
      <c r="B1256" s="37" t="str">
        <f>B1255</f>
        <v>Etiket Hazırlama</v>
      </c>
      <c r="C1256" s="66">
        <f>C1080</f>
        <v>0</v>
      </c>
      <c r="D1256" s="67">
        <f>D1255</f>
        <v>120</v>
      </c>
      <c r="E1256" s="57"/>
      <c r="F1256" s="52"/>
      <c r="G1256" s="52"/>
      <c r="H1256" s="58"/>
      <c r="I1256" s="57"/>
      <c r="J1256" s="52"/>
      <c r="K1256" s="52"/>
      <c r="L1256" s="58"/>
      <c r="M1256" s="57"/>
      <c r="N1256" s="52"/>
      <c r="O1256" s="52"/>
      <c r="P1256" s="58"/>
      <c r="Q1256" s="57"/>
      <c r="R1256" s="52"/>
      <c r="S1256" s="52"/>
      <c r="T1256" s="52"/>
      <c r="U1256" s="58"/>
      <c r="V1256" s="57"/>
      <c r="W1256" s="52"/>
      <c r="X1256" s="52"/>
      <c r="Y1256" s="58"/>
      <c r="Z1256" s="57"/>
      <c r="AA1256" s="52"/>
      <c r="AB1256" s="52"/>
      <c r="AC1256" s="58"/>
      <c r="AD1256" s="57"/>
      <c r="AE1256" s="52"/>
      <c r="AF1256" s="52"/>
      <c r="AG1256" s="58"/>
      <c r="AH1256" s="57"/>
      <c r="AI1256" s="52"/>
      <c r="AJ1256" s="52"/>
      <c r="AK1256" s="58"/>
      <c r="AL1256" s="57"/>
      <c r="AM1256" s="52"/>
      <c r="AN1256" s="52"/>
      <c r="AO1256" s="58"/>
      <c r="AP1256" s="57"/>
      <c r="AQ1256" s="52"/>
      <c r="AR1256" s="52"/>
      <c r="AS1256" s="58"/>
      <c r="AT1256" s="57"/>
      <c r="AU1256" s="52"/>
      <c r="AV1256" s="52"/>
      <c r="AW1256" s="58"/>
      <c r="AX1256" s="33">
        <f>SUM(E1256:AW1256)</f>
        <v>0</v>
      </c>
      <c r="AY1256" s="31">
        <f>IFERROR(AVERAGEIF(E1256:AW1256,"&lt;&gt;0",(E1256:AW1256)),)</f>
        <v>0</v>
      </c>
      <c r="AZ1256" s="30">
        <f>IFERROR(AY1256/D1256,0)</f>
        <v>0</v>
      </c>
      <c r="BA1256" s="94">
        <f>AX1260+BA1080</f>
        <v>19562</v>
      </c>
      <c r="BB1256" s="95">
        <f>(D1260*8)</f>
        <v>4000</v>
      </c>
      <c r="BC1256" s="96">
        <f>C1237-BA1256</f>
        <v>22749</v>
      </c>
      <c r="BD1256" s="96">
        <f>BC1256</f>
        <v>22749</v>
      </c>
      <c r="BE1256" s="97">
        <f>IFERROR(BC1256/E1260,0)</f>
        <v>51.702272727272728</v>
      </c>
      <c r="BF1256" s="98">
        <f>IFERROR(BE1256/9,0)</f>
        <v>5.7446969696969701</v>
      </c>
      <c r="BG1256" s="97">
        <f>IFERROR(BC1256/AY1260,0)</f>
        <v>47.579607843137254</v>
      </c>
      <c r="BH1256" s="97">
        <f>IFERROR(BG1256/9,0)</f>
        <v>5.286623093681917</v>
      </c>
    </row>
    <row r="1257" spans="1:60" s="17" customFormat="1" ht="19.5" customHeight="1" x14ac:dyDescent="0.35">
      <c r="A1257" s="41">
        <f t="shared" si="1224"/>
        <v>45446</v>
      </c>
      <c r="B1257" s="37" t="str">
        <f>B1256</f>
        <v>Etiket Hazırlama</v>
      </c>
      <c r="C1257" s="66">
        <f>C1081</f>
        <v>0</v>
      </c>
      <c r="D1257" s="67">
        <f>D1256</f>
        <v>120</v>
      </c>
      <c r="E1257" s="57"/>
      <c r="F1257" s="52"/>
      <c r="G1257" s="52"/>
      <c r="H1257" s="58"/>
      <c r="I1257" s="57"/>
      <c r="J1257" s="52"/>
      <c r="K1257" s="52"/>
      <c r="L1257" s="58"/>
      <c r="M1257" s="57"/>
      <c r="N1257" s="52"/>
      <c r="O1257" s="52"/>
      <c r="P1257" s="58"/>
      <c r="Q1257" s="57"/>
      <c r="R1257" s="52"/>
      <c r="S1257" s="52"/>
      <c r="T1257" s="52"/>
      <c r="U1257" s="58"/>
      <c r="V1257" s="57"/>
      <c r="W1257" s="52"/>
      <c r="X1257" s="52"/>
      <c r="Y1257" s="58"/>
      <c r="Z1257" s="57"/>
      <c r="AA1257" s="52"/>
      <c r="AB1257" s="52"/>
      <c r="AC1257" s="58"/>
      <c r="AD1257" s="57"/>
      <c r="AE1257" s="52"/>
      <c r="AF1257" s="52"/>
      <c r="AG1257" s="58"/>
      <c r="AH1257" s="57"/>
      <c r="AI1257" s="52"/>
      <c r="AJ1257" s="52"/>
      <c r="AK1257" s="58"/>
      <c r="AL1257" s="57"/>
      <c r="AM1257" s="52"/>
      <c r="AN1257" s="52"/>
      <c r="AO1257" s="58"/>
      <c r="AP1257" s="57"/>
      <c r="AQ1257" s="52"/>
      <c r="AR1257" s="52"/>
      <c r="AS1257" s="58"/>
      <c r="AT1257" s="57"/>
      <c r="AU1257" s="52"/>
      <c r="AV1257" s="52"/>
      <c r="AW1257" s="58"/>
      <c r="AX1257" s="33">
        <f>SUM(E1257:AW1257)</f>
        <v>0</v>
      </c>
      <c r="AY1257" s="31">
        <f>IFERROR(AVERAGEIF(E1257:AW1257,"&lt;&gt;0",(E1257:AW1257)),)</f>
        <v>0</v>
      </c>
      <c r="AZ1257" s="30">
        <f>IFERROR(AY1257/D1257,0)</f>
        <v>0</v>
      </c>
      <c r="BA1257" s="34"/>
      <c r="BB1257" s="34"/>
      <c r="BC1257" s="34"/>
      <c r="BD1257" s="76"/>
      <c r="BE1257" s="34"/>
      <c r="BF1257" s="34"/>
      <c r="BG1257" s="34"/>
      <c r="BH1257" s="34"/>
    </row>
    <row r="1258" spans="1:60" s="17" customFormat="1" ht="19.5" customHeight="1" x14ac:dyDescent="0.35">
      <c r="A1258" s="41">
        <f t="shared" si="1224"/>
        <v>45446</v>
      </c>
      <c r="B1258" s="37" t="str">
        <f>B1257</f>
        <v>Etiket Hazırlama</v>
      </c>
      <c r="C1258" s="66">
        <f>C1082</f>
        <v>0</v>
      </c>
      <c r="D1258" s="67">
        <f>D1257</f>
        <v>120</v>
      </c>
      <c r="E1258" s="57"/>
      <c r="F1258" s="52"/>
      <c r="G1258" s="52"/>
      <c r="H1258" s="58"/>
      <c r="I1258" s="57"/>
      <c r="J1258" s="52"/>
      <c r="K1258" s="52"/>
      <c r="L1258" s="58"/>
      <c r="M1258" s="57"/>
      <c r="N1258" s="52"/>
      <c r="O1258" s="52"/>
      <c r="P1258" s="58"/>
      <c r="Q1258" s="57"/>
      <c r="R1258" s="52"/>
      <c r="S1258" s="52"/>
      <c r="T1258" s="52"/>
      <c r="U1258" s="58"/>
      <c r="V1258" s="57"/>
      <c r="W1258" s="52"/>
      <c r="X1258" s="52"/>
      <c r="Y1258" s="58"/>
      <c r="Z1258" s="57"/>
      <c r="AA1258" s="52"/>
      <c r="AB1258" s="52"/>
      <c r="AC1258" s="58"/>
      <c r="AD1258" s="57"/>
      <c r="AE1258" s="52"/>
      <c r="AF1258" s="52"/>
      <c r="AG1258" s="58"/>
      <c r="AH1258" s="57"/>
      <c r="AI1258" s="52"/>
      <c r="AJ1258" s="52"/>
      <c r="AK1258" s="58"/>
      <c r="AL1258" s="57"/>
      <c r="AM1258" s="52"/>
      <c r="AN1258" s="52"/>
      <c r="AO1258" s="58"/>
      <c r="AP1258" s="57"/>
      <c r="AQ1258" s="52"/>
      <c r="AR1258" s="52"/>
      <c r="AS1258" s="58"/>
      <c r="AT1258" s="57"/>
      <c r="AU1258" s="52"/>
      <c r="AV1258" s="52"/>
      <c r="AW1258" s="58"/>
      <c r="AX1258" s="33">
        <f>SUM(E1258:AW1258)</f>
        <v>0</v>
      </c>
      <c r="AY1258" s="31">
        <f>IFERROR(AVERAGEIF(E1258:AW1258,"&lt;&gt;0",(E1258:AW1258)),)</f>
        <v>0</v>
      </c>
      <c r="AZ1258" s="30">
        <f>IFERROR(AY1258/D1258,0)</f>
        <v>0</v>
      </c>
      <c r="BA1258" s="34"/>
      <c r="BB1258" s="34"/>
      <c r="BC1258" s="34"/>
      <c r="BD1258" s="76"/>
      <c r="BE1258" s="34"/>
      <c r="BF1258" s="34"/>
      <c r="BG1258" s="34"/>
      <c r="BH1258" s="34"/>
    </row>
    <row r="1259" spans="1:60" s="17" customFormat="1" ht="19.5" customHeight="1" thickBot="1" x14ac:dyDescent="0.4">
      <c r="A1259" s="41">
        <f t="shared" si="1224"/>
        <v>45446</v>
      </c>
      <c r="B1259" s="37" t="str">
        <f>B1258</f>
        <v>Etiket Hazırlama</v>
      </c>
      <c r="C1259" s="66">
        <f>C1083</f>
        <v>0</v>
      </c>
      <c r="D1259" s="67">
        <f>D1258</f>
        <v>120</v>
      </c>
      <c r="E1259" s="64"/>
      <c r="F1259" s="61"/>
      <c r="G1259" s="61"/>
      <c r="H1259" s="62"/>
      <c r="I1259" s="64"/>
      <c r="J1259" s="61"/>
      <c r="K1259" s="61"/>
      <c r="L1259" s="62"/>
      <c r="M1259" s="64"/>
      <c r="N1259" s="61"/>
      <c r="O1259" s="61"/>
      <c r="P1259" s="62"/>
      <c r="Q1259" s="64"/>
      <c r="R1259" s="61"/>
      <c r="S1259" s="61"/>
      <c r="T1259" s="61"/>
      <c r="U1259" s="62"/>
      <c r="V1259" s="64"/>
      <c r="W1259" s="61"/>
      <c r="X1259" s="61"/>
      <c r="Y1259" s="62"/>
      <c r="Z1259" s="59"/>
      <c r="AA1259" s="60"/>
      <c r="AB1259" s="61"/>
      <c r="AC1259" s="62"/>
      <c r="AD1259" s="59"/>
      <c r="AE1259" s="60"/>
      <c r="AF1259" s="61"/>
      <c r="AG1259" s="62"/>
      <c r="AH1259" s="59"/>
      <c r="AI1259" s="60"/>
      <c r="AJ1259" s="61"/>
      <c r="AK1259" s="62"/>
      <c r="AL1259" s="59"/>
      <c r="AM1259" s="60"/>
      <c r="AN1259" s="61"/>
      <c r="AO1259" s="62"/>
      <c r="AP1259" s="59"/>
      <c r="AQ1259" s="60"/>
      <c r="AR1259" s="61"/>
      <c r="AS1259" s="62"/>
      <c r="AT1259" s="59"/>
      <c r="AU1259" s="60"/>
      <c r="AV1259" s="61"/>
      <c r="AW1259" s="62"/>
      <c r="AX1259" s="43">
        <f>SUM(E1259:AW1259)</f>
        <v>0</v>
      </c>
      <c r="AY1259" s="44">
        <f>IFERROR(AVERAGEIF(E1259:AW1259,"&lt;&gt;0",(E1259:AW1259)),)</f>
        <v>0</v>
      </c>
      <c r="AZ1259" s="45">
        <f>IFERROR(AY1259/D1259,0)</f>
        <v>0</v>
      </c>
      <c r="BA1259" s="34"/>
      <c r="BB1259" s="34"/>
      <c r="BC1259" s="34"/>
      <c r="BD1259" s="76"/>
      <c r="BE1259" s="34"/>
      <c r="BF1259" s="34"/>
      <c r="BG1259" s="34"/>
      <c r="BH1259" s="34"/>
    </row>
    <row r="1260" spans="1:60" s="17" customFormat="1" ht="19.5" customHeight="1" thickBot="1" x14ac:dyDescent="0.45">
      <c r="A1260" s="41">
        <f t="shared" si="1224"/>
        <v>45446</v>
      </c>
      <c r="B1260" s="139" t="str">
        <f>B1255</f>
        <v>Etiket Hazırlama</v>
      </c>
      <c r="C1260" s="140"/>
      <c r="D1260" s="40">
        <f>C1238/8</f>
        <v>500</v>
      </c>
      <c r="E1260" s="151">
        <f>SUM(E1255:H1259)</f>
        <v>440</v>
      </c>
      <c r="F1260" s="152"/>
      <c r="G1260" s="152"/>
      <c r="H1260" s="153"/>
      <c r="I1260" s="151">
        <f>SUM(I1255:L1259)</f>
        <v>480</v>
      </c>
      <c r="J1260" s="152"/>
      <c r="K1260" s="152"/>
      <c r="L1260" s="153"/>
      <c r="M1260" s="151">
        <f>SUM(M1255:P1259)</f>
        <v>500</v>
      </c>
      <c r="N1260" s="152"/>
      <c r="O1260" s="152"/>
      <c r="P1260" s="153"/>
      <c r="Q1260" s="151">
        <f>SUM(Q1255:U1259)</f>
        <v>600</v>
      </c>
      <c r="R1260" s="152"/>
      <c r="S1260" s="152"/>
      <c r="T1260" s="152"/>
      <c r="U1260" s="153"/>
      <c r="V1260" s="151">
        <f>SUM(V1255:Y1259)</f>
        <v>485</v>
      </c>
      <c r="W1260" s="152"/>
      <c r="X1260" s="152"/>
      <c r="Y1260" s="153"/>
      <c r="Z1260" s="151">
        <f>SUM(Z1255:AC1259)</f>
        <v>490</v>
      </c>
      <c r="AA1260" s="152"/>
      <c r="AB1260" s="152"/>
      <c r="AC1260" s="153"/>
      <c r="AD1260" s="151">
        <f>SUM(AD1255:AG1259)</f>
        <v>460</v>
      </c>
      <c r="AE1260" s="152"/>
      <c r="AF1260" s="152"/>
      <c r="AG1260" s="153"/>
      <c r="AH1260" s="151">
        <f>SUM(AH1255:AK1259)</f>
        <v>370</v>
      </c>
      <c r="AI1260" s="152"/>
      <c r="AJ1260" s="152"/>
      <c r="AK1260" s="153"/>
      <c r="AL1260" s="151">
        <f>SUM(AL1255:AO1259)</f>
        <v>0</v>
      </c>
      <c r="AM1260" s="152"/>
      <c r="AN1260" s="152"/>
      <c r="AO1260" s="153"/>
      <c r="AP1260" s="151">
        <f>SUM(AP1255:AS1259)</f>
        <v>0</v>
      </c>
      <c r="AQ1260" s="152"/>
      <c r="AR1260" s="152"/>
      <c r="AS1260" s="153"/>
      <c r="AT1260" s="151">
        <f>SUM(AT1255:AW1259)</f>
        <v>0</v>
      </c>
      <c r="AU1260" s="152"/>
      <c r="AV1260" s="152"/>
      <c r="AW1260" s="153"/>
      <c r="AX1260" s="87">
        <f>SUM(AX1255:AX1259)</f>
        <v>3825</v>
      </c>
      <c r="AY1260" s="88">
        <f>IFERROR(AVERAGEIF(E1260:AV1260,"&lt;&gt;0",(E1260:AV1260)),)</f>
        <v>478.125</v>
      </c>
      <c r="AZ1260" s="46">
        <f>IFERROR(AX1260/BB1256,0)</f>
        <v>0.95625000000000004</v>
      </c>
      <c r="BA1260" s="34"/>
      <c r="BB1260" s="34"/>
      <c r="BC1260" s="34"/>
      <c r="BD1260" s="76"/>
      <c r="BE1260" s="34"/>
      <c r="BF1260" s="34"/>
      <c r="BG1260" s="34"/>
      <c r="BH1260" s="34"/>
    </row>
    <row r="1261" spans="1:60" s="17" customFormat="1" ht="19.5" customHeight="1" thickBot="1" x14ac:dyDescent="0.4">
      <c r="A1261" s="42">
        <f>A1240</f>
        <v>45446</v>
      </c>
      <c r="B1261" s="38" t="str">
        <f>B1262</f>
        <v>Tela Yapıştırma</v>
      </c>
      <c r="C1261" s="39" t="s">
        <v>180</v>
      </c>
      <c r="D1261" s="69" t="s">
        <v>181</v>
      </c>
      <c r="E1261" s="48">
        <v>0.34375</v>
      </c>
      <c r="F1261" s="49">
        <v>0.35416666666666669</v>
      </c>
      <c r="G1261" s="49">
        <v>0.36458333333333331</v>
      </c>
      <c r="H1261" s="50">
        <v>0.375</v>
      </c>
      <c r="I1261" s="48">
        <v>0.38541666666666702</v>
      </c>
      <c r="J1261" s="49">
        <v>0.39583333333333298</v>
      </c>
      <c r="K1261" s="49">
        <v>0.40625</v>
      </c>
      <c r="L1261" s="50">
        <v>0.41666666666666702</v>
      </c>
      <c r="M1261" s="48">
        <v>0.4375</v>
      </c>
      <c r="N1261" s="49">
        <v>0.44791666666666702</v>
      </c>
      <c r="O1261" s="49">
        <v>0.45833333333333398</v>
      </c>
      <c r="P1261" s="50">
        <v>0.46875</v>
      </c>
      <c r="Q1261" s="48">
        <v>0.47916666666666702</v>
      </c>
      <c r="R1261" s="49">
        <v>0.48958333333333398</v>
      </c>
      <c r="S1261" s="49">
        <v>0.5</v>
      </c>
      <c r="T1261" s="50">
        <v>0.51041666666666696</v>
      </c>
      <c r="U1261" s="51">
        <v>0.52083333333333204</v>
      </c>
      <c r="V1261" s="48">
        <v>0.5625</v>
      </c>
      <c r="W1261" s="49">
        <v>0.57291666666666663</v>
      </c>
      <c r="X1261" s="49">
        <v>0.58333333333333304</v>
      </c>
      <c r="Y1261" s="50">
        <v>0.59375</v>
      </c>
      <c r="Z1261" s="48">
        <v>0.60416666666666696</v>
      </c>
      <c r="AA1261" s="49">
        <v>0.61458333333333304</v>
      </c>
      <c r="AB1261" s="49">
        <v>0.625</v>
      </c>
      <c r="AC1261" s="50">
        <v>0.63541666666666596</v>
      </c>
      <c r="AD1261" s="48">
        <v>0.65625</v>
      </c>
      <c r="AE1261" s="49">
        <v>0.66666666666666663</v>
      </c>
      <c r="AF1261" s="49">
        <v>0.67708333333333304</v>
      </c>
      <c r="AG1261" s="50">
        <v>0.6875</v>
      </c>
      <c r="AH1261" s="48">
        <v>0.69791666666666696</v>
      </c>
      <c r="AI1261" s="49">
        <v>0.70833333333333304</v>
      </c>
      <c r="AJ1261" s="49">
        <v>0.71875</v>
      </c>
      <c r="AK1261" s="50">
        <v>0.72916666666666696</v>
      </c>
      <c r="AL1261" s="48">
        <v>0.73958333333333404</v>
      </c>
      <c r="AM1261" s="49">
        <v>0.750000000000001</v>
      </c>
      <c r="AN1261" s="49">
        <v>0.76041666666666796</v>
      </c>
      <c r="AO1261" s="50">
        <v>0.77083333333333504</v>
      </c>
      <c r="AP1261" s="48">
        <v>0.781250000000002</v>
      </c>
      <c r="AQ1261" s="49">
        <v>0.79166666666666896</v>
      </c>
      <c r="AR1261" s="49">
        <v>0.80208333333333603</v>
      </c>
      <c r="AS1261" s="50">
        <v>0.812500000000003</v>
      </c>
      <c r="AT1261" s="48">
        <v>0.82291666666666996</v>
      </c>
      <c r="AU1261" s="49">
        <v>0.83333333333333703</v>
      </c>
      <c r="AV1261" s="49">
        <v>0.843750000000004</v>
      </c>
      <c r="AW1261" s="50">
        <v>0.85416666666666663</v>
      </c>
      <c r="AX1261" s="68" t="s">
        <v>260</v>
      </c>
      <c r="AY1261" s="28" t="s">
        <v>261</v>
      </c>
      <c r="AZ1261" s="29" t="s">
        <v>262</v>
      </c>
      <c r="BA1261" s="136" t="str">
        <f>B1262</f>
        <v>Tela Yapıştırma</v>
      </c>
      <c r="BB1261" s="137"/>
      <c r="BC1261" s="137"/>
      <c r="BD1261" s="137"/>
      <c r="BE1261" s="137"/>
      <c r="BF1261" s="137"/>
      <c r="BG1261" s="137"/>
      <c r="BH1261" s="138"/>
    </row>
    <row r="1262" spans="1:60" s="17" customFormat="1" ht="19.5" customHeight="1" thickBot="1" x14ac:dyDescent="0.4">
      <c r="A1262" s="41">
        <f>A1254</f>
        <v>45446</v>
      </c>
      <c r="B1262" s="37" t="str">
        <f>B1086</f>
        <v>Tela Yapıştırma</v>
      </c>
      <c r="C1262" s="66" t="str">
        <f>C1086</f>
        <v>AYŞE ADADA</v>
      </c>
      <c r="D1262" s="70">
        <f>D1086</f>
        <v>200</v>
      </c>
      <c r="E1262" s="63"/>
      <c r="F1262" s="55"/>
      <c r="G1262" s="55"/>
      <c r="H1262" s="56"/>
      <c r="I1262" s="63"/>
      <c r="J1262" s="55"/>
      <c r="K1262" s="55"/>
      <c r="L1262" s="56"/>
      <c r="M1262" s="63"/>
      <c r="N1262" s="55"/>
      <c r="O1262" s="55"/>
      <c r="P1262" s="56"/>
      <c r="Q1262" s="63"/>
      <c r="R1262" s="55"/>
      <c r="S1262" s="55"/>
      <c r="T1262" s="55"/>
      <c r="U1262" s="56"/>
      <c r="V1262" s="63"/>
      <c r="W1262" s="55"/>
      <c r="X1262" s="55"/>
      <c r="Y1262" s="56"/>
      <c r="Z1262" s="63"/>
      <c r="AA1262" s="55"/>
      <c r="AB1262" s="55"/>
      <c r="AC1262" s="56"/>
      <c r="AD1262" s="63"/>
      <c r="AE1262" s="55"/>
      <c r="AF1262" s="55"/>
      <c r="AG1262" s="56"/>
      <c r="AH1262" s="63"/>
      <c r="AI1262" s="55"/>
      <c r="AJ1262" s="55"/>
      <c r="AK1262" s="56"/>
      <c r="AL1262" s="63"/>
      <c r="AM1262" s="55"/>
      <c r="AN1262" s="55"/>
      <c r="AO1262" s="56"/>
      <c r="AP1262" s="63"/>
      <c r="AQ1262" s="54"/>
      <c r="AR1262" s="55"/>
      <c r="AS1262" s="56"/>
      <c r="AT1262" s="53"/>
      <c r="AU1262" s="54"/>
      <c r="AV1262" s="55"/>
      <c r="AW1262" s="56"/>
      <c r="AX1262" s="33">
        <f>SUM(E1262:AW1262)</f>
        <v>0</v>
      </c>
      <c r="AY1262" s="31">
        <f>IFERROR(AVERAGEIF(E1262:AW1262,"&lt;&gt;0",(E1262:AW1262)),)</f>
        <v>0</v>
      </c>
      <c r="AZ1262" s="30">
        <f>IFERROR(AY1262/D1262,0)</f>
        <v>0</v>
      </c>
      <c r="BA1262" s="103" t="s">
        <v>182</v>
      </c>
      <c r="BB1262" s="100" t="s">
        <v>183</v>
      </c>
      <c r="BC1262" s="100" t="s">
        <v>184</v>
      </c>
      <c r="BD1262" s="101" t="s">
        <v>185</v>
      </c>
      <c r="BE1262" s="100" t="s">
        <v>186</v>
      </c>
      <c r="BF1262" s="102" t="s">
        <v>187</v>
      </c>
      <c r="BG1262" s="100" t="s">
        <v>188</v>
      </c>
      <c r="BH1262" s="102" t="s">
        <v>189</v>
      </c>
    </row>
    <row r="1263" spans="1:60" s="17" customFormat="1" ht="19.5" customHeight="1" thickBot="1" x14ac:dyDescent="0.4">
      <c r="A1263" s="41">
        <f t="shared" ref="A1263:B1263" si="1225">A1262</f>
        <v>45446</v>
      </c>
      <c r="B1263" s="37" t="str">
        <f t="shared" si="1225"/>
        <v>Tela Yapıştırma</v>
      </c>
      <c r="C1263" s="66">
        <f>C1087</f>
        <v>0</v>
      </c>
      <c r="D1263" s="67">
        <f>D1262</f>
        <v>200</v>
      </c>
      <c r="E1263" s="57"/>
      <c r="F1263" s="52"/>
      <c r="G1263" s="52"/>
      <c r="H1263" s="58"/>
      <c r="I1263" s="57"/>
      <c r="J1263" s="52"/>
      <c r="K1263" s="52"/>
      <c r="L1263" s="58"/>
      <c r="M1263" s="57"/>
      <c r="N1263" s="52"/>
      <c r="O1263" s="52"/>
      <c r="P1263" s="58"/>
      <c r="Q1263" s="57"/>
      <c r="R1263" s="52"/>
      <c r="S1263" s="52"/>
      <c r="T1263" s="52"/>
      <c r="U1263" s="58"/>
      <c r="V1263" s="57"/>
      <c r="W1263" s="52"/>
      <c r="X1263" s="52"/>
      <c r="Y1263" s="58"/>
      <c r="Z1263" s="57"/>
      <c r="AA1263" s="52"/>
      <c r="AB1263" s="52"/>
      <c r="AC1263" s="58"/>
      <c r="AD1263" s="57"/>
      <c r="AE1263" s="52"/>
      <c r="AF1263" s="52"/>
      <c r="AG1263" s="58"/>
      <c r="AH1263" s="57"/>
      <c r="AI1263" s="52"/>
      <c r="AJ1263" s="52"/>
      <c r="AK1263" s="58"/>
      <c r="AL1263" s="57"/>
      <c r="AM1263" s="52"/>
      <c r="AN1263" s="52"/>
      <c r="AO1263" s="58"/>
      <c r="AP1263" s="57"/>
      <c r="AQ1263" s="52"/>
      <c r="AR1263" s="52"/>
      <c r="AS1263" s="58"/>
      <c r="AT1263" s="57"/>
      <c r="AU1263" s="52"/>
      <c r="AV1263" s="52"/>
      <c r="AW1263" s="58"/>
      <c r="AX1263" s="33">
        <f>SUM(E1263:AW1263)</f>
        <v>0</v>
      </c>
      <c r="AY1263" s="31">
        <f>IFERROR(AVERAGEIF(E1263:AW1263,"&lt;&gt;0",(E1263:AW1263)),)</f>
        <v>0</v>
      </c>
      <c r="AZ1263" s="30">
        <f>IFERROR(AY1263/D1263,0)</f>
        <v>0</v>
      </c>
      <c r="BA1263" s="94">
        <f>AX1267+BA1087</f>
        <v>0</v>
      </c>
      <c r="BB1263" s="95">
        <f>(D1267*8)</f>
        <v>4000</v>
      </c>
      <c r="BC1263" s="96">
        <f>C1237-BA1263</f>
        <v>42311</v>
      </c>
      <c r="BD1263" s="96">
        <f>BC1263</f>
        <v>42311</v>
      </c>
      <c r="BE1263" s="97">
        <f>IFERROR(BC1263/E1267,0)</f>
        <v>0</v>
      </c>
      <c r="BF1263" s="98">
        <f>IFERROR(BE1263/9,0)</f>
        <v>0</v>
      </c>
      <c r="BG1263" s="97">
        <f>IFERROR(BC1263/AY1267,0)</f>
        <v>0</v>
      </c>
      <c r="BH1263" s="97">
        <f>IFERROR(BG1263/9,0)</f>
        <v>0</v>
      </c>
    </row>
    <row r="1264" spans="1:60" s="17" customFormat="1" ht="19.5" customHeight="1" x14ac:dyDescent="0.35">
      <c r="A1264" s="41">
        <f t="shared" ref="A1264:B1264" si="1226">A1263</f>
        <v>45446</v>
      </c>
      <c r="B1264" s="37" t="str">
        <f t="shared" si="1226"/>
        <v>Tela Yapıştırma</v>
      </c>
      <c r="C1264" s="66">
        <f>C1088</f>
        <v>0</v>
      </c>
      <c r="D1264" s="67">
        <f>D1263</f>
        <v>200</v>
      </c>
      <c r="E1264" s="57"/>
      <c r="F1264" s="52"/>
      <c r="G1264" s="52"/>
      <c r="H1264" s="58"/>
      <c r="I1264" s="57"/>
      <c r="J1264" s="52"/>
      <c r="K1264" s="52"/>
      <c r="L1264" s="58"/>
      <c r="M1264" s="57"/>
      <c r="N1264" s="52"/>
      <c r="O1264" s="52"/>
      <c r="P1264" s="58"/>
      <c r="Q1264" s="57"/>
      <c r="R1264" s="52"/>
      <c r="S1264" s="52"/>
      <c r="T1264" s="52"/>
      <c r="U1264" s="58"/>
      <c r="V1264" s="57"/>
      <c r="W1264" s="52"/>
      <c r="X1264" s="52"/>
      <c r="Y1264" s="58"/>
      <c r="Z1264" s="57"/>
      <c r="AA1264" s="52"/>
      <c r="AB1264" s="52"/>
      <c r="AC1264" s="58"/>
      <c r="AD1264" s="57"/>
      <c r="AE1264" s="52"/>
      <c r="AF1264" s="52"/>
      <c r="AG1264" s="58"/>
      <c r="AH1264" s="57"/>
      <c r="AI1264" s="52"/>
      <c r="AJ1264" s="52"/>
      <c r="AK1264" s="58"/>
      <c r="AL1264" s="57"/>
      <c r="AM1264" s="52"/>
      <c r="AN1264" s="52"/>
      <c r="AO1264" s="58"/>
      <c r="AP1264" s="57"/>
      <c r="AQ1264" s="52"/>
      <c r="AR1264" s="52"/>
      <c r="AS1264" s="58"/>
      <c r="AT1264" s="57"/>
      <c r="AU1264" s="52"/>
      <c r="AV1264" s="52"/>
      <c r="AW1264" s="58"/>
      <c r="AX1264" s="33">
        <f>SUM(E1264:AW1264)</f>
        <v>0</v>
      </c>
      <c r="AY1264" s="31">
        <f>IFERROR(AVERAGEIF(E1264:AW1264,"&lt;&gt;0",(E1264:AW1264)),)</f>
        <v>0</v>
      </c>
      <c r="AZ1264" s="30">
        <f>IFERROR(AY1264/D1264,0)</f>
        <v>0</v>
      </c>
      <c r="BA1264" s="34"/>
      <c r="BB1264" s="34"/>
      <c r="BC1264" s="34"/>
      <c r="BD1264" s="76"/>
      <c r="BE1264" s="34"/>
      <c r="BF1264" s="34"/>
      <c r="BG1264" s="34"/>
      <c r="BH1264" s="34"/>
    </row>
    <row r="1265" spans="1:60" s="17" customFormat="1" ht="19.5" customHeight="1" x14ac:dyDescent="0.35">
      <c r="A1265" s="41">
        <f t="shared" ref="A1265:B1265" si="1227">A1264</f>
        <v>45446</v>
      </c>
      <c r="B1265" s="37" t="str">
        <f t="shared" si="1227"/>
        <v>Tela Yapıştırma</v>
      </c>
      <c r="C1265" s="66">
        <f>C1089</f>
        <v>0</v>
      </c>
      <c r="D1265" s="67">
        <f>D1264</f>
        <v>200</v>
      </c>
      <c r="E1265" s="57"/>
      <c r="F1265" s="52"/>
      <c r="G1265" s="52"/>
      <c r="H1265" s="58"/>
      <c r="I1265" s="57"/>
      <c r="J1265" s="52"/>
      <c r="K1265" s="52"/>
      <c r="L1265" s="58"/>
      <c r="M1265" s="57"/>
      <c r="N1265" s="52"/>
      <c r="O1265" s="52"/>
      <c r="P1265" s="58"/>
      <c r="Q1265" s="57"/>
      <c r="R1265" s="52"/>
      <c r="S1265" s="52"/>
      <c r="T1265" s="52"/>
      <c r="U1265" s="58"/>
      <c r="V1265" s="57"/>
      <c r="W1265" s="52"/>
      <c r="X1265" s="52"/>
      <c r="Y1265" s="58"/>
      <c r="Z1265" s="57"/>
      <c r="AA1265" s="52"/>
      <c r="AB1265" s="52"/>
      <c r="AC1265" s="58"/>
      <c r="AD1265" s="57"/>
      <c r="AE1265" s="52"/>
      <c r="AF1265" s="52"/>
      <c r="AG1265" s="58"/>
      <c r="AH1265" s="57"/>
      <c r="AI1265" s="52"/>
      <c r="AJ1265" s="52"/>
      <c r="AK1265" s="58"/>
      <c r="AL1265" s="57"/>
      <c r="AM1265" s="52"/>
      <c r="AN1265" s="52"/>
      <c r="AO1265" s="58"/>
      <c r="AP1265" s="57"/>
      <c r="AQ1265" s="52"/>
      <c r="AR1265" s="52"/>
      <c r="AS1265" s="58"/>
      <c r="AT1265" s="57"/>
      <c r="AU1265" s="52"/>
      <c r="AV1265" s="52"/>
      <c r="AW1265" s="58"/>
      <c r="AX1265" s="33">
        <f>SUM(E1265:AW1265)</f>
        <v>0</v>
      </c>
      <c r="AY1265" s="31">
        <f>IFERROR(AVERAGEIF(E1265:AW1265,"&lt;&gt;0",(E1265:AW1265)),)</f>
        <v>0</v>
      </c>
      <c r="AZ1265" s="30">
        <f>IFERROR(AY1265/D1265,0)</f>
        <v>0</v>
      </c>
      <c r="BA1265" s="34"/>
      <c r="BB1265" s="34"/>
      <c r="BC1265" s="34"/>
      <c r="BD1265" s="76"/>
      <c r="BE1265" s="34"/>
      <c r="BF1265" s="34"/>
      <c r="BG1265" s="34"/>
      <c r="BH1265" s="34"/>
    </row>
    <row r="1266" spans="1:60" s="17" customFormat="1" ht="19.5" customHeight="1" thickBot="1" x14ac:dyDescent="0.4">
      <c r="A1266" s="41">
        <f t="shared" ref="A1266:B1266" si="1228">A1265</f>
        <v>45446</v>
      </c>
      <c r="B1266" s="37" t="str">
        <f t="shared" si="1228"/>
        <v>Tela Yapıştırma</v>
      </c>
      <c r="C1266" s="66">
        <f>C1090</f>
        <v>0</v>
      </c>
      <c r="D1266" s="67">
        <f>D1265</f>
        <v>200</v>
      </c>
      <c r="E1266" s="64"/>
      <c r="F1266" s="61"/>
      <c r="G1266" s="61"/>
      <c r="H1266" s="62"/>
      <c r="I1266" s="64"/>
      <c r="J1266" s="61"/>
      <c r="K1266" s="61"/>
      <c r="L1266" s="62"/>
      <c r="M1266" s="64"/>
      <c r="N1266" s="61"/>
      <c r="O1266" s="61"/>
      <c r="P1266" s="62"/>
      <c r="Q1266" s="64"/>
      <c r="R1266" s="61"/>
      <c r="S1266" s="61"/>
      <c r="T1266" s="61"/>
      <c r="U1266" s="62"/>
      <c r="V1266" s="64"/>
      <c r="W1266" s="61"/>
      <c r="X1266" s="61"/>
      <c r="Y1266" s="62"/>
      <c r="Z1266" s="59"/>
      <c r="AA1266" s="60"/>
      <c r="AB1266" s="61"/>
      <c r="AC1266" s="62"/>
      <c r="AD1266" s="59"/>
      <c r="AE1266" s="60"/>
      <c r="AF1266" s="61"/>
      <c r="AG1266" s="62"/>
      <c r="AH1266" s="59"/>
      <c r="AI1266" s="60"/>
      <c r="AJ1266" s="61"/>
      <c r="AK1266" s="62"/>
      <c r="AL1266" s="59"/>
      <c r="AM1266" s="60"/>
      <c r="AN1266" s="61"/>
      <c r="AO1266" s="62"/>
      <c r="AP1266" s="59"/>
      <c r="AQ1266" s="60"/>
      <c r="AR1266" s="61"/>
      <c r="AS1266" s="62"/>
      <c r="AT1266" s="59"/>
      <c r="AU1266" s="60"/>
      <c r="AV1266" s="61"/>
      <c r="AW1266" s="62"/>
      <c r="AX1266" s="43">
        <f>SUM(E1266:AW1266)</f>
        <v>0</v>
      </c>
      <c r="AY1266" s="44">
        <f>IFERROR(AVERAGEIF(E1266:AW1266,"&lt;&gt;0",(E1266:AW1266)),)</f>
        <v>0</v>
      </c>
      <c r="AZ1266" s="45">
        <f>IFERROR(AY1266/D1266,0)</f>
        <v>0</v>
      </c>
      <c r="BA1266" s="34"/>
      <c r="BB1266" s="34"/>
      <c r="BC1266" s="34"/>
      <c r="BD1266" s="76"/>
      <c r="BE1266" s="34"/>
      <c r="BF1266" s="34"/>
      <c r="BG1266" s="34"/>
      <c r="BH1266" s="34"/>
    </row>
    <row r="1267" spans="1:60" s="17" customFormat="1" ht="19.5" customHeight="1" thickBot="1" x14ac:dyDescent="0.45">
      <c r="A1267" s="41">
        <f>A1266</f>
        <v>45446</v>
      </c>
      <c r="B1267" s="139" t="str">
        <f>B1262</f>
        <v>Tela Yapıştırma</v>
      </c>
      <c r="C1267" s="140"/>
      <c r="D1267" s="40">
        <f>C1238/8</f>
        <v>500</v>
      </c>
      <c r="E1267" s="151">
        <f>SUM(E1262:H1266)</f>
        <v>0</v>
      </c>
      <c r="F1267" s="152"/>
      <c r="G1267" s="152"/>
      <c r="H1267" s="153"/>
      <c r="I1267" s="151">
        <f>SUM(I1262:L1266)</f>
        <v>0</v>
      </c>
      <c r="J1267" s="152"/>
      <c r="K1267" s="152"/>
      <c r="L1267" s="153"/>
      <c r="M1267" s="151">
        <f>SUM(M1262:P1266)</f>
        <v>0</v>
      </c>
      <c r="N1267" s="152"/>
      <c r="O1267" s="152"/>
      <c r="P1267" s="153"/>
      <c r="Q1267" s="151">
        <f>SUM(Q1262:U1266)</f>
        <v>0</v>
      </c>
      <c r="R1267" s="152"/>
      <c r="S1267" s="152"/>
      <c r="T1267" s="152"/>
      <c r="U1267" s="153"/>
      <c r="V1267" s="151">
        <f>SUM(V1262:Y1266)</f>
        <v>0</v>
      </c>
      <c r="W1267" s="152"/>
      <c r="X1267" s="152"/>
      <c r="Y1267" s="153"/>
      <c r="Z1267" s="151">
        <f>SUM(Z1262:AC1266)</f>
        <v>0</v>
      </c>
      <c r="AA1267" s="152"/>
      <c r="AB1267" s="152"/>
      <c r="AC1267" s="153"/>
      <c r="AD1267" s="151">
        <f>SUM(AD1262:AG1266)</f>
        <v>0</v>
      </c>
      <c r="AE1267" s="152"/>
      <c r="AF1267" s="152"/>
      <c r="AG1267" s="153"/>
      <c r="AH1267" s="151">
        <f>SUM(AH1262:AK1266)</f>
        <v>0</v>
      </c>
      <c r="AI1267" s="152"/>
      <c r="AJ1267" s="152"/>
      <c r="AK1267" s="153"/>
      <c r="AL1267" s="151">
        <f>SUM(AL1262:AO1266)</f>
        <v>0</v>
      </c>
      <c r="AM1267" s="152"/>
      <c r="AN1267" s="152"/>
      <c r="AO1267" s="153"/>
      <c r="AP1267" s="151">
        <f>SUM(AP1262:AS1266)</f>
        <v>0</v>
      </c>
      <c r="AQ1267" s="152"/>
      <c r="AR1267" s="152"/>
      <c r="AS1267" s="153"/>
      <c r="AT1267" s="151">
        <f>SUM(AT1262:AW1266)</f>
        <v>0</v>
      </c>
      <c r="AU1267" s="152"/>
      <c r="AV1267" s="152"/>
      <c r="AW1267" s="153"/>
      <c r="AX1267" s="87">
        <f>SUM(AX1262:AX1266)</f>
        <v>0</v>
      </c>
      <c r="AY1267" s="88">
        <f>IFERROR(AVERAGEIF(E1267:AV1267,"&lt;&gt;0",(E1267:AV1267)),)</f>
        <v>0</v>
      </c>
      <c r="AZ1267" s="46">
        <f>IFERROR(AX1267/BB1263,0)</f>
        <v>0</v>
      </c>
      <c r="BA1267" s="34"/>
      <c r="BB1267" s="34"/>
      <c r="BC1267" s="34"/>
      <c r="BD1267" s="76"/>
      <c r="BE1267" s="34"/>
      <c r="BF1267" s="34"/>
      <c r="BG1267" s="34"/>
      <c r="BH1267" s="34"/>
    </row>
    <row r="1268" spans="1:60" s="17" customFormat="1" ht="19.5" customHeight="1" thickBot="1" x14ac:dyDescent="0.4">
      <c r="A1268" s="42">
        <f>A1254</f>
        <v>45446</v>
      </c>
      <c r="B1268" s="38">
        <f>B1269</f>
        <v>0</v>
      </c>
      <c r="C1268" s="39" t="s">
        <v>180</v>
      </c>
      <c r="D1268" s="69" t="s">
        <v>181</v>
      </c>
      <c r="E1268" s="48">
        <v>0.34375</v>
      </c>
      <c r="F1268" s="49">
        <v>0.35416666666666669</v>
      </c>
      <c r="G1268" s="49">
        <v>0.36458333333333331</v>
      </c>
      <c r="H1268" s="50">
        <v>0.375</v>
      </c>
      <c r="I1268" s="48">
        <v>0.38541666666666702</v>
      </c>
      <c r="J1268" s="49">
        <v>0.39583333333333298</v>
      </c>
      <c r="K1268" s="49">
        <v>0.40625</v>
      </c>
      <c r="L1268" s="50">
        <v>0.41666666666666702</v>
      </c>
      <c r="M1268" s="48">
        <v>0.4375</v>
      </c>
      <c r="N1268" s="49">
        <v>0.44791666666666702</v>
      </c>
      <c r="O1268" s="49">
        <v>0.45833333333333398</v>
      </c>
      <c r="P1268" s="50">
        <v>0.46875</v>
      </c>
      <c r="Q1268" s="48">
        <v>0.47916666666666702</v>
      </c>
      <c r="R1268" s="49">
        <v>0.48958333333333398</v>
      </c>
      <c r="S1268" s="49">
        <v>0.5</v>
      </c>
      <c r="T1268" s="50">
        <v>0.51041666666666696</v>
      </c>
      <c r="U1268" s="51">
        <v>0.52083333333333204</v>
      </c>
      <c r="V1268" s="48">
        <v>0.5625</v>
      </c>
      <c r="W1268" s="49">
        <v>0.57291666666666663</v>
      </c>
      <c r="X1268" s="49">
        <v>0.58333333333333304</v>
      </c>
      <c r="Y1268" s="50">
        <v>0.59375</v>
      </c>
      <c r="Z1268" s="48">
        <v>0.60416666666666696</v>
      </c>
      <c r="AA1268" s="49">
        <v>0.61458333333333304</v>
      </c>
      <c r="AB1268" s="49">
        <v>0.625</v>
      </c>
      <c r="AC1268" s="50">
        <v>0.63541666666666596</v>
      </c>
      <c r="AD1268" s="48">
        <v>0.65625</v>
      </c>
      <c r="AE1268" s="49">
        <v>0.66666666666666663</v>
      </c>
      <c r="AF1268" s="49">
        <v>0.67708333333333304</v>
      </c>
      <c r="AG1268" s="50">
        <v>0.6875</v>
      </c>
      <c r="AH1268" s="48">
        <v>0.69791666666666696</v>
      </c>
      <c r="AI1268" s="49">
        <v>0.70833333333333304</v>
      </c>
      <c r="AJ1268" s="49">
        <v>0.71875</v>
      </c>
      <c r="AK1268" s="50">
        <v>0.72916666666666696</v>
      </c>
      <c r="AL1268" s="48">
        <v>0.73958333333333404</v>
      </c>
      <c r="AM1268" s="49">
        <v>0.750000000000001</v>
      </c>
      <c r="AN1268" s="49">
        <v>0.76041666666666796</v>
      </c>
      <c r="AO1268" s="50">
        <v>0.77083333333333504</v>
      </c>
      <c r="AP1268" s="48">
        <v>0.781250000000002</v>
      </c>
      <c r="AQ1268" s="49">
        <v>0.79166666666666896</v>
      </c>
      <c r="AR1268" s="49">
        <v>0.80208333333333603</v>
      </c>
      <c r="AS1268" s="50">
        <v>0.812500000000003</v>
      </c>
      <c r="AT1268" s="48">
        <v>0.82291666666666996</v>
      </c>
      <c r="AU1268" s="49">
        <v>0.83333333333333703</v>
      </c>
      <c r="AV1268" s="49">
        <v>0.843750000000004</v>
      </c>
      <c r="AW1268" s="50">
        <v>0.85416666666666663</v>
      </c>
      <c r="AX1268" s="68" t="s">
        <v>260</v>
      </c>
      <c r="AY1268" s="28" t="s">
        <v>261</v>
      </c>
      <c r="AZ1268" s="29" t="s">
        <v>262</v>
      </c>
      <c r="BA1268" s="136">
        <f>B1269</f>
        <v>0</v>
      </c>
      <c r="BB1268" s="137"/>
      <c r="BC1268" s="137"/>
      <c r="BD1268" s="137"/>
      <c r="BE1268" s="137"/>
      <c r="BF1268" s="137"/>
      <c r="BG1268" s="137"/>
      <c r="BH1268" s="138"/>
    </row>
    <row r="1269" spans="1:60" s="17" customFormat="1" ht="19.5" customHeight="1" thickBot="1" x14ac:dyDescent="0.4">
      <c r="A1269" s="41">
        <f>A1261</f>
        <v>45446</v>
      </c>
      <c r="B1269" s="37">
        <f>B1093</f>
        <v>0</v>
      </c>
      <c r="C1269" s="66">
        <f>C1093</f>
        <v>0</v>
      </c>
      <c r="D1269" s="70">
        <f>D1093</f>
        <v>200</v>
      </c>
      <c r="E1269" s="63"/>
      <c r="F1269" s="55"/>
      <c r="G1269" s="55"/>
      <c r="H1269" s="56"/>
      <c r="I1269" s="63"/>
      <c r="J1269" s="55"/>
      <c r="K1269" s="55"/>
      <c r="L1269" s="56"/>
      <c r="M1269" s="63"/>
      <c r="N1269" s="55"/>
      <c r="O1269" s="55"/>
      <c r="P1269" s="56"/>
      <c r="Q1269" s="63"/>
      <c r="R1269" s="55"/>
      <c r="S1269" s="55"/>
      <c r="T1269" s="55"/>
      <c r="U1269" s="56"/>
      <c r="V1269" s="63"/>
      <c r="W1269" s="55"/>
      <c r="X1269" s="55"/>
      <c r="Y1269" s="56"/>
      <c r="Z1269" s="63"/>
      <c r="AA1269" s="55"/>
      <c r="AB1269" s="55"/>
      <c r="AC1269" s="56"/>
      <c r="AD1269" s="63"/>
      <c r="AE1269" s="55"/>
      <c r="AF1269" s="55"/>
      <c r="AG1269" s="56"/>
      <c r="AH1269" s="63"/>
      <c r="AI1269" s="55"/>
      <c r="AJ1269" s="55"/>
      <c r="AK1269" s="56"/>
      <c r="AL1269" s="63"/>
      <c r="AM1269" s="55"/>
      <c r="AN1269" s="55"/>
      <c r="AO1269" s="56"/>
      <c r="AP1269" s="63"/>
      <c r="AQ1269" s="54"/>
      <c r="AR1269" s="55"/>
      <c r="AS1269" s="56"/>
      <c r="AT1269" s="53"/>
      <c r="AU1269" s="54"/>
      <c r="AV1269" s="55"/>
      <c r="AW1269" s="56"/>
      <c r="AX1269" s="33">
        <f>SUM(E1269:AW1269)</f>
        <v>0</v>
      </c>
      <c r="AY1269" s="31">
        <f>IFERROR(AVERAGEIF(E1269:AW1269,"&lt;&gt;0",(E1269:AW1269)),)</f>
        <v>0</v>
      </c>
      <c r="AZ1269" s="30">
        <f>IFERROR(AY1269/D1269,0)</f>
        <v>0</v>
      </c>
      <c r="BA1269" s="103" t="s">
        <v>182</v>
      </c>
      <c r="BB1269" s="100" t="s">
        <v>183</v>
      </c>
      <c r="BC1269" s="100" t="s">
        <v>184</v>
      </c>
      <c r="BD1269" s="101" t="s">
        <v>185</v>
      </c>
      <c r="BE1269" s="100" t="s">
        <v>186</v>
      </c>
      <c r="BF1269" s="102" t="s">
        <v>187</v>
      </c>
      <c r="BG1269" s="100" t="s">
        <v>188</v>
      </c>
      <c r="BH1269" s="102" t="s">
        <v>189</v>
      </c>
    </row>
    <row r="1270" spans="1:60" s="17" customFormat="1" ht="19.5" customHeight="1" thickBot="1" x14ac:dyDescent="0.4">
      <c r="A1270" s="41">
        <f t="shared" ref="A1270:B1270" si="1229">A1269</f>
        <v>45446</v>
      </c>
      <c r="B1270" s="37">
        <f t="shared" si="1229"/>
        <v>0</v>
      </c>
      <c r="C1270" s="66">
        <f>C1094</f>
        <v>0</v>
      </c>
      <c r="D1270" s="67">
        <f>D1269</f>
        <v>200</v>
      </c>
      <c r="E1270" s="57"/>
      <c r="F1270" s="52"/>
      <c r="G1270" s="52"/>
      <c r="H1270" s="58"/>
      <c r="I1270" s="57"/>
      <c r="J1270" s="52"/>
      <c r="K1270" s="52"/>
      <c r="L1270" s="58"/>
      <c r="M1270" s="57"/>
      <c r="N1270" s="52"/>
      <c r="O1270" s="52"/>
      <c r="P1270" s="58"/>
      <c r="Q1270" s="57"/>
      <c r="R1270" s="52"/>
      <c r="S1270" s="52"/>
      <c r="T1270" s="52"/>
      <c r="U1270" s="58"/>
      <c r="V1270" s="57"/>
      <c r="W1270" s="52"/>
      <c r="X1270" s="52"/>
      <c r="Y1270" s="58"/>
      <c r="Z1270" s="57"/>
      <c r="AA1270" s="52"/>
      <c r="AB1270" s="52"/>
      <c r="AC1270" s="58"/>
      <c r="AD1270" s="57"/>
      <c r="AE1270" s="52"/>
      <c r="AF1270" s="52"/>
      <c r="AG1270" s="58"/>
      <c r="AH1270" s="57"/>
      <c r="AI1270" s="52"/>
      <c r="AJ1270" s="52"/>
      <c r="AK1270" s="58"/>
      <c r="AL1270" s="57"/>
      <c r="AM1270" s="52"/>
      <c r="AN1270" s="52"/>
      <c r="AO1270" s="58"/>
      <c r="AP1270" s="57"/>
      <c r="AQ1270" s="52"/>
      <c r="AR1270" s="52"/>
      <c r="AS1270" s="58"/>
      <c r="AT1270" s="57"/>
      <c r="AU1270" s="52"/>
      <c r="AV1270" s="52"/>
      <c r="AW1270" s="58"/>
      <c r="AX1270" s="33">
        <f>SUM(E1270:AW1270)</f>
        <v>0</v>
      </c>
      <c r="AY1270" s="31">
        <f>IFERROR(AVERAGEIF(E1270:AW1270,"&lt;&gt;0",(E1270:AW1270)),)</f>
        <v>0</v>
      </c>
      <c r="AZ1270" s="30">
        <f>IFERROR(AY1270/D1270,0)</f>
        <v>0</v>
      </c>
      <c r="BA1270" s="94">
        <f>AX1274+BA1094</f>
        <v>0</v>
      </c>
      <c r="BB1270" s="95">
        <f>(D1274*8)</f>
        <v>4000</v>
      </c>
      <c r="BC1270" s="96">
        <f>C1237-BA1270</f>
        <v>42311</v>
      </c>
      <c r="BD1270" s="96">
        <f>BA1263-BA1270</f>
        <v>0</v>
      </c>
      <c r="BE1270" s="97">
        <f>IFERROR(BC1270/E1274,0)</f>
        <v>0</v>
      </c>
      <c r="BF1270" s="98">
        <f>IFERROR(BE1270/9,0)</f>
        <v>0</v>
      </c>
      <c r="BG1270" s="97">
        <f>IFERROR(BC1270/AY1274,0)</f>
        <v>0</v>
      </c>
      <c r="BH1270" s="97">
        <f>IFERROR(BG1270/9,0)</f>
        <v>0</v>
      </c>
    </row>
    <row r="1271" spans="1:60" s="17" customFormat="1" ht="19.5" customHeight="1" x14ac:dyDescent="0.35">
      <c r="A1271" s="41">
        <f t="shared" ref="A1271:B1271" si="1230">A1270</f>
        <v>45446</v>
      </c>
      <c r="B1271" s="37">
        <f t="shared" si="1230"/>
        <v>0</v>
      </c>
      <c r="C1271" s="66">
        <f>C1095</f>
        <v>0</v>
      </c>
      <c r="D1271" s="67">
        <f>D1270</f>
        <v>200</v>
      </c>
      <c r="E1271" s="57"/>
      <c r="F1271" s="52"/>
      <c r="G1271" s="52"/>
      <c r="H1271" s="58"/>
      <c r="I1271" s="57"/>
      <c r="J1271" s="52"/>
      <c r="K1271" s="52"/>
      <c r="L1271" s="58"/>
      <c r="M1271" s="57"/>
      <c r="N1271" s="52"/>
      <c r="O1271" s="52"/>
      <c r="P1271" s="58"/>
      <c r="Q1271" s="57"/>
      <c r="R1271" s="52"/>
      <c r="S1271" s="52"/>
      <c r="T1271" s="52"/>
      <c r="U1271" s="58"/>
      <c r="V1271" s="57"/>
      <c r="W1271" s="52"/>
      <c r="X1271" s="52"/>
      <c r="Y1271" s="58"/>
      <c r="Z1271" s="57"/>
      <c r="AA1271" s="52"/>
      <c r="AB1271" s="52"/>
      <c r="AC1271" s="58"/>
      <c r="AD1271" s="57"/>
      <c r="AE1271" s="52"/>
      <c r="AF1271" s="52"/>
      <c r="AG1271" s="58"/>
      <c r="AH1271" s="57"/>
      <c r="AI1271" s="52"/>
      <c r="AJ1271" s="52"/>
      <c r="AK1271" s="58"/>
      <c r="AL1271" s="57"/>
      <c r="AM1271" s="52"/>
      <c r="AN1271" s="52"/>
      <c r="AO1271" s="58"/>
      <c r="AP1271" s="57"/>
      <c r="AQ1271" s="52"/>
      <c r="AR1271" s="52"/>
      <c r="AS1271" s="58"/>
      <c r="AT1271" s="57"/>
      <c r="AU1271" s="52"/>
      <c r="AV1271" s="52"/>
      <c r="AW1271" s="58"/>
      <c r="AX1271" s="33">
        <f>SUM(E1271:AW1271)</f>
        <v>0</v>
      </c>
      <c r="AY1271" s="31">
        <f>IFERROR(AVERAGEIF(E1271:AW1271,"&lt;&gt;0",(E1271:AW1271)),)</f>
        <v>0</v>
      </c>
      <c r="AZ1271" s="30">
        <f>IFERROR(AY1271/D1271,0)</f>
        <v>0</v>
      </c>
      <c r="BA1271" s="34"/>
      <c r="BB1271" s="34"/>
      <c r="BC1271" s="34"/>
      <c r="BD1271" s="76"/>
      <c r="BE1271" s="34"/>
      <c r="BF1271" s="34"/>
      <c r="BG1271" s="34"/>
      <c r="BH1271" s="34"/>
    </row>
    <row r="1272" spans="1:60" s="17" customFormat="1" ht="19.5" customHeight="1" x14ac:dyDescent="0.35">
      <c r="A1272" s="41">
        <f t="shared" ref="A1272:B1272" si="1231">A1271</f>
        <v>45446</v>
      </c>
      <c r="B1272" s="37">
        <f t="shared" si="1231"/>
        <v>0</v>
      </c>
      <c r="C1272" s="66">
        <f>C1096</f>
        <v>0</v>
      </c>
      <c r="D1272" s="67">
        <f>D1271</f>
        <v>200</v>
      </c>
      <c r="E1272" s="57"/>
      <c r="F1272" s="52"/>
      <c r="G1272" s="52"/>
      <c r="H1272" s="58"/>
      <c r="I1272" s="57"/>
      <c r="J1272" s="52"/>
      <c r="K1272" s="52"/>
      <c r="L1272" s="58"/>
      <c r="M1272" s="57"/>
      <c r="N1272" s="52"/>
      <c r="O1272" s="52"/>
      <c r="P1272" s="58"/>
      <c r="Q1272" s="57"/>
      <c r="R1272" s="52"/>
      <c r="S1272" s="52"/>
      <c r="T1272" s="52"/>
      <c r="U1272" s="58"/>
      <c r="V1272" s="57"/>
      <c r="W1272" s="52"/>
      <c r="X1272" s="52"/>
      <c r="Y1272" s="58"/>
      <c r="Z1272" s="57"/>
      <c r="AA1272" s="52"/>
      <c r="AB1272" s="52"/>
      <c r="AC1272" s="58"/>
      <c r="AD1272" s="57"/>
      <c r="AE1272" s="52"/>
      <c r="AF1272" s="52"/>
      <c r="AG1272" s="58"/>
      <c r="AH1272" s="57"/>
      <c r="AI1272" s="52"/>
      <c r="AJ1272" s="52"/>
      <c r="AK1272" s="58"/>
      <c r="AL1272" s="57"/>
      <c r="AM1272" s="52"/>
      <c r="AN1272" s="52"/>
      <c r="AO1272" s="58"/>
      <c r="AP1272" s="57"/>
      <c r="AQ1272" s="52"/>
      <c r="AR1272" s="52"/>
      <c r="AS1272" s="58"/>
      <c r="AT1272" s="57"/>
      <c r="AU1272" s="52"/>
      <c r="AV1272" s="52"/>
      <c r="AW1272" s="58"/>
      <c r="AX1272" s="33">
        <f>SUM(E1272:AW1272)</f>
        <v>0</v>
      </c>
      <c r="AY1272" s="31">
        <f>IFERROR(AVERAGEIF(E1272:AW1272,"&lt;&gt;0",(E1272:AW1272)),)</f>
        <v>0</v>
      </c>
      <c r="AZ1272" s="30">
        <f>IFERROR(AY1272/D1272,0)</f>
        <v>0</v>
      </c>
      <c r="BA1272" s="34"/>
      <c r="BB1272" s="34"/>
      <c r="BC1272" s="34"/>
      <c r="BD1272" s="76"/>
      <c r="BE1272" s="34"/>
      <c r="BF1272" s="34"/>
      <c r="BG1272" s="34"/>
      <c r="BH1272" s="34"/>
    </row>
    <row r="1273" spans="1:60" s="17" customFormat="1" ht="19.5" customHeight="1" thickBot="1" x14ac:dyDescent="0.4">
      <c r="A1273" s="41">
        <f t="shared" ref="A1273:B1273" si="1232">A1272</f>
        <v>45446</v>
      </c>
      <c r="B1273" s="37">
        <f t="shared" si="1232"/>
        <v>0</v>
      </c>
      <c r="C1273" s="66">
        <f>C1097</f>
        <v>0</v>
      </c>
      <c r="D1273" s="67">
        <f>D1272</f>
        <v>200</v>
      </c>
      <c r="E1273" s="64"/>
      <c r="F1273" s="61"/>
      <c r="G1273" s="61"/>
      <c r="H1273" s="62"/>
      <c r="I1273" s="64"/>
      <c r="J1273" s="61"/>
      <c r="K1273" s="61"/>
      <c r="L1273" s="62"/>
      <c r="M1273" s="64"/>
      <c r="N1273" s="61"/>
      <c r="O1273" s="61"/>
      <c r="P1273" s="62"/>
      <c r="Q1273" s="64"/>
      <c r="R1273" s="61"/>
      <c r="S1273" s="61"/>
      <c r="T1273" s="61"/>
      <c r="U1273" s="62"/>
      <c r="V1273" s="64"/>
      <c r="W1273" s="61"/>
      <c r="X1273" s="61"/>
      <c r="Y1273" s="62"/>
      <c r="Z1273" s="59"/>
      <c r="AA1273" s="60"/>
      <c r="AB1273" s="61"/>
      <c r="AC1273" s="62"/>
      <c r="AD1273" s="59"/>
      <c r="AE1273" s="60"/>
      <c r="AF1273" s="61"/>
      <c r="AG1273" s="62"/>
      <c r="AH1273" s="59"/>
      <c r="AI1273" s="60"/>
      <c r="AJ1273" s="61"/>
      <c r="AK1273" s="62"/>
      <c r="AL1273" s="59"/>
      <c r="AM1273" s="60"/>
      <c r="AN1273" s="61"/>
      <c r="AO1273" s="62"/>
      <c r="AP1273" s="59"/>
      <c r="AQ1273" s="60"/>
      <c r="AR1273" s="61"/>
      <c r="AS1273" s="62"/>
      <c r="AT1273" s="59"/>
      <c r="AU1273" s="60"/>
      <c r="AV1273" s="61"/>
      <c r="AW1273" s="62"/>
      <c r="AX1273" s="43">
        <f>SUM(E1273:AW1273)</f>
        <v>0</v>
      </c>
      <c r="AY1273" s="44">
        <f>IFERROR(AVERAGEIF(E1273:AW1273,"&lt;&gt;0",(E1273:AW1273)),)</f>
        <v>0</v>
      </c>
      <c r="AZ1273" s="45">
        <f>IFERROR(AY1273/D1273,0)</f>
        <v>0</v>
      </c>
      <c r="BA1273" s="34"/>
      <c r="BB1273" s="34"/>
      <c r="BC1273" s="34"/>
      <c r="BD1273" s="76"/>
      <c r="BE1273" s="34"/>
      <c r="BF1273" s="34"/>
      <c r="BG1273" s="34"/>
      <c r="BH1273" s="34"/>
    </row>
    <row r="1274" spans="1:60" s="17" customFormat="1" ht="19.5" customHeight="1" thickBot="1" x14ac:dyDescent="0.45">
      <c r="A1274" s="41">
        <f>A1273</f>
        <v>45446</v>
      </c>
      <c r="B1274" s="139">
        <f>B1269</f>
        <v>0</v>
      </c>
      <c r="C1274" s="140"/>
      <c r="D1274" s="40">
        <f>C1238/8</f>
        <v>500</v>
      </c>
      <c r="E1274" s="151">
        <f>SUM(E1269:H1273)</f>
        <v>0</v>
      </c>
      <c r="F1274" s="152"/>
      <c r="G1274" s="152"/>
      <c r="H1274" s="153"/>
      <c r="I1274" s="151">
        <f>SUM(I1269:L1273)</f>
        <v>0</v>
      </c>
      <c r="J1274" s="152"/>
      <c r="K1274" s="152"/>
      <c r="L1274" s="153"/>
      <c r="M1274" s="151">
        <f>SUM(M1269:P1273)</f>
        <v>0</v>
      </c>
      <c r="N1274" s="152"/>
      <c r="O1274" s="152"/>
      <c r="P1274" s="153"/>
      <c r="Q1274" s="151">
        <f>SUM(Q1269:U1273)</f>
        <v>0</v>
      </c>
      <c r="R1274" s="152"/>
      <c r="S1274" s="152"/>
      <c r="T1274" s="152"/>
      <c r="U1274" s="153"/>
      <c r="V1274" s="151">
        <f>SUM(V1269:Y1273)</f>
        <v>0</v>
      </c>
      <c r="W1274" s="152"/>
      <c r="X1274" s="152"/>
      <c r="Y1274" s="153"/>
      <c r="Z1274" s="151">
        <f>SUM(Z1269:AC1273)</f>
        <v>0</v>
      </c>
      <c r="AA1274" s="152"/>
      <c r="AB1274" s="152"/>
      <c r="AC1274" s="153"/>
      <c r="AD1274" s="151">
        <f>SUM(AD1269:AG1273)</f>
        <v>0</v>
      </c>
      <c r="AE1274" s="152"/>
      <c r="AF1274" s="152"/>
      <c r="AG1274" s="153"/>
      <c r="AH1274" s="151">
        <f>SUM(AH1269:AK1273)</f>
        <v>0</v>
      </c>
      <c r="AI1274" s="152"/>
      <c r="AJ1274" s="152"/>
      <c r="AK1274" s="153"/>
      <c r="AL1274" s="151">
        <f>SUM(AL1269:AO1273)</f>
        <v>0</v>
      </c>
      <c r="AM1274" s="152"/>
      <c r="AN1274" s="152"/>
      <c r="AO1274" s="153"/>
      <c r="AP1274" s="151">
        <f>SUM(AP1269:AS1273)</f>
        <v>0</v>
      </c>
      <c r="AQ1274" s="152"/>
      <c r="AR1274" s="152"/>
      <c r="AS1274" s="153"/>
      <c r="AT1274" s="151">
        <f>SUM(AT1269:AW1273)</f>
        <v>0</v>
      </c>
      <c r="AU1274" s="152"/>
      <c r="AV1274" s="152"/>
      <c r="AW1274" s="153"/>
      <c r="AX1274" s="87">
        <f>SUM(AX1269:AX1273)</f>
        <v>0</v>
      </c>
      <c r="AY1274" s="88">
        <f>IFERROR(AVERAGEIF(E1274:AV1274,"&lt;&gt;0",(E1274:AV1274)),)</f>
        <v>0</v>
      </c>
      <c r="AZ1274" s="46">
        <f>IFERROR(AX1274/BB1270,0)</f>
        <v>0</v>
      </c>
      <c r="BA1274" s="34"/>
      <c r="BB1274" s="34"/>
      <c r="BC1274" s="34"/>
      <c r="BD1274" s="76"/>
      <c r="BE1274" s="34"/>
      <c r="BF1274" s="34"/>
      <c r="BG1274" s="34"/>
      <c r="BH1274" s="34"/>
    </row>
    <row r="1275" spans="1:60" s="17" customFormat="1" ht="19.5" customHeight="1" thickBot="1" x14ac:dyDescent="0.4">
      <c r="A1275" s="42">
        <f>A1268</f>
        <v>45446</v>
      </c>
      <c r="B1275" s="38" t="str">
        <f>B1276</f>
        <v>BANT GİRİŞ</v>
      </c>
      <c r="C1275" s="39" t="s">
        <v>180</v>
      </c>
      <c r="D1275" s="69" t="s">
        <v>181</v>
      </c>
      <c r="E1275" s="48">
        <v>0.34375</v>
      </c>
      <c r="F1275" s="49">
        <v>0.35416666666666669</v>
      </c>
      <c r="G1275" s="49">
        <v>0.36458333333333331</v>
      </c>
      <c r="H1275" s="50">
        <v>0.375</v>
      </c>
      <c r="I1275" s="48">
        <v>0.38541666666666702</v>
      </c>
      <c r="J1275" s="49">
        <v>0.39583333333333298</v>
      </c>
      <c r="K1275" s="49">
        <v>0.40625</v>
      </c>
      <c r="L1275" s="50">
        <v>0.41666666666666702</v>
      </c>
      <c r="M1275" s="48">
        <v>0.4375</v>
      </c>
      <c r="N1275" s="49">
        <v>0.44791666666666702</v>
      </c>
      <c r="O1275" s="49">
        <v>0.45833333333333398</v>
      </c>
      <c r="P1275" s="50">
        <v>0.46875</v>
      </c>
      <c r="Q1275" s="48">
        <v>0.47916666666666702</v>
      </c>
      <c r="R1275" s="49">
        <v>0.48958333333333398</v>
      </c>
      <c r="S1275" s="49">
        <v>0.5</v>
      </c>
      <c r="T1275" s="50">
        <v>0.51041666666666696</v>
      </c>
      <c r="U1275" s="51">
        <v>0.52083333333333204</v>
      </c>
      <c r="V1275" s="48">
        <v>0.5625</v>
      </c>
      <c r="W1275" s="49">
        <v>0.57291666666666663</v>
      </c>
      <c r="X1275" s="49">
        <v>0.58333333333333304</v>
      </c>
      <c r="Y1275" s="50">
        <v>0.59375</v>
      </c>
      <c r="Z1275" s="48">
        <v>0.60416666666666696</v>
      </c>
      <c r="AA1275" s="49">
        <v>0.61458333333333304</v>
      </c>
      <c r="AB1275" s="49">
        <v>0.625</v>
      </c>
      <c r="AC1275" s="50">
        <v>0.63541666666666596</v>
      </c>
      <c r="AD1275" s="48">
        <v>0.65625</v>
      </c>
      <c r="AE1275" s="49">
        <v>0.66666666666666663</v>
      </c>
      <c r="AF1275" s="49">
        <v>0.67708333333333304</v>
      </c>
      <c r="AG1275" s="50">
        <v>0.6875</v>
      </c>
      <c r="AH1275" s="48">
        <v>0.69791666666666696</v>
      </c>
      <c r="AI1275" s="49">
        <v>0.70833333333333304</v>
      </c>
      <c r="AJ1275" s="49">
        <v>0.71875</v>
      </c>
      <c r="AK1275" s="50">
        <v>0.72916666666666696</v>
      </c>
      <c r="AL1275" s="48">
        <v>0.73958333333333404</v>
      </c>
      <c r="AM1275" s="49">
        <v>0.750000000000001</v>
      </c>
      <c r="AN1275" s="49">
        <v>0.76041666666666796</v>
      </c>
      <c r="AO1275" s="50">
        <v>0.77083333333333504</v>
      </c>
      <c r="AP1275" s="48">
        <v>0.781250000000002</v>
      </c>
      <c r="AQ1275" s="49">
        <v>0.79166666666666896</v>
      </c>
      <c r="AR1275" s="49">
        <v>0.80208333333333603</v>
      </c>
      <c r="AS1275" s="50">
        <v>0.812500000000003</v>
      </c>
      <c r="AT1275" s="48">
        <v>0.82291666666666996</v>
      </c>
      <c r="AU1275" s="49">
        <v>0.83333333333333703</v>
      </c>
      <c r="AV1275" s="49">
        <v>0.843750000000004</v>
      </c>
      <c r="AW1275" s="50">
        <v>0.85416666666666663</v>
      </c>
      <c r="AX1275" s="68" t="s">
        <v>260</v>
      </c>
      <c r="AY1275" s="28" t="s">
        <v>261</v>
      </c>
      <c r="AZ1275" s="29" t="s">
        <v>262</v>
      </c>
      <c r="BA1275" s="136" t="str">
        <f>B1276</f>
        <v>BANT GİRİŞ</v>
      </c>
      <c r="BB1275" s="137"/>
      <c r="BC1275" s="137"/>
      <c r="BD1275" s="137"/>
      <c r="BE1275" s="137"/>
      <c r="BF1275" s="137"/>
      <c r="BG1275" s="137"/>
      <c r="BH1275" s="138"/>
    </row>
    <row r="1276" spans="1:60" s="17" customFormat="1" ht="19.5" customHeight="1" thickBot="1" x14ac:dyDescent="0.4">
      <c r="A1276" s="41">
        <f t="shared" ref="A1276" si="1233">A1275</f>
        <v>45446</v>
      </c>
      <c r="B1276" s="37" t="str">
        <f>B1100</f>
        <v>BANT GİRİŞ</v>
      </c>
      <c r="C1276" s="65" t="str">
        <f>C1100</f>
        <v>XS</v>
      </c>
      <c r="D1276" s="70">
        <f>D1100</f>
        <v>120</v>
      </c>
      <c r="E1276" s="63"/>
      <c r="F1276" s="55"/>
      <c r="G1276" s="55"/>
      <c r="H1276" s="56"/>
      <c r="I1276" s="63"/>
      <c r="J1276" s="55"/>
      <c r="K1276" s="55"/>
      <c r="L1276" s="56"/>
      <c r="M1276" s="63"/>
      <c r="N1276" s="55"/>
      <c r="O1276" s="55"/>
      <c r="P1276" s="56"/>
      <c r="Q1276" s="63"/>
      <c r="R1276" s="55"/>
      <c r="S1276" s="55"/>
      <c r="T1276" s="55"/>
      <c r="U1276" s="56"/>
      <c r="V1276" s="63"/>
      <c r="W1276" s="55"/>
      <c r="X1276" s="55"/>
      <c r="Y1276" s="56"/>
      <c r="Z1276" s="63"/>
      <c r="AA1276" s="55"/>
      <c r="AB1276" s="55"/>
      <c r="AC1276" s="56"/>
      <c r="AD1276" s="63"/>
      <c r="AE1276" s="55"/>
      <c r="AF1276" s="55"/>
      <c r="AG1276" s="56"/>
      <c r="AH1276" s="63"/>
      <c r="AI1276" s="55"/>
      <c r="AJ1276" s="55"/>
      <c r="AK1276" s="56"/>
      <c r="AL1276" s="63"/>
      <c r="AM1276" s="55"/>
      <c r="AN1276" s="55"/>
      <c r="AO1276" s="56"/>
      <c r="AP1276" s="63"/>
      <c r="AQ1276" s="54"/>
      <c r="AR1276" s="55"/>
      <c r="AS1276" s="56"/>
      <c r="AT1276" s="53"/>
      <c r="AU1276" s="54"/>
      <c r="AV1276" s="55"/>
      <c r="AW1276" s="56"/>
      <c r="AX1276" s="33">
        <f>SUM(E1276:AW1276)</f>
        <v>0</v>
      </c>
      <c r="AY1276" s="31">
        <f>IFERROR(AVERAGEIF(E1276:AW1276,"&lt;&gt;0",(E1276:AW1276)),)</f>
        <v>0</v>
      </c>
      <c r="AZ1276" s="30">
        <f>IFERROR(AY1276/D1276,0)</f>
        <v>0</v>
      </c>
      <c r="BA1276" s="19"/>
      <c r="BB1276" s="19" t="str">
        <f t="shared" ref="BB1276" si="1234">BA1238</f>
        <v>XS</v>
      </c>
      <c r="BC1276" s="19" t="str">
        <f t="shared" ref="BC1276" si="1235">BB1238</f>
        <v>S</v>
      </c>
      <c r="BD1276" s="19" t="str">
        <f t="shared" ref="BD1276" si="1236">BC1238</f>
        <v>M</v>
      </c>
      <c r="BE1276" s="19" t="str">
        <f t="shared" ref="BE1276" si="1237">BD1238</f>
        <v>L</v>
      </c>
      <c r="BF1276" s="19" t="str">
        <f t="shared" ref="BF1276" si="1238">BE1238</f>
        <v>XL</v>
      </c>
      <c r="BG1276" s="19" t="str">
        <f t="shared" ref="BG1276" si="1239">BF1238</f>
        <v>XXL</v>
      </c>
      <c r="BH1276" s="19" t="s">
        <v>190</v>
      </c>
    </row>
    <row r="1277" spans="1:60" s="17" customFormat="1" ht="19.5" customHeight="1" thickBot="1" x14ac:dyDescent="0.4">
      <c r="A1277" s="41">
        <f t="shared" ref="A1277:B1277" si="1240">A1276</f>
        <v>45446</v>
      </c>
      <c r="B1277" s="37" t="str">
        <f t="shared" si="1240"/>
        <v>BANT GİRİŞ</v>
      </c>
      <c r="C1277" s="65" t="str">
        <f t="shared" ref="C1277:C1282" si="1241">C1101</f>
        <v>S</v>
      </c>
      <c r="D1277" s="67">
        <f t="shared" ref="D1277:D1282" si="1242">D1276</f>
        <v>120</v>
      </c>
      <c r="E1277" s="57"/>
      <c r="F1277" s="52"/>
      <c r="G1277" s="52"/>
      <c r="H1277" s="58"/>
      <c r="I1277" s="57"/>
      <c r="J1277" s="52"/>
      <c r="K1277" s="52"/>
      <c r="L1277" s="58"/>
      <c r="M1277" s="57"/>
      <c r="N1277" s="52"/>
      <c r="O1277" s="52"/>
      <c r="P1277" s="58"/>
      <c r="Q1277" s="57"/>
      <c r="R1277" s="52"/>
      <c r="S1277" s="52"/>
      <c r="T1277" s="52"/>
      <c r="U1277" s="58"/>
      <c r="V1277" s="57"/>
      <c r="W1277" s="52"/>
      <c r="X1277" s="52"/>
      <c r="Y1277" s="58"/>
      <c r="Z1277" s="57"/>
      <c r="AA1277" s="52"/>
      <c r="AB1277" s="52"/>
      <c r="AC1277" s="58"/>
      <c r="AD1277" s="57"/>
      <c r="AE1277" s="52"/>
      <c r="AF1277" s="52"/>
      <c r="AG1277" s="58"/>
      <c r="AH1277" s="57"/>
      <c r="AI1277" s="52"/>
      <c r="AJ1277" s="52"/>
      <c r="AK1277" s="58"/>
      <c r="AL1277" s="57"/>
      <c r="AM1277" s="52"/>
      <c r="AN1277" s="52"/>
      <c r="AO1277" s="58"/>
      <c r="AP1277" s="57"/>
      <c r="AQ1277" s="52"/>
      <c r="AR1277" s="52"/>
      <c r="AS1277" s="58"/>
      <c r="AT1277" s="57"/>
      <c r="AU1277" s="52"/>
      <c r="AV1277" s="52"/>
      <c r="AW1277" s="58"/>
      <c r="AX1277" s="33">
        <f t="shared" ref="AX1277:AX1282" si="1243">SUM(E1277:AW1277)</f>
        <v>0</v>
      </c>
      <c r="AY1277" s="31">
        <f t="shared" ref="AY1277:AY1282" si="1244">IFERROR(AVERAGEIF(E1277:AW1277,"&lt;&gt;0",(E1277:AW1277)),)</f>
        <v>0</v>
      </c>
      <c r="AZ1277" s="30">
        <f t="shared" ref="AZ1277:AZ1282" si="1245">IFERROR(AY1277/D1277,0)</f>
        <v>0</v>
      </c>
      <c r="BA1277" s="94" t="s">
        <v>192</v>
      </c>
      <c r="BB1277" s="96">
        <f>SUMIF(C1276:C1282,BB1276,AX1276:AX1282)+BB1101</f>
        <v>0</v>
      </c>
      <c r="BC1277" s="96">
        <f>SUMIF(C1276:C1282,BC1276,AX1276:AX1282)+BC1101</f>
        <v>0</v>
      </c>
      <c r="BD1277" s="96">
        <f>SUMIF(C1276:C1282,BD1276,AX1276:AX1282)+BD1101</f>
        <v>0</v>
      </c>
      <c r="BE1277" s="96">
        <f>SUMIF(C1276:C1282,BE1276,AX1276:AX1282)+BE1101</f>
        <v>0</v>
      </c>
      <c r="BF1277" s="96">
        <f>SUMIF(C1276:C1282,BF1276,AX1276:AX1282)+BF1101</f>
        <v>0</v>
      </c>
      <c r="BG1277" s="96"/>
      <c r="BH1277" s="99">
        <f>SUM(BB1277:BG1277)</f>
        <v>0</v>
      </c>
    </row>
    <row r="1278" spans="1:60" s="17" customFormat="1" ht="19.5" customHeight="1" thickBot="1" x14ac:dyDescent="0.4">
      <c r="A1278" s="41">
        <f t="shared" ref="A1278:B1278" si="1246">A1277</f>
        <v>45446</v>
      </c>
      <c r="B1278" s="37" t="str">
        <f t="shared" si="1246"/>
        <v>BANT GİRİŞ</v>
      </c>
      <c r="C1278" s="65" t="str">
        <f t="shared" si="1241"/>
        <v>M</v>
      </c>
      <c r="D1278" s="67">
        <f t="shared" si="1242"/>
        <v>120</v>
      </c>
      <c r="E1278" s="57"/>
      <c r="F1278" s="52"/>
      <c r="G1278" s="52"/>
      <c r="H1278" s="58"/>
      <c r="I1278" s="57"/>
      <c r="J1278" s="52"/>
      <c r="K1278" s="52"/>
      <c r="L1278" s="58"/>
      <c r="M1278" s="57"/>
      <c r="N1278" s="52"/>
      <c r="O1278" s="52"/>
      <c r="P1278" s="58"/>
      <c r="Q1278" s="57"/>
      <c r="R1278" s="52"/>
      <c r="S1278" s="52"/>
      <c r="T1278" s="52"/>
      <c r="U1278" s="58"/>
      <c r="V1278" s="57"/>
      <c r="W1278" s="52"/>
      <c r="X1278" s="52"/>
      <c r="Y1278" s="58"/>
      <c r="Z1278" s="57"/>
      <c r="AA1278" s="52"/>
      <c r="AB1278" s="52"/>
      <c r="AC1278" s="58"/>
      <c r="AD1278" s="57"/>
      <c r="AE1278" s="52"/>
      <c r="AF1278" s="52"/>
      <c r="AG1278" s="58"/>
      <c r="AH1278" s="57"/>
      <c r="AI1278" s="52"/>
      <c r="AJ1278" s="52"/>
      <c r="AK1278" s="58"/>
      <c r="AL1278" s="57"/>
      <c r="AM1278" s="52"/>
      <c r="AN1278" s="52"/>
      <c r="AO1278" s="58"/>
      <c r="AP1278" s="57"/>
      <c r="AQ1278" s="52"/>
      <c r="AR1278" s="52"/>
      <c r="AS1278" s="58"/>
      <c r="AT1278" s="57"/>
      <c r="AU1278" s="52"/>
      <c r="AV1278" s="52"/>
      <c r="AW1278" s="58"/>
      <c r="AX1278" s="33">
        <f t="shared" si="1243"/>
        <v>0</v>
      </c>
      <c r="AY1278" s="31">
        <f t="shared" si="1244"/>
        <v>0</v>
      </c>
      <c r="AZ1278" s="30">
        <f t="shared" si="1245"/>
        <v>0</v>
      </c>
      <c r="BA1278" s="94" t="s">
        <v>193</v>
      </c>
      <c r="BB1278" s="96">
        <f>BA1239-BB1277</f>
        <v>492</v>
      </c>
      <c r="BC1278" s="96">
        <f>BB1239-BC1277</f>
        <v>11438</v>
      </c>
      <c r="BD1278" s="96">
        <f>BC1239-BD1277</f>
        <v>13689</v>
      </c>
      <c r="BE1278" s="96">
        <f>BD1239-BE1277</f>
        <v>9760</v>
      </c>
      <c r="BF1278" s="96">
        <f>BE1239-BF1277</f>
        <v>4794</v>
      </c>
      <c r="BG1278" s="96"/>
      <c r="BH1278" s="96">
        <f>SUM(BB1278:BG1278)</f>
        <v>40173</v>
      </c>
    </row>
    <row r="1279" spans="1:60" s="17" customFormat="1" ht="19.5" customHeight="1" x14ac:dyDescent="0.35">
      <c r="A1279" s="41">
        <f t="shared" ref="A1279:B1279" si="1247">A1278</f>
        <v>45446</v>
      </c>
      <c r="B1279" s="37" t="str">
        <f t="shared" si="1247"/>
        <v>BANT GİRİŞ</v>
      </c>
      <c r="C1279" s="65" t="str">
        <f t="shared" si="1241"/>
        <v>L</v>
      </c>
      <c r="D1279" s="67">
        <f t="shared" si="1242"/>
        <v>120</v>
      </c>
      <c r="E1279" s="57"/>
      <c r="F1279" s="52"/>
      <c r="G1279" s="52"/>
      <c r="H1279" s="58"/>
      <c r="I1279" s="57"/>
      <c r="J1279" s="52"/>
      <c r="K1279" s="52"/>
      <c r="L1279" s="58"/>
      <c r="M1279" s="57"/>
      <c r="N1279" s="52"/>
      <c r="O1279" s="52"/>
      <c r="P1279" s="58"/>
      <c r="Q1279" s="57"/>
      <c r="R1279" s="52"/>
      <c r="S1279" s="52"/>
      <c r="T1279" s="52"/>
      <c r="U1279" s="58"/>
      <c r="V1279" s="57"/>
      <c r="W1279" s="52"/>
      <c r="X1279" s="52"/>
      <c r="Y1279" s="58"/>
      <c r="Z1279" s="57"/>
      <c r="AA1279" s="52"/>
      <c r="AB1279" s="52"/>
      <c r="AC1279" s="58"/>
      <c r="AD1279" s="57"/>
      <c r="AE1279" s="52"/>
      <c r="AF1279" s="52"/>
      <c r="AG1279" s="58"/>
      <c r="AH1279" s="57"/>
      <c r="AI1279" s="52"/>
      <c r="AJ1279" s="52"/>
      <c r="AK1279" s="58"/>
      <c r="AL1279" s="57"/>
      <c r="AM1279" s="52"/>
      <c r="AN1279" s="52"/>
      <c r="AO1279" s="58"/>
      <c r="AP1279" s="57"/>
      <c r="AQ1279" s="52"/>
      <c r="AR1279" s="52"/>
      <c r="AS1279" s="58"/>
      <c r="AT1279" s="57"/>
      <c r="AU1279" s="52"/>
      <c r="AV1279" s="52"/>
      <c r="AW1279" s="58"/>
      <c r="AX1279" s="33">
        <f t="shared" si="1243"/>
        <v>0</v>
      </c>
      <c r="AY1279" s="31">
        <f t="shared" si="1244"/>
        <v>0</v>
      </c>
      <c r="AZ1279" s="30">
        <f t="shared" si="1245"/>
        <v>0</v>
      </c>
      <c r="BA1279" s="34"/>
      <c r="BB1279" s="34"/>
      <c r="BC1279" s="34"/>
      <c r="BD1279" s="76"/>
      <c r="BE1279" s="34"/>
      <c r="BF1279" s="34"/>
      <c r="BG1279" s="34"/>
      <c r="BH1279" s="34"/>
    </row>
    <row r="1280" spans="1:60" s="17" customFormat="1" ht="19.5" customHeight="1" x14ac:dyDescent="0.35">
      <c r="A1280" s="41">
        <f>A1277</f>
        <v>45446</v>
      </c>
      <c r="B1280" s="37" t="str">
        <f t="shared" ref="B1280" si="1248">B1279</f>
        <v>BANT GİRİŞ</v>
      </c>
      <c r="C1280" s="65" t="str">
        <f t="shared" si="1241"/>
        <v>XXL</v>
      </c>
      <c r="D1280" s="67">
        <f t="shared" si="1242"/>
        <v>120</v>
      </c>
      <c r="E1280" s="57"/>
      <c r="F1280" s="52"/>
      <c r="G1280" s="52"/>
      <c r="H1280" s="58"/>
      <c r="I1280" s="57"/>
      <c r="J1280" s="52"/>
      <c r="K1280" s="52"/>
      <c r="L1280" s="58"/>
      <c r="M1280" s="57"/>
      <c r="N1280" s="52"/>
      <c r="O1280" s="52"/>
      <c r="P1280" s="58"/>
      <c r="Q1280" s="57"/>
      <c r="R1280" s="52"/>
      <c r="S1280" s="52"/>
      <c r="T1280" s="52"/>
      <c r="U1280" s="58"/>
      <c r="V1280" s="57"/>
      <c r="W1280" s="52"/>
      <c r="X1280" s="52"/>
      <c r="Y1280" s="58"/>
      <c r="Z1280" s="57"/>
      <c r="AA1280" s="52"/>
      <c r="AB1280" s="52"/>
      <c r="AC1280" s="58"/>
      <c r="AD1280" s="57"/>
      <c r="AE1280" s="52"/>
      <c r="AF1280" s="52"/>
      <c r="AG1280" s="58"/>
      <c r="AH1280" s="57"/>
      <c r="AI1280" s="52"/>
      <c r="AJ1280" s="52"/>
      <c r="AK1280" s="58"/>
      <c r="AL1280" s="57"/>
      <c r="AM1280" s="52"/>
      <c r="AN1280" s="52"/>
      <c r="AO1280" s="58"/>
      <c r="AP1280" s="57"/>
      <c r="AQ1280" s="52"/>
      <c r="AR1280" s="52"/>
      <c r="AS1280" s="58"/>
      <c r="AT1280" s="57"/>
      <c r="AU1280" s="52"/>
      <c r="AV1280" s="52"/>
      <c r="AW1280" s="58"/>
      <c r="AX1280" s="33">
        <f t="shared" si="1243"/>
        <v>0</v>
      </c>
      <c r="AY1280" s="31">
        <f t="shared" si="1244"/>
        <v>0</v>
      </c>
      <c r="AZ1280" s="30">
        <f t="shared" si="1245"/>
        <v>0</v>
      </c>
      <c r="BA1280" s="34"/>
      <c r="BB1280" s="34"/>
      <c r="BC1280" s="34"/>
      <c r="BD1280" s="76"/>
      <c r="BE1280" s="34"/>
      <c r="BF1280" s="34"/>
      <c r="BG1280" s="34"/>
      <c r="BH1280" s="34"/>
    </row>
    <row r="1281" spans="1:60" s="17" customFormat="1" ht="19.5" customHeight="1" x14ac:dyDescent="0.35">
      <c r="A1281" s="41">
        <f t="shared" ref="A1281:B1281" si="1249">A1280</f>
        <v>45446</v>
      </c>
      <c r="B1281" s="37" t="str">
        <f t="shared" si="1249"/>
        <v>BANT GİRİŞ</v>
      </c>
      <c r="C1281" s="65">
        <f t="shared" si="1241"/>
        <v>0</v>
      </c>
      <c r="D1281" s="67">
        <f t="shared" si="1242"/>
        <v>120</v>
      </c>
      <c r="E1281" s="57"/>
      <c r="F1281" s="52"/>
      <c r="G1281" s="52"/>
      <c r="H1281" s="58"/>
      <c r="I1281" s="57"/>
      <c r="J1281" s="52"/>
      <c r="K1281" s="52"/>
      <c r="L1281" s="58"/>
      <c r="M1281" s="57"/>
      <c r="N1281" s="52"/>
      <c r="O1281" s="52"/>
      <c r="P1281" s="58"/>
      <c r="Q1281" s="57"/>
      <c r="R1281" s="52"/>
      <c r="S1281" s="52"/>
      <c r="T1281" s="52"/>
      <c r="U1281" s="58"/>
      <c r="V1281" s="57"/>
      <c r="W1281" s="52"/>
      <c r="X1281" s="52"/>
      <c r="Y1281" s="58"/>
      <c r="Z1281" s="57"/>
      <c r="AA1281" s="52"/>
      <c r="AB1281" s="52"/>
      <c r="AC1281" s="58"/>
      <c r="AD1281" s="57"/>
      <c r="AE1281" s="52"/>
      <c r="AF1281" s="52"/>
      <c r="AG1281" s="58"/>
      <c r="AH1281" s="57"/>
      <c r="AI1281" s="52"/>
      <c r="AJ1281" s="52"/>
      <c r="AK1281" s="58"/>
      <c r="AL1281" s="57"/>
      <c r="AM1281" s="52"/>
      <c r="AN1281" s="52"/>
      <c r="AO1281" s="58"/>
      <c r="AP1281" s="57"/>
      <c r="AQ1281" s="52"/>
      <c r="AR1281" s="52"/>
      <c r="AS1281" s="58"/>
      <c r="AT1281" s="57"/>
      <c r="AU1281" s="52"/>
      <c r="AV1281" s="52"/>
      <c r="AW1281" s="58"/>
      <c r="AX1281" s="33">
        <f t="shared" si="1243"/>
        <v>0</v>
      </c>
      <c r="AY1281" s="31">
        <f t="shared" si="1244"/>
        <v>0</v>
      </c>
      <c r="AZ1281" s="30">
        <f t="shared" si="1245"/>
        <v>0</v>
      </c>
      <c r="BA1281" s="34"/>
      <c r="BB1281" s="34"/>
      <c r="BC1281" s="34"/>
      <c r="BD1281" s="76"/>
      <c r="BE1281" s="34"/>
      <c r="BF1281" s="34"/>
      <c r="BG1281" s="34"/>
      <c r="BH1281" s="34"/>
    </row>
    <row r="1282" spans="1:60" s="17" customFormat="1" ht="19.5" customHeight="1" thickBot="1" x14ac:dyDescent="0.4">
      <c r="A1282" s="41">
        <f t="shared" ref="A1282:B1282" si="1250">A1281</f>
        <v>45446</v>
      </c>
      <c r="B1282" s="37" t="str">
        <f t="shared" si="1250"/>
        <v>BANT GİRİŞ</v>
      </c>
      <c r="C1282" s="65">
        <f t="shared" si="1241"/>
        <v>0</v>
      </c>
      <c r="D1282" s="67">
        <f t="shared" si="1242"/>
        <v>120</v>
      </c>
      <c r="E1282" s="59"/>
      <c r="F1282" s="60"/>
      <c r="G1282" s="61"/>
      <c r="H1282" s="62"/>
      <c r="I1282" s="59"/>
      <c r="J1282" s="60"/>
      <c r="K1282" s="61"/>
      <c r="L1282" s="62"/>
      <c r="M1282" s="59"/>
      <c r="N1282" s="60"/>
      <c r="O1282" s="61"/>
      <c r="P1282" s="62"/>
      <c r="Q1282" s="64"/>
      <c r="R1282" s="61"/>
      <c r="S1282" s="61"/>
      <c r="T1282" s="61"/>
      <c r="U1282" s="62"/>
      <c r="V1282" s="59"/>
      <c r="W1282" s="60"/>
      <c r="X1282" s="61"/>
      <c r="Y1282" s="62"/>
      <c r="Z1282" s="59"/>
      <c r="AA1282" s="60"/>
      <c r="AB1282" s="61"/>
      <c r="AC1282" s="62"/>
      <c r="AD1282" s="59"/>
      <c r="AE1282" s="60"/>
      <c r="AF1282" s="61"/>
      <c r="AG1282" s="62"/>
      <c r="AH1282" s="59"/>
      <c r="AI1282" s="60"/>
      <c r="AJ1282" s="61"/>
      <c r="AK1282" s="62"/>
      <c r="AL1282" s="59"/>
      <c r="AM1282" s="60"/>
      <c r="AN1282" s="61"/>
      <c r="AO1282" s="62"/>
      <c r="AP1282" s="59"/>
      <c r="AQ1282" s="60"/>
      <c r="AR1282" s="61"/>
      <c r="AS1282" s="62"/>
      <c r="AT1282" s="59"/>
      <c r="AU1282" s="60"/>
      <c r="AV1282" s="61"/>
      <c r="AW1282" s="62"/>
      <c r="AX1282" s="33">
        <f t="shared" si="1243"/>
        <v>0</v>
      </c>
      <c r="AY1282" s="31">
        <f t="shared" si="1244"/>
        <v>0</v>
      </c>
      <c r="AZ1282" s="30">
        <f t="shared" si="1245"/>
        <v>0</v>
      </c>
      <c r="BA1282" s="34"/>
      <c r="BB1282" s="34"/>
      <c r="BC1282" s="34"/>
      <c r="BD1282" s="76"/>
      <c r="BE1282" s="34"/>
      <c r="BF1282" s="34"/>
      <c r="BG1282" s="34"/>
      <c r="BH1282" s="34"/>
    </row>
    <row r="1283" spans="1:60" s="17" customFormat="1" ht="19.5" customHeight="1" thickBot="1" x14ac:dyDescent="0.45">
      <c r="A1283" s="41">
        <f t="shared" ref="A1283" si="1251">A1282</f>
        <v>45446</v>
      </c>
      <c r="B1283" s="139" t="str">
        <f>B1276</f>
        <v>BANT GİRİŞ</v>
      </c>
      <c r="C1283" s="140"/>
      <c r="D1283" s="40">
        <f>C1238/8</f>
        <v>500</v>
      </c>
      <c r="E1283" s="147">
        <f>SUM(E1276:H1282)</f>
        <v>0</v>
      </c>
      <c r="F1283" s="148"/>
      <c r="G1283" s="148"/>
      <c r="H1283" s="149"/>
      <c r="I1283" s="147">
        <f>SUM(I1276:L1282)</f>
        <v>0</v>
      </c>
      <c r="J1283" s="148"/>
      <c r="K1283" s="148"/>
      <c r="L1283" s="149"/>
      <c r="M1283" s="147">
        <f>SUM(M1276:P1282)</f>
        <v>0</v>
      </c>
      <c r="N1283" s="148"/>
      <c r="O1283" s="148"/>
      <c r="P1283" s="149"/>
      <c r="Q1283" s="147">
        <f>SUM(Q1276:U1282)</f>
        <v>0</v>
      </c>
      <c r="R1283" s="148"/>
      <c r="S1283" s="148"/>
      <c r="T1283" s="148"/>
      <c r="U1283" s="149"/>
      <c r="V1283" s="147">
        <f>SUM(V1276:Y1282)</f>
        <v>0</v>
      </c>
      <c r="W1283" s="148"/>
      <c r="X1283" s="148"/>
      <c r="Y1283" s="149"/>
      <c r="Z1283" s="147">
        <f>SUM(Z1276:AC1282)</f>
        <v>0</v>
      </c>
      <c r="AA1283" s="148"/>
      <c r="AB1283" s="148"/>
      <c r="AC1283" s="149"/>
      <c r="AD1283" s="147">
        <f>SUM(AD1276:AG1282)</f>
        <v>0</v>
      </c>
      <c r="AE1283" s="148"/>
      <c r="AF1283" s="148"/>
      <c r="AG1283" s="149"/>
      <c r="AH1283" s="147">
        <f>SUM(AH1276:AK1282)</f>
        <v>0</v>
      </c>
      <c r="AI1283" s="148"/>
      <c r="AJ1283" s="148"/>
      <c r="AK1283" s="149"/>
      <c r="AL1283" s="147">
        <f>SUM(AL1276:AO1282)</f>
        <v>0</v>
      </c>
      <c r="AM1283" s="148"/>
      <c r="AN1283" s="148"/>
      <c r="AO1283" s="149"/>
      <c r="AP1283" s="147">
        <f>SUM(AP1276:AS1282)</f>
        <v>0</v>
      </c>
      <c r="AQ1283" s="148"/>
      <c r="AR1283" s="148"/>
      <c r="AS1283" s="149"/>
      <c r="AT1283" s="147">
        <f>SUM(AT1276:AW1282)</f>
        <v>0</v>
      </c>
      <c r="AU1283" s="148"/>
      <c r="AV1283" s="148"/>
      <c r="AW1283" s="149"/>
      <c r="AX1283" s="87">
        <f>SUM(AX1276:AX1282)</f>
        <v>0</v>
      </c>
      <c r="AY1283" s="88">
        <f>IFERROR(AVERAGEIF(E1283:AV1283,"&lt;&gt;0",(E1283:AV1283)),)</f>
        <v>0</v>
      </c>
      <c r="AZ1283" s="46">
        <f>IFERROR(AX1283/BB1277,0)</f>
        <v>0</v>
      </c>
      <c r="BA1283" s="34"/>
      <c r="BB1283" s="34"/>
      <c r="BC1283" s="34"/>
      <c r="BD1283" s="76"/>
      <c r="BE1283" s="34"/>
      <c r="BF1283" s="34"/>
      <c r="BG1283" s="34"/>
      <c r="BH1283" s="34"/>
    </row>
    <row r="1284" spans="1:60" s="17" customFormat="1" ht="19.5" customHeight="1" thickBot="1" x14ac:dyDescent="0.4">
      <c r="A1284" s="42">
        <f>A1275</f>
        <v>45446</v>
      </c>
      <c r="B1284" s="38" t="str">
        <f>B1285</f>
        <v>Omuz Çatma</v>
      </c>
      <c r="C1284" s="39" t="s">
        <v>180</v>
      </c>
      <c r="D1284" s="69" t="s">
        <v>181</v>
      </c>
      <c r="E1284" s="48">
        <v>0.34375</v>
      </c>
      <c r="F1284" s="49">
        <v>0.35416666666666669</v>
      </c>
      <c r="G1284" s="49">
        <v>0.36458333333333331</v>
      </c>
      <c r="H1284" s="50">
        <v>0.375</v>
      </c>
      <c r="I1284" s="48">
        <v>0.38541666666666702</v>
      </c>
      <c r="J1284" s="49">
        <v>0.39583333333333298</v>
      </c>
      <c r="K1284" s="49">
        <v>0.40625</v>
      </c>
      <c r="L1284" s="50">
        <v>0.41666666666666702</v>
      </c>
      <c r="M1284" s="48">
        <v>0.4375</v>
      </c>
      <c r="N1284" s="49">
        <v>0.44791666666666702</v>
      </c>
      <c r="O1284" s="49">
        <v>0.45833333333333398</v>
      </c>
      <c r="P1284" s="50">
        <v>0.46875</v>
      </c>
      <c r="Q1284" s="48">
        <v>0.47916666666666702</v>
      </c>
      <c r="R1284" s="49">
        <v>0.48958333333333398</v>
      </c>
      <c r="S1284" s="49">
        <v>0.5</v>
      </c>
      <c r="T1284" s="50">
        <v>0.51041666666666696</v>
      </c>
      <c r="U1284" s="51">
        <v>0.52083333333333204</v>
      </c>
      <c r="V1284" s="48">
        <v>0.5625</v>
      </c>
      <c r="W1284" s="49">
        <v>0.57291666666666663</v>
      </c>
      <c r="X1284" s="49">
        <v>0.58333333333333304</v>
      </c>
      <c r="Y1284" s="50">
        <v>0.59375</v>
      </c>
      <c r="Z1284" s="48">
        <v>0.60416666666666696</v>
      </c>
      <c r="AA1284" s="49">
        <v>0.61458333333333304</v>
      </c>
      <c r="AB1284" s="49">
        <v>0.625</v>
      </c>
      <c r="AC1284" s="50">
        <v>0.63541666666666596</v>
      </c>
      <c r="AD1284" s="48">
        <v>0.65625</v>
      </c>
      <c r="AE1284" s="49">
        <v>0.66666666666666663</v>
      </c>
      <c r="AF1284" s="49">
        <v>0.67708333333333304</v>
      </c>
      <c r="AG1284" s="50">
        <v>0.6875</v>
      </c>
      <c r="AH1284" s="48">
        <v>0.69791666666666696</v>
      </c>
      <c r="AI1284" s="49">
        <v>0.70833333333333304</v>
      </c>
      <c r="AJ1284" s="49">
        <v>0.71875</v>
      </c>
      <c r="AK1284" s="50">
        <v>0.72916666666666696</v>
      </c>
      <c r="AL1284" s="48">
        <v>0.73958333333333404</v>
      </c>
      <c r="AM1284" s="49">
        <v>0.750000000000001</v>
      </c>
      <c r="AN1284" s="49">
        <v>0.76041666666666796</v>
      </c>
      <c r="AO1284" s="50">
        <v>0.77083333333333504</v>
      </c>
      <c r="AP1284" s="48">
        <v>0.781250000000002</v>
      </c>
      <c r="AQ1284" s="49">
        <v>0.79166666666666896</v>
      </c>
      <c r="AR1284" s="49">
        <v>0.80208333333333603</v>
      </c>
      <c r="AS1284" s="50">
        <v>0.812500000000003</v>
      </c>
      <c r="AT1284" s="48">
        <v>0.82291666666666996</v>
      </c>
      <c r="AU1284" s="49">
        <v>0.83333333333333703</v>
      </c>
      <c r="AV1284" s="49">
        <v>0.843750000000004</v>
      </c>
      <c r="AW1284" s="50">
        <v>0.85416666666666663</v>
      </c>
      <c r="AX1284" s="68" t="s">
        <v>260</v>
      </c>
      <c r="AY1284" s="28" t="s">
        <v>261</v>
      </c>
      <c r="AZ1284" s="29" t="s">
        <v>262</v>
      </c>
      <c r="BA1284" s="136" t="str">
        <f>B1285</f>
        <v>Omuz Çatma</v>
      </c>
      <c r="BB1284" s="137"/>
      <c r="BC1284" s="137"/>
      <c r="BD1284" s="137"/>
      <c r="BE1284" s="137"/>
      <c r="BF1284" s="137"/>
      <c r="BG1284" s="137"/>
      <c r="BH1284" s="138"/>
    </row>
    <row r="1285" spans="1:60" s="17" customFormat="1" ht="19.5" customHeight="1" thickBot="1" x14ac:dyDescent="0.4">
      <c r="A1285" s="41">
        <f t="shared" ref="A1285" si="1252">A1284</f>
        <v>45446</v>
      </c>
      <c r="B1285" s="37" t="str">
        <f>B1109</f>
        <v>Omuz Çatma</v>
      </c>
      <c r="C1285" s="65" t="s">
        <v>85</v>
      </c>
      <c r="D1285" s="70">
        <f>D1109</f>
        <v>60</v>
      </c>
      <c r="E1285" s="63">
        <v>40</v>
      </c>
      <c r="F1285" s="55">
        <v>55</v>
      </c>
      <c r="G1285" s="55">
        <v>50</v>
      </c>
      <c r="H1285" s="56">
        <v>55</v>
      </c>
      <c r="I1285" s="118">
        <v>0</v>
      </c>
      <c r="J1285" s="55">
        <v>50</v>
      </c>
      <c r="K1285" s="55">
        <v>50</v>
      </c>
      <c r="L1285" s="56">
        <v>55</v>
      </c>
      <c r="M1285" s="63">
        <v>50</v>
      </c>
      <c r="N1285" s="55">
        <v>55</v>
      </c>
      <c r="O1285" s="55">
        <v>60</v>
      </c>
      <c r="P1285" s="56">
        <v>60</v>
      </c>
      <c r="Q1285" s="63">
        <v>45</v>
      </c>
      <c r="R1285" s="55">
        <v>60</v>
      </c>
      <c r="S1285" s="55">
        <v>60</v>
      </c>
      <c r="T1285" s="55">
        <v>60</v>
      </c>
      <c r="U1285" s="56">
        <v>60</v>
      </c>
      <c r="V1285" s="63">
        <v>50</v>
      </c>
      <c r="W1285" s="55">
        <v>60</v>
      </c>
      <c r="X1285" s="55">
        <v>50</v>
      </c>
      <c r="Y1285" s="56">
        <v>50</v>
      </c>
      <c r="Z1285" s="63">
        <v>45</v>
      </c>
      <c r="AA1285" s="55">
        <v>55</v>
      </c>
      <c r="AB1285" s="55">
        <v>50</v>
      </c>
      <c r="AC1285" s="56">
        <v>60</v>
      </c>
      <c r="AD1285" s="63">
        <v>50</v>
      </c>
      <c r="AE1285" s="55">
        <v>25</v>
      </c>
      <c r="AF1285" s="55">
        <v>50</v>
      </c>
      <c r="AG1285" s="56">
        <v>60</v>
      </c>
      <c r="AH1285" s="63">
        <v>55</v>
      </c>
      <c r="AI1285" s="55">
        <v>40</v>
      </c>
      <c r="AJ1285" s="55">
        <v>50</v>
      </c>
      <c r="AK1285" s="56"/>
      <c r="AL1285" s="63"/>
      <c r="AM1285" s="55"/>
      <c r="AN1285" s="55"/>
      <c r="AO1285" s="56"/>
      <c r="AP1285" s="63"/>
      <c r="AQ1285" s="54"/>
      <c r="AR1285" s="55"/>
      <c r="AS1285" s="56"/>
      <c r="AT1285" s="53"/>
      <c r="AU1285" s="54"/>
      <c r="AV1285" s="55"/>
      <c r="AW1285" s="56"/>
      <c r="AX1285" s="33">
        <f>SUM(E1285:AW1285)</f>
        <v>1615</v>
      </c>
      <c r="AY1285" s="31">
        <f>IFERROR(AVERAGEIF(E1285:AW1285,"&lt;&gt;0",(E1285:AW1285)),)</f>
        <v>52.096774193548384</v>
      </c>
      <c r="AZ1285" s="30">
        <f>IFERROR(AY1285/D1285,0)</f>
        <v>0.86827956989247312</v>
      </c>
      <c r="BA1285" s="103" t="s">
        <v>182</v>
      </c>
      <c r="BB1285" s="100" t="s">
        <v>183</v>
      </c>
      <c r="BC1285" s="100" t="s">
        <v>184</v>
      </c>
      <c r="BD1285" s="101" t="s">
        <v>185</v>
      </c>
      <c r="BE1285" s="100" t="s">
        <v>186</v>
      </c>
      <c r="BF1285" s="102" t="s">
        <v>187</v>
      </c>
      <c r="BG1285" s="100" t="s">
        <v>188</v>
      </c>
      <c r="BH1285" s="102" t="s">
        <v>189</v>
      </c>
    </row>
    <row r="1286" spans="1:60" s="17" customFormat="1" ht="19.5" customHeight="1" thickBot="1" x14ac:dyDescent="0.4">
      <c r="A1286" s="41">
        <f t="shared" ref="A1286:B1286" si="1253">A1285</f>
        <v>45446</v>
      </c>
      <c r="B1286" s="37" t="str">
        <f t="shared" si="1253"/>
        <v>Omuz Çatma</v>
      </c>
      <c r="C1286" s="65" t="s">
        <v>38</v>
      </c>
      <c r="D1286" s="67">
        <f t="shared" ref="D1286:D1291" si="1254">D1285</f>
        <v>60</v>
      </c>
      <c r="E1286" s="57">
        <v>40</v>
      </c>
      <c r="F1286" s="52">
        <v>45</v>
      </c>
      <c r="G1286" s="52">
        <v>35</v>
      </c>
      <c r="H1286" s="58">
        <v>40</v>
      </c>
      <c r="I1286" s="57">
        <v>40</v>
      </c>
      <c r="J1286" s="52">
        <v>41</v>
      </c>
      <c r="K1286" s="52">
        <v>30</v>
      </c>
      <c r="L1286" s="58">
        <v>40</v>
      </c>
      <c r="M1286" s="57">
        <v>40</v>
      </c>
      <c r="N1286" s="52">
        <v>45</v>
      </c>
      <c r="O1286" s="52">
        <v>46</v>
      </c>
      <c r="P1286" s="58">
        <v>40</v>
      </c>
      <c r="Q1286" s="57">
        <v>40</v>
      </c>
      <c r="R1286" s="52">
        <v>32</v>
      </c>
      <c r="S1286" s="52">
        <v>47</v>
      </c>
      <c r="T1286" s="52">
        <v>45</v>
      </c>
      <c r="U1286" s="58">
        <v>45</v>
      </c>
      <c r="V1286" s="57">
        <v>45</v>
      </c>
      <c r="W1286" s="52">
        <v>45</v>
      </c>
      <c r="X1286" s="52">
        <v>30</v>
      </c>
      <c r="Y1286" s="58">
        <v>45</v>
      </c>
      <c r="Z1286" s="57">
        <v>45</v>
      </c>
      <c r="AA1286" s="52">
        <v>45</v>
      </c>
      <c r="AB1286" s="52">
        <v>20</v>
      </c>
      <c r="AC1286" s="58">
        <v>45</v>
      </c>
      <c r="AD1286" s="57">
        <v>45</v>
      </c>
      <c r="AE1286" s="52">
        <v>45</v>
      </c>
      <c r="AF1286" s="52">
        <v>30</v>
      </c>
      <c r="AG1286" s="58">
        <v>30</v>
      </c>
      <c r="AH1286" s="57">
        <v>30</v>
      </c>
      <c r="AI1286" s="52">
        <v>45</v>
      </c>
      <c r="AJ1286" s="52">
        <v>40</v>
      </c>
      <c r="AK1286" s="58"/>
      <c r="AL1286" s="57"/>
      <c r="AM1286" s="52"/>
      <c r="AN1286" s="52"/>
      <c r="AO1286" s="58"/>
      <c r="AP1286" s="57"/>
      <c r="AQ1286" s="52"/>
      <c r="AR1286" s="52"/>
      <c r="AS1286" s="58"/>
      <c r="AT1286" s="57"/>
      <c r="AU1286" s="52"/>
      <c r="AV1286" s="52"/>
      <c r="AW1286" s="58"/>
      <c r="AX1286" s="33">
        <f t="shared" ref="AX1286:AX1291" si="1255">SUM(E1286:AW1286)</f>
        <v>1276</v>
      </c>
      <c r="AY1286" s="31">
        <f t="shared" ref="AY1286:AY1291" si="1256">IFERROR(AVERAGEIF(E1286:AW1286,"&lt;&gt;0",(E1286:AW1286)),)</f>
        <v>39.875</v>
      </c>
      <c r="AZ1286" s="30">
        <f t="shared" ref="AZ1286:AZ1291" si="1257">IFERROR(AY1286/D1286,0)</f>
        <v>0.6645833333333333</v>
      </c>
      <c r="BA1286" s="94">
        <f>AX1292+BA1110</f>
        <v>19000</v>
      </c>
      <c r="BB1286" s="95">
        <f>(D1292*8)</f>
        <v>4000</v>
      </c>
      <c r="BC1286" s="96">
        <f>C1237-BA1286</f>
        <v>23311</v>
      </c>
      <c r="BD1286" s="96">
        <f>BH1277-BA1286</f>
        <v>-19000</v>
      </c>
      <c r="BE1286" s="97">
        <f>IFERROR(BC1286/E1292,0)</f>
        <v>50.566160520607376</v>
      </c>
      <c r="BF1286" s="98">
        <f>IFERROR(BE1286/9,0)</f>
        <v>5.6184622800674866</v>
      </c>
      <c r="BG1286" s="97">
        <f>IFERROR(BC1286/AY1292,0)</f>
        <v>46.55217174238642</v>
      </c>
      <c r="BH1286" s="97">
        <f>IFERROR(BG1286/9,0)</f>
        <v>5.1724635269318249</v>
      </c>
    </row>
    <row r="1287" spans="1:60" s="17" customFormat="1" ht="19.5" customHeight="1" x14ac:dyDescent="0.35">
      <c r="A1287" s="41">
        <f t="shared" ref="A1287:B1287" si="1258">A1286</f>
        <v>45446</v>
      </c>
      <c r="B1287" s="37" t="str">
        <f t="shared" si="1258"/>
        <v>Omuz Çatma</v>
      </c>
      <c r="C1287" s="65" t="s">
        <v>272</v>
      </c>
      <c r="D1287" s="67">
        <f t="shared" si="1254"/>
        <v>60</v>
      </c>
      <c r="E1287" s="57">
        <v>25</v>
      </c>
      <c r="F1287" s="52">
        <v>26</v>
      </c>
      <c r="G1287" s="52">
        <v>25</v>
      </c>
      <c r="H1287" s="58">
        <v>25</v>
      </c>
      <c r="I1287" s="57">
        <v>25</v>
      </c>
      <c r="J1287" s="52">
        <v>27</v>
      </c>
      <c r="K1287" s="52">
        <v>26</v>
      </c>
      <c r="L1287" s="58">
        <v>25</v>
      </c>
      <c r="M1287" s="57">
        <v>25</v>
      </c>
      <c r="N1287" s="52">
        <v>30</v>
      </c>
      <c r="O1287" s="52">
        <v>26</v>
      </c>
      <c r="P1287" s="58">
        <v>27</v>
      </c>
      <c r="Q1287" s="57">
        <v>27</v>
      </c>
      <c r="R1287" s="52">
        <v>26</v>
      </c>
      <c r="S1287" s="52">
        <v>27</v>
      </c>
      <c r="T1287" s="52">
        <v>25</v>
      </c>
      <c r="U1287" s="58">
        <v>25</v>
      </c>
      <c r="V1287" s="57">
        <v>30</v>
      </c>
      <c r="W1287" s="52">
        <v>27</v>
      </c>
      <c r="X1287" s="52">
        <v>25</v>
      </c>
      <c r="Y1287" s="58">
        <v>26</v>
      </c>
      <c r="Z1287" s="57">
        <v>26</v>
      </c>
      <c r="AA1287" s="52">
        <v>25</v>
      </c>
      <c r="AB1287" s="52">
        <v>22</v>
      </c>
      <c r="AC1287" s="58">
        <v>25</v>
      </c>
      <c r="AD1287" s="57">
        <v>24</v>
      </c>
      <c r="AE1287" s="52">
        <v>20</v>
      </c>
      <c r="AF1287" s="52">
        <v>25</v>
      </c>
      <c r="AG1287" s="58">
        <v>25</v>
      </c>
      <c r="AH1287" s="57">
        <v>25</v>
      </c>
      <c r="AI1287" s="52">
        <v>22</v>
      </c>
      <c r="AJ1287" s="52">
        <v>22</v>
      </c>
      <c r="AK1287" s="58"/>
      <c r="AL1287" s="57"/>
      <c r="AM1287" s="52"/>
      <c r="AN1287" s="52"/>
      <c r="AO1287" s="58"/>
      <c r="AP1287" s="57"/>
      <c r="AQ1287" s="52"/>
      <c r="AR1287" s="52"/>
      <c r="AS1287" s="58"/>
      <c r="AT1287" s="57"/>
      <c r="AU1287" s="52"/>
      <c r="AV1287" s="52"/>
      <c r="AW1287" s="58"/>
      <c r="AX1287" s="33">
        <f t="shared" si="1255"/>
        <v>811</v>
      </c>
      <c r="AY1287" s="31">
        <f t="shared" si="1256"/>
        <v>25.34375</v>
      </c>
      <c r="AZ1287" s="30">
        <f t="shared" si="1257"/>
        <v>0.42239583333333336</v>
      </c>
      <c r="BA1287" s="34"/>
      <c r="BB1287" s="34"/>
      <c r="BC1287" s="34"/>
      <c r="BD1287" s="76"/>
      <c r="BE1287" s="34"/>
      <c r="BF1287" s="34"/>
      <c r="BG1287" s="34"/>
      <c r="BH1287" s="34"/>
    </row>
    <row r="1288" spans="1:60" s="17" customFormat="1" ht="19.5" customHeight="1" x14ac:dyDescent="0.35">
      <c r="A1288" s="41">
        <f t="shared" ref="A1288:B1288" si="1259">A1287</f>
        <v>45446</v>
      </c>
      <c r="B1288" s="37" t="str">
        <f t="shared" si="1259"/>
        <v>Omuz Çatma</v>
      </c>
      <c r="C1288" s="65" t="s">
        <v>28</v>
      </c>
      <c r="D1288" s="67">
        <f t="shared" si="1254"/>
        <v>60</v>
      </c>
      <c r="E1288" s="57"/>
      <c r="F1288" s="52"/>
      <c r="G1288" s="52"/>
      <c r="H1288" s="58"/>
      <c r="I1288" s="57"/>
      <c r="J1288" s="52"/>
      <c r="K1288" s="52"/>
      <c r="L1288" s="58"/>
      <c r="M1288" s="57"/>
      <c r="N1288" s="52"/>
      <c r="O1288" s="52"/>
      <c r="P1288" s="58">
        <v>35</v>
      </c>
      <c r="Q1288" s="57">
        <v>40</v>
      </c>
      <c r="R1288" s="52">
        <v>35</v>
      </c>
      <c r="S1288" s="52">
        <v>28</v>
      </c>
      <c r="T1288" s="52">
        <v>41</v>
      </c>
      <c r="U1288" s="58">
        <v>35</v>
      </c>
      <c r="V1288" s="57">
        <v>45</v>
      </c>
      <c r="W1288" s="52">
        <v>45</v>
      </c>
      <c r="X1288" s="52"/>
      <c r="Y1288" s="58"/>
      <c r="Z1288" s="57"/>
      <c r="AA1288" s="52"/>
      <c r="AB1288" s="52"/>
      <c r="AC1288" s="58">
        <v>0</v>
      </c>
      <c r="AD1288" s="57"/>
      <c r="AE1288" s="52"/>
      <c r="AF1288" s="52"/>
      <c r="AG1288" s="58"/>
      <c r="AH1288" s="57"/>
      <c r="AI1288" s="52"/>
      <c r="AJ1288" s="52"/>
      <c r="AK1288" s="58"/>
      <c r="AL1288" s="57"/>
      <c r="AM1288" s="52"/>
      <c r="AN1288" s="52"/>
      <c r="AO1288" s="58"/>
      <c r="AP1288" s="57"/>
      <c r="AQ1288" s="52"/>
      <c r="AR1288" s="52"/>
      <c r="AS1288" s="58"/>
      <c r="AT1288" s="57"/>
      <c r="AU1288" s="52"/>
      <c r="AV1288" s="52"/>
      <c r="AW1288" s="58"/>
      <c r="AX1288" s="33">
        <f t="shared" si="1255"/>
        <v>304</v>
      </c>
      <c r="AY1288" s="31">
        <f t="shared" si="1256"/>
        <v>38</v>
      </c>
      <c r="AZ1288" s="30">
        <f t="shared" si="1257"/>
        <v>0.6333333333333333</v>
      </c>
      <c r="BA1288" s="34"/>
      <c r="BB1288" s="34"/>
      <c r="BC1288" s="34"/>
      <c r="BD1288" s="76"/>
      <c r="BE1288" s="34"/>
      <c r="BF1288" s="34"/>
      <c r="BG1288" s="34"/>
      <c r="BH1288" s="34"/>
    </row>
    <row r="1289" spans="1:60" s="17" customFormat="1" ht="19.5" customHeight="1" x14ac:dyDescent="0.35">
      <c r="A1289" s="41">
        <f>A1286</f>
        <v>45446</v>
      </c>
      <c r="B1289" s="37" t="str">
        <f t="shared" ref="B1289" si="1260">B1288</f>
        <v>Omuz Çatma</v>
      </c>
      <c r="C1289" s="65">
        <f t="shared" ref="C1289:C1291" si="1261">C1113</f>
        <v>0</v>
      </c>
      <c r="D1289" s="67">
        <f t="shared" si="1254"/>
        <v>60</v>
      </c>
      <c r="E1289" s="57"/>
      <c r="F1289" s="52"/>
      <c r="G1289" s="52"/>
      <c r="H1289" s="58"/>
      <c r="I1289" s="57"/>
      <c r="J1289" s="52"/>
      <c r="K1289" s="52"/>
      <c r="L1289" s="58"/>
      <c r="M1289" s="57"/>
      <c r="N1289" s="52"/>
      <c r="O1289" s="52"/>
      <c r="P1289" s="58"/>
      <c r="Q1289" s="57"/>
      <c r="R1289" s="52"/>
      <c r="S1289" s="52"/>
      <c r="T1289" s="52"/>
      <c r="U1289" s="58"/>
      <c r="V1289" s="57"/>
      <c r="W1289" s="52"/>
      <c r="X1289" s="52"/>
      <c r="Y1289" s="58"/>
      <c r="Z1289" s="57"/>
      <c r="AA1289" s="52"/>
      <c r="AB1289" s="52"/>
      <c r="AC1289" s="58"/>
      <c r="AD1289" s="57"/>
      <c r="AE1289" s="52"/>
      <c r="AF1289" s="52"/>
      <c r="AG1289" s="58"/>
      <c r="AH1289" s="57"/>
      <c r="AI1289" s="52"/>
      <c r="AJ1289" s="52"/>
      <c r="AK1289" s="58"/>
      <c r="AL1289" s="57"/>
      <c r="AM1289" s="52"/>
      <c r="AN1289" s="52"/>
      <c r="AO1289" s="58"/>
      <c r="AP1289" s="57"/>
      <c r="AQ1289" s="52"/>
      <c r="AR1289" s="52"/>
      <c r="AS1289" s="58"/>
      <c r="AT1289" s="57"/>
      <c r="AU1289" s="52"/>
      <c r="AV1289" s="52"/>
      <c r="AW1289" s="58"/>
      <c r="AX1289" s="33">
        <f t="shared" si="1255"/>
        <v>0</v>
      </c>
      <c r="AY1289" s="31">
        <f t="shared" si="1256"/>
        <v>0</v>
      </c>
      <c r="AZ1289" s="30">
        <f t="shared" si="1257"/>
        <v>0</v>
      </c>
      <c r="BA1289" s="34"/>
      <c r="BB1289" s="34"/>
      <c r="BC1289" s="34"/>
      <c r="BD1289" s="76"/>
      <c r="BE1289" s="34"/>
      <c r="BF1289" s="34"/>
      <c r="BG1289" s="34"/>
      <c r="BH1289" s="34"/>
    </row>
    <row r="1290" spans="1:60" s="17" customFormat="1" ht="19.5" customHeight="1" x14ac:dyDescent="0.35">
      <c r="A1290" s="41">
        <f>A1289</f>
        <v>45446</v>
      </c>
      <c r="B1290" s="37" t="str">
        <f t="shared" ref="B1290" si="1262">B1289</f>
        <v>Omuz Çatma</v>
      </c>
      <c r="C1290" s="65">
        <f t="shared" si="1261"/>
        <v>0</v>
      </c>
      <c r="D1290" s="67">
        <f t="shared" si="1254"/>
        <v>60</v>
      </c>
      <c r="E1290" s="57"/>
      <c r="F1290" s="52"/>
      <c r="G1290" s="52"/>
      <c r="H1290" s="58"/>
      <c r="I1290" s="57"/>
      <c r="J1290" s="52"/>
      <c r="K1290" s="52"/>
      <c r="L1290" s="58"/>
      <c r="M1290" s="57"/>
      <c r="N1290" s="52"/>
      <c r="O1290" s="52"/>
      <c r="P1290" s="58"/>
      <c r="Q1290" s="57"/>
      <c r="R1290" s="52"/>
      <c r="S1290" s="52"/>
      <c r="T1290" s="52"/>
      <c r="U1290" s="58"/>
      <c r="V1290" s="57"/>
      <c r="W1290" s="52"/>
      <c r="X1290" s="52"/>
      <c r="Y1290" s="58"/>
      <c r="Z1290" s="57"/>
      <c r="AA1290" s="52"/>
      <c r="AB1290" s="52"/>
      <c r="AC1290" s="58"/>
      <c r="AD1290" s="57"/>
      <c r="AE1290" s="52"/>
      <c r="AF1290" s="52"/>
      <c r="AG1290" s="58"/>
      <c r="AH1290" s="57"/>
      <c r="AI1290" s="52"/>
      <c r="AJ1290" s="52"/>
      <c r="AK1290" s="58"/>
      <c r="AL1290" s="57"/>
      <c r="AM1290" s="52"/>
      <c r="AN1290" s="52"/>
      <c r="AO1290" s="58"/>
      <c r="AP1290" s="57"/>
      <c r="AQ1290" s="52"/>
      <c r="AR1290" s="52"/>
      <c r="AS1290" s="58"/>
      <c r="AT1290" s="57"/>
      <c r="AU1290" s="52"/>
      <c r="AV1290" s="52"/>
      <c r="AW1290" s="58"/>
      <c r="AX1290" s="33">
        <f t="shared" si="1255"/>
        <v>0</v>
      </c>
      <c r="AY1290" s="31">
        <f t="shared" si="1256"/>
        <v>0</v>
      </c>
      <c r="AZ1290" s="30">
        <f t="shared" si="1257"/>
        <v>0</v>
      </c>
      <c r="BA1290" s="34"/>
      <c r="BB1290" s="34"/>
      <c r="BC1290" s="34"/>
      <c r="BD1290" s="76"/>
      <c r="BE1290" s="34"/>
      <c r="BF1290" s="34"/>
      <c r="BG1290" s="34"/>
      <c r="BH1290" s="34"/>
    </row>
    <row r="1291" spans="1:60" s="17" customFormat="1" ht="19.5" customHeight="1" thickBot="1" x14ac:dyDescent="0.4">
      <c r="A1291" s="41">
        <f>A1290</f>
        <v>45446</v>
      </c>
      <c r="B1291" s="37" t="str">
        <f t="shared" ref="B1291" si="1263">B1290</f>
        <v>Omuz Çatma</v>
      </c>
      <c r="C1291" s="65">
        <f t="shared" si="1261"/>
        <v>0</v>
      </c>
      <c r="D1291" s="67">
        <f t="shared" si="1254"/>
        <v>60</v>
      </c>
      <c r="E1291" s="59"/>
      <c r="F1291" s="60"/>
      <c r="G1291" s="61"/>
      <c r="H1291" s="62"/>
      <c r="I1291" s="59"/>
      <c r="J1291" s="60"/>
      <c r="K1291" s="61"/>
      <c r="L1291" s="62"/>
      <c r="M1291" s="59"/>
      <c r="N1291" s="60"/>
      <c r="O1291" s="61"/>
      <c r="P1291" s="62"/>
      <c r="Q1291" s="64"/>
      <c r="R1291" s="61"/>
      <c r="S1291" s="61"/>
      <c r="T1291" s="61"/>
      <c r="U1291" s="62"/>
      <c r="V1291" s="59"/>
      <c r="W1291" s="60"/>
      <c r="X1291" s="61"/>
      <c r="Y1291" s="62"/>
      <c r="Z1291" s="59"/>
      <c r="AA1291" s="60"/>
      <c r="AB1291" s="61"/>
      <c r="AC1291" s="62"/>
      <c r="AD1291" s="59"/>
      <c r="AE1291" s="60"/>
      <c r="AF1291" s="61"/>
      <c r="AG1291" s="62"/>
      <c r="AH1291" s="59"/>
      <c r="AI1291" s="60"/>
      <c r="AJ1291" s="61"/>
      <c r="AK1291" s="62"/>
      <c r="AL1291" s="59"/>
      <c r="AM1291" s="60"/>
      <c r="AN1291" s="61"/>
      <c r="AO1291" s="62"/>
      <c r="AP1291" s="59"/>
      <c r="AQ1291" s="60"/>
      <c r="AR1291" s="61"/>
      <c r="AS1291" s="62"/>
      <c r="AT1291" s="59"/>
      <c r="AU1291" s="60"/>
      <c r="AV1291" s="61"/>
      <c r="AW1291" s="62"/>
      <c r="AX1291" s="33">
        <f t="shared" si="1255"/>
        <v>0</v>
      </c>
      <c r="AY1291" s="31">
        <f t="shared" si="1256"/>
        <v>0</v>
      </c>
      <c r="AZ1291" s="30">
        <f t="shared" si="1257"/>
        <v>0</v>
      </c>
      <c r="BA1291" s="34"/>
      <c r="BB1291" s="34"/>
      <c r="BC1291" s="34"/>
      <c r="BD1291" s="76"/>
      <c r="BE1291" s="34"/>
      <c r="BF1291" s="34"/>
      <c r="BG1291" s="34"/>
      <c r="BH1291" s="34"/>
    </row>
    <row r="1292" spans="1:60" s="17" customFormat="1" ht="19.5" customHeight="1" thickBot="1" x14ac:dyDescent="0.45">
      <c r="A1292" s="41">
        <f>A1291</f>
        <v>45446</v>
      </c>
      <c r="B1292" s="139" t="str">
        <f>B1285</f>
        <v>Omuz Çatma</v>
      </c>
      <c r="C1292" s="140"/>
      <c r="D1292" s="40">
        <f>C1238/8</f>
        <v>500</v>
      </c>
      <c r="E1292" s="147">
        <f>SUM(E1285:H1291)</f>
        <v>461</v>
      </c>
      <c r="F1292" s="148"/>
      <c r="G1292" s="148"/>
      <c r="H1292" s="149"/>
      <c r="I1292" s="147">
        <f>SUM(I1285:L1291)</f>
        <v>409</v>
      </c>
      <c r="J1292" s="148"/>
      <c r="K1292" s="148"/>
      <c r="L1292" s="149"/>
      <c r="M1292" s="147">
        <f>SUM(M1285:P1291)</f>
        <v>539</v>
      </c>
      <c r="N1292" s="148"/>
      <c r="O1292" s="148"/>
      <c r="P1292" s="149"/>
      <c r="Q1292" s="147">
        <f>SUM(Q1285:U1291)</f>
        <v>803</v>
      </c>
      <c r="R1292" s="148"/>
      <c r="S1292" s="148"/>
      <c r="T1292" s="148"/>
      <c r="U1292" s="149"/>
      <c r="V1292" s="147">
        <f>SUM(V1285:Y1291)</f>
        <v>573</v>
      </c>
      <c r="W1292" s="148"/>
      <c r="X1292" s="148"/>
      <c r="Y1292" s="149"/>
      <c r="Z1292" s="147">
        <f>SUM(Z1285:AC1291)</f>
        <v>463</v>
      </c>
      <c r="AA1292" s="148"/>
      <c r="AB1292" s="148"/>
      <c r="AC1292" s="149"/>
      <c r="AD1292" s="147">
        <f>SUM(AD1285:AG1291)</f>
        <v>429</v>
      </c>
      <c r="AE1292" s="148"/>
      <c r="AF1292" s="148"/>
      <c r="AG1292" s="149"/>
      <c r="AH1292" s="147">
        <f>SUM(AH1285:AK1291)</f>
        <v>329</v>
      </c>
      <c r="AI1292" s="148"/>
      <c r="AJ1292" s="148"/>
      <c r="AK1292" s="149"/>
      <c r="AL1292" s="147">
        <f>SUM(AL1285:AO1291)</f>
        <v>0</v>
      </c>
      <c r="AM1292" s="148"/>
      <c r="AN1292" s="148"/>
      <c r="AO1292" s="149"/>
      <c r="AP1292" s="147">
        <f>SUM(AP1285:AS1291)</f>
        <v>0</v>
      </c>
      <c r="AQ1292" s="148"/>
      <c r="AR1292" s="148"/>
      <c r="AS1292" s="149"/>
      <c r="AT1292" s="147">
        <f>SUM(AT1285:AW1291)</f>
        <v>0</v>
      </c>
      <c r="AU1292" s="148"/>
      <c r="AV1292" s="148"/>
      <c r="AW1292" s="149"/>
      <c r="AX1292" s="87">
        <f>SUM(AX1285:AX1291)</f>
        <v>4006</v>
      </c>
      <c r="AY1292" s="88">
        <f>IFERROR(AVERAGEIF(E1292:AV1292,"&lt;&gt;0",(E1292:AV1292)),)</f>
        <v>500.75</v>
      </c>
      <c r="AZ1292" s="46">
        <f>IFERROR(AX1292/BB1286,0)</f>
        <v>1.0015000000000001</v>
      </c>
      <c r="BA1292" s="34"/>
      <c r="BB1292" s="34"/>
      <c r="BC1292" s="34"/>
      <c r="BD1292" s="76"/>
      <c r="BE1292" s="34"/>
      <c r="BF1292" s="34"/>
      <c r="BG1292" s="34"/>
      <c r="BH1292" s="34"/>
    </row>
    <row r="1293" spans="1:60" s="17" customFormat="1" ht="19.5" customHeight="1" thickBot="1" x14ac:dyDescent="0.4">
      <c r="A1293" s="42">
        <f>A1284</f>
        <v>45446</v>
      </c>
      <c r="B1293" s="38" t="str">
        <f>B1294</f>
        <v>Yaka Takma</v>
      </c>
      <c r="C1293" s="39" t="s">
        <v>180</v>
      </c>
      <c r="D1293" s="69" t="s">
        <v>181</v>
      </c>
      <c r="E1293" s="48">
        <v>0.34375</v>
      </c>
      <c r="F1293" s="49">
        <v>0.35416666666666669</v>
      </c>
      <c r="G1293" s="49">
        <v>0.36458333333333331</v>
      </c>
      <c r="H1293" s="50">
        <v>0.375</v>
      </c>
      <c r="I1293" s="48">
        <v>0.38541666666666702</v>
      </c>
      <c r="J1293" s="49">
        <v>0.39583333333333298</v>
      </c>
      <c r="K1293" s="49">
        <v>0.40625</v>
      </c>
      <c r="L1293" s="50">
        <v>0.41666666666666702</v>
      </c>
      <c r="M1293" s="48">
        <v>0.4375</v>
      </c>
      <c r="N1293" s="49">
        <v>0.44791666666666702</v>
      </c>
      <c r="O1293" s="49">
        <v>0.45833333333333398</v>
      </c>
      <c r="P1293" s="50">
        <v>0.46875</v>
      </c>
      <c r="Q1293" s="48">
        <v>0.47916666666666702</v>
      </c>
      <c r="R1293" s="49">
        <v>0.48958333333333398</v>
      </c>
      <c r="S1293" s="49">
        <v>0.5</v>
      </c>
      <c r="T1293" s="50">
        <v>0.51041666666666696</v>
      </c>
      <c r="U1293" s="51">
        <v>0.52083333333333204</v>
      </c>
      <c r="V1293" s="48">
        <v>0.5625</v>
      </c>
      <c r="W1293" s="49">
        <v>0.57291666666666663</v>
      </c>
      <c r="X1293" s="49">
        <v>0.58333333333333304</v>
      </c>
      <c r="Y1293" s="50">
        <v>0.59375</v>
      </c>
      <c r="Z1293" s="48">
        <v>0.60416666666666696</v>
      </c>
      <c r="AA1293" s="49">
        <v>0.61458333333333304</v>
      </c>
      <c r="AB1293" s="49">
        <v>0.625</v>
      </c>
      <c r="AC1293" s="50">
        <v>0.63541666666666596</v>
      </c>
      <c r="AD1293" s="48">
        <v>0.65625</v>
      </c>
      <c r="AE1293" s="49">
        <v>0.66666666666666663</v>
      </c>
      <c r="AF1293" s="49">
        <v>0.67708333333333304</v>
      </c>
      <c r="AG1293" s="50">
        <v>0.6875</v>
      </c>
      <c r="AH1293" s="48">
        <v>0.69791666666666696</v>
      </c>
      <c r="AI1293" s="49">
        <v>0.70833333333333304</v>
      </c>
      <c r="AJ1293" s="49">
        <v>0.71875</v>
      </c>
      <c r="AK1293" s="50">
        <v>0.72916666666666696</v>
      </c>
      <c r="AL1293" s="48">
        <v>0.73958333333333404</v>
      </c>
      <c r="AM1293" s="49">
        <v>0.750000000000001</v>
      </c>
      <c r="AN1293" s="49">
        <v>0.76041666666666796</v>
      </c>
      <c r="AO1293" s="50">
        <v>0.77083333333333504</v>
      </c>
      <c r="AP1293" s="48">
        <v>0.781250000000002</v>
      </c>
      <c r="AQ1293" s="49">
        <v>0.79166666666666896</v>
      </c>
      <c r="AR1293" s="49">
        <v>0.80208333333333603</v>
      </c>
      <c r="AS1293" s="50">
        <v>0.812500000000003</v>
      </c>
      <c r="AT1293" s="48">
        <v>0.82291666666666996</v>
      </c>
      <c r="AU1293" s="49">
        <v>0.83333333333333703</v>
      </c>
      <c r="AV1293" s="49">
        <v>0.843750000000004</v>
      </c>
      <c r="AW1293" s="50">
        <v>0.85416666666666663</v>
      </c>
      <c r="AX1293" s="68" t="s">
        <v>260</v>
      </c>
      <c r="AY1293" s="28" t="s">
        <v>261</v>
      </c>
      <c r="AZ1293" s="29" t="s">
        <v>262</v>
      </c>
      <c r="BA1293" s="136" t="str">
        <f>B1294</f>
        <v>Yaka Takma</v>
      </c>
      <c r="BB1293" s="137"/>
      <c r="BC1293" s="137"/>
      <c r="BD1293" s="137"/>
      <c r="BE1293" s="137"/>
      <c r="BF1293" s="137"/>
      <c r="BG1293" s="137"/>
      <c r="BH1293" s="138"/>
    </row>
    <row r="1294" spans="1:60" s="17" customFormat="1" ht="19.5" customHeight="1" thickBot="1" x14ac:dyDescent="0.4">
      <c r="A1294" s="41">
        <f>A1293</f>
        <v>45446</v>
      </c>
      <c r="B1294" s="37" t="str">
        <f>B1118</f>
        <v>Yaka Takma</v>
      </c>
      <c r="C1294" s="65" t="str">
        <f>C1118</f>
        <v>FATMA KIZILTAN</v>
      </c>
      <c r="D1294" s="70">
        <f>D1118</f>
        <v>70</v>
      </c>
      <c r="E1294" s="53">
        <v>50</v>
      </c>
      <c r="F1294" s="54">
        <v>65</v>
      </c>
      <c r="G1294" s="55">
        <v>45</v>
      </c>
      <c r="H1294" s="56">
        <v>60</v>
      </c>
      <c r="I1294" s="53">
        <v>50</v>
      </c>
      <c r="J1294" s="54">
        <v>60</v>
      </c>
      <c r="K1294" s="55">
        <v>55</v>
      </c>
      <c r="L1294" s="56">
        <v>0</v>
      </c>
      <c r="M1294" s="53">
        <v>60</v>
      </c>
      <c r="N1294" s="54">
        <v>60</v>
      </c>
      <c r="O1294" s="55">
        <v>65</v>
      </c>
      <c r="P1294" s="56">
        <v>65</v>
      </c>
      <c r="Q1294" s="63">
        <v>65</v>
      </c>
      <c r="R1294" s="55">
        <v>65</v>
      </c>
      <c r="S1294" s="55">
        <v>65</v>
      </c>
      <c r="T1294" s="55">
        <v>70</v>
      </c>
      <c r="U1294" s="56">
        <v>70</v>
      </c>
      <c r="V1294" s="53">
        <v>65</v>
      </c>
      <c r="W1294" s="54">
        <v>60</v>
      </c>
      <c r="X1294" s="55">
        <v>60</v>
      </c>
      <c r="Y1294" s="56">
        <v>60</v>
      </c>
      <c r="Z1294" s="53">
        <v>60</v>
      </c>
      <c r="AA1294" s="54">
        <v>40</v>
      </c>
      <c r="AB1294" s="55">
        <v>60</v>
      </c>
      <c r="AC1294" s="56">
        <v>50</v>
      </c>
      <c r="AD1294" s="53">
        <v>50</v>
      </c>
      <c r="AE1294" s="54">
        <v>50</v>
      </c>
      <c r="AF1294" s="55">
        <v>50</v>
      </c>
      <c r="AG1294" s="56">
        <v>60</v>
      </c>
      <c r="AH1294" s="53">
        <v>55</v>
      </c>
      <c r="AI1294" s="54">
        <v>50</v>
      </c>
      <c r="AJ1294" s="55">
        <v>60</v>
      </c>
      <c r="AK1294" s="56"/>
      <c r="AL1294" s="53"/>
      <c r="AM1294" s="54"/>
      <c r="AN1294" s="55"/>
      <c r="AO1294" s="56"/>
      <c r="AP1294" s="53"/>
      <c r="AQ1294" s="54"/>
      <c r="AR1294" s="55"/>
      <c r="AS1294" s="56"/>
      <c r="AT1294" s="53"/>
      <c r="AU1294" s="54"/>
      <c r="AV1294" s="55"/>
      <c r="AW1294" s="56"/>
      <c r="AX1294" s="33">
        <f>SUM(E1294:AW1294)</f>
        <v>1800</v>
      </c>
      <c r="AY1294" s="31">
        <f>IFERROR(AVERAGEIF(E1294:AW1294,"&lt;&gt;0",(E1294:AW1294)),)</f>
        <v>58.064516129032256</v>
      </c>
      <c r="AZ1294" s="30">
        <f>IFERROR(AY1294/D1294,0)</f>
        <v>0.82949308755760365</v>
      </c>
      <c r="BA1294" s="103" t="s">
        <v>182</v>
      </c>
      <c r="BB1294" s="100" t="s">
        <v>183</v>
      </c>
      <c r="BC1294" s="100" t="s">
        <v>184</v>
      </c>
      <c r="BD1294" s="101" t="s">
        <v>185</v>
      </c>
      <c r="BE1294" s="100" t="s">
        <v>186</v>
      </c>
      <c r="BF1294" s="102" t="s">
        <v>187</v>
      </c>
      <c r="BG1294" s="100" t="s">
        <v>188</v>
      </c>
      <c r="BH1294" s="102" t="s">
        <v>189</v>
      </c>
    </row>
    <row r="1295" spans="1:60" s="17" customFormat="1" ht="19.5" customHeight="1" thickBot="1" x14ac:dyDescent="0.4">
      <c r="A1295" s="41">
        <f>A1294</f>
        <v>45446</v>
      </c>
      <c r="B1295" s="37" t="str">
        <f t="shared" ref="B1295:B1300" si="1264">B1294</f>
        <v>Yaka Takma</v>
      </c>
      <c r="C1295" s="65" t="str">
        <f t="shared" ref="C1295:C1300" si="1265">C1119</f>
        <v>AYŞENUR YETER</v>
      </c>
      <c r="D1295" s="67">
        <f t="shared" ref="D1295:D1300" si="1266">D1294</f>
        <v>70</v>
      </c>
      <c r="E1295" s="57">
        <v>50</v>
      </c>
      <c r="F1295" s="52">
        <v>75</v>
      </c>
      <c r="G1295" s="52">
        <v>70</v>
      </c>
      <c r="H1295" s="58">
        <v>65</v>
      </c>
      <c r="I1295" s="57">
        <v>55</v>
      </c>
      <c r="J1295" s="52">
        <v>70</v>
      </c>
      <c r="K1295" s="52">
        <v>70</v>
      </c>
      <c r="L1295" s="58">
        <v>30</v>
      </c>
      <c r="M1295" s="57">
        <v>55</v>
      </c>
      <c r="N1295" s="52">
        <v>75</v>
      </c>
      <c r="O1295" s="52">
        <v>76</v>
      </c>
      <c r="P1295" s="58">
        <v>75</v>
      </c>
      <c r="Q1295" s="57">
        <v>55</v>
      </c>
      <c r="R1295" s="52">
        <v>70</v>
      </c>
      <c r="S1295" s="52">
        <v>70</v>
      </c>
      <c r="T1295" s="52">
        <v>70</v>
      </c>
      <c r="U1295" s="58">
        <v>70</v>
      </c>
      <c r="V1295" s="57">
        <v>70</v>
      </c>
      <c r="W1295" s="52">
        <v>70</v>
      </c>
      <c r="X1295" s="52">
        <v>70</v>
      </c>
      <c r="Y1295" s="58">
        <v>70</v>
      </c>
      <c r="Z1295" s="57">
        <v>70</v>
      </c>
      <c r="AA1295" s="52">
        <v>35</v>
      </c>
      <c r="AB1295" s="52">
        <v>60</v>
      </c>
      <c r="AC1295" s="58">
        <v>60</v>
      </c>
      <c r="AD1295" s="57">
        <v>60</v>
      </c>
      <c r="AE1295" s="52">
        <v>60</v>
      </c>
      <c r="AF1295" s="52">
        <v>60</v>
      </c>
      <c r="AG1295" s="58">
        <v>60</v>
      </c>
      <c r="AH1295" s="57">
        <v>30</v>
      </c>
      <c r="AI1295" s="52">
        <v>60</v>
      </c>
      <c r="AJ1295" s="52">
        <v>60</v>
      </c>
      <c r="AK1295" s="58"/>
      <c r="AL1295" s="57"/>
      <c r="AM1295" s="52"/>
      <c r="AN1295" s="52"/>
      <c r="AO1295" s="58"/>
      <c r="AP1295" s="57"/>
      <c r="AQ1295" s="52"/>
      <c r="AR1295" s="52"/>
      <c r="AS1295" s="58"/>
      <c r="AT1295" s="57"/>
      <c r="AU1295" s="52"/>
      <c r="AV1295" s="52"/>
      <c r="AW1295" s="58"/>
      <c r="AX1295" s="33">
        <f t="shared" ref="AX1295:AX1300" si="1267">SUM(E1295:AW1295)</f>
        <v>1996</v>
      </c>
      <c r="AY1295" s="31">
        <f t="shared" ref="AY1295:AY1300" si="1268">IFERROR(AVERAGEIF(E1295:AW1295,"&lt;&gt;0",(E1295:AW1295)),)</f>
        <v>62.375</v>
      </c>
      <c r="AZ1295" s="30">
        <f t="shared" ref="AZ1295:AZ1300" si="1269">IFERROR(AY1295/D1295,0)</f>
        <v>0.89107142857142863</v>
      </c>
      <c r="BA1295" s="94">
        <f>AX1301+BA1119</f>
        <v>18484</v>
      </c>
      <c r="BB1295" s="95">
        <f>(D1301*8)</f>
        <v>4000</v>
      </c>
      <c r="BC1295" s="96">
        <f>C1237-BA1295</f>
        <v>23827</v>
      </c>
      <c r="BD1295" s="96">
        <f>BA1286-BA1295</f>
        <v>516</v>
      </c>
      <c r="BE1295" s="97">
        <f>IFERROR(BC1295/E1301,0)</f>
        <v>49.639583333333334</v>
      </c>
      <c r="BF1295" s="98">
        <f>IFERROR(BE1295/9,0)</f>
        <v>5.5155092592592592</v>
      </c>
      <c r="BG1295" s="97">
        <f>IFERROR(BC1295/AY1301,0)</f>
        <v>50.214963119072706</v>
      </c>
      <c r="BH1295" s="97">
        <f>IFERROR(BG1295/9,0)</f>
        <v>5.5794403465636337</v>
      </c>
    </row>
    <row r="1296" spans="1:60" s="17" customFormat="1" ht="19.5" customHeight="1" x14ac:dyDescent="0.35">
      <c r="A1296" s="41">
        <f>A1295</f>
        <v>45446</v>
      </c>
      <c r="B1296" s="37" t="str">
        <f t="shared" si="1264"/>
        <v>Yaka Takma</v>
      </c>
      <c r="C1296" s="65">
        <f t="shared" si="1265"/>
        <v>0</v>
      </c>
      <c r="D1296" s="67">
        <f t="shared" si="1266"/>
        <v>70</v>
      </c>
      <c r="E1296" s="57"/>
      <c r="F1296" s="52"/>
      <c r="G1296" s="52"/>
      <c r="H1296" s="58"/>
      <c r="I1296" s="57"/>
      <c r="J1296" s="52"/>
      <c r="K1296" s="52"/>
      <c r="L1296" s="58"/>
      <c r="M1296" s="57"/>
      <c r="N1296" s="52"/>
      <c r="O1296" s="52"/>
      <c r="P1296" s="58"/>
      <c r="Q1296" s="57"/>
      <c r="R1296" s="52"/>
      <c r="S1296" s="52"/>
      <c r="T1296" s="52"/>
      <c r="U1296" s="58"/>
      <c r="V1296" s="57"/>
      <c r="W1296" s="52"/>
      <c r="X1296" s="52"/>
      <c r="Y1296" s="58"/>
      <c r="Z1296" s="57"/>
      <c r="AA1296" s="52"/>
      <c r="AB1296" s="52"/>
      <c r="AC1296" s="58"/>
      <c r="AD1296" s="57"/>
      <c r="AE1296" s="52"/>
      <c r="AF1296" s="52"/>
      <c r="AG1296" s="58"/>
      <c r="AH1296" s="57"/>
      <c r="AI1296" s="52"/>
      <c r="AJ1296" s="52"/>
      <c r="AK1296" s="58"/>
      <c r="AL1296" s="57"/>
      <c r="AM1296" s="52"/>
      <c r="AN1296" s="52"/>
      <c r="AO1296" s="58"/>
      <c r="AP1296" s="57"/>
      <c r="AQ1296" s="52"/>
      <c r="AR1296" s="52"/>
      <c r="AS1296" s="58"/>
      <c r="AT1296" s="57"/>
      <c r="AU1296" s="52"/>
      <c r="AV1296" s="52"/>
      <c r="AW1296" s="58"/>
      <c r="AX1296" s="33">
        <f t="shared" si="1267"/>
        <v>0</v>
      </c>
      <c r="AY1296" s="31">
        <f t="shared" si="1268"/>
        <v>0</v>
      </c>
      <c r="AZ1296" s="30">
        <f t="shared" si="1269"/>
        <v>0</v>
      </c>
      <c r="BA1296" s="34"/>
      <c r="BB1296" s="34"/>
      <c r="BC1296" s="34"/>
      <c r="BD1296" s="76"/>
      <c r="BE1296" s="34"/>
      <c r="BF1296" s="34"/>
      <c r="BG1296" s="34"/>
      <c r="BH1296" s="34"/>
    </row>
    <row r="1297" spans="1:60" s="17" customFormat="1" ht="19.5" customHeight="1" x14ac:dyDescent="0.35">
      <c r="A1297" s="41">
        <f>A1296</f>
        <v>45446</v>
      </c>
      <c r="B1297" s="37" t="str">
        <f t="shared" si="1264"/>
        <v>Yaka Takma</v>
      </c>
      <c r="C1297" s="65">
        <f t="shared" si="1265"/>
        <v>0</v>
      </c>
      <c r="D1297" s="67">
        <f t="shared" si="1266"/>
        <v>70</v>
      </c>
      <c r="E1297" s="57"/>
      <c r="F1297" s="52"/>
      <c r="G1297" s="52"/>
      <c r="H1297" s="58"/>
      <c r="I1297" s="57"/>
      <c r="J1297" s="52"/>
      <c r="K1297" s="52"/>
      <c r="L1297" s="58"/>
      <c r="M1297" s="57"/>
      <c r="N1297" s="52"/>
      <c r="O1297" s="52"/>
      <c r="P1297" s="58"/>
      <c r="Q1297" s="57"/>
      <c r="R1297" s="52"/>
      <c r="S1297" s="52"/>
      <c r="T1297" s="52"/>
      <c r="U1297" s="58"/>
      <c r="V1297" s="57"/>
      <c r="W1297" s="52"/>
      <c r="X1297" s="52"/>
      <c r="Y1297" s="58"/>
      <c r="Z1297" s="57"/>
      <c r="AA1297" s="52"/>
      <c r="AB1297" s="52"/>
      <c r="AC1297" s="58"/>
      <c r="AD1297" s="57"/>
      <c r="AE1297" s="52"/>
      <c r="AF1297" s="52"/>
      <c r="AG1297" s="58"/>
      <c r="AH1297" s="57"/>
      <c r="AI1297" s="52"/>
      <c r="AJ1297" s="52"/>
      <c r="AK1297" s="58"/>
      <c r="AL1297" s="57"/>
      <c r="AM1297" s="52"/>
      <c r="AN1297" s="52"/>
      <c r="AO1297" s="58"/>
      <c r="AP1297" s="57"/>
      <c r="AQ1297" s="52"/>
      <c r="AR1297" s="52"/>
      <c r="AS1297" s="58"/>
      <c r="AT1297" s="57"/>
      <c r="AU1297" s="52"/>
      <c r="AV1297" s="52"/>
      <c r="AW1297" s="58"/>
      <c r="AX1297" s="33">
        <f t="shared" si="1267"/>
        <v>0</v>
      </c>
      <c r="AY1297" s="31">
        <f t="shared" si="1268"/>
        <v>0</v>
      </c>
      <c r="AZ1297" s="30">
        <f t="shared" si="1269"/>
        <v>0</v>
      </c>
      <c r="BA1297" s="34"/>
      <c r="BB1297" s="34"/>
      <c r="BC1297" s="34"/>
      <c r="BD1297" s="76"/>
      <c r="BE1297" s="34"/>
      <c r="BF1297" s="34"/>
      <c r="BG1297" s="34"/>
      <c r="BH1297" s="34"/>
    </row>
    <row r="1298" spans="1:60" s="17" customFormat="1" ht="19.5" customHeight="1" x14ac:dyDescent="0.35">
      <c r="A1298" s="41">
        <f>A1295</f>
        <v>45446</v>
      </c>
      <c r="B1298" s="37" t="str">
        <f t="shared" si="1264"/>
        <v>Yaka Takma</v>
      </c>
      <c r="C1298" s="65">
        <f t="shared" si="1265"/>
        <v>0</v>
      </c>
      <c r="D1298" s="67">
        <f t="shared" si="1266"/>
        <v>70</v>
      </c>
      <c r="E1298" s="57"/>
      <c r="F1298" s="52"/>
      <c r="G1298" s="52"/>
      <c r="H1298" s="58"/>
      <c r="I1298" s="57"/>
      <c r="J1298" s="52"/>
      <c r="K1298" s="52"/>
      <c r="L1298" s="58"/>
      <c r="M1298" s="57"/>
      <c r="N1298" s="52"/>
      <c r="O1298" s="52"/>
      <c r="P1298" s="58"/>
      <c r="Q1298" s="57"/>
      <c r="R1298" s="52"/>
      <c r="S1298" s="52"/>
      <c r="T1298" s="52"/>
      <c r="U1298" s="58"/>
      <c r="V1298" s="57"/>
      <c r="W1298" s="52"/>
      <c r="X1298" s="52"/>
      <c r="Y1298" s="58"/>
      <c r="Z1298" s="57"/>
      <c r="AA1298" s="52"/>
      <c r="AB1298" s="52"/>
      <c r="AC1298" s="58"/>
      <c r="AD1298" s="57"/>
      <c r="AE1298" s="52"/>
      <c r="AF1298" s="52"/>
      <c r="AG1298" s="58"/>
      <c r="AH1298" s="57"/>
      <c r="AI1298" s="52"/>
      <c r="AJ1298" s="52"/>
      <c r="AK1298" s="58"/>
      <c r="AL1298" s="57"/>
      <c r="AM1298" s="52"/>
      <c r="AN1298" s="52"/>
      <c r="AO1298" s="58"/>
      <c r="AP1298" s="57"/>
      <c r="AQ1298" s="52"/>
      <c r="AR1298" s="52"/>
      <c r="AS1298" s="58"/>
      <c r="AT1298" s="57"/>
      <c r="AU1298" s="52"/>
      <c r="AV1298" s="52"/>
      <c r="AW1298" s="58"/>
      <c r="AX1298" s="33">
        <f t="shared" si="1267"/>
        <v>0</v>
      </c>
      <c r="AY1298" s="31">
        <f t="shared" si="1268"/>
        <v>0</v>
      </c>
      <c r="AZ1298" s="30">
        <f t="shared" si="1269"/>
        <v>0</v>
      </c>
      <c r="BA1298" s="34"/>
      <c r="BB1298" s="34"/>
      <c r="BC1298" s="34"/>
      <c r="BD1298" s="76"/>
      <c r="BE1298" s="34"/>
      <c r="BF1298" s="34"/>
      <c r="BG1298" s="34"/>
      <c r="BH1298" s="34"/>
    </row>
    <row r="1299" spans="1:60" s="17" customFormat="1" ht="19.5" customHeight="1" x14ac:dyDescent="0.35">
      <c r="A1299" s="41">
        <f t="shared" ref="A1299:A1303" si="1270">A1298</f>
        <v>45446</v>
      </c>
      <c r="B1299" s="37" t="str">
        <f t="shared" si="1264"/>
        <v>Yaka Takma</v>
      </c>
      <c r="C1299" s="65">
        <f t="shared" si="1265"/>
        <v>0</v>
      </c>
      <c r="D1299" s="67">
        <f t="shared" si="1266"/>
        <v>70</v>
      </c>
      <c r="E1299" s="57"/>
      <c r="F1299" s="52"/>
      <c r="G1299" s="52"/>
      <c r="H1299" s="58"/>
      <c r="I1299" s="57"/>
      <c r="J1299" s="52"/>
      <c r="K1299" s="52"/>
      <c r="L1299" s="58"/>
      <c r="M1299" s="57"/>
      <c r="N1299" s="52"/>
      <c r="O1299" s="52"/>
      <c r="P1299" s="58"/>
      <c r="Q1299" s="57"/>
      <c r="R1299" s="52"/>
      <c r="S1299" s="52"/>
      <c r="T1299" s="52"/>
      <c r="U1299" s="58"/>
      <c r="V1299" s="57"/>
      <c r="W1299" s="52"/>
      <c r="X1299" s="52"/>
      <c r="Y1299" s="58"/>
      <c r="Z1299" s="57"/>
      <c r="AA1299" s="52"/>
      <c r="AB1299" s="52"/>
      <c r="AC1299" s="58"/>
      <c r="AD1299" s="57"/>
      <c r="AE1299" s="52"/>
      <c r="AF1299" s="52"/>
      <c r="AG1299" s="58"/>
      <c r="AH1299" s="57"/>
      <c r="AI1299" s="52"/>
      <c r="AJ1299" s="52"/>
      <c r="AK1299" s="58"/>
      <c r="AL1299" s="57"/>
      <c r="AM1299" s="52"/>
      <c r="AN1299" s="52"/>
      <c r="AO1299" s="58"/>
      <c r="AP1299" s="57"/>
      <c r="AQ1299" s="52"/>
      <c r="AR1299" s="52"/>
      <c r="AS1299" s="58"/>
      <c r="AT1299" s="57"/>
      <c r="AU1299" s="52"/>
      <c r="AV1299" s="52"/>
      <c r="AW1299" s="58"/>
      <c r="AX1299" s="33">
        <f t="shared" si="1267"/>
        <v>0</v>
      </c>
      <c r="AY1299" s="31">
        <f t="shared" si="1268"/>
        <v>0</v>
      </c>
      <c r="AZ1299" s="30">
        <f t="shared" si="1269"/>
        <v>0</v>
      </c>
      <c r="BA1299" s="34"/>
      <c r="BB1299" s="34"/>
      <c r="BC1299" s="34"/>
      <c r="BD1299" s="76"/>
      <c r="BE1299" s="34"/>
      <c r="BF1299" s="34"/>
      <c r="BG1299" s="34"/>
      <c r="BH1299" s="34"/>
    </row>
    <row r="1300" spans="1:60" s="17" customFormat="1" ht="19.5" customHeight="1" thickBot="1" x14ac:dyDescent="0.4">
      <c r="A1300" s="41">
        <f t="shared" si="1270"/>
        <v>45446</v>
      </c>
      <c r="B1300" s="37" t="str">
        <f t="shared" si="1264"/>
        <v>Yaka Takma</v>
      </c>
      <c r="C1300" s="65">
        <f t="shared" si="1265"/>
        <v>0</v>
      </c>
      <c r="D1300" s="67">
        <f t="shared" si="1266"/>
        <v>70</v>
      </c>
      <c r="E1300" s="59"/>
      <c r="F1300" s="60"/>
      <c r="G1300" s="61"/>
      <c r="H1300" s="62"/>
      <c r="I1300" s="59"/>
      <c r="J1300" s="60"/>
      <c r="K1300" s="61"/>
      <c r="L1300" s="62"/>
      <c r="M1300" s="59"/>
      <c r="N1300" s="60"/>
      <c r="O1300" s="61"/>
      <c r="P1300" s="62"/>
      <c r="Q1300" s="64"/>
      <c r="R1300" s="61"/>
      <c r="S1300" s="61"/>
      <c r="T1300" s="61"/>
      <c r="U1300" s="62"/>
      <c r="V1300" s="59"/>
      <c r="W1300" s="60"/>
      <c r="X1300" s="61"/>
      <c r="Y1300" s="62"/>
      <c r="Z1300" s="59"/>
      <c r="AA1300" s="60"/>
      <c r="AB1300" s="61"/>
      <c r="AC1300" s="62"/>
      <c r="AD1300" s="59"/>
      <c r="AE1300" s="60"/>
      <c r="AF1300" s="61"/>
      <c r="AG1300" s="62"/>
      <c r="AH1300" s="59"/>
      <c r="AI1300" s="60"/>
      <c r="AJ1300" s="61"/>
      <c r="AK1300" s="62"/>
      <c r="AL1300" s="59"/>
      <c r="AM1300" s="60"/>
      <c r="AN1300" s="61"/>
      <c r="AO1300" s="62"/>
      <c r="AP1300" s="59"/>
      <c r="AQ1300" s="60"/>
      <c r="AR1300" s="61"/>
      <c r="AS1300" s="62"/>
      <c r="AT1300" s="59"/>
      <c r="AU1300" s="60"/>
      <c r="AV1300" s="61"/>
      <c r="AW1300" s="62"/>
      <c r="AX1300" s="33">
        <f t="shared" si="1267"/>
        <v>0</v>
      </c>
      <c r="AY1300" s="31">
        <f t="shared" si="1268"/>
        <v>0</v>
      </c>
      <c r="AZ1300" s="30">
        <f t="shared" si="1269"/>
        <v>0</v>
      </c>
      <c r="BA1300" s="34"/>
      <c r="BB1300" s="34"/>
      <c r="BC1300" s="34"/>
      <c r="BD1300" s="76"/>
      <c r="BE1300" s="34"/>
      <c r="BF1300" s="34"/>
      <c r="BG1300" s="34"/>
      <c r="BH1300" s="34"/>
    </row>
    <row r="1301" spans="1:60" s="17" customFormat="1" ht="19.5" customHeight="1" thickBot="1" x14ac:dyDescent="0.45">
      <c r="A1301" s="41">
        <f t="shared" si="1270"/>
        <v>45446</v>
      </c>
      <c r="B1301" s="139" t="str">
        <f>B1294</f>
        <v>Yaka Takma</v>
      </c>
      <c r="C1301" s="140"/>
      <c r="D1301" s="40">
        <f>C1238/8</f>
        <v>500</v>
      </c>
      <c r="E1301" s="147">
        <f>SUM(E1294:H1300)</f>
        <v>480</v>
      </c>
      <c r="F1301" s="148"/>
      <c r="G1301" s="148"/>
      <c r="H1301" s="149"/>
      <c r="I1301" s="147">
        <f>SUM(I1294:L1300)</f>
        <v>390</v>
      </c>
      <c r="J1301" s="148"/>
      <c r="K1301" s="148"/>
      <c r="L1301" s="149"/>
      <c r="M1301" s="147">
        <f>SUM(M1294:P1300)</f>
        <v>531</v>
      </c>
      <c r="N1301" s="148"/>
      <c r="O1301" s="148"/>
      <c r="P1301" s="149"/>
      <c r="Q1301" s="147">
        <f>SUM(Q1294:U1300)</f>
        <v>670</v>
      </c>
      <c r="R1301" s="148"/>
      <c r="S1301" s="148"/>
      <c r="T1301" s="148"/>
      <c r="U1301" s="149"/>
      <c r="V1301" s="147">
        <f>SUM(V1294:Y1300)</f>
        <v>525</v>
      </c>
      <c r="W1301" s="148"/>
      <c r="X1301" s="148"/>
      <c r="Y1301" s="149"/>
      <c r="Z1301" s="147">
        <f>SUM(Z1294:AC1300)</f>
        <v>435</v>
      </c>
      <c r="AA1301" s="148"/>
      <c r="AB1301" s="148"/>
      <c r="AC1301" s="149"/>
      <c r="AD1301" s="147">
        <f>SUM(AD1294:AG1300)</f>
        <v>450</v>
      </c>
      <c r="AE1301" s="148"/>
      <c r="AF1301" s="148"/>
      <c r="AG1301" s="149"/>
      <c r="AH1301" s="147">
        <f>SUM(AH1294:AK1300)</f>
        <v>315</v>
      </c>
      <c r="AI1301" s="148"/>
      <c r="AJ1301" s="148"/>
      <c r="AK1301" s="149"/>
      <c r="AL1301" s="147">
        <f>SUM(AL1294:AO1300)</f>
        <v>0</v>
      </c>
      <c r="AM1301" s="148"/>
      <c r="AN1301" s="148"/>
      <c r="AO1301" s="149"/>
      <c r="AP1301" s="147">
        <f>SUM(AP1294:AS1300)</f>
        <v>0</v>
      </c>
      <c r="AQ1301" s="148"/>
      <c r="AR1301" s="148"/>
      <c r="AS1301" s="149"/>
      <c r="AT1301" s="147">
        <f>SUM(AT1294:AW1300)</f>
        <v>0</v>
      </c>
      <c r="AU1301" s="148"/>
      <c r="AV1301" s="148"/>
      <c r="AW1301" s="149"/>
      <c r="AX1301" s="87">
        <f>SUM(AX1294:AX1300)</f>
        <v>3796</v>
      </c>
      <c r="AY1301" s="88">
        <f>IFERROR(AVERAGEIF(E1301:AV1301,"&lt;&gt;0",(E1301:AV1301)),)</f>
        <v>474.5</v>
      </c>
      <c r="AZ1301" s="46">
        <f>IFERROR(AX1301/BB1295,0)</f>
        <v>0.94899999999999995</v>
      </c>
      <c r="BA1301" s="34"/>
      <c r="BB1301" s="34"/>
      <c r="BC1301" s="34"/>
      <c r="BD1301" s="76"/>
      <c r="BE1301" s="34"/>
      <c r="BF1301" s="34"/>
      <c r="BG1301" s="34"/>
      <c r="BH1301" s="34"/>
    </row>
    <row r="1302" spans="1:60" s="17" customFormat="1" ht="19.5" customHeight="1" thickBot="1" x14ac:dyDescent="0.4">
      <c r="A1302" s="42">
        <f t="shared" si="1270"/>
        <v>45446</v>
      </c>
      <c r="B1302" s="38" t="str">
        <f>B1303</f>
        <v>Ense Biye</v>
      </c>
      <c r="C1302" s="39" t="s">
        <v>180</v>
      </c>
      <c r="D1302" s="69" t="s">
        <v>181</v>
      </c>
      <c r="E1302" s="48">
        <v>0.34375</v>
      </c>
      <c r="F1302" s="49">
        <v>0.35416666666666669</v>
      </c>
      <c r="G1302" s="49">
        <v>0.36458333333333331</v>
      </c>
      <c r="H1302" s="50">
        <v>0.375</v>
      </c>
      <c r="I1302" s="48">
        <v>0.38541666666666702</v>
      </c>
      <c r="J1302" s="49">
        <v>0.39583333333333298</v>
      </c>
      <c r="K1302" s="49">
        <v>0.40625</v>
      </c>
      <c r="L1302" s="50">
        <v>0.41666666666666702</v>
      </c>
      <c r="M1302" s="48">
        <v>0.4375</v>
      </c>
      <c r="N1302" s="49">
        <v>0.44791666666666702</v>
      </c>
      <c r="O1302" s="49">
        <v>0.45833333333333398</v>
      </c>
      <c r="P1302" s="50">
        <v>0.46875</v>
      </c>
      <c r="Q1302" s="48">
        <v>0.47916666666666702</v>
      </c>
      <c r="R1302" s="49">
        <v>0.48958333333333398</v>
      </c>
      <c r="S1302" s="49">
        <v>0.5</v>
      </c>
      <c r="T1302" s="50">
        <v>0.51041666666666696</v>
      </c>
      <c r="U1302" s="51">
        <v>0.52083333333333204</v>
      </c>
      <c r="V1302" s="48">
        <v>0.5625</v>
      </c>
      <c r="W1302" s="49">
        <v>0.57291666666666663</v>
      </c>
      <c r="X1302" s="49">
        <v>0.58333333333333304</v>
      </c>
      <c r="Y1302" s="50">
        <v>0.59375</v>
      </c>
      <c r="Z1302" s="48">
        <v>0.60416666666666696</v>
      </c>
      <c r="AA1302" s="49">
        <v>0.61458333333333304</v>
      </c>
      <c r="AB1302" s="49">
        <v>0.625</v>
      </c>
      <c r="AC1302" s="50">
        <v>0.63541666666666596</v>
      </c>
      <c r="AD1302" s="48">
        <v>0.65625</v>
      </c>
      <c r="AE1302" s="49">
        <v>0.66666666666666663</v>
      </c>
      <c r="AF1302" s="49">
        <v>0.67708333333333304</v>
      </c>
      <c r="AG1302" s="50">
        <v>0.6875</v>
      </c>
      <c r="AH1302" s="48">
        <v>0.69791666666666696</v>
      </c>
      <c r="AI1302" s="49">
        <v>0.70833333333333304</v>
      </c>
      <c r="AJ1302" s="49">
        <v>0.71875</v>
      </c>
      <c r="AK1302" s="50">
        <v>0.72916666666666696</v>
      </c>
      <c r="AL1302" s="48">
        <v>0.73958333333333404</v>
      </c>
      <c r="AM1302" s="49">
        <v>0.750000000000001</v>
      </c>
      <c r="AN1302" s="49">
        <v>0.76041666666666796</v>
      </c>
      <c r="AO1302" s="50">
        <v>0.77083333333333504</v>
      </c>
      <c r="AP1302" s="48">
        <v>0.781250000000002</v>
      </c>
      <c r="AQ1302" s="49">
        <v>0.79166666666666896</v>
      </c>
      <c r="AR1302" s="49">
        <v>0.80208333333333603</v>
      </c>
      <c r="AS1302" s="50">
        <v>0.812500000000003</v>
      </c>
      <c r="AT1302" s="48">
        <v>0.82291666666666996</v>
      </c>
      <c r="AU1302" s="49">
        <v>0.83333333333333703</v>
      </c>
      <c r="AV1302" s="49">
        <v>0.843750000000004</v>
      </c>
      <c r="AW1302" s="50">
        <v>0.85416666666666663</v>
      </c>
      <c r="AX1302" s="68" t="s">
        <v>260</v>
      </c>
      <c r="AY1302" s="28" t="s">
        <v>261</v>
      </c>
      <c r="AZ1302" s="29" t="s">
        <v>262</v>
      </c>
      <c r="BA1302" s="136" t="str">
        <f>B1303</f>
        <v>Ense Biye</v>
      </c>
      <c r="BB1302" s="137"/>
      <c r="BC1302" s="137"/>
      <c r="BD1302" s="137"/>
      <c r="BE1302" s="137"/>
      <c r="BF1302" s="137"/>
      <c r="BG1302" s="137"/>
      <c r="BH1302" s="138"/>
    </row>
    <row r="1303" spans="1:60" s="17" customFormat="1" ht="19.5" customHeight="1" thickBot="1" x14ac:dyDescent="0.4">
      <c r="A1303" s="41">
        <f t="shared" si="1270"/>
        <v>45446</v>
      </c>
      <c r="B1303" s="37" t="str">
        <f>B1127</f>
        <v>Ense Biye</v>
      </c>
      <c r="C1303" s="65" t="str">
        <f>C1127</f>
        <v>ŞEFİKA KESKİN</v>
      </c>
      <c r="D1303" s="70">
        <f>D1127</f>
        <v>100</v>
      </c>
      <c r="E1303" s="63">
        <v>80</v>
      </c>
      <c r="F1303" s="55">
        <v>95</v>
      </c>
      <c r="G1303" s="55">
        <v>100</v>
      </c>
      <c r="H1303" s="56"/>
      <c r="I1303" s="63"/>
      <c r="J1303" s="55"/>
      <c r="K1303" s="55"/>
      <c r="L1303" s="56"/>
      <c r="M1303" s="63"/>
      <c r="N1303" s="55"/>
      <c r="O1303" s="55"/>
      <c r="P1303" s="56"/>
      <c r="Q1303" s="63"/>
      <c r="R1303" s="55"/>
      <c r="S1303" s="55"/>
      <c r="T1303" s="55"/>
      <c r="U1303" s="56"/>
      <c r="V1303" s="63"/>
      <c r="W1303" s="55"/>
      <c r="X1303" s="55"/>
      <c r="Y1303" s="56"/>
      <c r="Z1303" s="63"/>
      <c r="AA1303" s="55"/>
      <c r="AB1303" s="55"/>
      <c r="AC1303" s="56">
        <v>0</v>
      </c>
      <c r="AD1303" s="63"/>
      <c r="AE1303" s="55"/>
      <c r="AF1303" s="55"/>
      <c r="AG1303" s="56"/>
      <c r="AH1303" s="63"/>
      <c r="AI1303" s="55"/>
      <c r="AJ1303" s="55"/>
      <c r="AK1303" s="56">
        <v>85</v>
      </c>
      <c r="AL1303" s="63"/>
      <c r="AM1303" s="55"/>
      <c r="AN1303" s="55"/>
      <c r="AO1303" s="56"/>
      <c r="AP1303" s="53"/>
      <c r="AQ1303" s="54"/>
      <c r="AR1303" s="55"/>
      <c r="AS1303" s="56"/>
      <c r="AT1303" s="53"/>
      <c r="AU1303" s="54"/>
      <c r="AV1303" s="55"/>
      <c r="AW1303" s="56"/>
      <c r="AX1303" s="33">
        <f>SUM(E1303:AW1303)</f>
        <v>360</v>
      </c>
      <c r="AY1303" s="31">
        <f>IFERROR(AVERAGEIF(E1303:AW1303,"&lt;&gt;0",(E1303:AW1303)),)</f>
        <v>90</v>
      </c>
      <c r="AZ1303" s="30">
        <f>IFERROR(AY1303/D1303,0)</f>
        <v>0.9</v>
      </c>
      <c r="BA1303" s="103" t="s">
        <v>182</v>
      </c>
      <c r="BB1303" s="100" t="s">
        <v>183</v>
      </c>
      <c r="BC1303" s="100" t="s">
        <v>184</v>
      </c>
      <c r="BD1303" s="101" t="s">
        <v>185</v>
      </c>
      <c r="BE1303" s="100" t="s">
        <v>186</v>
      </c>
      <c r="BF1303" s="102" t="s">
        <v>187</v>
      </c>
      <c r="BG1303" s="100" t="s">
        <v>188</v>
      </c>
      <c r="BH1303" s="102" t="s">
        <v>189</v>
      </c>
    </row>
    <row r="1304" spans="1:60" s="17" customFormat="1" ht="19.5" customHeight="1" thickBot="1" x14ac:dyDescent="0.4">
      <c r="A1304" s="41">
        <f t="shared" ref="A1304:B1304" si="1271">A1303</f>
        <v>45446</v>
      </c>
      <c r="B1304" s="37" t="str">
        <f t="shared" si="1271"/>
        <v>Ense Biye</v>
      </c>
      <c r="C1304" s="65" t="s">
        <v>34</v>
      </c>
      <c r="D1304" s="67">
        <f t="shared" ref="D1304:D1309" si="1272">D1303</f>
        <v>100</v>
      </c>
      <c r="E1304" s="57">
        <v>80</v>
      </c>
      <c r="F1304" s="52">
        <v>100</v>
      </c>
      <c r="G1304" s="52">
        <v>100</v>
      </c>
      <c r="H1304" s="58">
        <v>100</v>
      </c>
      <c r="I1304" s="57">
        <v>95</v>
      </c>
      <c r="J1304" s="52">
        <v>100</v>
      </c>
      <c r="K1304" s="52">
        <v>100</v>
      </c>
      <c r="L1304" s="58">
        <v>100</v>
      </c>
      <c r="M1304" s="57">
        <v>100</v>
      </c>
      <c r="N1304" s="52">
        <v>55</v>
      </c>
      <c r="O1304" s="52">
        <v>0</v>
      </c>
      <c r="P1304" s="58">
        <v>0</v>
      </c>
      <c r="Q1304" s="57">
        <v>100</v>
      </c>
      <c r="R1304" s="52">
        <v>110</v>
      </c>
      <c r="S1304" s="52">
        <v>100</v>
      </c>
      <c r="T1304" s="52">
        <v>95</v>
      </c>
      <c r="U1304" s="58">
        <v>100</v>
      </c>
      <c r="V1304" s="57">
        <v>10</v>
      </c>
      <c r="W1304" s="52">
        <v>50</v>
      </c>
      <c r="X1304" s="52">
        <v>0</v>
      </c>
      <c r="Y1304" s="58">
        <v>0</v>
      </c>
      <c r="Z1304" s="57">
        <v>50</v>
      </c>
      <c r="AA1304" s="52">
        <v>90</v>
      </c>
      <c r="AB1304" s="52">
        <v>90</v>
      </c>
      <c r="AC1304" s="58">
        <v>90</v>
      </c>
      <c r="AD1304" s="57">
        <v>90</v>
      </c>
      <c r="AE1304" s="52">
        <v>90</v>
      </c>
      <c r="AF1304" s="52">
        <v>70</v>
      </c>
      <c r="AG1304" s="58"/>
      <c r="AH1304" s="57"/>
      <c r="AI1304" s="52"/>
      <c r="AJ1304" s="52"/>
      <c r="AK1304" s="58"/>
      <c r="AL1304" s="57"/>
      <c r="AM1304" s="52"/>
      <c r="AN1304" s="52"/>
      <c r="AO1304" s="58"/>
      <c r="AP1304" s="57"/>
      <c r="AQ1304" s="52"/>
      <c r="AR1304" s="52"/>
      <c r="AS1304" s="58"/>
      <c r="AT1304" s="57"/>
      <c r="AU1304" s="52"/>
      <c r="AV1304" s="52"/>
      <c r="AW1304" s="58"/>
      <c r="AX1304" s="33">
        <f t="shared" ref="AX1304:AX1309" si="1273">SUM(E1304:AW1304)</f>
        <v>2065</v>
      </c>
      <c r="AY1304" s="31">
        <f t="shared" ref="AY1304:AY1309" si="1274">IFERROR(AVERAGEIF(E1304:AW1304,"&lt;&gt;0",(E1304:AW1304)),)</f>
        <v>86.041666666666671</v>
      </c>
      <c r="AZ1304" s="30">
        <f t="shared" ref="AZ1304:AZ1309" si="1275">IFERROR(AY1304/D1304,0)</f>
        <v>0.86041666666666672</v>
      </c>
      <c r="BA1304" s="94">
        <f>AX1310+BA1128</f>
        <v>18177</v>
      </c>
      <c r="BB1304" s="95">
        <f>(D1310*8)</f>
        <v>4000</v>
      </c>
      <c r="BC1304" s="96">
        <f>C1237-BA1304</f>
        <v>24134</v>
      </c>
      <c r="BD1304" s="96">
        <f>BA1295-BA1304</f>
        <v>307</v>
      </c>
      <c r="BE1304" s="97">
        <f>IFERROR(BC1304/E1310,0)</f>
        <v>35.078488372093027</v>
      </c>
      <c r="BF1304" s="98">
        <f>IFERROR(BE1304/9,0)</f>
        <v>3.8976098191214472</v>
      </c>
      <c r="BG1304" s="97">
        <f>IFERROR(BC1304/AY1310,0)</f>
        <v>47.801931171081954</v>
      </c>
      <c r="BH1304" s="97">
        <f>IFERROR(BG1304/9,0)</f>
        <v>5.3113256856757722</v>
      </c>
    </row>
    <row r="1305" spans="1:60" s="17" customFormat="1" ht="19.5" customHeight="1" x14ac:dyDescent="0.35">
      <c r="A1305" s="41">
        <f t="shared" ref="A1305:B1305" si="1276">A1304</f>
        <v>45446</v>
      </c>
      <c r="B1305" s="37" t="str">
        <f t="shared" si="1276"/>
        <v>Ense Biye</v>
      </c>
      <c r="C1305" s="65" t="s">
        <v>56</v>
      </c>
      <c r="D1305" s="67">
        <f t="shared" si="1272"/>
        <v>100</v>
      </c>
      <c r="E1305" s="57"/>
      <c r="F1305" s="52"/>
      <c r="G1305" s="52"/>
      <c r="H1305" s="58">
        <v>33</v>
      </c>
      <c r="I1305" s="57">
        <v>45</v>
      </c>
      <c r="J1305" s="52">
        <v>55</v>
      </c>
      <c r="K1305" s="52">
        <v>50</v>
      </c>
      <c r="L1305" s="58">
        <v>50</v>
      </c>
      <c r="M1305" s="57">
        <v>50</v>
      </c>
      <c r="N1305" s="52">
        <v>60</v>
      </c>
      <c r="O1305" s="52">
        <v>60</v>
      </c>
      <c r="P1305" s="58">
        <v>55</v>
      </c>
      <c r="Q1305" s="57">
        <v>55</v>
      </c>
      <c r="R1305" s="52">
        <v>60</v>
      </c>
      <c r="S1305" s="52">
        <v>60</v>
      </c>
      <c r="T1305" s="52">
        <v>53</v>
      </c>
      <c r="U1305" s="58">
        <v>60</v>
      </c>
      <c r="V1305" s="57">
        <v>60</v>
      </c>
      <c r="W1305" s="52">
        <v>60</v>
      </c>
      <c r="X1305" s="52">
        <v>60</v>
      </c>
      <c r="Y1305" s="58">
        <v>60</v>
      </c>
      <c r="Z1305" s="57">
        <v>60</v>
      </c>
      <c r="AA1305" s="52">
        <v>62</v>
      </c>
      <c r="AB1305" s="52">
        <v>63</v>
      </c>
      <c r="AC1305" s="58">
        <v>35</v>
      </c>
      <c r="AD1305" s="57">
        <v>60</v>
      </c>
      <c r="AE1305" s="52">
        <v>60</v>
      </c>
      <c r="AF1305" s="52">
        <v>45</v>
      </c>
      <c r="AG1305" s="58">
        <v>57</v>
      </c>
      <c r="AH1305" s="57">
        <v>60</v>
      </c>
      <c r="AI1305" s="52">
        <v>56</v>
      </c>
      <c r="AJ1305" s="52">
        <v>70</v>
      </c>
      <c r="AK1305" s="58"/>
      <c r="AL1305" s="57"/>
      <c r="AM1305" s="52"/>
      <c r="AN1305" s="52"/>
      <c r="AO1305" s="58"/>
      <c r="AP1305" s="57"/>
      <c r="AQ1305" s="52"/>
      <c r="AR1305" s="52"/>
      <c r="AS1305" s="58"/>
      <c r="AT1305" s="57"/>
      <c r="AU1305" s="52"/>
      <c r="AV1305" s="52"/>
      <c r="AW1305" s="58"/>
      <c r="AX1305" s="33">
        <f t="shared" si="1273"/>
        <v>1614</v>
      </c>
      <c r="AY1305" s="31">
        <f t="shared" si="1274"/>
        <v>55.655172413793103</v>
      </c>
      <c r="AZ1305" s="30">
        <f t="shared" si="1275"/>
        <v>0.55655172413793108</v>
      </c>
      <c r="BA1305" s="34"/>
      <c r="BB1305" s="34"/>
      <c r="BC1305" s="34"/>
      <c r="BD1305" s="76"/>
      <c r="BE1305" s="34"/>
      <c r="BF1305" s="34"/>
      <c r="BG1305" s="34"/>
      <c r="BH1305" s="34"/>
    </row>
    <row r="1306" spans="1:60" s="17" customFormat="1" ht="19.5" customHeight="1" x14ac:dyDescent="0.35">
      <c r="A1306" s="41">
        <f t="shared" ref="A1306:B1306" si="1277">A1305</f>
        <v>45446</v>
      </c>
      <c r="B1306" s="37" t="str">
        <f t="shared" si="1277"/>
        <v>Ense Biye</v>
      </c>
      <c r="C1306" s="65">
        <f t="shared" ref="C1306:C1309" si="1278">C1130</f>
        <v>0</v>
      </c>
      <c r="D1306" s="67">
        <f t="shared" si="1272"/>
        <v>100</v>
      </c>
      <c r="E1306" s="57"/>
      <c r="F1306" s="52"/>
      <c r="G1306" s="52"/>
      <c r="H1306" s="58"/>
      <c r="I1306" s="57"/>
      <c r="J1306" s="52"/>
      <c r="K1306" s="52"/>
      <c r="L1306" s="58"/>
      <c r="M1306" s="57"/>
      <c r="N1306" s="52"/>
      <c r="O1306" s="52"/>
      <c r="P1306" s="58"/>
      <c r="Q1306" s="57"/>
      <c r="R1306" s="52"/>
      <c r="S1306" s="52"/>
      <c r="T1306" s="52"/>
      <c r="U1306" s="58"/>
      <c r="V1306" s="57"/>
      <c r="W1306" s="52"/>
      <c r="X1306" s="52"/>
      <c r="Y1306" s="58"/>
      <c r="Z1306" s="57"/>
      <c r="AA1306" s="52"/>
      <c r="AB1306" s="52"/>
      <c r="AC1306" s="58"/>
      <c r="AD1306" s="57"/>
      <c r="AE1306" s="52"/>
      <c r="AF1306" s="52"/>
      <c r="AG1306" s="58"/>
      <c r="AH1306" s="57"/>
      <c r="AI1306" s="52"/>
      <c r="AJ1306" s="52"/>
      <c r="AK1306" s="58"/>
      <c r="AL1306" s="57"/>
      <c r="AM1306" s="52"/>
      <c r="AN1306" s="52"/>
      <c r="AO1306" s="58"/>
      <c r="AP1306" s="57"/>
      <c r="AQ1306" s="52"/>
      <c r="AR1306" s="52"/>
      <c r="AS1306" s="58"/>
      <c r="AT1306" s="57"/>
      <c r="AU1306" s="52"/>
      <c r="AV1306" s="52"/>
      <c r="AW1306" s="58"/>
      <c r="AX1306" s="33">
        <f t="shared" si="1273"/>
        <v>0</v>
      </c>
      <c r="AY1306" s="31">
        <f t="shared" si="1274"/>
        <v>0</v>
      </c>
      <c r="AZ1306" s="30">
        <f t="shared" si="1275"/>
        <v>0</v>
      </c>
      <c r="BA1306" s="34"/>
      <c r="BB1306" s="34"/>
      <c r="BC1306" s="34"/>
      <c r="BD1306" s="76"/>
      <c r="BE1306" s="34"/>
      <c r="BF1306" s="34"/>
      <c r="BG1306" s="34"/>
      <c r="BH1306" s="34"/>
    </row>
    <row r="1307" spans="1:60" s="17" customFormat="1" ht="19.5" customHeight="1" x14ac:dyDescent="0.35">
      <c r="A1307" s="41">
        <f>A1304</f>
        <v>45446</v>
      </c>
      <c r="B1307" s="37" t="str">
        <f t="shared" ref="B1307" si="1279">B1306</f>
        <v>Ense Biye</v>
      </c>
      <c r="C1307" s="65">
        <f t="shared" si="1278"/>
        <v>0</v>
      </c>
      <c r="D1307" s="67">
        <f t="shared" si="1272"/>
        <v>100</v>
      </c>
      <c r="E1307" s="57"/>
      <c r="F1307" s="52"/>
      <c r="G1307" s="52"/>
      <c r="H1307" s="58"/>
      <c r="I1307" s="57"/>
      <c r="J1307" s="52"/>
      <c r="K1307" s="52"/>
      <c r="L1307" s="58"/>
      <c r="M1307" s="57"/>
      <c r="N1307" s="52"/>
      <c r="O1307" s="52"/>
      <c r="P1307" s="58"/>
      <c r="Q1307" s="57"/>
      <c r="R1307" s="52"/>
      <c r="S1307" s="52"/>
      <c r="T1307" s="52"/>
      <c r="U1307" s="58"/>
      <c r="V1307" s="57"/>
      <c r="W1307" s="52"/>
      <c r="X1307" s="52"/>
      <c r="Y1307" s="58"/>
      <c r="Z1307" s="57"/>
      <c r="AA1307" s="52"/>
      <c r="AB1307" s="52"/>
      <c r="AC1307" s="58"/>
      <c r="AD1307" s="57"/>
      <c r="AE1307" s="52"/>
      <c r="AF1307" s="52"/>
      <c r="AG1307" s="58"/>
      <c r="AH1307" s="57"/>
      <c r="AI1307" s="52"/>
      <c r="AJ1307" s="52"/>
      <c r="AK1307" s="58"/>
      <c r="AL1307" s="57"/>
      <c r="AM1307" s="52"/>
      <c r="AN1307" s="52"/>
      <c r="AO1307" s="58"/>
      <c r="AP1307" s="57"/>
      <c r="AQ1307" s="52"/>
      <c r="AR1307" s="52"/>
      <c r="AS1307" s="58"/>
      <c r="AT1307" s="57"/>
      <c r="AU1307" s="52"/>
      <c r="AV1307" s="52"/>
      <c r="AW1307" s="58"/>
      <c r="AX1307" s="33">
        <f t="shared" si="1273"/>
        <v>0</v>
      </c>
      <c r="AY1307" s="31">
        <f t="shared" si="1274"/>
        <v>0</v>
      </c>
      <c r="AZ1307" s="30">
        <f t="shared" si="1275"/>
        <v>0</v>
      </c>
      <c r="BA1307" s="34"/>
      <c r="BB1307" s="34"/>
      <c r="BC1307" s="34"/>
      <c r="BD1307" s="76"/>
      <c r="BE1307" s="34"/>
      <c r="BF1307" s="34"/>
      <c r="BG1307" s="34"/>
      <c r="BH1307" s="34"/>
    </row>
    <row r="1308" spans="1:60" s="17" customFormat="1" ht="19.5" customHeight="1" x14ac:dyDescent="0.35">
      <c r="A1308" s="41">
        <f>A1307</f>
        <v>45446</v>
      </c>
      <c r="B1308" s="37" t="str">
        <f t="shared" ref="B1308" si="1280">B1307</f>
        <v>Ense Biye</v>
      </c>
      <c r="C1308" s="65">
        <f t="shared" si="1278"/>
        <v>0</v>
      </c>
      <c r="D1308" s="67">
        <f t="shared" si="1272"/>
        <v>100</v>
      </c>
      <c r="E1308" s="57"/>
      <c r="F1308" s="52"/>
      <c r="G1308" s="52"/>
      <c r="H1308" s="58"/>
      <c r="I1308" s="57"/>
      <c r="J1308" s="52"/>
      <c r="K1308" s="52"/>
      <c r="L1308" s="58"/>
      <c r="M1308" s="57"/>
      <c r="N1308" s="52"/>
      <c r="O1308" s="52"/>
      <c r="P1308" s="58"/>
      <c r="Q1308" s="57"/>
      <c r="R1308" s="52"/>
      <c r="S1308" s="52"/>
      <c r="T1308" s="52"/>
      <c r="U1308" s="58"/>
      <c r="V1308" s="57"/>
      <c r="W1308" s="52"/>
      <c r="X1308" s="52"/>
      <c r="Y1308" s="58"/>
      <c r="Z1308" s="57"/>
      <c r="AA1308" s="52"/>
      <c r="AB1308" s="52"/>
      <c r="AC1308" s="58"/>
      <c r="AD1308" s="57"/>
      <c r="AE1308" s="52"/>
      <c r="AF1308" s="52"/>
      <c r="AG1308" s="58"/>
      <c r="AH1308" s="57"/>
      <c r="AI1308" s="52"/>
      <c r="AJ1308" s="52"/>
      <c r="AK1308" s="58"/>
      <c r="AL1308" s="57"/>
      <c r="AM1308" s="52"/>
      <c r="AN1308" s="52"/>
      <c r="AO1308" s="58"/>
      <c r="AP1308" s="57"/>
      <c r="AQ1308" s="52"/>
      <c r="AR1308" s="52"/>
      <c r="AS1308" s="58"/>
      <c r="AT1308" s="57"/>
      <c r="AU1308" s="52"/>
      <c r="AV1308" s="52"/>
      <c r="AW1308" s="58"/>
      <c r="AX1308" s="33">
        <f t="shared" si="1273"/>
        <v>0</v>
      </c>
      <c r="AY1308" s="31">
        <f t="shared" si="1274"/>
        <v>0</v>
      </c>
      <c r="AZ1308" s="30">
        <f t="shared" si="1275"/>
        <v>0</v>
      </c>
      <c r="BA1308" s="34"/>
      <c r="BB1308" s="34"/>
      <c r="BC1308" s="34"/>
      <c r="BD1308" s="76"/>
      <c r="BE1308" s="34"/>
      <c r="BF1308" s="34"/>
      <c r="BG1308" s="34"/>
      <c r="BH1308" s="34"/>
    </row>
    <row r="1309" spans="1:60" s="17" customFormat="1" ht="19.5" customHeight="1" thickBot="1" x14ac:dyDescent="0.4">
      <c r="A1309" s="41">
        <f>A1308</f>
        <v>45446</v>
      </c>
      <c r="B1309" s="37" t="str">
        <f t="shared" ref="B1309" si="1281">B1308</f>
        <v>Ense Biye</v>
      </c>
      <c r="C1309" s="65">
        <f t="shared" si="1278"/>
        <v>0</v>
      </c>
      <c r="D1309" s="67">
        <f t="shared" si="1272"/>
        <v>100</v>
      </c>
      <c r="E1309" s="59"/>
      <c r="F1309" s="60"/>
      <c r="G1309" s="61"/>
      <c r="H1309" s="62"/>
      <c r="I1309" s="59"/>
      <c r="J1309" s="60"/>
      <c r="K1309" s="61"/>
      <c r="L1309" s="62"/>
      <c r="M1309" s="59"/>
      <c r="N1309" s="60"/>
      <c r="O1309" s="61"/>
      <c r="P1309" s="62"/>
      <c r="Q1309" s="64"/>
      <c r="R1309" s="61"/>
      <c r="S1309" s="61"/>
      <c r="T1309" s="61"/>
      <c r="U1309" s="62"/>
      <c r="V1309" s="59"/>
      <c r="W1309" s="60"/>
      <c r="X1309" s="61"/>
      <c r="Y1309" s="62"/>
      <c r="Z1309" s="59"/>
      <c r="AA1309" s="60"/>
      <c r="AB1309" s="61"/>
      <c r="AC1309" s="62"/>
      <c r="AD1309" s="59"/>
      <c r="AE1309" s="60"/>
      <c r="AF1309" s="61"/>
      <c r="AG1309" s="62"/>
      <c r="AH1309" s="59"/>
      <c r="AI1309" s="60"/>
      <c r="AJ1309" s="61"/>
      <c r="AK1309" s="62"/>
      <c r="AL1309" s="59"/>
      <c r="AM1309" s="60"/>
      <c r="AN1309" s="61"/>
      <c r="AO1309" s="62"/>
      <c r="AP1309" s="59"/>
      <c r="AQ1309" s="60"/>
      <c r="AR1309" s="61"/>
      <c r="AS1309" s="62"/>
      <c r="AT1309" s="59"/>
      <c r="AU1309" s="60"/>
      <c r="AV1309" s="61"/>
      <c r="AW1309" s="62"/>
      <c r="AX1309" s="33">
        <f t="shared" si="1273"/>
        <v>0</v>
      </c>
      <c r="AY1309" s="31">
        <f t="shared" si="1274"/>
        <v>0</v>
      </c>
      <c r="AZ1309" s="30">
        <f t="shared" si="1275"/>
        <v>0</v>
      </c>
      <c r="BA1309" s="34"/>
      <c r="BB1309" s="34"/>
      <c r="BC1309" s="34"/>
      <c r="BD1309" s="76"/>
      <c r="BE1309" s="34"/>
      <c r="BF1309" s="34"/>
      <c r="BG1309" s="34"/>
      <c r="BH1309" s="34"/>
    </row>
    <row r="1310" spans="1:60" s="17" customFormat="1" ht="19.5" customHeight="1" thickBot="1" x14ac:dyDescent="0.45">
      <c r="A1310" s="41">
        <f>A1309</f>
        <v>45446</v>
      </c>
      <c r="B1310" s="139" t="str">
        <f>B1303</f>
        <v>Ense Biye</v>
      </c>
      <c r="C1310" s="140"/>
      <c r="D1310" s="40">
        <f>C1238/8</f>
        <v>500</v>
      </c>
      <c r="E1310" s="147">
        <f>SUM(E1303:H1309)</f>
        <v>688</v>
      </c>
      <c r="F1310" s="148"/>
      <c r="G1310" s="148"/>
      <c r="H1310" s="149"/>
      <c r="I1310" s="147">
        <f>SUM(I1303:L1309)</f>
        <v>595</v>
      </c>
      <c r="J1310" s="148"/>
      <c r="K1310" s="148"/>
      <c r="L1310" s="149"/>
      <c r="M1310" s="147">
        <f>SUM(M1303:P1309)</f>
        <v>380</v>
      </c>
      <c r="N1310" s="148"/>
      <c r="O1310" s="148"/>
      <c r="P1310" s="149"/>
      <c r="Q1310" s="147">
        <f>SUM(Q1303:U1309)</f>
        <v>793</v>
      </c>
      <c r="R1310" s="148"/>
      <c r="S1310" s="148"/>
      <c r="T1310" s="148"/>
      <c r="U1310" s="149"/>
      <c r="V1310" s="147">
        <f>SUM(V1303:Y1309)</f>
        <v>300</v>
      </c>
      <c r="W1310" s="148"/>
      <c r="X1310" s="148"/>
      <c r="Y1310" s="149"/>
      <c r="Z1310" s="147">
        <f>SUM(Z1303:AC1309)</f>
        <v>540</v>
      </c>
      <c r="AA1310" s="148"/>
      <c r="AB1310" s="148"/>
      <c r="AC1310" s="149"/>
      <c r="AD1310" s="147">
        <f>SUM(AD1303:AG1309)</f>
        <v>472</v>
      </c>
      <c r="AE1310" s="148"/>
      <c r="AF1310" s="148"/>
      <c r="AG1310" s="149"/>
      <c r="AH1310" s="147">
        <f>SUM(AH1303:AK1309)</f>
        <v>271</v>
      </c>
      <c r="AI1310" s="148"/>
      <c r="AJ1310" s="148"/>
      <c r="AK1310" s="149"/>
      <c r="AL1310" s="147">
        <f>SUM(AL1303:AO1309)</f>
        <v>0</v>
      </c>
      <c r="AM1310" s="148"/>
      <c r="AN1310" s="148"/>
      <c r="AO1310" s="149"/>
      <c r="AP1310" s="147">
        <f>SUM(AP1303:AS1309)</f>
        <v>0</v>
      </c>
      <c r="AQ1310" s="148"/>
      <c r="AR1310" s="148"/>
      <c r="AS1310" s="149"/>
      <c r="AT1310" s="147">
        <f>SUM(AT1303:AW1309)</f>
        <v>0</v>
      </c>
      <c r="AU1310" s="148"/>
      <c r="AV1310" s="148"/>
      <c r="AW1310" s="149"/>
      <c r="AX1310" s="87">
        <f>SUM(AX1303:AX1309)</f>
        <v>4039</v>
      </c>
      <c r="AY1310" s="88">
        <f>IFERROR(AVERAGEIF(E1310:AV1310,"&lt;&gt;0",(E1310:AV1310)),)</f>
        <v>504.875</v>
      </c>
      <c r="AZ1310" s="46">
        <f>IFERROR(AX1310/BB1304,0)</f>
        <v>1.0097499999999999</v>
      </c>
      <c r="BA1310" s="34"/>
      <c r="BB1310" s="34"/>
      <c r="BC1310" s="34"/>
      <c r="BD1310" s="76"/>
      <c r="BE1310" s="34"/>
      <c r="BF1310" s="34"/>
      <c r="BG1310" s="34"/>
      <c r="BH1310" s="34"/>
    </row>
    <row r="1311" spans="1:60" s="17" customFormat="1" ht="19.5" customHeight="1" thickBot="1" x14ac:dyDescent="0.4">
      <c r="A1311" s="42">
        <f>A1301</f>
        <v>45446</v>
      </c>
      <c r="B1311" s="38" t="str">
        <f>B1312</f>
        <v>Yaka Basma 1 Et.(Beden)</v>
      </c>
      <c r="C1311" s="39" t="s">
        <v>180</v>
      </c>
      <c r="D1311" s="69" t="s">
        <v>181</v>
      </c>
      <c r="E1311" s="48">
        <v>0.34375</v>
      </c>
      <c r="F1311" s="49">
        <v>0.35416666666666669</v>
      </c>
      <c r="G1311" s="49">
        <v>0.36458333333333331</v>
      </c>
      <c r="H1311" s="50">
        <v>0.375</v>
      </c>
      <c r="I1311" s="48">
        <v>0.38541666666666702</v>
      </c>
      <c r="J1311" s="49">
        <v>0.39583333333333298</v>
      </c>
      <c r="K1311" s="49">
        <v>0.40625</v>
      </c>
      <c r="L1311" s="50">
        <v>0.41666666666666702</v>
      </c>
      <c r="M1311" s="48">
        <v>0.4375</v>
      </c>
      <c r="N1311" s="49">
        <v>0.44791666666666702</v>
      </c>
      <c r="O1311" s="49">
        <v>0.45833333333333398</v>
      </c>
      <c r="P1311" s="50">
        <v>0.46875</v>
      </c>
      <c r="Q1311" s="48">
        <v>0.47916666666666702</v>
      </c>
      <c r="R1311" s="49">
        <v>0.48958333333333398</v>
      </c>
      <c r="S1311" s="49">
        <v>0.5</v>
      </c>
      <c r="T1311" s="50">
        <v>0.51041666666666696</v>
      </c>
      <c r="U1311" s="51">
        <v>0.52083333333333204</v>
      </c>
      <c r="V1311" s="48">
        <v>0.5625</v>
      </c>
      <c r="W1311" s="49">
        <v>0.57291666666666663</v>
      </c>
      <c r="X1311" s="49">
        <v>0.58333333333333304</v>
      </c>
      <c r="Y1311" s="50">
        <v>0.59375</v>
      </c>
      <c r="Z1311" s="48">
        <v>0.60416666666666696</v>
      </c>
      <c r="AA1311" s="49">
        <v>0.61458333333333304</v>
      </c>
      <c r="AB1311" s="49">
        <v>0.625</v>
      </c>
      <c r="AC1311" s="50">
        <v>0.63541666666666596</v>
      </c>
      <c r="AD1311" s="48">
        <v>0.65625</v>
      </c>
      <c r="AE1311" s="49">
        <v>0.66666666666666663</v>
      </c>
      <c r="AF1311" s="49">
        <v>0.67708333333333304</v>
      </c>
      <c r="AG1311" s="50">
        <v>0.6875</v>
      </c>
      <c r="AH1311" s="48">
        <v>0.69791666666666696</v>
      </c>
      <c r="AI1311" s="49">
        <v>0.70833333333333304</v>
      </c>
      <c r="AJ1311" s="49">
        <v>0.71875</v>
      </c>
      <c r="AK1311" s="50">
        <v>0.72916666666666696</v>
      </c>
      <c r="AL1311" s="48">
        <v>0.73958333333333404</v>
      </c>
      <c r="AM1311" s="49">
        <v>0.750000000000001</v>
      </c>
      <c r="AN1311" s="49">
        <v>0.76041666666666796</v>
      </c>
      <c r="AO1311" s="50">
        <v>0.77083333333333504</v>
      </c>
      <c r="AP1311" s="48">
        <v>0.781250000000002</v>
      </c>
      <c r="AQ1311" s="49">
        <v>0.79166666666666896</v>
      </c>
      <c r="AR1311" s="49">
        <v>0.80208333333333603</v>
      </c>
      <c r="AS1311" s="50">
        <v>0.812500000000003</v>
      </c>
      <c r="AT1311" s="48">
        <v>0.82291666666666996</v>
      </c>
      <c r="AU1311" s="49">
        <v>0.83333333333333703</v>
      </c>
      <c r="AV1311" s="49">
        <v>0.843750000000004</v>
      </c>
      <c r="AW1311" s="50">
        <v>0.85416666666666663</v>
      </c>
      <c r="AX1311" s="68" t="s">
        <v>260</v>
      </c>
      <c r="AY1311" s="28" t="s">
        <v>261</v>
      </c>
      <c r="AZ1311" s="29" t="s">
        <v>262</v>
      </c>
      <c r="BA1311" s="136" t="str">
        <f>B1312</f>
        <v>Yaka Basma 1 Et.(Beden)</v>
      </c>
      <c r="BB1311" s="137"/>
      <c r="BC1311" s="137"/>
      <c r="BD1311" s="137"/>
      <c r="BE1311" s="137"/>
      <c r="BF1311" s="137"/>
      <c r="BG1311" s="137"/>
      <c r="BH1311" s="138"/>
    </row>
    <row r="1312" spans="1:60" s="17" customFormat="1" ht="19.5" customHeight="1" thickBot="1" x14ac:dyDescent="0.4">
      <c r="A1312" s="41">
        <f t="shared" ref="A1312" si="1282">A1311</f>
        <v>45446</v>
      </c>
      <c r="B1312" s="37" t="str">
        <f>B1136</f>
        <v>Yaka Basma 1 Et.(Beden)</v>
      </c>
      <c r="C1312" s="65" t="str">
        <f>C1136</f>
        <v>NESRİN ALTUNSÖZ</v>
      </c>
      <c r="D1312" s="70">
        <f>D1136</f>
        <v>60</v>
      </c>
      <c r="E1312" s="63">
        <v>40</v>
      </c>
      <c r="F1312" s="55">
        <v>50</v>
      </c>
      <c r="G1312" s="55">
        <v>50</v>
      </c>
      <c r="H1312" s="56">
        <v>65</v>
      </c>
      <c r="I1312" s="63">
        <v>55</v>
      </c>
      <c r="J1312" s="55">
        <v>50</v>
      </c>
      <c r="K1312" s="55">
        <v>60</v>
      </c>
      <c r="L1312" s="56">
        <v>50</v>
      </c>
      <c r="M1312" s="63">
        <v>65</v>
      </c>
      <c r="N1312" s="55">
        <v>75</v>
      </c>
      <c r="O1312" s="55">
        <v>65</v>
      </c>
      <c r="P1312" s="56">
        <v>60</v>
      </c>
      <c r="Q1312" s="63">
        <v>40</v>
      </c>
      <c r="R1312" s="55">
        <v>60</v>
      </c>
      <c r="S1312" s="55">
        <v>60</v>
      </c>
      <c r="T1312" s="55">
        <v>60</v>
      </c>
      <c r="U1312" s="56">
        <v>60</v>
      </c>
      <c r="V1312" s="63">
        <v>50</v>
      </c>
      <c r="W1312" s="55">
        <v>55</v>
      </c>
      <c r="X1312" s="55">
        <v>62</v>
      </c>
      <c r="Y1312" s="56">
        <v>70</v>
      </c>
      <c r="Z1312" s="63">
        <v>60</v>
      </c>
      <c r="AA1312" s="55">
        <v>62</v>
      </c>
      <c r="AB1312" s="55">
        <v>62</v>
      </c>
      <c r="AC1312" s="56">
        <v>58</v>
      </c>
      <c r="AD1312" s="63">
        <v>53</v>
      </c>
      <c r="AE1312" s="55">
        <v>55</v>
      </c>
      <c r="AF1312" s="55">
        <v>50</v>
      </c>
      <c r="AG1312" s="56">
        <v>40</v>
      </c>
      <c r="AH1312" s="63">
        <v>50</v>
      </c>
      <c r="AI1312" s="55">
        <v>50</v>
      </c>
      <c r="AJ1312" s="55">
        <v>40</v>
      </c>
      <c r="AK1312" s="56"/>
      <c r="AL1312" s="63"/>
      <c r="AM1312" s="55"/>
      <c r="AN1312" s="55"/>
      <c r="AO1312" s="56"/>
      <c r="AP1312" s="63"/>
      <c r="AQ1312" s="55"/>
      <c r="AR1312" s="55"/>
      <c r="AS1312" s="56"/>
      <c r="AT1312" s="53"/>
      <c r="AU1312" s="54"/>
      <c r="AV1312" s="55"/>
      <c r="AW1312" s="56"/>
      <c r="AX1312" s="33">
        <f>SUM(E1312:AW1312)</f>
        <v>1782</v>
      </c>
      <c r="AY1312" s="31">
        <f>IFERROR(AVERAGEIF(E1312:AW1312,"&lt;&gt;0",(E1312:AW1312)),)</f>
        <v>55.6875</v>
      </c>
      <c r="AZ1312" s="30">
        <f>IFERROR(AY1312/D1312,0)</f>
        <v>0.92812499999999998</v>
      </c>
      <c r="BA1312" s="103" t="s">
        <v>182</v>
      </c>
      <c r="BB1312" s="100" t="s">
        <v>183</v>
      </c>
      <c r="BC1312" s="100" t="s">
        <v>184</v>
      </c>
      <c r="BD1312" s="101" t="s">
        <v>185</v>
      </c>
      <c r="BE1312" s="100" t="s">
        <v>186</v>
      </c>
      <c r="BF1312" s="102" t="s">
        <v>187</v>
      </c>
      <c r="BG1312" s="100" t="s">
        <v>188</v>
      </c>
      <c r="BH1312" s="102" t="s">
        <v>189</v>
      </c>
    </row>
    <row r="1313" spans="1:60" s="17" customFormat="1" ht="19.5" customHeight="1" thickBot="1" x14ac:dyDescent="0.4">
      <c r="A1313" s="41">
        <f t="shared" ref="A1313:B1313" si="1283">A1312</f>
        <v>45446</v>
      </c>
      <c r="B1313" s="37" t="str">
        <f t="shared" si="1283"/>
        <v>Yaka Basma 1 Et.(Beden)</v>
      </c>
      <c r="C1313" s="65" t="str">
        <f t="shared" ref="C1313:C1318" si="1284">C1137</f>
        <v>SERPİL ÇİMEN</v>
      </c>
      <c r="D1313" s="67">
        <f t="shared" ref="D1313:D1318" si="1285">D1312</f>
        <v>60</v>
      </c>
      <c r="E1313" s="57">
        <v>60</v>
      </c>
      <c r="F1313" s="52">
        <v>60</v>
      </c>
      <c r="G1313" s="52">
        <v>60</v>
      </c>
      <c r="H1313" s="58">
        <v>72</v>
      </c>
      <c r="I1313" s="57">
        <v>60</v>
      </c>
      <c r="J1313" s="52">
        <v>65</v>
      </c>
      <c r="K1313" s="52">
        <v>45</v>
      </c>
      <c r="L1313" s="58">
        <v>63</v>
      </c>
      <c r="M1313" s="57">
        <v>60</v>
      </c>
      <c r="N1313" s="52">
        <v>80</v>
      </c>
      <c r="O1313" s="52">
        <v>60</v>
      </c>
      <c r="P1313" s="58">
        <v>41</v>
      </c>
      <c r="Q1313" s="57">
        <v>63</v>
      </c>
      <c r="R1313" s="52">
        <v>65</v>
      </c>
      <c r="S1313" s="52">
        <v>60</v>
      </c>
      <c r="T1313" s="52">
        <v>66</v>
      </c>
      <c r="U1313" s="58">
        <v>60</v>
      </c>
      <c r="V1313" s="57">
        <v>60</v>
      </c>
      <c r="W1313" s="52">
        <v>60</v>
      </c>
      <c r="X1313" s="52">
        <v>60</v>
      </c>
      <c r="Y1313" s="58">
        <v>45</v>
      </c>
      <c r="Z1313" s="57">
        <v>65</v>
      </c>
      <c r="AA1313" s="52">
        <v>65</v>
      </c>
      <c r="AB1313" s="52">
        <v>62</v>
      </c>
      <c r="AC1313" s="58">
        <v>60</v>
      </c>
      <c r="AD1313" s="57">
        <v>61</v>
      </c>
      <c r="AE1313" s="52">
        <v>60</v>
      </c>
      <c r="AF1313" s="52">
        <v>60</v>
      </c>
      <c r="AG1313" s="58">
        <v>23</v>
      </c>
      <c r="AH1313" s="57">
        <v>55</v>
      </c>
      <c r="AI1313" s="52">
        <v>55</v>
      </c>
      <c r="AJ1313" s="52">
        <v>55</v>
      </c>
      <c r="AK1313" s="58"/>
      <c r="AL1313" s="57"/>
      <c r="AM1313" s="52"/>
      <c r="AN1313" s="52"/>
      <c r="AO1313" s="58"/>
      <c r="AP1313" s="57"/>
      <c r="AQ1313" s="52"/>
      <c r="AR1313" s="52"/>
      <c r="AS1313" s="58"/>
      <c r="AT1313" s="57"/>
      <c r="AU1313" s="52"/>
      <c r="AV1313" s="52"/>
      <c r="AW1313" s="58"/>
      <c r="AX1313" s="33">
        <f t="shared" ref="AX1313:AX1318" si="1286">SUM(E1313:AW1313)</f>
        <v>1886</v>
      </c>
      <c r="AY1313" s="31">
        <f t="shared" ref="AY1313:AY1318" si="1287">IFERROR(AVERAGEIF(E1313:AW1313,"&lt;&gt;0",(E1313:AW1313)),)</f>
        <v>58.9375</v>
      </c>
      <c r="AZ1313" s="30">
        <f t="shared" ref="AZ1313:AZ1318" si="1288">IFERROR(AY1313/D1313,0)</f>
        <v>0.98229166666666667</v>
      </c>
      <c r="BA1313" s="94">
        <f>AX1319+BA1137</f>
        <v>18053</v>
      </c>
      <c r="BB1313" s="95">
        <f>(D1319*8)</f>
        <v>4000</v>
      </c>
      <c r="BC1313" s="96">
        <f>C1237-BA1313</f>
        <v>24258</v>
      </c>
      <c r="BD1313" s="96">
        <f>BA1304-BA1313</f>
        <v>124</v>
      </c>
      <c r="BE1313" s="97">
        <f>IFERROR(BC1313/E1319,0)</f>
        <v>53.080962800875277</v>
      </c>
      <c r="BF1313" s="98">
        <f>IFERROR(BE1313/9,0)</f>
        <v>5.8978847556528082</v>
      </c>
      <c r="BG1313" s="97">
        <f>IFERROR(BC1313/AY1319,0)</f>
        <v>45.183701979045402</v>
      </c>
      <c r="BH1313" s="97">
        <f>IFERROR(BG1313/9,0)</f>
        <v>5.0204113310050449</v>
      </c>
    </row>
    <row r="1314" spans="1:60" s="17" customFormat="1" ht="19.5" customHeight="1" x14ac:dyDescent="0.35">
      <c r="A1314" s="41">
        <f t="shared" ref="A1314:B1314" si="1289">A1313</f>
        <v>45446</v>
      </c>
      <c r="B1314" s="37" t="str">
        <f t="shared" si="1289"/>
        <v>Yaka Basma 1 Et.(Beden)</v>
      </c>
      <c r="C1314" s="65" t="s">
        <v>102</v>
      </c>
      <c r="D1314" s="67">
        <f t="shared" si="1285"/>
        <v>60</v>
      </c>
      <c r="E1314" s="57"/>
      <c r="F1314" s="52"/>
      <c r="G1314" s="52"/>
      <c r="H1314" s="58"/>
      <c r="I1314" s="57">
        <v>18</v>
      </c>
      <c r="J1314" s="52">
        <v>55</v>
      </c>
      <c r="K1314" s="52">
        <v>45</v>
      </c>
      <c r="L1314" s="58">
        <v>47</v>
      </c>
      <c r="M1314" s="57">
        <v>56</v>
      </c>
      <c r="N1314" s="52">
        <v>46</v>
      </c>
      <c r="O1314" s="52">
        <v>50</v>
      </c>
      <c r="P1314" s="58">
        <v>0</v>
      </c>
      <c r="Q1314" s="57">
        <v>0</v>
      </c>
      <c r="R1314" s="52">
        <v>0</v>
      </c>
      <c r="S1314" s="52">
        <v>0</v>
      </c>
      <c r="T1314" s="52">
        <v>0</v>
      </c>
      <c r="U1314" s="58">
        <v>0</v>
      </c>
      <c r="V1314" s="57">
        <v>0</v>
      </c>
      <c r="W1314" s="52">
        <v>10</v>
      </c>
      <c r="X1314" s="52">
        <v>50</v>
      </c>
      <c r="Y1314" s="58">
        <v>50</v>
      </c>
      <c r="Z1314" s="57">
        <v>50</v>
      </c>
      <c r="AA1314" s="52">
        <v>50</v>
      </c>
      <c r="AB1314" s="52">
        <v>55</v>
      </c>
      <c r="AC1314" s="58">
        <v>45</v>
      </c>
      <c r="AD1314" s="57"/>
      <c r="AE1314" s="52"/>
      <c r="AF1314" s="52"/>
      <c r="AG1314" s="58"/>
      <c r="AH1314" s="57"/>
      <c r="AI1314" s="52"/>
      <c r="AJ1314" s="52"/>
      <c r="AK1314" s="58"/>
      <c r="AL1314" s="57"/>
      <c r="AM1314" s="52"/>
      <c r="AN1314" s="52"/>
      <c r="AO1314" s="58"/>
      <c r="AP1314" s="57"/>
      <c r="AQ1314" s="52"/>
      <c r="AR1314" s="52"/>
      <c r="AS1314" s="58"/>
      <c r="AT1314" s="57"/>
      <c r="AU1314" s="52"/>
      <c r="AV1314" s="52"/>
      <c r="AW1314" s="58"/>
      <c r="AX1314" s="33">
        <f t="shared" si="1286"/>
        <v>627</v>
      </c>
      <c r="AY1314" s="31">
        <f t="shared" si="1287"/>
        <v>44.785714285714285</v>
      </c>
      <c r="AZ1314" s="30">
        <f t="shared" si="1288"/>
        <v>0.74642857142857144</v>
      </c>
      <c r="BA1314" s="34"/>
      <c r="BB1314" s="34"/>
      <c r="BC1314" s="34"/>
      <c r="BD1314" s="76"/>
      <c r="BE1314" s="34"/>
      <c r="BF1314" s="34"/>
      <c r="BG1314" s="34"/>
      <c r="BH1314" s="34"/>
    </row>
    <row r="1315" spans="1:60" s="17" customFormat="1" ht="19.5" customHeight="1" x14ac:dyDescent="0.35">
      <c r="A1315" s="41">
        <f t="shared" ref="A1315:B1315" si="1290">A1314</f>
        <v>45446</v>
      </c>
      <c r="B1315" s="37" t="str">
        <f t="shared" si="1290"/>
        <v>Yaka Basma 1 Et.(Beden)</v>
      </c>
      <c r="C1315" s="65">
        <f t="shared" si="1284"/>
        <v>0</v>
      </c>
      <c r="D1315" s="67">
        <f t="shared" si="1285"/>
        <v>60</v>
      </c>
      <c r="E1315" s="57"/>
      <c r="F1315" s="52"/>
      <c r="G1315" s="52"/>
      <c r="H1315" s="58"/>
      <c r="I1315" s="57"/>
      <c r="J1315" s="52"/>
      <c r="K1315" s="52"/>
      <c r="L1315" s="58"/>
      <c r="M1315" s="57"/>
      <c r="N1315" s="52"/>
      <c r="O1315" s="52"/>
      <c r="P1315" s="58"/>
      <c r="Q1315" s="57"/>
      <c r="R1315" s="52"/>
      <c r="S1315" s="52"/>
      <c r="T1315" s="52"/>
      <c r="U1315" s="58"/>
      <c r="V1315" s="57"/>
      <c r="W1315" s="52"/>
      <c r="X1315" s="52"/>
      <c r="Y1315" s="58"/>
      <c r="Z1315" s="57"/>
      <c r="AA1315" s="52"/>
      <c r="AB1315" s="52"/>
      <c r="AC1315" s="58"/>
      <c r="AD1315" s="57"/>
      <c r="AE1315" s="52"/>
      <c r="AF1315" s="52"/>
      <c r="AG1315" s="58"/>
      <c r="AH1315" s="57"/>
      <c r="AI1315" s="52"/>
      <c r="AJ1315" s="52"/>
      <c r="AK1315" s="58"/>
      <c r="AL1315" s="57"/>
      <c r="AM1315" s="52"/>
      <c r="AN1315" s="52"/>
      <c r="AO1315" s="58"/>
      <c r="AP1315" s="57"/>
      <c r="AQ1315" s="52"/>
      <c r="AR1315" s="52"/>
      <c r="AS1315" s="58"/>
      <c r="AT1315" s="57"/>
      <c r="AU1315" s="52"/>
      <c r="AV1315" s="52"/>
      <c r="AW1315" s="58"/>
      <c r="AX1315" s="33">
        <f t="shared" si="1286"/>
        <v>0</v>
      </c>
      <c r="AY1315" s="31">
        <f t="shared" si="1287"/>
        <v>0</v>
      </c>
      <c r="AZ1315" s="30">
        <f t="shared" si="1288"/>
        <v>0</v>
      </c>
      <c r="BA1315" s="34"/>
      <c r="BB1315" s="34"/>
      <c r="BC1315" s="34"/>
      <c r="BD1315" s="76"/>
      <c r="BE1315" s="34"/>
      <c r="BF1315" s="34"/>
      <c r="BG1315" s="34"/>
      <c r="BH1315" s="34"/>
    </row>
    <row r="1316" spans="1:60" s="17" customFormat="1" ht="19.5" customHeight="1" x14ac:dyDescent="0.35">
      <c r="A1316" s="41">
        <f>A1313</f>
        <v>45446</v>
      </c>
      <c r="B1316" s="37" t="str">
        <f t="shared" ref="B1316" si="1291">B1315</f>
        <v>Yaka Basma 1 Et.(Beden)</v>
      </c>
      <c r="C1316" s="65">
        <f t="shared" si="1284"/>
        <v>0</v>
      </c>
      <c r="D1316" s="67">
        <f t="shared" si="1285"/>
        <v>60</v>
      </c>
      <c r="E1316" s="57"/>
      <c r="F1316" s="52"/>
      <c r="G1316" s="52"/>
      <c r="H1316" s="58"/>
      <c r="I1316" s="57"/>
      <c r="J1316" s="52"/>
      <c r="K1316" s="52"/>
      <c r="L1316" s="58"/>
      <c r="M1316" s="57"/>
      <c r="N1316" s="52"/>
      <c r="O1316" s="52"/>
      <c r="P1316" s="58"/>
      <c r="Q1316" s="57"/>
      <c r="R1316" s="52"/>
      <c r="S1316" s="52"/>
      <c r="T1316" s="52"/>
      <c r="U1316" s="58"/>
      <c r="V1316" s="57"/>
      <c r="W1316" s="52"/>
      <c r="X1316" s="52"/>
      <c r="Y1316" s="58"/>
      <c r="Z1316" s="57"/>
      <c r="AA1316" s="52"/>
      <c r="AB1316" s="52"/>
      <c r="AC1316" s="58"/>
      <c r="AD1316" s="57"/>
      <c r="AE1316" s="52"/>
      <c r="AF1316" s="52"/>
      <c r="AG1316" s="58"/>
      <c r="AH1316" s="57"/>
      <c r="AI1316" s="52"/>
      <c r="AJ1316" s="52"/>
      <c r="AK1316" s="58"/>
      <c r="AL1316" s="57"/>
      <c r="AM1316" s="52"/>
      <c r="AN1316" s="52"/>
      <c r="AO1316" s="58"/>
      <c r="AP1316" s="57"/>
      <c r="AQ1316" s="52"/>
      <c r="AR1316" s="52"/>
      <c r="AS1316" s="58"/>
      <c r="AT1316" s="57"/>
      <c r="AU1316" s="52"/>
      <c r="AV1316" s="52"/>
      <c r="AW1316" s="58"/>
      <c r="AX1316" s="33">
        <f t="shared" si="1286"/>
        <v>0</v>
      </c>
      <c r="AY1316" s="31">
        <f t="shared" si="1287"/>
        <v>0</v>
      </c>
      <c r="AZ1316" s="30">
        <f t="shared" si="1288"/>
        <v>0</v>
      </c>
      <c r="BA1316" s="34"/>
      <c r="BB1316" s="34"/>
      <c r="BC1316" s="34"/>
      <c r="BD1316" s="76"/>
      <c r="BE1316" s="34"/>
      <c r="BF1316" s="34"/>
      <c r="BG1316" s="34"/>
      <c r="BH1316" s="34"/>
    </row>
    <row r="1317" spans="1:60" s="17" customFormat="1" ht="19.5" customHeight="1" x14ac:dyDescent="0.35">
      <c r="A1317" s="41">
        <f t="shared" ref="A1317:B1317" si="1292">A1316</f>
        <v>45446</v>
      </c>
      <c r="B1317" s="37" t="str">
        <f t="shared" si="1292"/>
        <v>Yaka Basma 1 Et.(Beden)</v>
      </c>
      <c r="C1317" s="65">
        <f t="shared" si="1284"/>
        <v>0</v>
      </c>
      <c r="D1317" s="67">
        <f t="shared" si="1285"/>
        <v>60</v>
      </c>
      <c r="E1317" s="57"/>
      <c r="F1317" s="52"/>
      <c r="G1317" s="52"/>
      <c r="H1317" s="58"/>
      <c r="I1317" s="57"/>
      <c r="J1317" s="52"/>
      <c r="K1317" s="52"/>
      <c r="L1317" s="58"/>
      <c r="M1317" s="57"/>
      <c r="N1317" s="52"/>
      <c r="O1317" s="52"/>
      <c r="P1317" s="58"/>
      <c r="Q1317" s="57"/>
      <c r="R1317" s="52"/>
      <c r="S1317" s="52"/>
      <c r="T1317" s="52"/>
      <c r="U1317" s="58"/>
      <c r="V1317" s="57"/>
      <c r="W1317" s="52"/>
      <c r="X1317" s="52"/>
      <c r="Y1317" s="58"/>
      <c r="Z1317" s="57"/>
      <c r="AA1317" s="52"/>
      <c r="AB1317" s="52"/>
      <c r="AC1317" s="58"/>
      <c r="AD1317" s="57"/>
      <c r="AE1317" s="52"/>
      <c r="AF1317" s="52"/>
      <c r="AG1317" s="58"/>
      <c r="AH1317" s="57"/>
      <c r="AI1317" s="52"/>
      <c r="AJ1317" s="52"/>
      <c r="AK1317" s="58"/>
      <c r="AL1317" s="57"/>
      <c r="AM1317" s="52"/>
      <c r="AN1317" s="52"/>
      <c r="AO1317" s="58"/>
      <c r="AP1317" s="57"/>
      <c r="AQ1317" s="52"/>
      <c r="AR1317" s="52"/>
      <c r="AS1317" s="58"/>
      <c r="AT1317" s="57"/>
      <c r="AU1317" s="52"/>
      <c r="AV1317" s="52"/>
      <c r="AW1317" s="58"/>
      <c r="AX1317" s="33">
        <f t="shared" si="1286"/>
        <v>0</v>
      </c>
      <c r="AY1317" s="31">
        <f t="shared" si="1287"/>
        <v>0</v>
      </c>
      <c r="AZ1317" s="30">
        <f t="shared" si="1288"/>
        <v>0</v>
      </c>
      <c r="BA1317" s="34"/>
      <c r="BB1317" s="34"/>
      <c r="BC1317" s="34"/>
      <c r="BD1317" s="76"/>
      <c r="BE1317" s="34"/>
      <c r="BF1317" s="34"/>
      <c r="BG1317" s="34"/>
      <c r="BH1317" s="34"/>
    </row>
    <row r="1318" spans="1:60" s="17" customFormat="1" ht="19.5" customHeight="1" thickBot="1" x14ac:dyDescent="0.4">
      <c r="A1318" s="41">
        <f t="shared" ref="A1318:B1318" si="1293">A1317</f>
        <v>45446</v>
      </c>
      <c r="B1318" s="37" t="str">
        <f t="shared" si="1293"/>
        <v>Yaka Basma 1 Et.(Beden)</v>
      </c>
      <c r="C1318" s="65">
        <f t="shared" si="1284"/>
        <v>0</v>
      </c>
      <c r="D1318" s="67">
        <f t="shared" si="1285"/>
        <v>60</v>
      </c>
      <c r="E1318" s="59"/>
      <c r="F1318" s="60"/>
      <c r="G1318" s="61"/>
      <c r="H1318" s="62"/>
      <c r="I1318" s="59"/>
      <c r="J1318" s="60"/>
      <c r="K1318" s="61"/>
      <c r="L1318" s="62"/>
      <c r="M1318" s="59"/>
      <c r="N1318" s="60"/>
      <c r="O1318" s="61"/>
      <c r="P1318" s="62"/>
      <c r="Q1318" s="64"/>
      <c r="R1318" s="61"/>
      <c r="S1318" s="61"/>
      <c r="T1318" s="61"/>
      <c r="U1318" s="62"/>
      <c r="V1318" s="59"/>
      <c r="W1318" s="60"/>
      <c r="X1318" s="61"/>
      <c r="Y1318" s="62"/>
      <c r="Z1318" s="59"/>
      <c r="AA1318" s="60"/>
      <c r="AB1318" s="61"/>
      <c r="AC1318" s="62"/>
      <c r="AD1318" s="59"/>
      <c r="AE1318" s="60"/>
      <c r="AF1318" s="61"/>
      <c r="AG1318" s="62"/>
      <c r="AH1318" s="59"/>
      <c r="AI1318" s="60"/>
      <c r="AJ1318" s="61"/>
      <c r="AK1318" s="62"/>
      <c r="AL1318" s="59"/>
      <c r="AM1318" s="60"/>
      <c r="AN1318" s="61"/>
      <c r="AO1318" s="62"/>
      <c r="AP1318" s="59"/>
      <c r="AQ1318" s="60"/>
      <c r="AR1318" s="61"/>
      <c r="AS1318" s="62"/>
      <c r="AT1318" s="59"/>
      <c r="AU1318" s="60"/>
      <c r="AV1318" s="61"/>
      <c r="AW1318" s="62"/>
      <c r="AX1318" s="33">
        <f t="shared" si="1286"/>
        <v>0</v>
      </c>
      <c r="AY1318" s="31">
        <f t="shared" si="1287"/>
        <v>0</v>
      </c>
      <c r="AZ1318" s="30">
        <f t="shared" si="1288"/>
        <v>0</v>
      </c>
      <c r="BA1318" s="34"/>
      <c r="BB1318" s="34"/>
      <c r="BC1318" s="34"/>
      <c r="BD1318" s="76"/>
      <c r="BE1318" s="34"/>
      <c r="BF1318" s="34"/>
      <c r="BG1318" s="34"/>
      <c r="BH1318" s="34"/>
    </row>
    <row r="1319" spans="1:60" s="17" customFormat="1" ht="19.5" customHeight="1" thickBot="1" x14ac:dyDescent="0.45">
      <c r="A1319" s="41">
        <f t="shared" ref="A1319" si="1294">A1318</f>
        <v>45446</v>
      </c>
      <c r="B1319" s="139" t="str">
        <f>B1312</f>
        <v>Yaka Basma 1 Et.(Beden)</v>
      </c>
      <c r="C1319" s="140"/>
      <c r="D1319" s="40">
        <f>C1238/8</f>
        <v>500</v>
      </c>
      <c r="E1319" s="147">
        <f>SUM(E1312:H1318)</f>
        <v>457</v>
      </c>
      <c r="F1319" s="148"/>
      <c r="G1319" s="148"/>
      <c r="H1319" s="149"/>
      <c r="I1319" s="147">
        <f>SUM(I1312:L1318)</f>
        <v>613</v>
      </c>
      <c r="J1319" s="148"/>
      <c r="K1319" s="148"/>
      <c r="L1319" s="149"/>
      <c r="M1319" s="147">
        <f>SUM(M1312:P1318)</f>
        <v>658</v>
      </c>
      <c r="N1319" s="148"/>
      <c r="O1319" s="148"/>
      <c r="P1319" s="149"/>
      <c r="Q1319" s="147">
        <f>SUM(Q1312:U1318)</f>
        <v>594</v>
      </c>
      <c r="R1319" s="148"/>
      <c r="S1319" s="148"/>
      <c r="T1319" s="148"/>
      <c r="U1319" s="149"/>
      <c r="V1319" s="147">
        <f>SUM(V1312:Y1318)</f>
        <v>572</v>
      </c>
      <c r="W1319" s="148"/>
      <c r="X1319" s="148"/>
      <c r="Y1319" s="149"/>
      <c r="Z1319" s="147">
        <f>SUM(Z1312:AC1318)</f>
        <v>694</v>
      </c>
      <c r="AA1319" s="148"/>
      <c r="AB1319" s="148"/>
      <c r="AC1319" s="149"/>
      <c r="AD1319" s="147">
        <f>SUM(AD1312:AG1318)</f>
        <v>402</v>
      </c>
      <c r="AE1319" s="148"/>
      <c r="AF1319" s="148"/>
      <c r="AG1319" s="149"/>
      <c r="AH1319" s="147">
        <f>SUM(AH1312:AK1318)</f>
        <v>305</v>
      </c>
      <c r="AI1319" s="148"/>
      <c r="AJ1319" s="148"/>
      <c r="AK1319" s="149"/>
      <c r="AL1319" s="147">
        <f>SUM(AL1312:AO1318)</f>
        <v>0</v>
      </c>
      <c r="AM1319" s="148"/>
      <c r="AN1319" s="148"/>
      <c r="AO1319" s="149"/>
      <c r="AP1319" s="147">
        <f>SUM(AP1312:AS1318)</f>
        <v>0</v>
      </c>
      <c r="AQ1319" s="148"/>
      <c r="AR1319" s="148"/>
      <c r="AS1319" s="149"/>
      <c r="AT1319" s="147">
        <f>SUM(AT1312:AW1318)</f>
        <v>0</v>
      </c>
      <c r="AU1319" s="148"/>
      <c r="AV1319" s="148"/>
      <c r="AW1319" s="149"/>
      <c r="AX1319" s="87">
        <f>SUM(AX1312:AX1318)</f>
        <v>4295</v>
      </c>
      <c r="AY1319" s="88">
        <f>IFERROR(AVERAGEIF(E1319:AV1319,"&lt;&gt;0",(E1319:AV1319)),)</f>
        <v>536.875</v>
      </c>
      <c r="AZ1319" s="46">
        <f>IFERROR(AX1319/BB1313,0)</f>
        <v>1.07375</v>
      </c>
      <c r="BA1319" s="34"/>
      <c r="BB1319" s="34"/>
      <c r="BC1319" s="34"/>
      <c r="BD1319" s="76"/>
      <c r="BE1319" s="34"/>
      <c r="BF1319" s="34"/>
      <c r="BG1319" s="34"/>
      <c r="BH1319" s="34"/>
    </row>
    <row r="1320" spans="1:60" s="17" customFormat="1" ht="19.5" customHeight="1" thickBot="1" x14ac:dyDescent="0.4">
      <c r="A1320" s="42">
        <f>A1311</f>
        <v>45446</v>
      </c>
      <c r="B1320" s="38" t="str">
        <f>B1321</f>
        <v>Yaka Çıma</v>
      </c>
      <c r="C1320" s="39" t="s">
        <v>180</v>
      </c>
      <c r="D1320" s="69" t="s">
        <v>181</v>
      </c>
      <c r="E1320" s="48">
        <v>0.34375</v>
      </c>
      <c r="F1320" s="49">
        <v>0.35416666666666669</v>
      </c>
      <c r="G1320" s="49">
        <v>0.36458333333333331</v>
      </c>
      <c r="H1320" s="50">
        <v>0.375</v>
      </c>
      <c r="I1320" s="48">
        <v>0.38541666666666702</v>
      </c>
      <c r="J1320" s="49">
        <v>0.39583333333333298</v>
      </c>
      <c r="K1320" s="49">
        <v>0.40625</v>
      </c>
      <c r="L1320" s="50">
        <v>0.41666666666666702</v>
      </c>
      <c r="M1320" s="48">
        <v>0.4375</v>
      </c>
      <c r="N1320" s="49">
        <v>0.44791666666666702</v>
      </c>
      <c r="O1320" s="49">
        <v>0.45833333333333398</v>
      </c>
      <c r="P1320" s="50">
        <v>0.46875</v>
      </c>
      <c r="Q1320" s="48">
        <v>0.47916666666666702</v>
      </c>
      <c r="R1320" s="49">
        <v>0.48958333333333398</v>
      </c>
      <c r="S1320" s="49">
        <v>0.5</v>
      </c>
      <c r="T1320" s="50">
        <v>0.51041666666666696</v>
      </c>
      <c r="U1320" s="51">
        <v>0.52083333333333204</v>
      </c>
      <c r="V1320" s="48">
        <v>0.5625</v>
      </c>
      <c r="W1320" s="49">
        <v>0.57291666666666663</v>
      </c>
      <c r="X1320" s="49">
        <v>0.58333333333333304</v>
      </c>
      <c r="Y1320" s="50">
        <v>0.59375</v>
      </c>
      <c r="Z1320" s="48">
        <v>0.60416666666666696</v>
      </c>
      <c r="AA1320" s="49">
        <v>0.61458333333333304</v>
      </c>
      <c r="AB1320" s="49">
        <v>0.625</v>
      </c>
      <c r="AC1320" s="50">
        <v>0.63541666666666596</v>
      </c>
      <c r="AD1320" s="48">
        <v>0.65625</v>
      </c>
      <c r="AE1320" s="49">
        <v>0.66666666666666663</v>
      </c>
      <c r="AF1320" s="49">
        <v>0.67708333333333304</v>
      </c>
      <c r="AG1320" s="50">
        <v>0.6875</v>
      </c>
      <c r="AH1320" s="48">
        <v>0.69791666666666696</v>
      </c>
      <c r="AI1320" s="49">
        <v>0.70833333333333304</v>
      </c>
      <c r="AJ1320" s="49">
        <v>0.71875</v>
      </c>
      <c r="AK1320" s="50">
        <v>0.72916666666666696</v>
      </c>
      <c r="AL1320" s="48">
        <v>0.73958333333333404</v>
      </c>
      <c r="AM1320" s="49">
        <v>0.750000000000001</v>
      </c>
      <c r="AN1320" s="49">
        <v>0.76041666666666796</v>
      </c>
      <c r="AO1320" s="50">
        <v>0.77083333333333504</v>
      </c>
      <c r="AP1320" s="48">
        <v>0.781250000000002</v>
      </c>
      <c r="AQ1320" s="49">
        <v>0.79166666666666896</v>
      </c>
      <c r="AR1320" s="49">
        <v>0.80208333333333603</v>
      </c>
      <c r="AS1320" s="50">
        <v>0.812500000000003</v>
      </c>
      <c r="AT1320" s="48">
        <v>0.82291666666666996</v>
      </c>
      <c r="AU1320" s="49">
        <v>0.83333333333333703</v>
      </c>
      <c r="AV1320" s="49">
        <v>0.843750000000004</v>
      </c>
      <c r="AW1320" s="50">
        <v>0.85416666666666663</v>
      </c>
      <c r="AX1320" s="68" t="s">
        <v>260</v>
      </c>
      <c r="AY1320" s="28" t="s">
        <v>261</v>
      </c>
      <c r="AZ1320" s="29" t="s">
        <v>262</v>
      </c>
      <c r="BA1320" s="136" t="str">
        <f>B1321</f>
        <v>Yaka Çıma</v>
      </c>
      <c r="BB1320" s="137"/>
      <c r="BC1320" s="137"/>
      <c r="BD1320" s="137"/>
      <c r="BE1320" s="137"/>
      <c r="BF1320" s="137"/>
      <c r="BG1320" s="137"/>
      <c r="BH1320" s="138"/>
    </row>
    <row r="1321" spans="1:60" s="17" customFormat="1" ht="19.5" customHeight="1" thickBot="1" x14ac:dyDescent="0.4">
      <c r="A1321" s="41">
        <f t="shared" ref="A1321" si="1295">A1320</f>
        <v>45446</v>
      </c>
      <c r="B1321" s="37" t="str">
        <f>B1145</f>
        <v>Yaka Çıma</v>
      </c>
      <c r="C1321" s="65" t="str">
        <f>C1145</f>
        <v>KADER ÖNLÜ</v>
      </c>
      <c r="D1321" s="70">
        <f>D1145</f>
        <v>120</v>
      </c>
      <c r="E1321" s="63">
        <v>120</v>
      </c>
      <c r="F1321" s="55">
        <v>120</v>
      </c>
      <c r="G1321" s="55">
        <v>120</v>
      </c>
      <c r="H1321" s="56">
        <v>120</v>
      </c>
      <c r="I1321" s="63">
        <v>100</v>
      </c>
      <c r="J1321" s="55">
        <v>120</v>
      </c>
      <c r="K1321" s="55">
        <v>120</v>
      </c>
      <c r="L1321" s="56">
        <v>120</v>
      </c>
      <c r="M1321" s="63">
        <v>120</v>
      </c>
      <c r="N1321" s="55">
        <v>120</v>
      </c>
      <c r="O1321" s="55">
        <v>120</v>
      </c>
      <c r="P1321" s="56">
        <v>100</v>
      </c>
      <c r="Q1321" s="63">
        <v>120</v>
      </c>
      <c r="R1321" s="55">
        <v>60</v>
      </c>
      <c r="S1321" s="55">
        <v>110</v>
      </c>
      <c r="T1321" s="55">
        <v>110</v>
      </c>
      <c r="U1321" s="56">
        <v>100</v>
      </c>
      <c r="V1321" s="63">
        <v>100</v>
      </c>
      <c r="W1321" s="55">
        <v>110</v>
      </c>
      <c r="X1321" s="55">
        <v>110</v>
      </c>
      <c r="Y1321" s="56">
        <v>100</v>
      </c>
      <c r="Z1321" s="63">
        <v>110</v>
      </c>
      <c r="AA1321" s="55">
        <v>110</v>
      </c>
      <c r="AB1321" s="55">
        <v>40</v>
      </c>
      <c r="AC1321" s="56">
        <v>110</v>
      </c>
      <c r="AD1321" s="63">
        <v>120</v>
      </c>
      <c r="AE1321" s="55">
        <v>120</v>
      </c>
      <c r="AF1321" s="55">
        <v>120</v>
      </c>
      <c r="AG1321" s="56">
        <v>100</v>
      </c>
      <c r="AH1321" s="63">
        <v>110</v>
      </c>
      <c r="AI1321" s="55">
        <v>110</v>
      </c>
      <c r="AJ1321" s="55">
        <v>100</v>
      </c>
      <c r="AK1321" s="56"/>
      <c r="AL1321" s="63"/>
      <c r="AM1321" s="55"/>
      <c r="AN1321" s="55"/>
      <c r="AO1321" s="56"/>
      <c r="AP1321" s="63"/>
      <c r="AQ1321" s="55"/>
      <c r="AR1321" s="55"/>
      <c r="AS1321" s="56"/>
      <c r="AT1321" s="53"/>
      <c r="AU1321" s="54"/>
      <c r="AV1321" s="55"/>
      <c r="AW1321" s="56"/>
      <c r="AX1321" s="33">
        <f>SUM(E1321:AW1321)</f>
        <v>3470</v>
      </c>
      <c r="AY1321" s="31">
        <f>IFERROR(AVERAGEIF(E1321:AW1321,"&lt;&gt;0",(E1321:AW1321)),)</f>
        <v>108.4375</v>
      </c>
      <c r="AZ1321" s="30">
        <f>IFERROR(AY1321/D1321,0)</f>
        <v>0.90364583333333337</v>
      </c>
      <c r="BA1321" s="103" t="s">
        <v>182</v>
      </c>
      <c r="BB1321" s="100" t="s">
        <v>183</v>
      </c>
      <c r="BC1321" s="100" t="s">
        <v>184</v>
      </c>
      <c r="BD1321" s="101" t="s">
        <v>185</v>
      </c>
      <c r="BE1321" s="100" t="s">
        <v>186</v>
      </c>
      <c r="BF1321" s="102" t="s">
        <v>187</v>
      </c>
      <c r="BG1321" s="100" t="s">
        <v>188</v>
      </c>
      <c r="BH1321" s="102" t="s">
        <v>189</v>
      </c>
    </row>
    <row r="1322" spans="1:60" s="17" customFormat="1" ht="19.5" customHeight="1" thickBot="1" x14ac:dyDescent="0.4">
      <c r="A1322" s="41">
        <f t="shared" ref="A1322:B1322" si="1296">A1321</f>
        <v>45446</v>
      </c>
      <c r="B1322" s="37" t="str">
        <f t="shared" si="1296"/>
        <v>Yaka Çıma</v>
      </c>
      <c r="C1322" s="65" t="s">
        <v>34</v>
      </c>
      <c r="D1322" s="67">
        <f t="shared" ref="D1322:D1327" si="1297">D1321</f>
        <v>120</v>
      </c>
      <c r="E1322" s="57"/>
      <c r="F1322" s="52"/>
      <c r="G1322" s="52"/>
      <c r="H1322" s="58"/>
      <c r="I1322" s="57"/>
      <c r="J1322" s="52"/>
      <c r="K1322" s="52"/>
      <c r="L1322" s="58"/>
      <c r="M1322" s="57"/>
      <c r="N1322" s="52"/>
      <c r="O1322" s="52"/>
      <c r="P1322" s="58"/>
      <c r="Q1322" s="57"/>
      <c r="R1322" s="52"/>
      <c r="S1322" s="52"/>
      <c r="T1322" s="52"/>
      <c r="U1322" s="58"/>
      <c r="V1322" s="57"/>
      <c r="W1322" s="52"/>
      <c r="X1322" s="52">
        <v>50</v>
      </c>
      <c r="Y1322" s="58">
        <v>60</v>
      </c>
      <c r="Z1322" s="57">
        <v>25</v>
      </c>
      <c r="AA1322" s="52"/>
      <c r="AB1322" s="52"/>
      <c r="AC1322" s="58">
        <v>0</v>
      </c>
      <c r="AD1322" s="57"/>
      <c r="AE1322" s="52"/>
      <c r="AF1322" s="52"/>
      <c r="AG1322" s="58">
        <v>60</v>
      </c>
      <c r="AH1322" s="57">
        <v>60</v>
      </c>
      <c r="AI1322" s="52">
        <v>65</v>
      </c>
      <c r="AJ1322" s="52">
        <v>47</v>
      </c>
      <c r="AK1322" s="58"/>
      <c r="AL1322" s="57"/>
      <c r="AM1322" s="52"/>
      <c r="AN1322" s="52"/>
      <c r="AO1322" s="58"/>
      <c r="AP1322" s="57"/>
      <c r="AQ1322" s="52"/>
      <c r="AR1322" s="52"/>
      <c r="AS1322" s="58"/>
      <c r="AT1322" s="57"/>
      <c r="AU1322" s="52"/>
      <c r="AV1322" s="52"/>
      <c r="AW1322" s="58"/>
      <c r="AX1322" s="33">
        <f t="shared" ref="AX1322:AX1327" si="1298">SUM(E1322:AW1322)</f>
        <v>367</v>
      </c>
      <c r="AY1322" s="31">
        <f t="shared" ref="AY1322:AY1327" si="1299">IFERROR(AVERAGEIF(E1322:AW1322,"&lt;&gt;0",(E1322:AW1322)),)</f>
        <v>52.428571428571431</v>
      </c>
      <c r="AZ1322" s="30">
        <f t="shared" ref="AZ1322:AZ1327" si="1300">IFERROR(AY1322/D1322,0)</f>
        <v>0.43690476190476191</v>
      </c>
      <c r="BA1322" s="94">
        <f>AX1328+BA1146</f>
        <v>17551</v>
      </c>
      <c r="BB1322" s="95">
        <f>(D1328*8)</f>
        <v>4000</v>
      </c>
      <c r="BC1322" s="96">
        <f>C1237-BA1322</f>
        <v>24760</v>
      </c>
      <c r="BD1322" s="96">
        <f>BA1313-BA1322</f>
        <v>502</v>
      </c>
      <c r="BE1322" s="97">
        <f>IFERROR(BC1322/E1328,0)</f>
        <v>51.583333333333336</v>
      </c>
      <c r="BF1322" s="98">
        <f>IFERROR(BE1322/9,0)</f>
        <v>5.7314814814814818</v>
      </c>
      <c r="BG1322" s="97">
        <f>IFERROR(BC1322/AY1328,0)</f>
        <v>51.623664321084178</v>
      </c>
      <c r="BH1322" s="97">
        <f>IFERROR(BG1322/9,0)</f>
        <v>5.735962702342686</v>
      </c>
    </row>
    <row r="1323" spans="1:60" s="17" customFormat="1" ht="19.5" customHeight="1" x14ac:dyDescent="0.35">
      <c r="A1323" s="41">
        <f t="shared" ref="A1323:B1323" si="1301">A1322</f>
        <v>45446</v>
      </c>
      <c r="B1323" s="37" t="str">
        <f t="shared" si="1301"/>
        <v>Yaka Çıma</v>
      </c>
      <c r="C1323" s="65">
        <f t="shared" ref="C1323:C1327" si="1302">C1147</f>
        <v>0</v>
      </c>
      <c r="D1323" s="67">
        <f t="shared" si="1297"/>
        <v>120</v>
      </c>
      <c r="E1323" s="57"/>
      <c r="F1323" s="52"/>
      <c r="G1323" s="52"/>
      <c r="H1323" s="58"/>
      <c r="I1323" s="57"/>
      <c r="J1323" s="52"/>
      <c r="K1323" s="52"/>
      <c r="L1323" s="58"/>
      <c r="M1323" s="57"/>
      <c r="N1323" s="52"/>
      <c r="O1323" s="52"/>
      <c r="P1323" s="58"/>
      <c r="Q1323" s="57"/>
      <c r="R1323" s="52"/>
      <c r="S1323" s="52"/>
      <c r="T1323" s="52"/>
      <c r="U1323" s="58"/>
      <c r="V1323" s="57"/>
      <c r="W1323" s="52"/>
      <c r="X1323" s="52"/>
      <c r="Y1323" s="58"/>
      <c r="Z1323" s="57"/>
      <c r="AA1323" s="52"/>
      <c r="AB1323" s="52"/>
      <c r="AC1323" s="58"/>
      <c r="AD1323" s="57"/>
      <c r="AE1323" s="52"/>
      <c r="AF1323" s="52"/>
      <c r="AG1323" s="58"/>
      <c r="AH1323" s="57"/>
      <c r="AI1323" s="52"/>
      <c r="AJ1323" s="52"/>
      <c r="AK1323" s="58"/>
      <c r="AL1323" s="57"/>
      <c r="AM1323" s="52"/>
      <c r="AN1323" s="52"/>
      <c r="AO1323" s="58"/>
      <c r="AP1323" s="57"/>
      <c r="AQ1323" s="52"/>
      <c r="AR1323" s="52"/>
      <c r="AS1323" s="58"/>
      <c r="AT1323" s="57"/>
      <c r="AU1323" s="52"/>
      <c r="AV1323" s="52"/>
      <c r="AW1323" s="58"/>
      <c r="AX1323" s="33">
        <f t="shared" si="1298"/>
        <v>0</v>
      </c>
      <c r="AY1323" s="31">
        <f t="shared" si="1299"/>
        <v>0</v>
      </c>
      <c r="AZ1323" s="30">
        <f t="shared" si="1300"/>
        <v>0</v>
      </c>
      <c r="BA1323" s="34"/>
      <c r="BB1323" s="34"/>
      <c r="BC1323" s="34"/>
      <c r="BD1323" s="76"/>
      <c r="BE1323" s="34"/>
      <c r="BF1323" s="34"/>
      <c r="BG1323" s="34"/>
      <c r="BH1323" s="34"/>
    </row>
    <row r="1324" spans="1:60" s="17" customFormat="1" ht="19.5" customHeight="1" x14ac:dyDescent="0.35">
      <c r="A1324" s="41">
        <f t="shared" ref="A1324:B1324" si="1303">A1323</f>
        <v>45446</v>
      </c>
      <c r="B1324" s="37" t="str">
        <f t="shared" si="1303"/>
        <v>Yaka Çıma</v>
      </c>
      <c r="C1324" s="65">
        <f t="shared" si="1302"/>
        <v>0</v>
      </c>
      <c r="D1324" s="67">
        <f t="shared" si="1297"/>
        <v>120</v>
      </c>
      <c r="E1324" s="57"/>
      <c r="F1324" s="52"/>
      <c r="G1324" s="52"/>
      <c r="H1324" s="58"/>
      <c r="I1324" s="57"/>
      <c r="J1324" s="52"/>
      <c r="K1324" s="52"/>
      <c r="L1324" s="58"/>
      <c r="M1324" s="57"/>
      <c r="N1324" s="52"/>
      <c r="O1324" s="52"/>
      <c r="P1324" s="58"/>
      <c r="Q1324" s="57"/>
      <c r="R1324" s="52"/>
      <c r="S1324" s="52"/>
      <c r="T1324" s="52"/>
      <c r="U1324" s="58"/>
      <c r="V1324" s="57"/>
      <c r="W1324" s="52"/>
      <c r="X1324" s="52"/>
      <c r="Y1324" s="58"/>
      <c r="Z1324" s="57"/>
      <c r="AA1324" s="52"/>
      <c r="AB1324" s="52"/>
      <c r="AC1324" s="58"/>
      <c r="AD1324" s="57"/>
      <c r="AE1324" s="52"/>
      <c r="AF1324" s="52"/>
      <c r="AG1324" s="58"/>
      <c r="AH1324" s="57"/>
      <c r="AI1324" s="52"/>
      <c r="AJ1324" s="52"/>
      <c r="AK1324" s="58"/>
      <c r="AL1324" s="57"/>
      <c r="AM1324" s="52"/>
      <c r="AN1324" s="52"/>
      <c r="AO1324" s="58"/>
      <c r="AP1324" s="57"/>
      <c r="AQ1324" s="52"/>
      <c r="AR1324" s="52"/>
      <c r="AS1324" s="58"/>
      <c r="AT1324" s="57"/>
      <c r="AU1324" s="52"/>
      <c r="AV1324" s="52"/>
      <c r="AW1324" s="58"/>
      <c r="AX1324" s="33">
        <f t="shared" si="1298"/>
        <v>0</v>
      </c>
      <c r="AY1324" s="31">
        <f t="shared" si="1299"/>
        <v>0</v>
      </c>
      <c r="AZ1324" s="30">
        <f t="shared" si="1300"/>
        <v>0</v>
      </c>
      <c r="BA1324" s="34"/>
      <c r="BB1324" s="34"/>
      <c r="BC1324" s="34"/>
      <c r="BD1324" s="76"/>
      <c r="BE1324" s="34"/>
      <c r="BF1324" s="34"/>
      <c r="BG1324" s="34"/>
      <c r="BH1324" s="34"/>
    </row>
    <row r="1325" spans="1:60" s="17" customFormat="1" ht="19.5" customHeight="1" x14ac:dyDescent="0.35">
      <c r="A1325" s="41">
        <f>A1322</f>
        <v>45446</v>
      </c>
      <c r="B1325" s="37" t="str">
        <f t="shared" ref="B1325" si="1304">B1324</f>
        <v>Yaka Çıma</v>
      </c>
      <c r="C1325" s="65">
        <f t="shared" si="1302"/>
        <v>0</v>
      </c>
      <c r="D1325" s="67">
        <f t="shared" si="1297"/>
        <v>120</v>
      </c>
      <c r="E1325" s="57"/>
      <c r="F1325" s="52"/>
      <c r="G1325" s="52"/>
      <c r="H1325" s="58"/>
      <c r="I1325" s="57"/>
      <c r="J1325" s="52"/>
      <c r="K1325" s="52"/>
      <c r="L1325" s="58"/>
      <c r="M1325" s="57"/>
      <c r="N1325" s="52"/>
      <c r="O1325" s="52"/>
      <c r="P1325" s="58"/>
      <c r="Q1325" s="57"/>
      <c r="R1325" s="52"/>
      <c r="S1325" s="52"/>
      <c r="T1325" s="52"/>
      <c r="U1325" s="58"/>
      <c r="V1325" s="57"/>
      <c r="W1325" s="52"/>
      <c r="X1325" s="52"/>
      <c r="Y1325" s="58"/>
      <c r="Z1325" s="57"/>
      <c r="AA1325" s="52"/>
      <c r="AB1325" s="52"/>
      <c r="AC1325" s="58"/>
      <c r="AD1325" s="57"/>
      <c r="AE1325" s="52"/>
      <c r="AF1325" s="52"/>
      <c r="AG1325" s="58"/>
      <c r="AH1325" s="57"/>
      <c r="AI1325" s="52"/>
      <c r="AJ1325" s="52"/>
      <c r="AK1325" s="58"/>
      <c r="AL1325" s="57"/>
      <c r="AM1325" s="52"/>
      <c r="AN1325" s="52"/>
      <c r="AO1325" s="58"/>
      <c r="AP1325" s="57"/>
      <c r="AQ1325" s="52"/>
      <c r="AR1325" s="52"/>
      <c r="AS1325" s="58"/>
      <c r="AT1325" s="57"/>
      <c r="AU1325" s="52"/>
      <c r="AV1325" s="52"/>
      <c r="AW1325" s="58"/>
      <c r="AX1325" s="33">
        <f t="shared" si="1298"/>
        <v>0</v>
      </c>
      <c r="AY1325" s="31">
        <f t="shared" si="1299"/>
        <v>0</v>
      </c>
      <c r="AZ1325" s="30">
        <f t="shared" si="1300"/>
        <v>0</v>
      </c>
      <c r="BA1325" s="34"/>
      <c r="BB1325" s="34"/>
      <c r="BC1325" s="34"/>
      <c r="BD1325" s="76"/>
      <c r="BE1325" s="34"/>
      <c r="BF1325" s="34"/>
      <c r="BG1325" s="34"/>
      <c r="BH1325" s="34"/>
    </row>
    <row r="1326" spans="1:60" s="17" customFormat="1" ht="19.5" customHeight="1" x14ac:dyDescent="0.35">
      <c r="A1326" s="41">
        <f t="shared" ref="A1326:B1326" si="1305">A1325</f>
        <v>45446</v>
      </c>
      <c r="B1326" s="37" t="str">
        <f t="shared" si="1305"/>
        <v>Yaka Çıma</v>
      </c>
      <c r="C1326" s="65">
        <f t="shared" si="1302"/>
        <v>0</v>
      </c>
      <c r="D1326" s="67">
        <f t="shared" si="1297"/>
        <v>120</v>
      </c>
      <c r="E1326" s="57"/>
      <c r="F1326" s="52"/>
      <c r="G1326" s="52"/>
      <c r="H1326" s="58"/>
      <c r="I1326" s="57"/>
      <c r="J1326" s="52"/>
      <c r="K1326" s="52"/>
      <c r="L1326" s="58"/>
      <c r="M1326" s="57"/>
      <c r="N1326" s="52"/>
      <c r="O1326" s="52"/>
      <c r="P1326" s="58"/>
      <c r="Q1326" s="57"/>
      <c r="R1326" s="52"/>
      <c r="S1326" s="52"/>
      <c r="T1326" s="52"/>
      <c r="U1326" s="58"/>
      <c r="V1326" s="57"/>
      <c r="W1326" s="52"/>
      <c r="X1326" s="52"/>
      <c r="Y1326" s="58"/>
      <c r="Z1326" s="57"/>
      <c r="AA1326" s="52"/>
      <c r="AB1326" s="52"/>
      <c r="AC1326" s="58"/>
      <c r="AD1326" s="57"/>
      <c r="AE1326" s="52"/>
      <c r="AF1326" s="52"/>
      <c r="AG1326" s="58"/>
      <c r="AH1326" s="57"/>
      <c r="AI1326" s="52"/>
      <c r="AJ1326" s="52"/>
      <c r="AK1326" s="58"/>
      <c r="AL1326" s="57"/>
      <c r="AM1326" s="52"/>
      <c r="AN1326" s="52"/>
      <c r="AO1326" s="58"/>
      <c r="AP1326" s="57"/>
      <c r="AQ1326" s="52"/>
      <c r="AR1326" s="52"/>
      <c r="AS1326" s="58"/>
      <c r="AT1326" s="57"/>
      <c r="AU1326" s="52"/>
      <c r="AV1326" s="52"/>
      <c r="AW1326" s="58"/>
      <c r="AX1326" s="33">
        <f t="shared" si="1298"/>
        <v>0</v>
      </c>
      <c r="AY1326" s="31">
        <f t="shared" si="1299"/>
        <v>0</v>
      </c>
      <c r="AZ1326" s="30">
        <f t="shared" si="1300"/>
        <v>0</v>
      </c>
      <c r="BA1326" s="34"/>
      <c r="BB1326" s="34"/>
      <c r="BC1326" s="34"/>
      <c r="BD1326" s="76"/>
      <c r="BE1326" s="34"/>
      <c r="BF1326" s="34"/>
      <c r="BG1326" s="34"/>
      <c r="BH1326" s="34"/>
    </row>
    <row r="1327" spans="1:60" s="17" customFormat="1" ht="19.5" customHeight="1" thickBot="1" x14ac:dyDescent="0.4">
      <c r="A1327" s="41">
        <f t="shared" ref="A1327:B1327" si="1306">A1326</f>
        <v>45446</v>
      </c>
      <c r="B1327" s="37" t="str">
        <f t="shared" si="1306"/>
        <v>Yaka Çıma</v>
      </c>
      <c r="C1327" s="65">
        <f t="shared" si="1302"/>
        <v>0</v>
      </c>
      <c r="D1327" s="67">
        <f t="shared" si="1297"/>
        <v>120</v>
      </c>
      <c r="E1327" s="59"/>
      <c r="F1327" s="60"/>
      <c r="G1327" s="61"/>
      <c r="H1327" s="62"/>
      <c r="I1327" s="59"/>
      <c r="J1327" s="60"/>
      <c r="K1327" s="61"/>
      <c r="L1327" s="62"/>
      <c r="M1327" s="59"/>
      <c r="N1327" s="60"/>
      <c r="O1327" s="61"/>
      <c r="P1327" s="62"/>
      <c r="Q1327" s="64"/>
      <c r="R1327" s="61"/>
      <c r="S1327" s="61"/>
      <c r="T1327" s="61"/>
      <c r="U1327" s="62"/>
      <c r="V1327" s="59"/>
      <c r="W1327" s="60"/>
      <c r="X1327" s="61"/>
      <c r="Y1327" s="62"/>
      <c r="Z1327" s="59"/>
      <c r="AA1327" s="60"/>
      <c r="AB1327" s="61"/>
      <c r="AC1327" s="62"/>
      <c r="AD1327" s="59"/>
      <c r="AE1327" s="60"/>
      <c r="AF1327" s="61"/>
      <c r="AG1327" s="62"/>
      <c r="AH1327" s="59"/>
      <c r="AI1327" s="60"/>
      <c r="AJ1327" s="61"/>
      <c r="AK1327" s="62"/>
      <c r="AL1327" s="59"/>
      <c r="AM1327" s="60"/>
      <c r="AN1327" s="61"/>
      <c r="AO1327" s="62"/>
      <c r="AP1327" s="59"/>
      <c r="AQ1327" s="60"/>
      <c r="AR1327" s="61"/>
      <c r="AS1327" s="62"/>
      <c r="AT1327" s="59"/>
      <c r="AU1327" s="60"/>
      <c r="AV1327" s="61"/>
      <c r="AW1327" s="62"/>
      <c r="AX1327" s="33">
        <f t="shared" si="1298"/>
        <v>0</v>
      </c>
      <c r="AY1327" s="31">
        <f t="shared" si="1299"/>
        <v>0</v>
      </c>
      <c r="AZ1327" s="30">
        <f t="shared" si="1300"/>
        <v>0</v>
      </c>
      <c r="BA1327" s="34"/>
      <c r="BB1327" s="34"/>
      <c r="BC1327" s="34"/>
      <c r="BD1327" s="76"/>
      <c r="BE1327" s="34"/>
      <c r="BF1327" s="34"/>
      <c r="BG1327" s="34"/>
      <c r="BH1327" s="34"/>
    </row>
    <row r="1328" spans="1:60" s="17" customFormat="1" ht="19.5" customHeight="1" thickBot="1" x14ac:dyDescent="0.45">
      <c r="A1328" s="41">
        <f t="shared" ref="A1328" si="1307">A1327</f>
        <v>45446</v>
      </c>
      <c r="B1328" s="139" t="str">
        <f>B1321</f>
        <v>Yaka Çıma</v>
      </c>
      <c r="C1328" s="140"/>
      <c r="D1328" s="40">
        <f>C1238/8</f>
        <v>500</v>
      </c>
      <c r="E1328" s="147">
        <f>SUM(E1321:H1327)</f>
        <v>480</v>
      </c>
      <c r="F1328" s="148"/>
      <c r="G1328" s="148"/>
      <c r="H1328" s="149"/>
      <c r="I1328" s="147">
        <f>SUM(I1321:L1327)</f>
        <v>460</v>
      </c>
      <c r="J1328" s="148"/>
      <c r="K1328" s="148"/>
      <c r="L1328" s="149"/>
      <c r="M1328" s="147">
        <f>SUM(M1321:P1327)</f>
        <v>460</v>
      </c>
      <c r="N1328" s="148"/>
      <c r="O1328" s="148"/>
      <c r="P1328" s="149"/>
      <c r="Q1328" s="147">
        <f>SUM(Q1321:U1327)</f>
        <v>500</v>
      </c>
      <c r="R1328" s="148"/>
      <c r="S1328" s="148"/>
      <c r="T1328" s="148"/>
      <c r="U1328" s="149"/>
      <c r="V1328" s="147">
        <f>SUM(V1321:Y1327)</f>
        <v>530</v>
      </c>
      <c r="W1328" s="148"/>
      <c r="X1328" s="148"/>
      <c r="Y1328" s="149"/>
      <c r="Z1328" s="147">
        <f>SUM(Z1321:AC1327)</f>
        <v>395</v>
      </c>
      <c r="AA1328" s="148"/>
      <c r="AB1328" s="148"/>
      <c r="AC1328" s="149"/>
      <c r="AD1328" s="147">
        <f>SUM(AD1321:AG1327)</f>
        <v>520</v>
      </c>
      <c r="AE1328" s="148"/>
      <c r="AF1328" s="148"/>
      <c r="AG1328" s="149"/>
      <c r="AH1328" s="147">
        <f>SUM(AH1321:AK1327)</f>
        <v>492</v>
      </c>
      <c r="AI1328" s="148"/>
      <c r="AJ1328" s="148"/>
      <c r="AK1328" s="149"/>
      <c r="AL1328" s="147">
        <f>SUM(AL1321:AO1327)</f>
        <v>0</v>
      </c>
      <c r="AM1328" s="148"/>
      <c r="AN1328" s="148"/>
      <c r="AO1328" s="149"/>
      <c r="AP1328" s="147">
        <f>SUM(AP1321:AS1327)</f>
        <v>0</v>
      </c>
      <c r="AQ1328" s="148"/>
      <c r="AR1328" s="148"/>
      <c r="AS1328" s="149"/>
      <c r="AT1328" s="147">
        <f>SUM(AT1321:AW1327)</f>
        <v>0</v>
      </c>
      <c r="AU1328" s="148"/>
      <c r="AV1328" s="148"/>
      <c r="AW1328" s="149"/>
      <c r="AX1328" s="87">
        <f>SUM(AX1321:AX1327)</f>
        <v>3837</v>
      </c>
      <c r="AY1328" s="88">
        <f>IFERROR(AVERAGEIF(E1328:AV1328,"&lt;&gt;0",(E1328:AV1328)),)</f>
        <v>479.625</v>
      </c>
      <c r="AZ1328" s="46">
        <f>IFERROR(AX1328/BB1322,0)</f>
        <v>0.95925000000000005</v>
      </c>
      <c r="BA1328" s="34"/>
      <c r="BB1328" s="34"/>
      <c r="BC1328" s="34"/>
      <c r="BD1328" s="76"/>
      <c r="BE1328" s="34"/>
      <c r="BF1328" s="34"/>
      <c r="BG1328" s="34"/>
      <c r="BH1328" s="34"/>
    </row>
    <row r="1329" spans="1:60" s="17" customFormat="1" ht="19.5" customHeight="1" thickBot="1" x14ac:dyDescent="0.4">
      <c r="A1329" s="42">
        <f>A1311</f>
        <v>45446</v>
      </c>
      <c r="B1329" s="38" t="str">
        <f>B1330</f>
        <v>Kol Takma</v>
      </c>
      <c r="C1329" s="39" t="s">
        <v>180</v>
      </c>
      <c r="D1329" s="69" t="s">
        <v>181</v>
      </c>
      <c r="E1329" s="48">
        <v>0.34375</v>
      </c>
      <c r="F1329" s="49">
        <v>0.35416666666666669</v>
      </c>
      <c r="G1329" s="49">
        <v>0.36458333333333331</v>
      </c>
      <c r="H1329" s="50">
        <v>0.375</v>
      </c>
      <c r="I1329" s="48">
        <v>0.38541666666666702</v>
      </c>
      <c r="J1329" s="49">
        <v>0.39583333333333298</v>
      </c>
      <c r="K1329" s="49">
        <v>0.40625</v>
      </c>
      <c r="L1329" s="50">
        <v>0.41666666666666702</v>
      </c>
      <c r="M1329" s="48">
        <v>0.4375</v>
      </c>
      <c r="N1329" s="49">
        <v>0.44791666666666702</v>
      </c>
      <c r="O1329" s="49">
        <v>0.45833333333333398</v>
      </c>
      <c r="P1329" s="50">
        <v>0.46875</v>
      </c>
      <c r="Q1329" s="48">
        <v>0.47916666666666702</v>
      </c>
      <c r="R1329" s="49">
        <v>0.48958333333333398</v>
      </c>
      <c r="S1329" s="49">
        <v>0.5</v>
      </c>
      <c r="T1329" s="50">
        <v>0.51041666666666696</v>
      </c>
      <c r="U1329" s="51">
        <v>0.52083333333333204</v>
      </c>
      <c r="V1329" s="48">
        <v>0.5625</v>
      </c>
      <c r="W1329" s="49">
        <v>0.57291666666666663</v>
      </c>
      <c r="X1329" s="49">
        <v>0.58333333333333304</v>
      </c>
      <c r="Y1329" s="50">
        <v>0.59375</v>
      </c>
      <c r="Z1329" s="48">
        <v>0.60416666666666696</v>
      </c>
      <c r="AA1329" s="49">
        <v>0.61458333333333304</v>
      </c>
      <c r="AB1329" s="49">
        <v>0.625</v>
      </c>
      <c r="AC1329" s="50">
        <v>0.63541666666666596</v>
      </c>
      <c r="AD1329" s="48">
        <v>0.65625</v>
      </c>
      <c r="AE1329" s="49">
        <v>0.66666666666666663</v>
      </c>
      <c r="AF1329" s="49">
        <v>0.67708333333333304</v>
      </c>
      <c r="AG1329" s="50">
        <v>0.6875</v>
      </c>
      <c r="AH1329" s="48">
        <v>0.69791666666666696</v>
      </c>
      <c r="AI1329" s="49">
        <v>0.70833333333333304</v>
      </c>
      <c r="AJ1329" s="49">
        <v>0.71875</v>
      </c>
      <c r="AK1329" s="50">
        <v>0.72916666666666696</v>
      </c>
      <c r="AL1329" s="48">
        <v>0.73958333333333404</v>
      </c>
      <c r="AM1329" s="49">
        <v>0.750000000000001</v>
      </c>
      <c r="AN1329" s="49">
        <v>0.76041666666666796</v>
      </c>
      <c r="AO1329" s="50">
        <v>0.77083333333333504</v>
      </c>
      <c r="AP1329" s="48">
        <v>0.781250000000002</v>
      </c>
      <c r="AQ1329" s="49">
        <v>0.79166666666666896</v>
      </c>
      <c r="AR1329" s="49">
        <v>0.80208333333333603</v>
      </c>
      <c r="AS1329" s="50">
        <v>0.812500000000003</v>
      </c>
      <c r="AT1329" s="48">
        <v>0.82291666666666996</v>
      </c>
      <c r="AU1329" s="49">
        <v>0.83333333333333703</v>
      </c>
      <c r="AV1329" s="49">
        <v>0.843750000000004</v>
      </c>
      <c r="AW1329" s="50">
        <v>0.85416666666666663</v>
      </c>
      <c r="AX1329" s="68" t="s">
        <v>260</v>
      </c>
      <c r="AY1329" s="28" t="s">
        <v>261</v>
      </c>
      <c r="AZ1329" s="29" t="s">
        <v>262</v>
      </c>
      <c r="BA1329" s="136" t="str">
        <f>B1330</f>
        <v>Kol Takma</v>
      </c>
      <c r="BB1329" s="137"/>
      <c r="BC1329" s="137"/>
      <c r="BD1329" s="137"/>
      <c r="BE1329" s="137"/>
      <c r="BF1329" s="137"/>
      <c r="BG1329" s="137"/>
      <c r="BH1329" s="138"/>
    </row>
    <row r="1330" spans="1:60" s="17" customFormat="1" ht="19.5" customHeight="1" thickBot="1" x14ac:dyDescent="0.4">
      <c r="A1330" s="41">
        <f t="shared" ref="A1330" si="1308">A1329</f>
        <v>45446</v>
      </c>
      <c r="B1330" s="37" t="str">
        <f>B1154</f>
        <v>Kol Takma</v>
      </c>
      <c r="C1330" s="65" t="str">
        <f>C1154</f>
        <v>EBRU CANSU</v>
      </c>
      <c r="D1330" s="70">
        <f>D1154</f>
        <v>35</v>
      </c>
      <c r="E1330" s="63">
        <v>30</v>
      </c>
      <c r="F1330" s="55">
        <v>40</v>
      </c>
      <c r="G1330" s="55">
        <v>35</v>
      </c>
      <c r="H1330" s="56">
        <v>40</v>
      </c>
      <c r="I1330" s="63">
        <v>32</v>
      </c>
      <c r="J1330" s="55">
        <v>20</v>
      </c>
      <c r="K1330" s="55">
        <v>35</v>
      </c>
      <c r="L1330" s="56">
        <v>37</v>
      </c>
      <c r="M1330" s="63">
        <v>40</v>
      </c>
      <c r="N1330" s="55">
        <v>40</v>
      </c>
      <c r="O1330" s="55">
        <v>40</v>
      </c>
      <c r="P1330" s="56">
        <v>32</v>
      </c>
      <c r="Q1330" s="63">
        <v>30</v>
      </c>
      <c r="R1330" s="55">
        <v>32</v>
      </c>
      <c r="S1330" s="55">
        <v>35</v>
      </c>
      <c r="T1330" s="55">
        <v>35</v>
      </c>
      <c r="U1330" s="56">
        <v>35</v>
      </c>
      <c r="V1330" s="63"/>
      <c r="W1330" s="55"/>
      <c r="X1330" s="55"/>
      <c r="Y1330" s="56"/>
      <c r="Z1330" s="63"/>
      <c r="AA1330" s="55"/>
      <c r="AB1330" s="55"/>
      <c r="AC1330" s="56">
        <v>0</v>
      </c>
      <c r="AD1330" s="63">
        <v>30</v>
      </c>
      <c r="AE1330" s="55">
        <v>35</v>
      </c>
      <c r="AF1330" s="55">
        <v>35</v>
      </c>
      <c r="AG1330" s="56">
        <v>30</v>
      </c>
      <c r="AH1330" s="63">
        <v>35</v>
      </c>
      <c r="AI1330" s="55">
        <v>32</v>
      </c>
      <c r="AJ1330" s="55">
        <v>23</v>
      </c>
      <c r="AK1330" s="56"/>
      <c r="AL1330" s="63"/>
      <c r="AM1330" s="55"/>
      <c r="AN1330" s="55"/>
      <c r="AO1330" s="56"/>
      <c r="AP1330" s="63"/>
      <c r="AQ1330" s="55"/>
      <c r="AR1330" s="55"/>
      <c r="AS1330" s="56"/>
      <c r="AT1330" s="53"/>
      <c r="AU1330" s="54"/>
      <c r="AV1330" s="55"/>
      <c r="AW1330" s="56"/>
      <c r="AX1330" s="33">
        <f>SUM(E1330:AW1330)</f>
        <v>808</v>
      </c>
      <c r="AY1330" s="31">
        <f>IFERROR(AVERAGEIF(E1330:AW1330,"&lt;&gt;0",(E1330:AW1330)),)</f>
        <v>33.666666666666664</v>
      </c>
      <c r="AZ1330" s="30">
        <f>IFERROR(AY1330/D1330,0)</f>
        <v>0.96190476190476182</v>
      </c>
      <c r="BA1330" s="103" t="s">
        <v>182</v>
      </c>
      <c r="BB1330" s="100" t="s">
        <v>183</v>
      </c>
      <c r="BC1330" s="100" t="s">
        <v>184</v>
      </c>
      <c r="BD1330" s="101" t="s">
        <v>185</v>
      </c>
      <c r="BE1330" s="100" t="s">
        <v>186</v>
      </c>
      <c r="BF1330" s="102" t="s">
        <v>187</v>
      </c>
      <c r="BG1330" s="100" t="s">
        <v>188</v>
      </c>
      <c r="BH1330" s="102" t="s">
        <v>189</v>
      </c>
    </row>
    <row r="1331" spans="1:60" s="17" customFormat="1" ht="19.5" customHeight="1" thickBot="1" x14ac:dyDescent="0.4">
      <c r="A1331" s="41">
        <f t="shared" ref="A1331:B1331" si="1309">A1330</f>
        <v>45446</v>
      </c>
      <c r="B1331" s="37" t="str">
        <f t="shared" si="1309"/>
        <v>Kol Takma</v>
      </c>
      <c r="C1331" s="65" t="str">
        <f t="shared" ref="C1331:C1336" si="1310">C1155</f>
        <v>GÜLER SAĞCAN</v>
      </c>
      <c r="D1331" s="67">
        <f t="shared" ref="D1331:D1336" si="1311">D1330</f>
        <v>35</v>
      </c>
      <c r="E1331" s="57">
        <v>32</v>
      </c>
      <c r="F1331" s="52">
        <v>32</v>
      </c>
      <c r="G1331" s="52">
        <v>31</v>
      </c>
      <c r="H1331" s="58">
        <v>30</v>
      </c>
      <c r="I1331" s="57">
        <v>30</v>
      </c>
      <c r="J1331" s="52">
        <v>23</v>
      </c>
      <c r="K1331" s="52">
        <v>30</v>
      </c>
      <c r="L1331" s="58">
        <v>30</v>
      </c>
      <c r="M1331" s="57">
        <v>32</v>
      </c>
      <c r="N1331" s="52">
        <v>31</v>
      </c>
      <c r="O1331" s="52">
        <v>32</v>
      </c>
      <c r="P1331" s="58">
        <v>31</v>
      </c>
      <c r="Q1331" s="57">
        <v>30</v>
      </c>
      <c r="R1331" s="52">
        <v>30</v>
      </c>
      <c r="S1331" s="52">
        <v>30</v>
      </c>
      <c r="T1331" s="52">
        <v>30</v>
      </c>
      <c r="U1331" s="58">
        <v>30</v>
      </c>
      <c r="V1331" s="57">
        <v>27</v>
      </c>
      <c r="W1331" s="52">
        <v>32</v>
      </c>
      <c r="X1331" s="52">
        <v>31</v>
      </c>
      <c r="Y1331" s="58">
        <v>31</v>
      </c>
      <c r="Z1331" s="57">
        <v>30</v>
      </c>
      <c r="AA1331" s="52">
        <v>30</v>
      </c>
      <c r="AB1331" s="52">
        <v>33</v>
      </c>
      <c r="AC1331" s="58">
        <v>33</v>
      </c>
      <c r="AD1331" s="57">
        <v>32</v>
      </c>
      <c r="AE1331" s="52">
        <v>31</v>
      </c>
      <c r="AF1331" s="52">
        <v>32</v>
      </c>
      <c r="AG1331" s="58">
        <v>30</v>
      </c>
      <c r="AH1331" s="57">
        <v>27</v>
      </c>
      <c r="AI1331" s="52">
        <v>25</v>
      </c>
      <c r="AJ1331" s="52">
        <v>0</v>
      </c>
      <c r="AK1331" s="58"/>
      <c r="AL1331" s="57"/>
      <c r="AM1331" s="52"/>
      <c r="AN1331" s="52"/>
      <c r="AO1331" s="58"/>
      <c r="AP1331" s="57"/>
      <c r="AQ1331" s="52"/>
      <c r="AR1331" s="52"/>
      <c r="AS1331" s="58"/>
      <c r="AT1331" s="57"/>
      <c r="AU1331" s="52"/>
      <c r="AV1331" s="52"/>
      <c r="AW1331" s="58"/>
      <c r="AX1331" s="33">
        <f t="shared" ref="AX1331:AX1336" si="1312">SUM(E1331:AW1331)</f>
        <v>938</v>
      </c>
      <c r="AY1331" s="31">
        <f t="shared" ref="AY1331:AY1336" si="1313">IFERROR(AVERAGEIF(E1331:AW1331,"&lt;&gt;0",(E1331:AW1331)),)</f>
        <v>30.258064516129032</v>
      </c>
      <c r="AZ1331" s="30">
        <f t="shared" ref="AZ1331:AZ1336" si="1314">IFERROR(AY1331/D1331,0)</f>
        <v>0.86451612903225805</v>
      </c>
      <c r="BA1331" s="94">
        <f>AX1337+BA1155</f>
        <v>16475</v>
      </c>
      <c r="BB1331" s="95">
        <f>(D1337*8)</f>
        <v>4000</v>
      </c>
      <c r="BC1331" s="96">
        <f>C1237-BA1331</f>
        <v>25836</v>
      </c>
      <c r="BD1331" s="96">
        <f>BA1322-BA1331</f>
        <v>1076</v>
      </c>
      <c r="BE1331" s="97">
        <f>IFERROR(BC1331/E1337,0)</f>
        <v>53.601659751037346</v>
      </c>
      <c r="BF1331" s="98">
        <f>IFERROR(BE1331/9,0)</f>
        <v>5.9557399723374829</v>
      </c>
      <c r="BG1331" s="97">
        <f>IFERROR(BC1331/AY1337,0)</f>
        <v>57.222591362126245</v>
      </c>
      <c r="BH1331" s="97">
        <f>IFERROR(BG1331/9,0)</f>
        <v>6.3580657069029165</v>
      </c>
    </row>
    <row r="1332" spans="1:60" s="17" customFormat="1" ht="19.5" customHeight="1" x14ac:dyDescent="0.35">
      <c r="A1332" s="41">
        <f t="shared" ref="A1332:B1332" si="1315">A1331</f>
        <v>45446</v>
      </c>
      <c r="B1332" s="37" t="str">
        <f t="shared" si="1315"/>
        <v>Kol Takma</v>
      </c>
      <c r="C1332" s="65" t="str">
        <f t="shared" si="1310"/>
        <v>ÖZLEM KAHRAMAN</v>
      </c>
      <c r="D1332" s="67">
        <f t="shared" si="1311"/>
        <v>35</v>
      </c>
      <c r="E1332" s="57">
        <v>20</v>
      </c>
      <c r="F1332" s="52">
        <v>30</v>
      </c>
      <c r="G1332" s="52">
        <v>30</v>
      </c>
      <c r="H1332" s="58">
        <v>26</v>
      </c>
      <c r="I1332" s="57">
        <v>25</v>
      </c>
      <c r="J1332" s="52">
        <v>25</v>
      </c>
      <c r="K1332" s="52">
        <v>30</v>
      </c>
      <c r="L1332" s="58">
        <v>30</v>
      </c>
      <c r="M1332" s="57">
        <v>0</v>
      </c>
      <c r="N1332" s="52">
        <v>0</v>
      </c>
      <c r="O1332" s="52">
        <v>0</v>
      </c>
      <c r="P1332" s="58">
        <v>0</v>
      </c>
      <c r="Q1332" s="57">
        <v>0</v>
      </c>
      <c r="R1332" s="52">
        <v>0</v>
      </c>
      <c r="S1332" s="52">
        <v>30</v>
      </c>
      <c r="T1332" s="52">
        <v>30</v>
      </c>
      <c r="U1332" s="58">
        <v>30</v>
      </c>
      <c r="V1332" s="57">
        <v>30</v>
      </c>
      <c r="W1332" s="52">
        <v>30</v>
      </c>
      <c r="X1332" s="52">
        <v>30</v>
      </c>
      <c r="Y1332" s="58">
        <v>30</v>
      </c>
      <c r="Z1332" s="57">
        <v>30</v>
      </c>
      <c r="AA1332" s="52">
        <v>20</v>
      </c>
      <c r="AB1332" s="52">
        <v>30</v>
      </c>
      <c r="AC1332" s="58">
        <v>30</v>
      </c>
      <c r="AD1332" s="57">
        <v>30</v>
      </c>
      <c r="AE1332" s="52">
        <v>30</v>
      </c>
      <c r="AF1332" s="52">
        <v>30</v>
      </c>
      <c r="AG1332" s="58">
        <v>20</v>
      </c>
      <c r="AH1332" s="57">
        <v>35</v>
      </c>
      <c r="AI1332" s="52">
        <v>32</v>
      </c>
      <c r="AJ1332" s="52">
        <v>30</v>
      </c>
      <c r="AK1332" s="58"/>
      <c r="AL1332" s="57"/>
      <c r="AM1332" s="52"/>
      <c r="AN1332" s="52"/>
      <c r="AO1332" s="58"/>
      <c r="AP1332" s="57"/>
      <c r="AQ1332" s="52"/>
      <c r="AR1332" s="52"/>
      <c r="AS1332" s="58"/>
      <c r="AT1332" s="57"/>
      <c r="AU1332" s="52"/>
      <c r="AV1332" s="52"/>
      <c r="AW1332" s="58"/>
      <c r="AX1332" s="33">
        <f t="shared" si="1312"/>
        <v>743</v>
      </c>
      <c r="AY1332" s="31">
        <f t="shared" si="1313"/>
        <v>28.576923076923077</v>
      </c>
      <c r="AZ1332" s="30">
        <f t="shared" si="1314"/>
        <v>0.81648351648351647</v>
      </c>
      <c r="BA1332" s="34"/>
      <c r="BB1332" s="34"/>
      <c r="BC1332" s="34"/>
      <c r="BD1332" s="76"/>
      <c r="BE1332" s="34"/>
      <c r="BF1332" s="34"/>
      <c r="BG1332" s="34"/>
      <c r="BH1332" s="34"/>
    </row>
    <row r="1333" spans="1:60" s="17" customFormat="1" ht="19.5" customHeight="1" x14ac:dyDescent="0.35">
      <c r="A1333" s="41">
        <f t="shared" ref="A1333:B1333" si="1316">A1332</f>
        <v>45446</v>
      </c>
      <c r="B1333" s="37" t="str">
        <f t="shared" si="1316"/>
        <v>Kol Takma</v>
      </c>
      <c r="C1333" s="65" t="str">
        <f t="shared" si="1310"/>
        <v>HATİCE ÖZDİL</v>
      </c>
      <c r="D1333" s="67">
        <f t="shared" si="1311"/>
        <v>35</v>
      </c>
      <c r="E1333" s="57">
        <v>26</v>
      </c>
      <c r="F1333" s="52">
        <v>27</v>
      </c>
      <c r="G1333" s="52">
        <v>25</v>
      </c>
      <c r="H1333" s="58">
        <v>28</v>
      </c>
      <c r="I1333" s="57">
        <v>15</v>
      </c>
      <c r="J1333" s="52">
        <v>27</v>
      </c>
      <c r="K1333" s="52">
        <v>22</v>
      </c>
      <c r="L1333" s="58">
        <v>22</v>
      </c>
      <c r="M1333" s="57">
        <v>30</v>
      </c>
      <c r="N1333" s="52">
        <v>30</v>
      </c>
      <c r="O1333" s="52">
        <v>30</v>
      </c>
      <c r="P1333" s="58">
        <v>23</v>
      </c>
      <c r="Q1333" s="57">
        <v>30</v>
      </c>
      <c r="R1333" s="52">
        <v>25</v>
      </c>
      <c r="S1333" s="52">
        <v>25</v>
      </c>
      <c r="T1333" s="52">
        <v>30</v>
      </c>
      <c r="U1333" s="58">
        <v>22</v>
      </c>
      <c r="V1333" s="57">
        <v>30</v>
      </c>
      <c r="W1333" s="52">
        <v>30</v>
      </c>
      <c r="X1333" s="52">
        <v>30</v>
      </c>
      <c r="Y1333" s="58">
        <v>20</v>
      </c>
      <c r="Z1333" s="57">
        <v>30</v>
      </c>
      <c r="AA1333" s="52">
        <v>26</v>
      </c>
      <c r="AB1333" s="52">
        <v>25</v>
      </c>
      <c r="AC1333" s="58">
        <v>30</v>
      </c>
      <c r="AD1333" s="57">
        <v>30</v>
      </c>
      <c r="AE1333" s="52">
        <v>30</v>
      </c>
      <c r="AF1333" s="52">
        <v>15</v>
      </c>
      <c r="AG1333" s="58">
        <v>25</v>
      </c>
      <c r="AH1333" s="57">
        <v>25</v>
      </c>
      <c r="AI1333" s="52">
        <v>25</v>
      </c>
      <c r="AJ1333" s="52">
        <v>27</v>
      </c>
      <c r="AK1333" s="58"/>
      <c r="AL1333" s="57"/>
      <c r="AM1333" s="52"/>
      <c r="AN1333" s="52"/>
      <c r="AO1333" s="58"/>
      <c r="AP1333" s="57"/>
      <c r="AQ1333" s="52"/>
      <c r="AR1333" s="52"/>
      <c r="AS1333" s="58"/>
      <c r="AT1333" s="57"/>
      <c r="AU1333" s="52"/>
      <c r="AV1333" s="52"/>
      <c r="AW1333" s="58"/>
      <c r="AX1333" s="33">
        <f t="shared" si="1312"/>
        <v>835</v>
      </c>
      <c r="AY1333" s="31">
        <f t="shared" si="1313"/>
        <v>26.09375</v>
      </c>
      <c r="AZ1333" s="30">
        <f t="shared" si="1314"/>
        <v>0.7455357142857143</v>
      </c>
      <c r="BA1333" s="34"/>
      <c r="BB1333" s="34"/>
      <c r="BC1333" s="34"/>
      <c r="BD1333" s="76"/>
      <c r="BE1333" s="34"/>
      <c r="BF1333" s="34"/>
      <c r="BG1333" s="34"/>
      <c r="BH1333" s="34"/>
    </row>
    <row r="1334" spans="1:60" s="17" customFormat="1" ht="19.5" customHeight="1" x14ac:dyDescent="0.35">
      <c r="A1334" s="41">
        <f>A1331</f>
        <v>45446</v>
      </c>
      <c r="B1334" s="37" t="str">
        <f t="shared" ref="B1334" si="1317">B1333</f>
        <v>Kol Takma</v>
      </c>
      <c r="C1334" s="65" t="s">
        <v>54</v>
      </c>
      <c r="D1334" s="67">
        <f t="shared" si="1311"/>
        <v>35</v>
      </c>
      <c r="E1334" s="57"/>
      <c r="F1334" s="52"/>
      <c r="G1334" s="52"/>
      <c r="H1334" s="58"/>
      <c r="I1334" s="57"/>
      <c r="J1334" s="52"/>
      <c r="K1334" s="52"/>
      <c r="L1334" s="58"/>
      <c r="M1334" s="57"/>
      <c r="N1334" s="52">
        <v>20</v>
      </c>
      <c r="O1334" s="52">
        <v>25</v>
      </c>
      <c r="P1334" s="58">
        <v>25</v>
      </c>
      <c r="Q1334" s="57">
        <v>25</v>
      </c>
      <c r="R1334" s="52">
        <v>17</v>
      </c>
      <c r="S1334" s="52">
        <v>20</v>
      </c>
      <c r="T1334" s="52">
        <v>0</v>
      </c>
      <c r="U1334" s="58">
        <v>0</v>
      </c>
      <c r="V1334" s="57"/>
      <c r="W1334" s="52"/>
      <c r="X1334" s="52"/>
      <c r="Y1334" s="58">
        <v>20</v>
      </c>
      <c r="Z1334" s="57">
        <v>30</v>
      </c>
      <c r="AA1334" s="52">
        <v>25</v>
      </c>
      <c r="AB1334" s="52">
        <v>27</v>
      </c>
      <c r="AC1334" s="58">
        <v>27</v>
      </c>
      <c r="AD1334" s="57">
        <v>27</v>
      </c>
      <c r="AE1334" s="52"/>
      <c r="AF1334" s="52"/>
      <c r="AG1334" s="58"/>
      <c r="AH1334" s="57"/>
      <c r="AI1334" s="52"/>
      <c r="AJ1334" s="52"/>
      <c r="AK1334" s="58"/>
      <c r="AL1334" s="57"/>
      <c r="AM1334" s="52"/>
      <c r="AN1334" s="52"/>
      <c r="AO1334" s="58"/>
      <c r="AP1334" s="57"/>
      <c r="AQ1334" s="52"/>
      <c r="AR1334" s="52"/>
      <c r="AS1334" s="58"/>
      <c r="AT1334" s="57"/>
      <c r="AU1334" s="52"/>
      <c r="AV1334" s="52"/>
      <c r="AW1334" s="58"/>
      <c r="AX1334" s="33">
        <f t="shared" si="1312"/>
        <v>288</v>
      </c>
      <c r="AY1334" s="31">
        <f t="shared" si="1313"/>
        <v>24</v>
      </c>
      <c r="AZ1334" s="30">
        <f t="shared" si="1314"/>
        <v>0.68571428571428572</v>
      </c>
      <c r="BA1334" s="34"/>
      <c r="BB1334" s="34"/>
      <c r="BC1334" s="34"/>
      <c r="BD1334" s="76"/>
      <c r="BE1334" s="34"/>
      <c r="BF1334" s="34"/>
      <c r="BG1334" s="34"/>
      <c r="BH1334" s="34"/>
    </row>
    <row r="1335" spans="1:60" s="17" customFormat="1" ht="19.5" customHeight="1" x14ac:dyDescent="0.35">
      <c r="A1335" s="41">
        <f t="shared" ref="A1335:B1335" si="1318">A1334</f>
        <v>45446</v>
      </c>
      <c r="B1335" s="37" t="str">
        <f t="shared" si="1318"/>
        <v>Kol Takma</v>
      </c>
      <c r="C1335" s="65">
        <f t="shared" si="1310"/>
        <v>0</v>
      </c>
      <c r="D1335" s="67">
        <f t="shared" si="1311"/>
        <v>35</v>
      </c>
      <c r="E1335" s="57"/>
      <c r="F1335" s="52"/>
      <c r="G1335" s="52"/>
      <c r="H1335" s="58"/>
      <c r="I1335" s="57"/>
      <c r="J1335" s="52"/>
      <c r="K1335" s="52"/>
      <c r="L1335" s="58"/>
      <c r="M1335" s="57"/>
      <c r="N1335" s="52"/>
      <c r="O1335" s="52"/>
      <c r="P1335" s="58"/>
      <c r="Q1335" s="57"/>
      <c r="R1335" s="52"/>
      <c r="S1335" s="52"/>
      <c r="T1335" s="52"/>
      <c r="U1335" s="58"/>
      <c r="V1335" s="57"/>
      <c r="W1335" s="52"/>
      <c r="X1335" s="52"/>
      <c r="Y1335" s="58"/>
      <c r="Z1335" s="57"/>
      <c r="AA1335" s="52"/>
      <c r="AB1335" s="52"/>
      <c r="AC1335" s="58"/>
      <c r="AD1335" s="57"/>
      <c r="AE1335" s="52"/>
      <c r="AF1335" s="52"/>
      <c r="AG1335" s="58"/>
      <c r="AH1335" s="57"/>
      <c r="AI1335" s="52"/>
      <c r="AJ1335" s="52"/>
      <c r="AK1335" s="58"/>
      <c r="AL1335" s="57"/>
      <c r="AM1335" s="52"/>
      <c r="AN1335" s="52"/>
      <c r="AO1335" s="58"/>
      <c r="AP1335" s="57"/>
      <c r="AQ1335" s="52"/>
      <c r="AR1335" s="52"/>
      <c r="AS1335" s="58"/>
      <c r="AT1335" s="57"/>
      <c r="AU1335" s="52"/>
      <c r="AV1335" s="52"/>
      <c r="AW1335" s="58"/>
      <c r="AX1335" s="33">
        <f t="shared" si="1312"/>
        <v>0</v>
      </c>
      <c r="AY1335" s="31">
        <f t="shared" si="1313"/>
        <v>0</v>
      </c>
      <c r="AZ1335" s="30">
        <f t="shared" si="1314"/>
        <v>0</v>
      </c>
      <c r="BA1335" s="34"/>
      <c r="BB1335" s="34"/>
      <c r="BC1335" s="34"/>
      <c r="BD1335" s="76"/>
      <c r="BE1335" s="34"/>
      <c r="BF1335" s="34"/>
      <c r="BG1335" s="34"/>
      <c r="BH1335" s="34"/>
    </row>
    <row r="1336" spans="1:60" s="17" customFormat="1" ht="19.5" customHeight="1" thickBot="1" x14ac:dyDescent="0.4">
      <c r="A1336" s="41">
        <f t="shared" ref="A1336:B1336" si="1319">A1335</f>
        <v>45446</v>
      </c>
      <c r="B1336" s="37" t="str">
        <f t="shared" si="1319"/>
        <v>Kol Takma</v>
      </c>
      <c r="C1336" s="65">
        <f t="shared" si="1310"/>
        <v>0</v>
      </c>
      <c r="D1336" s="67">
        <f t="shared" si="1311"/>
        <v>35</v>
      </c>
      <c r="E1336" s="59"/>
      <c r="F1336" s="60"/>
      <c r="G1336" s="61"/>
      <c r="H1336" s="62"/>
      <c r="I1336" s="59"/>
      <c r="J1336" s="60"/>
      <c r="K1336" s="61"/>
      <c r="L1336" s="62"/>
      <c r="M1336" s="59"/>
      <c r="N1336" s="60"/>
      <c r="O1336" s="61"/>
      <c r="P1336" s="62"/>
      <c r="Q1336" s="64"/>
      <c r="R1336" s="61"/>
      <c r="S1336" s="61"/>
      <c r="T1336" s="61"/>
      <c r="U1336" s="62"/>
      <c r="V1336" s="59"/>
      <c r="W1336" s="60"/>
      <c r="X1336" s="61"/>
      <c r="Y1336" s="62"/>
      <c r="Z1336" s="59"/>
      <c r="AA1336" s="60"/>
      <c r="AB1336" s="61"/>
      <c r="AC1336" s="62"/>
      <c r="AD1336" s="59"/>
      <c r="AE1336" s="60"/>
      <c r="AF1336" s="61"/>
      <c r="AG1336" s="62"/>
      <c r="AH1336" s="59"/>
      <c r="AI1336" s="60"/>
      <c r="AJ1336" s="61"/>
      <c r="AK1336" s="62"/>
      <c r="AL1336" s="59"/>
      <c r="AM1336" s="60"/>
      <c r="AN1336" s="61"/>
      <c r="AO1336" s="62"/>
      <c r="AP1336" s="59"/>
      <c r="AQ1336" s="60"/>
      <c r="AR1336" s="61"/>
      <c r="AS1336" s="62"/>
      <c r="AT1336" s="59"/>
      <c r="AU1336" s="60"/>
      <c r="AV1336" s="61"/>
      <c r="AW1336" s="62"/>
      <c r="AX1336" s="33">
        <f t="shared" si="1312"/>
        <v>0</v>
      </c>
      <c r="AY1336" s="31">
        <f t="shared" si="1313"/>
        <v>0</v>
      </c>
      <c r="AZ1336" s="30">
        <f t="shared" si="1314"/>
        <v>0</v>
      </c>
      <c r="BA1336" s="34"/>
      <c r="BB1336" s="34"/>
      <c r="BC1336" s="34"/>
      <c r="BD1336" s="76"/>
      <c r="BE1336" s="34"/>
      <c r="BF1336" s="34"/>
      <c r="BG1336" s="34"/>
      <c r="BH1336" s="34"/>
    </row>
    <row r="1337" spans="1:60" s="17" customFormat="1" ht="19.5" customHeight="1" thickBot="1" x14ac:dyDescent="0.45">
      <c r="A1337" s="41">
        <f t="shared" ref="A1337" si="1320">A1336</f>
        <v>45446</v>
      </c>
      <c r="B1337" s="139" t="str">
        <f>B1330</f>
        <v>Kol Takma</v>
      </c>
      <c r="C1337" s="140"/>
      <c r="D1337" s="40">
        <f>C1238/8</f>
        <v>500</v>
      </c>
      <c r="E1337" s="147">
        <f>SUM(E1330:H1336)</f>
        <v>482</v>
      </c>
      <c r="F1337" s="148"/>
      <c r="G1337" s="148"/>
      <c r="H1337" s="149"/>
      <c r="I1337" s="147">
        <f>SUM(I1330:L1336)</f>
        <v>433</v>
      </c>
      <c r="J1337" s="148"/>
      <c r="K1337" s="148"/>
      <c r="L1337" s="149"/>
      <c r="M1337" s="147">
        <f>SUM(M1330:P1336)</f>
        <v>461</v>
      </c>
      <c r="N1337" s="148"/>
      <c r="O1337" s="148"/>
      <c r="P1337" s="149"/>
      <c r="Q1337" s="147">
        <f>SUM(Q1330:U1336)</f>
        <v>601</v>
      </c>
      <c r="R1337" s="148"/>
      <c r="S1337" s="148"/>
      <c r="T1337" s="148"/>
      <c r="U1337" s="149"/>
      <c r="V1337" s="147">
        <f>SUM(V1330:Y1336)</f>
        <v>371</v>
      </c>
      <c r="W1337" s="148"/>
      <c r="X1337" s="148"/>
      <c r="Y1337" s="149"/>
      <c r="Z1337" s="147">
        <f>SUM(Z1330:AC1336)</f>
        <v>456</v>
      </c>
      <c r="AA1337" s="148"/>
      <c r="AB1337" s="148"/>
      <c r="AC1337" s="149"/>
      <c r="AD1337" s="147">
        <f>SUM(AD1330:AG1336)</f>
        <v>492</v>
      </c>
      <c r="AE1337" s="148"/>
      <c r="AF1337" s="148"/>
      <c r="AG1337" s="149"/>
      <c r="AH1337" s="147">
        <f>SUM(AH1330:AK1336)</f>
        <v>316</v>
      </c>
      <c r="AI1337" s="148"/>
      <c r="AJ1337" s="148"/>
      <c r="AK1337" s="149"/>
      <c r="AL1337" s="147">
        <f>SUM(AL1330:AO1336)</f>
        <v>0</v>
      </c>
      <c r="AM1337" s="148"/>
      <c r="AN1337" s="148"/>
      <c r="AO1337" s="149"/>
      <c r="AP1337" s="147">
        <f>SUM(AP1330:AS1336)</f>
        <v>0</v>
      </c>
      <c r="AQ1337" s="148"/>
      <c r="AR1337" s="148"/>
      <c r="AS1337" s="149"/>
      <c r="AT1337" s="147">
        <f>SUM(AT1330:AW1336)</f>
        <v>0</v>
      </c>
      <c r="AU1337" s="148"/>
      <c r="AV1337" s="148"/>
      <c r="AW1337" s="149"/>
      <c r="AX1337" s="87">
        <f>SUM(AX1330:AX1336)</f>
        <v>3612</v>
      </c>
      <c r="AY1337" s="88">
        <f>IFERROR(AVERAGEIF(E1337:AV1337,"&lt;&gt;0",(E1337:AV1337)),)</f>
        <v>451.5</v>
      </c>
      <c r="AZ1337" s="46">
        <f>IFERROR(AX1337/BB1331,0)</f>
        <v>0.90300000000000002</v>
      </c>
      <c r="BA1337" s="34"/>
      <c r="BB1337" s="34"/>
      <c r="BC1337" s="34"/>
      <c r="BD1337" s="76"/>
      <c r="BE1337" s="34"/>
      <c r="BF1337" s="34"/>
      <c r="BG1337" s="34"/>
      <c r="BH1337" s="34"/>
    </row>
    <row r="1338" spans="1:60" s="17" customFormat="1" ht="19.5" customHeight="1" thickBot="1" x14ac:dyDescent="0.4">
      <c r="A1338" s="42">
        <f>A1329</f>
        <v>45446</v>
      </c>
      <c r="B1338" s="38" t="str">
        <f>B1339</f>
        <v>Yan Kapama</v>
      </c>
      <c r="C1338" s="39" t="s">
        <v>180</v>
      </c>
      <c r="D1338" s="69" t="s">
        <v>181</v>
      </c>
      <c r="E1338" s="48">
        <v>0.34375</v>
      </c>
      <c r="F1338" s="49">
        <v>0.35416666666666669</v>
      </c>
      <c r="G1338" s="49">
        <v>0.36458333333333331</v>
      </c>
      <c r="H1338" s="50">
        <v>0.375</v>
      </c>
      <c r="I1338" s="48">
        <v>0.38541666666666702</v>
      </c>
      <c r="J1338" s="49">
        <v>0.39583333333333298</v>
      </c>
      <c r="K1338" s="49">
        <v>0.40625</v>
      </c>
      <c r="L1338" s="50">
        <v>0.41666666666666702</v>
      </c>
      <c r="M1338" s="48">
        <v>0.4375</v>
      </c>
      <c r="N1338" s="49">
        <v>0.44791666666666702</v>
      </c>
      <c r="O1338" s="49">
        <v>0.45833333333333398</v>
      </c>
      <c r="P1338" s="50">
        <v>0.46875</v>
      </c>
      <c r="Q1338" s="82">
        <v>0.47916666666666702</v>
      </c>
      <c r="R1338" s="83">
        <v>0.48958333333333398</v>
      </c>
      <c r="S1338" s="83">
        <v>0.5</v>
      </c>
      <c r="T1338" s="84">
        <v>0.51041666666666696</v>
      </c>
      <c r="U1338" s="85">
        <v>0.52083333333333204</v>
      </c>
      <c r="V1338" s="48">
        <v>0.5625</v>
      </c>
      <c r="W1338" s="49">
        <v>0.57291666666666663</v>
      </c>
      <c r="X1338" s="49">
        <v>0.58333333333333304</v>
      </c>
      <c r="Y1338" s="50">
        <v>0.59375</v>
      </c>
      <c r="Z1338" s="48">
        <v>0.60416666666666696</v>
      </c>
      <c r="AA1338" s="49">
        <v>0.61458333333333304</v>
      </c>
      <c r="AB1338" s="49">
        <v>0.625</v>
      </c>
      <c r="AC1338" s="50">
        <v>0.63541666666666596</v>
      </c>
      <c r="AD1338" s="48">
        <v>0.65625</v>
      </c>
      <c r="AE1338" s="49">
        <v>0.66666666666666663</v>
      </c>
      <c r="AF1338" s="49">
        <v>0.67708333333333304</v>
      </c>
      <c r="AG1338" s="50">
        <v>0.6875</v>
      </c>
      <c r="AH1338" s="48">
        <v>0.69791666666666696</v>
      </c>
      <c r="AI1338" s="49">
        <v>0.70833333333333304</v>
      </c>
      <c r="AJ1338" s="49">
        <v>0.71875</v>
      </c>
      <c r="AK1338" s="50">
        <v>0.72916666666666696</v>
      </c>
      <c r="AL1338" s="48">
        <v>0.73958333333333404</v>
      </c>
      <c r="AM1338" s="49">
        <v>0.750000000000001</v>
      </c>
      <c r="AN1338" s="49">
        <v>0.76041666666666796</v>
      </c>
      <c r="AO1338" s="50">
        <v>0.77083333333333504</v>
      </c>
      <c r="AP1338" s="48">
        <v>0.781250000000002</v>
      </c>
      <c r="AQ1338" s="49">
        <v>0.79166666666666896</v>
      </c>
      <c r="AR1338" s="49">
        <v>0.80208333333333603</v>
      </c>
      <c r="AS1338" s="50">
        <v>0.812500000000003</v>
      </c>
      <c r="AT1338" s="48">
        <v>0.82291666666666996</v>
      </c>
      <c r="AU1338" s="49">
        <v>0.83333333333333703</v>
      </c>
      <c r="AV1338" s="49">
        <v>0.843750000000004</v>
      </c>
      <c r="AW1338" s="50">
        <v>0.85416666666666663</v>
      </c>
      <c r="AX1338" s="68" t="s">
        <v>260</v>
      </c>
      <c r="AY1338" s="28" t="s">
        <v>261</v>
      </c>
      <c r="AZ1338" s="29" t="s">
        <v>262</v>
      </c>
      <c r="BA1338" s="136" t="str">
        <f>B1339</f>
        <v>Yan Kapama</v>
      </c>
      <c r="BB1338" s="137"/>
      <c r="BC1338" s="137"/>
      <c r="BD1338" s="137"/>
      <c r="BE1338" s="137"/>
      <c r="BF1338" s="137"/>
      <c r="BG1338" s="137"/>
      <c r="BH1338" s="138"/>
    </row>
    <row r="1339" spans="1:60" s="17" customFormat="1" ht="19.5" customHeight="1" thickBot="1" x14ac:dyDescent="0.4">
      <c r="A1339" s="41">
        <f t="shared" ref="A1339" si="1321">A1338</f>
        <v>45446</v>
      </c>
      <c r="B1339" s="37" t="str">
        <f>B1163</f>
        <v>Yan Kapama</v>
      </c>
      <c r="C1339" s="65" t="s">
        <v>54</v>
      </c>
      <c r="D1339" s="70">
        <f>D1163</f>
        <v>40</v>
      </c>
      <c r="E1339" s="63">
        <v>33</v>
      </c>
      <c r="F1339" s="55">
        <v>31</v>
      </c>
      <c r="G1339" s="55">
        <v>32</v>
      </c>
      <c r="H1339" s="56">
        <v>32</v>
      </c>
      <c r="I1339" s="63">
        <v>0</v>
      </c>
      <c r="J1339" s="55">
        <v>0</v>
      </c>
      <c r="K1339" s="55"/>
      <c r="L1339" s="56"/>
      <c r="M1339" s="63"/>
      <c r="N1339" s="55"/>
      <c r="O1339" s="55"/>
      <c r="P1339" s="56"/>
      <c r="Q1339" s="63"/>
      <c r="R1339" s="55"/>
      <c r="S1339" s="55">
        <v>20</v>
      </c>
      <c r="T1339" s="55">
        <v>33</v>
      </c>
      <c r="U1339" s="56">
        <v>32</v>
      </c>
      <c r="V1339" s="63">
        <v>30</v>
      </c>
      <c r="W1339" s="55">
        <v>30</v>
      </c>
      <c r="X1339" s="55">
        <v>30</v>
      </c>
      <c r="Y1339" s="56">
        <v>0</v>
      </c>
      <c r="Z1339" s="63">
        <v>0</v>
      </c>
      <c r="AA1339" s="55">
        <v>0</v>
      </c>
      <c r="AB1339" s="55">
        <v>0</v>
      </c>
      <c r="AC1339" s="56">
        <v>0</v>
      </c>
      <c r="AD1339" s="63">
        <v>0</v>
      </c>
      <c r="AE1339" s="55">
        <v>24</v>
      </c>
      <c r="AF1339" s="55">
        <v>30</v>
      </c>
      <c r="AG1339" s="56">
        <v>31</v>
      </c>
      <c r="AH1339" s="63">
        <v>32</v>
      </c>
      <c r="AI1339" s="55">
        <v>30</v>
      </c>
      <c r="AJ1339" s="55">
        <v>25</v>
      </c>
      <c r="AK1339" s="56"/>
      <c r="AL1339" s="53"/>
      <c r="AM1339" s="54"/>
      <c r="AN1339" s="55"/>
      <c r="AO1339" s="56"/>
      <c r="AP1339" s="53"/>
      <c r="AQ1339" s="54"/>
      <c r="AR1339" s="55"/>
      <c r="AS1339" s="56"/>
      <c r="AT1339" s="53"/>
      <c r="AU1339" s="54"/>
      <c r="AV1339" s="55"/>
      <c r="AW1339" s="56"/>
      <c r="AX1339" s="33">
        <f>SUM(E1339:AW1339)</f>
        <v>475</v>
      </c>
      <c r="AY1339" s="31">
        <f>IFERROR(AVERAGEIF(E1339:AW1339,"&lt;&gt;0",(E1339:AW1339)),)</f>
        <v>29.6875</v>
      </c>
      <c r="AZ1339" s="30">
        <f>IFERROR(AY1339/D1339,0)</f>
        <v>0.7421875</v>
      </c>
      <c r="BA1339" s="103" t="s">
        <v>182</v>
      </c>
      <c r="BB1339" s="100" t="s">
        <v>183</v>
      </c>
      <c r="BC1339" s="100" t="s">
        <v>184</v>
      </c>
      <c r="BD1339" s="101" t="s">
        <v>185</v>
      </c>
      <c r="BE1339" s="100" t="s">
        <v>186</v>
      </c>
      <c r="BF1339" s="102" t="s">
        <v>187</v>
      </c>
      <c r="BG1339" s="100" t="s">
        <v>188</v>
      </c>
      <c r="BH1339" s="102" t="s">
        <v>189</v>
      </c>
    </row>
    <row r="1340" spans="1:60" s="17" customFormat="1" ht="19.5" customHeight="1" thickBot="1" x14ac:dyDescent="0.4">
      <c r="A1340" s="41">
        <f t="shared" ref="A1340:B1340" si="1322">A1339</f>
        <v>45446</v>
      </c>
      <c r="B1340" s="37" t="str">
        <f t="shared" si="1322"/>
        <v>Yan Kapama</v>
      </c>
      <c r="C1340" s="65" t="str">
        <f t="shared" ref="C1340:C1345" si="1323">C1164</f>
        <v>EMİNE GAPAYLAR</v>
      </c>
      <c r="D1340" s="67">
        <f t="shared" ref="D1340:D1345" si="1324">D1339</f>
        <v>40</v>
      </c>
      <c r="E1340" s="57">
        <v>27</v>
      </c>
      <c r="F1340" s="52">
        <v>28</v>
      </c>
      <c r="G1340" s="52">
        <v>28</v>
      </c>
      <c r="H1340" s="58">
        <v>30</v>
      </c>
      <c r="I1340" s="57">
        <v>27</v>
      </c>
      <c r="J1340" s="52">
        <v>28</v>
      </c>
      <c r="K1340" s="52">
        <v>20</v>
      </c>
      <c r="L1340" s="58">
        <v>24</v>
      </c>
      <c r="M1340" s="57">
        <v>18</v>
      </c>
      <c r="N1340" s="52">
        <v>20</v>
      </c>
      <c r="O1340" s="52">
        <v>30</v>
      </c>
      <c r="P1340" s="58"/>
      <c r="Q1340" s="57"/>
      <c r="R1340" s="52"/>
      <c r="S1340" s="52"/>
      <c r="T1340" s="52"/>
      <c r="U1340" s="58"/>
      <c r="V1340" s="57"/>
      <c r="W1340" s="52"/>
      <c r="X1340" s="52">
        <v>21</v>
      </c>
      <c r="Y1340" s="58">
        <v>30</v>
      </c>
      <c r="Z1340" s="57">
        <v>25</v>
      </c>
      <c r="AA1340" s="52">
        <v>20</v>
      </c>
      <c r="AB1340" s="52">
        <v>25</v>
      </c>
      <c r="AC1340" s="58">
        <v>21</v>
      </c>
      <c r="AD1340" s="57">
        <v>30</v>
      </c>
      <c r="AE1340" s="52">
        <v>27</v>
      </c>
      <c r="AF1340" s="52">
        <v>25</v>
      </c>
      <c r="AG1340" s="58">
        <v>27</v>
      </c>
      <c r="AH1340" s="57">
        <v>20</v>
      </c>
      <c r="AI1340" s="52">
        <v>21</v>
      </c>
      <c r="AJ1340" s="52">
        <v>25</v>
      </c>
      <c r="AK1340" s="58"/>
      <c r="AL1340" s="57"/>
      <c r="AM1340" s="52"/>
      <c r="AN1340" s="52"/>
      <c r="AO1340" s="58"/>
      <c r="AP1340" s="57"/>
      <c r="AQ1340" s="52"/>
      <c r="AR1340" s="52"/>
      <c r="AS1340" s="58"/>
      <c r="AT1340" s="57"/>
      <c r="AU1340" s="52"/>
      <c r="AV1340" s="52"/>
      <c r="AW1340" s="58"/>
      <c r="AX1340" s="33">
        <f t="shared" ref="AX1340:AX1345" si="1325">SUM(E1340:AW1340)</f>
        <v>597</v>
      </c>
      <c r="AY1340" s="31">
        <f t="shared" ref="AY1340:AY1345" si="1326">IFERROR(AVERAGEIF(E1340:AW1340,"&lt;&gt;0",(E1340:AW1340)),)</f>
        <v>24.875</v>
      </c>
      <c r="AZ1340" s="30">
        <f t="shared" ref="AZ1340:AZ1345" si="1327">IFERROR(AY1340/D1340,0)</f>
        <v>0.62187499999999996</v>
      </c>
      <c r="BA1340" s="94">
        <f>AX1346+BA1164</f>
        <v>17293</v>
      </c>
      <c r="BB1340" s="95">
        <f>(D1346*8)</f>
        <v>4000</v>
      </c>
      <c r="BC1340" s="96">
        <f>C1237-BA1340</f>
        <v>25018</v>
      </c>
      <c r="BD1340" s="96">
        <f>BA1331-BA1340</f>
        <v>-818</v>
      </c>
      <c r="BE1340" s="97">
        <f>IFERROR(BC1340/E1346,0)</f>
        <v>43.585365853658537</v>
      </c>
      <c r="BF1340" s="98">
        <f>IFERROR(BE1340/9,0)</f>
        <v>4.8428184281842821</v>
      </c>
      <c r="BG1340" s="97">
        <f>IFERROR(BC1340/AY1346,0)</f>
        <v>55.273128969897819</v>
      </c>
      <c r="BH1340" s="97">
        <f>IFERROR(BG1340/9,0)</f>
        <v>6.1414587744330911</v>
      </c>
    </row>
    <row r="1341" spans="1:60" s="17" customFormat="1" ht="19.5" customHeight="1" x14ac:dyDescent="0.35">
      <c r="A1341" s="41">
        <f t="shared" ref="A1341:B1341" si="1328">A1340</f>
        <v>45446</v>
      </c>
      <c r="B1341" s="37" t="str">
        <f t="shared" si="1328"/>
        <v>Yan Kapama</v>
      </c>
      <c r="C1341" s="65" t="s">
        <v>92</v>
      </c>
      <c r="D1341" s="67">
        <f t="shared" si="1324"/>
        <v>40</v>
      </c>
      <c r="E1341" s="57">
        <v>25</v>
      </c>
      <c r="F1341" s="52">
        <v>30</v>
      </c>
      <c r="G1341" s="52">
        <v>30</v>
      </c>
      <c r="H1341" s="58">
        <v>30</v>
      </c>
      <c r="I1341" s="57">
        <v>27</v>
      </c>
      <c r="J1341" s="52">
        <v>28</v>
      </c>
      <c r="K1341" s="52">
        <v>28</v>
      </c>
      <c r="L1341" s="58">
        <v>25</v>
      </c>
      <c r="M1341" s="57">
        <v>30</v>
      </c>
      <c r="N1341" s="52">
        <v>28</v>
      </c>
      <c r="O1341" s="52">
        <v>33</v>
      </c>
      <c r="P1341" s="58">
        <v>33</v>
      </c>
      <c r="Q1341" s="57">
        <v>30</v>
      </c>
      <c r="R1341" s="52">
        <v>33</v>
      </c>
      <c r="S1341" s="52">
        <v>30</v>
      </c>
      <c r="T1341" s="52">
        <v>31</v>
      </c>
      <c r="U1341" s="58">
        <v>30</v>
      </c>
      <c r="V1341" s="57">
        <v>30</v>
      </c>
      <c r="W1341" s="52">
        <v>30</v>
      </c>
      <c r="X1341" s="52">
        <v>32</v>
      </c>
      <c r="Y1341" s="58">
        <v>30</v>
      </c>
      <c r="Z1341" s="57">
        <v>28</v>
      </c>
      <c r="AA1341" s="52">
        <v>30</v>
      </c>
      <c r="AB1341" s="52">
        <v>30</v>
      </c>
      <c r="AC1341" s="58">
        <v>30</v>
      </c>
      <c r="AD1341" s="57">
        <v>30</v>
      </c>
      <c r="AE1341" s="52">
        <v>30</v>
      </c>
      <c r="AF1341" s="52">
        <v>26</v>
      </c>
      <c r="AG1341" s="58">
        <v>30</v>
      </c>
      <c r="AH1341" s="57">
        <v>30</v>
      </c>
      <c r="AI1341" s="52">
        <v>27</v>
      </c>
      <c r="AJ1341" s="52">
        <v>25</v>
      </c>
      <c r="AK1341" s="58"/>
      <c r="AL1341" s="57"/>
      <c r="AM1341" s="52"/>
      <c r="AN1341" s="52"/>
      <c r="AO1341" s="58"/>
      <c r="AP1341" s="57"/>
      <c r="AQ1341" s="52"/>
      <c r="AR1341" s="52"/>
      <c r="AS1341" s="58"/>
      <c r="AT1341" s="57"/>
      <c r="AU1341" s="52"/>
      <c r="AV1341" s="52"/>
      <c r="AW1341" s="58"/>
      <c r="AX1341" s="33">
        <f t="shared" si="1325"/>
        <v>939</v>
      </c>
      <c r="AY1341" s="31">
        <f t="shared" si="1326"/>
        <v>29.34375</v>
      </c>
      <c r="AZ1341" s="30">
        <f t="shared" si="1327"/>
        <v>0.73359375000000004</v>
      </c>
      <c r="BA1341" s="34"/>
      <c r="BB1341" s="34"/>
      <c r="BC1341" s="34"/>
      <c r="BD1341" s="76"/>
      <c r="BE1341" s="34"/>
      <c r="BF1341" s="34"/>
      <c r="BG1341" s="34"/>
      <c r="BH1341" s="34"/>
    </row>
    <row r="1342" spans="1:60" s="17" customFormat="1" ht="19.5" customHeight="1" x14ac:dyDescent="0.35">
      <c r="A1342" s="41">
        <f t="shared" ref="A1342:B1342" si="1329">A1341</f>
        <v>45446</v>
      </c>
      <c r="B1342" s="37" t="str">
        <f t="shared" si="1329"/>
        <v>Yan Kapama</v>
      </c>
      <c r="C1342" s="65" t="s">
        <v>99</v>
      </c>
      <c r="D1342" s="67">
        <f t="shared" si="1324"/>
        <v>40</v>
      </c>
      <c r="E1342" s="57">
        <v>35</v>
      </c>
      <c r="F1342" s="52">
        <v>40</v>
      </c>
      <c r="G1342" s="52">
        <v>36</v>
      </c>
      <c r="H1342" s="58">
        <v>36</v>
      </c>
      <c r="I1342" s="57">
        <v>33</v>
      </c>
      <c r="J1342" s="52">
        <v>25</v>
      </c>
      <c r="K1342" s="52">
        <v>37</v>
      </c>
      <c r="L1342" s="58">
        <v>33</v>
      </c>
      <c r="M1342" s="57">
        <v>35</v>
      </c>
      <c r="N1342" s="52">
        <v>20</v>
      </c>
      <c r="O1342" s="52">
        <v>40</v>
      </c>
      <c r="P1342" s="58">
        <v>40</v>
      </c>
      <c r="Q1342" s="57">
        <v>36</v>
      </c>
      <c r="R1342" s="52">
        <v>30</v>
      </c>
      <c r="S1342" s="52">
        <v>37</v>
      </c>
      <c r="T1342" s="52">
        <v>35</v>
      </c>
      <c r="U1342" s="58">
        <v>35</v>
      </c>
      <c r="V1342" s="57">
        <v>40</v>
      </c>
      <c r="W1342" s="52">
        <v>27</v>
      </c>
      <c r="X1342" s="52">
        <v>40</v>
      </c>
      <c r="Y1342" s="58">
        <v>40</v>
      </c>
      <c r="Z1342" s="57">
        <v>25</v>
      </c>
      <c r="AA1342" s="52">
        <v>40</v>
      </c>
      <c r="AB1342" s="52">
        <v>35</v>
      </c>
      <c r="AC1342" s="58">
        <v>27</v>
      </c>
      <c r="AD1342" s="57">
        <v>30</v>
      </c>
      <c r="AE1342" s="52">
        <v>35</v>
      </c>
      <c r="AF1342" s="52">
        <v>35</v>
      </c>
      <c r="AG1342" s="58">
        <v>35</v>
      </c>
      <c r="AH1342" s="57">
        <v>40</v>
      </c>
      <c r="AI1342" s="52">
        <v>35</v>
      </c>
      <c r="AJ1342" s="52">
        <v>15</v>
      </c>
      <c r="AK1342" s="58"/>
      <c r="AL1342" s="57"/>
      <c r="AM1342" s="52"/>
      <c r="AN1342" s="52"/>
      <c r="AO1342" s="58"/>
      <c r="AP1342" s="57"/>
      <c r="AQ1342" s="52"/>
      <c r="AR1342" s="52"/>
      <c r="AS1342" s="58"/>
      <c r="AT1342" s="57"/>
      <c r="AU1342" s="52"/>
      <c r="AV1342" s="52"/>
      <c r="AW1342" s="58"/>
      <c r="AX1342" s="33">
        <f t="shared" si="1325"/>
        <v>1082</v>
      </c>
      <c r="AY1342" s="31">
        <f t="shared" si="1326"/>
        <v>33.8125</v>
      </c>
      <c r="AZ1342" s="30">
        <f t="shared" si="1327"/>
        <v>0.84531250000000002</v>
      </c>
      <c r="BA1342" s="34"/>
      <c r="BB1342" s="34"/>
      <c r="BC1342" s="34"/>
      <c r="BD1342" s="76"/>
      <c r="BE1342" s="34"/>
      <c r="BF1342" s="34"/>
      <c r="BG1342" s="34"/>
      <c r="BH1342" s="34"/>
    </row>
    <row r="1343" spans="1:60" s="17" customFormat="1" ht="19.5" customHeight="1" x14ac:dyDescent="0.35">
      <c r="A1343" s="41">
        <f>A1340</f>
        <v>45446</v>
      </c>
      <c r="B1343" s="37" t="str">
        <f t="shared" ref="B1343" si="1330">B1342</f>
        <v>Yan Kapama</v>
      </c>
      <c r="C1343" s="65" t="s">
        <v>266</v>
      </c>
      <c r="D1343" s="67">
        <f t="shared" si="1324"/>
        <v>40</v>
      </c>
      <c r="E1343" s="57">
        <v>16</v>
      </c>
      <c r="F1343" s="52">
        <v>20</v>
      </c>
      <c r="G1343" s="52">
        <v>17</v>
      </c>
      <c r="H1343" s="58">
        <v>18</v>
      </c>
      <c r="I1343" s="57">
        <v>15</v>
      </c>
      <c r="J1343" s="52">
        <v>17</v>
      </c>
      <c r="K1343" s="52">
        <v>15</v>
      </c>
      <c r="L1343" s="58">
        <v>15</v>
      </c>
      <c r="M1343" s="57">
        <v>17</v>
      </c>
      <c r="N1343" s="52">
        <v>18</v>
      </c>
      <c r="O1343" s="52">
        <v>20</v>
      </c>
      <c r="P1343" s="58">
        <v>16</v>
      </c>
      <c r="Q1343" s="57">
        <v>16</v>
      </c>
      <c r="R1343" s="52">
        <v>16</v>
      </c>
      <c r="S1343" s="52">
        <v>15</v>
      </c>
      <c r="T1343" s="52">
        <v>13</v>
      </c>
      <c r="U1343" s="58">
        <v>17</v>
      </c>
      <c r="V1343" s="57">
        <v>20</v>
      </c>
      <c r="W1343" s="52">
        <v>18</v>
      </c>
      <c r="X1343" s="52">
        <v>20</v>
      </c>
      <c r="Y1343" s="58">
        <v>20</v>
      </c>
      <c r="Z1343" s="57">
        <v>20</v>
      </c>
      <c r="AA1343" s="52">
        <v>18</v>
      </c>
      <c r="AB1343" s="52">
        <v>17</v>
      </c>
      <c r="AC1343" s="58">
        <v>18</v>
      </c>
      <c r="AD1343" s="57">
        <v>20</v>
      </c>
      <c r="AE1343" s="52">
        <v>9</v>
      </c>
      <c r="AF1343" s="52">
        <v>0</v>
      </c>
      <c r="AG1343" s="58">
        <v>15</v>
      </c>
      <c r="AH1343" s="57">
        <v>20</v>
      </c>
      <c r="AI1343" s="52">
        <v>16</v>
      </c>
      <c r="AJ1343" s="52">
        <v>16</v>
      </c>
      <c r="AK1343" s="58"/>
      <c r="AL1343" s="57"/>
      <c r="AM1343" s="52"/>
      <c r="AN1343" s="52"/>
      <c r="AO1343" s="58"/>
      <c r="AP1343" s="57"/>
      <c r="AQ1343" s="52"/>
      <c r="AR1343" s="52"/>
      <c r="AS1343" s="58"/>
      <c r="AT1343" s="57"/>
      <c r="AU1343" s="52"/>
      <c r="AV1343" s="52"/>
      <c r="AW1343" s="58"/>
      <c r="AX1343" s="33">
        <f t="shared" si="1325"/>
        <v>528</v>
      </c>
      <c r="AY1343" s="31">
        <f t="shared" si="1326"/>
        <v>17.032258064516128</v>
      </c>
      <c r="AZ1343" s="30">
        <f t="shared" si="1327"/>
        <v>0.4258064516129032</v>
      </c>
      <c r="BA1343" s="34"/>
      <c r="BB1343" s="34"/>
      <c r="BC1343" s="34"/>
      <c r="BD1343" s="76"/>
      <c r="BE1343" s="34"/>
      <c r="BF1343" s="34"/>
      <c r="BG1343" s="34"/>
      <c r="BH1343" s="34"/>
    </row>
    <row r="1344" spans="1:60" s="17" customFormat="1" ht="19.5" customHeight="1" x14ac:dyDescent="0.35">
      <c r="A1344" s="41">
        <f>A1343</f>
        <v>45446</v>
      </c>
      <c r="B1344" s="37" t="str">
        <f t="shared" ref="B1344" si="1331">B1343</f>
        <v>Yan Kapama</v>
      </c>
      <c r="C1344" s="65">
        <f t="shared" si="1323"/>
        <v>0</v>
      </c>
      <c r="D1344" s="67">
        <f t="shared" si="1324"/>
        <v>40</v>
      </c>
      <c r="E1344" s="57"/>
      <c r="F1344" s="52"/>
      <c r="G1344" s="52"/>
      <c r="H1344" s="58"/>
      <c r="I1344" s="57"/>
      <c r="J1344" s="52"/>
      <c r="K1344" s="52"/>
      <c r="L1344" s="58"/>
      <c r="M1344" s="57"/>
      <c r="N1344" s="52"/>
      <c r="O1344" s="52"/>
      <c r="P1344" s="78"/>
      <c r="Q1344" s="57"/>
      <c r="R1344" s="52"/>
      <c r="S1344" s="52"/>
      <c r="T1344" s="52"/>
      <c r="U1344" s="58"/>
      <c r="V1344" s="80"/>
      <c r="W1344" s="52"/>
      <c r="X1344" s="52"/>
      <c r="Y1344" s="58"/>
      <c r="Z1344" s="57"/>
      <c r="AA1344" s="52"/>
      <c r="AB1344" s="52"/>
      <c r="AC1344" s="58"/>
      <c r="AD1344" s="57"/>
      <c r="AE1344" s="52"/>
      <c r="AF1344" s="52"/>
      <c r="AG1344" s="58"/>
      <c r="AH1344" s="57"/>
      <c r="AI1344" s="52"/>
      <c r="AJ1344" s="52"/>
      <c r="AK1344" s="58"/>
      <c r="AL1344" s="57"/>
      <c r="AM1344" s="52"/>
      <c r="AN1344" s="52"/>
      <c r="AO1344" s="58"/>
      <c r="AP1344" s="57"/>
      <c r="AQ1344" s="52"/>
      <c r="AR1344" s="52"/>
      <c r="AS1344" s="58"/>
      <c r="AT1344" s="57"/>
      <c r="AU1344" s="52"/>
      <c r="AV1344" s="52"/>
      <c r="AW1344" s="58"/>
      <c r="AX1344" s="33">
        <f t="shared" si="1325"/>
        <v>0</v>
      </c>
      <c r="AY1344" s="31">
        <f t="shared" si="1326"/>
        <v>0</v>
      </c>
      <c r="AZ1344" s="30">
        <f t="shared" si="1327"/>
        <v>0</v>
      </c>
      <c r="BA1344" s="34"/>
      <c r="BB1344" s="34"/>
      <c r="BC1344" s="34"/>
      <c r="BD1344" s="76"/>
      <c r="BE1344" s="34"/>
      <c r="BF1344" s="34"/>
      <c r="BG1344" s="34"/>
      <c r="BH1344" s="34"/>
    </row>
    <row r="1345" spans="1:60" s="17" customFormat="1" ht="19.5" customHeight="1" thickBot="1" x14ac:dyDescent="0.4">
      <c r="A1345" s="41">
        <f>A1344</f>
        <v>45446</v>
      </c>
      <c r="B1345" s="37" t="str">
        <f t="shared" ref="B1345" si="1332">B1344</f>
        <v>Yan Kapama</v>
      </c>
      <c r="C1345" s="65">
        <f t="shared" si="1323"/>
        <v>0</v>
      </c>
      <c r="D1345" s="67">
        <f t="shared" si="1324"/>
        <v>40</v>
      </c>
      <c r="E1345" s="59"/>
      <c r="F1345" s="60"/>
      <c r="G1345" s="61"/>
      <c r="H1345" s="62"/>
      <c r="I1345" s="59"/>
      <c r="J1345" s="60"/>
      <c r="K1345" s="61"/>
      <c r="L1345" s="62"/>
      <c r="M1345" s="59"/>
      <c r="N1345" s="60"/>
      <c r="O1345" s="61"/>
      <c r="P1345" s="79"/>
      <c r="Q1345" s="64"/>
      <c r="R1345" s="61"/>
      <c r="S1345" s="61"/>
      <c r="T1345" s="61"/>
      <c r="U1345" s="62"/>
      <c r="V1345" s="81"/>
      <c r="W1345" s="60"/>
      <c r="X1345" s="61"/>
      <c r="Y1345" s="62"/>
      <c r="Z1345" s="59"/>
      <c r="AA1345" s="60"/>
      <c r="AB1345" s="61"/>
      <c r="AC1345" s="62"/>
      <c r="AD1345" s="59"/>
      <c r="AE1345" s="60"/>
      <c r="AF1345" s="61"/>
      <c r="AG1345" s="62"/>
      <c r="AH1345" s="59"/>
      <c r="AI1345" s="60"/>
      <c r="AJ1345" s="61"/>
      <c r="AK1345" s="62"/>
      <c r="AL1345" s="59"/>
      <c r="AM1345" s="60"/>
      <c r="AN1345" s="61"/>
      <c r="AO1345" s="62"/>
      <c r="AP1345" s="59"/>
      <c r="AQ1345" s="60"/>
      <c r="AR1345" s="61"/>
      <c r="AS1345" s="62"/>
      <c r="AT1345" s="59"/>
      <c r="AU1345" s="60"/>
      <c r="AV1345" s="61"/>
      <c r="AW1345" s="62"/>
      <c r="AX1345" s="33">
        <f t="shared" si="1325"/>
        <v>0</v>
      </c>
      <c r="AY1345" s="31">
        <f t="shared" si="1326"/>
        <v>0</v>
      </c>
      <c r="AZ1345" s="30">
        <f t="shared" si="1327"/>
        <v>0</v>
      </c>
      <c r="BA1345" s="34"/>
      <c r="BB1345" s="34"/>
      <c r="BC1345" s="34"/>
      <c r="BD1345" s="76"/>
      <c r="BE1345" s="34"/>
      <c r="BF1345" s="34"/>
      <c r="BG1345" s="34"/>
      <c r="BH1345" s="34"/>
    </row>
    <row r="1346" spans="1:60" s="17" customFormat="1" ht="19.5" customHeight="1" thickBot="1" x14ac:dyDescent="0.45">
      <c r="A1346" s="41">
        <f>A1345</f>
        <v>45446</v>
      </c>
      <c r="B1346" s="139" t="str">
        <f>B1339</f>
        <v>Yan Kapama</v>
      </c>
      <c r="C1346" s="140"/>
      <c r="D1346" s="40">
        <f>C1238/8</f>
        <v>500</v>
      </c>
      <c r="E1346" s="147">
        <f>SUM(E1339:H1345)</f>
        <v>574</v>
      </c>
      <c r="F1346" s="148"/>
      <c r="G1346" s="148"/>
      <c r="H1346" s="149"/>
      <c r="I1346" s="147">
        <f>SUM(I1339:L1345)</f>
        <v>397</v>
      </c>
      <c r="J1346" s="148"/>
      <c r="K1346" s="148"/>
      <c r="L1346" s="149"/>
      <c r="M1346" s="147">
        <f>SUM(M1339:P1345)</f>
        <v>398</v>
      </c>
      <c r="N1346" s="148"/>
      <c r="O1346" s="148"/>
      <c r="P1346" s="149"/>
      <c r="Q1346" s="151">
        <f>SUM(Q1339:U1345)</f>
        <v>489</v>
      </c>
      <c r="R1346" s="152"/>
      <c r="S1346" s="152"/>
      <c r="T1346" s="152"/>
      <c r="U1346" s="153"/>
      <c r="V1346" s="147">
        <f>SUM(V1339:Y1345)</f>
        <v>488</v>
      </c>
      <c r="W1346" s="148"/>
      <c r="X1346" s="148"/>
      <c r="Y1346" s="149"/>
      <c r="Z1346" s="147">
        <f>SUM(Z1339:AC1345)</f>
        <v>409</v>
      </c>
      <c r="AA1346" s="148"/>
      <c r="AB1346" s="148"/>
      <c r="AC1346" s="149"/>
      <c r="AD1346" s="147">
        <f>SUM(AD1339:AG1345)</f>
        <v>489</v>
      </c>
      <c r="AE1346" s="148"/>
      <c r="AF1346" s="148"/>
      <c r="AG1346" s="149"/>
      <c r="AH1346" s="147">
        <f>SUM(AH1339:AK1345)</f>
        <v>377</v>
      </c>
      <c r="AI1346" s="148"/>
      <c r="AJ1346" s="148"/>
      <c r="AK1346" s="149"/>
      <c r="AL1346" s="147">
        <f>SUM(AL1339:AO1345)</f>
        <v>0</v>
      </c>
      <c r="AM1346" s="148"/>
      <c r="AN1346" s="148"/>
      <c r="AO1346" s="149"/>
      <c r="AP1346" s="147">
        <f>SUM(AP1339:AS1345)</f>
        <v>0</v>
      </c>
      <c r="AQ1346" s="148"/>
      <c r="AR1346" s="148"/>
      <c r="AS1346" s="149"/>
      <c r="AT1346" s="147">
        <f>SUM(AT1339:AW1345)</f>
        <v>0</v>
      </c>
      <c r="AU1346" s="148"/>
      <c r="AV1346" s="148"/>
      <c r="AW1346" s="149"/>
      <c r="AX1346" s="87">
        <f>SUM(AX1339:AX1345)</f>
        <v>3621</v>
      </c>
      <c r="AY1346" s="88">
        <f>IFERROR(AVERAGEIF(E1346:AV1346,"&lt;&gt;0",(E1346:AV1346)),)</f>
        <v>452.625</v>
      </c>
      <c r="AZ1346" s="46">
        <f>IFERROR(AX1346/BB1340,0)</f>
        <v>0.90525</v>
      </c>
      <c r="BA1346" s="34"/>
      <c r="BB1346" s="34"/>
      <c r="BC1346" s="34"/>
      <c r="BD1346" s="76"/>
      <c r="BE1346" s="34"/>
      <c r="BF1346" s="34"/>
      <c r="BG1346" s="34"/>
      <c r="BH1346" s="34"/>
    </row>
    <row r="1347" spans="1:60" s="17" customFormat="1" ht="19.5" customHeight="1" thickBot="1" x14ac:dyDescent="0.4">
      <c r="A1347" s="42">
        <f>A1338</f>
        <v>45446</v>
      </c>
      <c r="B1347" s="38" t="str">
        <f>B1348</f>
        <v>Yıkama Takma</v>
      </c>
      <c r="C1347" s="39" t="s">
        <v>180</v>
      </c>
      <c r="D1347" s="69" t="s">
        <v>181</v>
      </c>
      <c r="E1347" s="48">
        <v>0.34375</v>
      </c>
      <c r="F1347" s="49">
        <v>0.35416666666666669</v>
      </c>
      <c r="G1347" s="49">
        <v>0.36458333333333331</v>
      </c>
      <c r="H1347" s="50">
        <v>0.375</v>
      </c>
      <c r="I1347" s="48">
        <v>0.38541666666666702</v>
      </c>
      <c r="J1347" s="49">
        <v>0.39583333333333298</v>
      </c>
      <c r="K1347" s="49">
        <v>0.40625</v>
      </c>
      <c r="L1347" s="50">
        <v>0.41666666666666702</v>
      </c>
      <c r="M1347" s="48">
        <v>0.4375</v>
      </c>
      <c r="N1347" s="49">
        <v>0.44791666666666702</v>
      </c>
      <c r="O1347" s="49">
        <v>0.45833333333333398</v>
      </c>
      <c r="P1347" s="50">
        <v>0.46875</v>
      </c>
      <c r="Q1347" s="48">
        <v>0.47916666666666702</v>
      </c>
      <c r="R1347" s="49">
        <v>0.48958333333333398</v>
      </c>
      <c r="S1347" s="49">
        <v>0.5</v>
      </c>
      <c r="T1347" s="50">
        <v>0.51041666666666696</v>
      </c>
      <c r="U1347" s="51">
        <v>0.52083333333333204</v>
      </c>
      <c r="V1347" s="48">
        <v>0.5625</v>
      </c>
      <c r="W1347" s="49">
        <v>0.57291666666666663</v>
      </c>
      <c r="X1347" s="49">
        <v>0.58333333333333304</v>
      </c>
      <c r="Y1347" s="50">
        <v>0.59375</v>
      </c>
      <c r="Z1347" s="48">
        <v>0.60416666666666696</v>
      </c>
      <c r="AA1347" s="49">
        <v>0.61458333333333304</v>
      </c>
      <c r="AB1347" s="49">
        <v>0.625</v>
      </c>
      <c r="AC1347" s="50">
        <v>0.63541666666666596</v>
      </c>
      <c r="AD1347" s="48">
        <v>0.65625</v>
      </c>
      <c r="AE1347" s="49">
        <v>0.66666666666666663</v>
      </c>
      <c r="AF1347" s="49">
        <v>0.67708333333333304</v>
      </c>
      <c r="AG1347" s="50">
        <v>0.6875</v>
      </c>
      <c r="AH1347" s="48">
        <v>0.69791666666666696</v>
      </c>
      <c r="AI1347" s="49">
        <v>0.70833333333333304</v>
      </c>
      <c r="AJ1347" s="49">
        <v>0.71875</v>
      </c>
      <c r="AK1347" s="50">
        <v>0.72916666666666696</v>
      </c>
      <c r="AL1347" s="48">
        <v>0.73958333333333404</v>
      </c>
      <c r="AM1347" s="49">
        <v>0.750000000000001</v>
      </c>
      <c r="AN1347" s="49">
        <v>0.76041666666666796</v>
      </c>
      <c r="AO1347" s="50">
        <v>0.77083333333333504</v>
      </c>
      <c r="AP1347" s="48">
        <v>0.781250000000002</v>
      </c>
      <c r="AQ1347" s="49">
        <v>0.79166666666666896</v>
      </c>
      <c r="AR1347" s="49">
        <v>0.80208333333333603</v>
      </c>
      <c r="AS1347" s="50">
        <v>0.812500000000003</v>
      </c>
      <c r="AT1347" s="48">
        <v>0.82291666666666996</v>
      </c>
      <c r="AU1347" s="49">
        <v>0.83333333333333703</v>
      </c>
      <c r="AV1347" s="49">
        <v>0.843750000000004</v>
      </c>
      <c r="AW1347" s="50">
        <v>0.85416666666666663</v>
      </c>
      <c r="AX1347" s="68" t="s">
        <v>260</v>
      </c>
      <c r="AY1347" s="28" t="s">
        <v>261</v>
      </c>
      <c r="AZ1347" s="29" t="s">
        <v>262</v>
      </c>
      <c r="BA1347" s="136" t="str">
        <f>B1348</f>
        <v>Yıkama Takma</v>
      </c>
      <c r="BB1347" s="137"/>
      <c r="BC1347" s="137"/>
      <c r="BD1347" s="137"/>
      <c r="BE1347" s="137"/>
      <c r="BF1347" s="137"/>
      <c r="BG1347" s="137"/>
      <c r="BH1347" s="138"/>
    </row>
    <row r="1348" spans="1:60" s="17" customFormat="1" ht="19.5" customHeight="1" thickBot="1" x14ac:dyDescent="0.4">
      <c r="A1348" s="41">
        <f t="shared" ref="A1348" si="1333">A1347</f>
        <v>45446</v>
      </c>
      <c r="B1348" s="37" t="str">
        <f>B1172</f>
        <v>Yıkama Takma</v>
      </c>
      <c r="C1348" s="65" t="str">
        <f>C1172</f>
        <v>MEHMET SAĞ</v>
      </c>
      <c r="D1348" s="70">
        <f>D1172</f>
        <v>125</v>
      </c>
      <c r="E1348" s="63">
        <v>130</v>
      </c>
      <c r="F1348" s="55">
        <v>145</v>
      </c>
      <c r="G1348" s="55">
        <v>140</v>
      </c>
      <c r="H1348" s="56">
        <v>95</v>
      </c>
      <c r="I1348" s="63">
        <v>75</v>
      </c>
      <c r="J1348" s="55">
        <v>140</v>
      </c>
      <c r="K1348" s="55">
        <v>135</v>
      </c>
      <c r="L1348" s="56">
        <v>130</v>
      </c>
      <c r="M1348" s="63">
        <v>135</v>
      </c>
      <c r="N1348" s="55">
        <v>135</v>
      </c>
      <c r="O1348" s="55">
        <v>130</v>
      </c>
      <c r="P1348" s="56">
        <v>100</v>
      </c>
      <c r="Q1348" s="63">
        <v>70</v>
      </c>
      <c r="R1348" s="55">
        <v>0</v>
      </c>
      <c r="S1348" s="55">
        <v>145</v>
      </c>
      <c r="T1348" s="55">
        <v>90</v>
      </c>
      <c r="U1348" s="56">
        <v>120</v>
      </c>
      <c r="V1348" s="63">
        <v>0</v>
      </c>
      <c r="W1348" s="55">
        <v>150</v>
      </c>
      <c r="X1348" s="55">
        <v>125</v>
      </c>
      <c r="Y1348" s="56">
        <v>130</v>
      </c>
      <c r="Z1348" s="63">
        <v>100</v>
      </c>
      <c r="AA1348" s="55">
        <v>125</v>
      </c>
      <c r="AB1348" s="55">
        <v>130</v>
      </c>
      <c r="AC1348" s="56">
        <v>130</v>
      </c>
      <c r="AD1348" s="63">
        <v>80</v>
      </c>
      <c r="AE1348" s="55">
        <v>130</v>
      </c>
      <c r="AF1348" s="55">
        <v>0</v>
      </c>
      <c r="AG1348" s="56">
        <v>135</v>
      </c>
      <c r="AH1348" s="63">
        <v>65</v>
      </c>
      <c r="AI1348" s="55">
        <v>130</v>
      </c>
      <c r="AJ1348" s="55">
        <v>130</v>
      </c>
      <c r="AK1348" s="56"/>
      <c r="AL1348" s="63"/>
      <c r="AM1348" s="55"/>
      <c r="AN1348" s="55"/>
      <c r="AO1348" s="56"/>
      <c r="AP1348" s="63"/>
      <c r="AQ1348" s="55"/>
      <c r="AR1348" s="55"/>
      <c r="AS1348" s="56"/>
      <c r="AT1348" s="53"/>
      <c r="AU1348" s="54"/>
      <c r="AV1348" s="55"/>
      <c r="AW1348" s="56"/>
      <c r="AX1348" s="33">
        <f>SUM(E1348:AW1348)</f>
        <v>3475</v>
      </c>
      <c r="AY1348" s="31">
        <f>IFERROR(AVERAGEIF(E1348:AW1348,"&lt;&gt;0",(E1348:AW1348)),)</f>
        <v>119.82758620689656</v>
      </c>
      <c r="AZ1348" s="30">
        <f>IFERROR(AY1348/D1348,0)</f>
        <v>0.95862068965517244</v>
      </c>
      <c r="BA1348" s="103" t="s">
        <v>182</v>
      </c>
      <c r="BB1348" s="100" t="s">
        <v>183</v>
      </c>
      <c r="BC1348" s="100" t="s">
        <v>184</v>
      </c>
      <c r="BD1348" s="101" t="s">
        <v>185</v>
      </c>
      <c r="BE1348" s="100" t="s">
        <v>186</v>
      </c>
      <c r="BF1348" s="102" t="s">
        <v>187</v>
      </c>
      <c r="BG1348" s="100" t="s">
        <v>188</v>
      </c>
      <c r="BH1348" s="102" t="s">
        <v>189</v>
      </c>
    </row>
    <row r="1349" spans="1:60" s="17" customFormat="1" ht="19.5" customHeight="1" thickBot="1" x14ac:dyDescent="0.4">
      <c r="A1349" s="41">
        <f t="shared" ref="A1349:B1349" si="1334">A1348</f>
        <v>45446</v>
      </c>
      <c r="B1349" s="37" t="str">
        <f t="shared" si="1334"/>
        <v>Yıkama Takma</v>
      </c>
      <c r="C1349" s="65">
        <f t="shared" ref="C1349:C1354" si="1335">C1173</f>
        <v>0</v>
      </c>
      <c r="D1349" s="67">
        <f t="shared" ref="D1349:D1354" si="1336">D1348</f>
        <v>125</v>
      </c>
      <c r="E1349" s="57"/>
      <c r="F1349" s="52"/>
      <c r="G1349" s="52"/>
      <c r="H1349" s="58"/>
      <c r="I1349" s="57"/>
      <c r="J1349" s="52"/>
      <c r="K1349" s="52"/>
      <c r="L1349" s="58"/>
      <c r="M1349" s="57"/>
      <c r="N1349" s="52"/>
      <c r="O1349" s="52"/>
      <c r="P1349" s="58"/>
      <c r="Q1349" s="57"/>
      <c r="R1349" s="52"/>
      <c r="S1349" s="52"/>
      <c r="T1349" s="52"/>
      <c r="U1349" s="58"/>
      <c r="V1349" s="57"/>
      <c r="W1349" s="52"/>
      <c r="X1349" s="52"/>
      <c r="Y1349" s="58"/>
      <c r="Z1349" s="57"/>
      <c r="AA1349" s="52"/>
      <c r="AB1349" s="52"/>
      <c r="AC1349" s="58"/>
      <c r="AD1349" s="57"/>
      <c r="AE1349" s="52"/>
      <c r="AF1349" s="52"/>
      <c r="AG1349" s="58"/>
      <c r="AH1349" s="57"/>
      <c r="AI1349" s="52"/>
      <c r="AJ1349" s="52"/>
      <c r="AK1349" s="58"/>
      <c r="AL1349" s="57"/>
      <c r="AM1349" s="52"/>
      <c r="AN1349" s="52"/>
      <c r="AO1349" s="58"/>
      <c r="AP1349" s="57"/>
      <c r="AQ1349" s="52"/>
      <c r="AR1349" s="52"/>
      <c r="AS1349" s="58"/>
      <c r="AT1349" s="57"/>
      <c r="AU1349" s="52"/>
      <c r="AV1349" s="52"/>
      <c r="AW1349" s="58"/>
      <c r="AX1349" s="33">
        <f t="shared" ref="AX1349:AX1354" si="1337">SUM(E1349:AW1349)</f>
        <v>0</v>
      </c>
      <c r="AY1349" s="31">
        <f t="shared" ref="AY1349:AY1354" si="1338">IFERROR(AVERAGEIF(E1349:AW1349,"&lt;&gt;0",(E1349:AW1349)),)</f>
        <v>0</v>
      </c>
      <c r="AZ1349" s="30">
        <f t="shared" ref="AZ1349:AZ1354" si="1339">IFERROR(AY1349/D1349,0)</f>
        <v>0</v>
      </c>
      <c r="BA1349" s="94">
        <f>AX1355+BA1173</f>
        <v>15950</v>
      </c>
      <c r="BB1349" s="95">
        <f>(D1355*8)</f>
        <v>4000</v>
      </c>
      <c r="BC1349" s="96">
        <f>C1237-BA1349</f>
        <v>26361</v>
      </c>
      <c r="BD1349" s="96">
        <f>BA1340-BA1349</f>
        <v>1343</v>
      </c>
      <c r="BE1349" s="97">
        <f>IFERROR(BC1349/E1355,0)</f>
        <v>51.688235294117646</v>
      </c>
      <c r="BF1349" s="98">
        <f>IFERROR(BE1349/9,0)</f>
        <v>5.7431372549019608</v>
      </c>
      <c r="BG1349" s="97">
        <f>IFERROR(BC1349/AY1355,0)</f>
        <v>60.687194244604314</v>
      </c>
      <c r="BH1349" s="97">
        <f>IFERROR(BG1349/9,0)</f>
        <v>6.7430215827338129</v>
      </c>
    </row>
    <row r="1350" spans="1:60" s="17" customFormat="1" ht="19.5" customHeight="1" x14ac:dyDescent="0.35">
      <c r="A1350" s="41">
        <f t="shared" ref="A1350:B1350" si="1340">A1349</f>
        <v>45446</v>
      </c>
      <c r="B1350" s="37" t="str">
        <f t="shared" si="1340"/>
        <v>Yıkama Takma</v>
      </c>
      <c r="C1350" s="65">
        <f t="shared" si="1335"/>
        <v>0</v>
      </c>
      <c r="D1350" s="67">
        <f t="shared" si="1336"/>
        <v>125</v>
      </c>
      <c r="E1350" s="57"/>
      <c r="F1350" s="52"/>
      <c r="G1350" s="52"/>
      <c r="H1350" s="58"/>
      <c r="I1350" s="57"/>
      <c r="J1350" s="52"/>
      <c r="K1350" s="52"/>
      <c r="L1350" s="58"/>
      <c r="M1350" s="57"/>
      <c r="N1350" s="52"/>
      <c r="O1350" s="52"/>
      <c r="P1350" s="58"/>
      <c r="Q1350" s="57"/>
      <c r="R1350" s="52"/>
      <c r="S1350" s="52"/>
      <c r="T1350" s="52"/>
      <c r="U1350" s="58"/>
      <c r="V1350" s="57"/>
      <c r="W1350" s="52"/>
      <c r="X1350" s="52"/>
      <c r="Y1350" s="58"/>
      <c r="Z1350" s="57"/>
      <c r="AA1350" s="52"/>
      <c r="AB1350" s="52"/>
      <c r="AC1350" s="58"/>
      <c r="AD1350" s="57"/>
      <c r="AE1350" s="52"/>
      <c r="AF1350" s="52"/>
      <c r="AG1350" s="58"/>
      <c r="AH1350" s="57"/>
      <c r="AI1350" s="52"/>
      <c r="AJ1350" s="52"/>
      <c r="AK1350" s="58"/>
      <c r="AL1350" s="57"/>
      <c r="AM1350" s="52"/>
      <c r="AN1350" s="52"/>
      <c r="AO1350" s="58"/>
      <c r="AP1350" s="57"/>
      <c r="AQ1350" s="52"/>
      <c r="AR1350" s="52"/>
      <c r="AS1350" s="58"/>
      <c r="AT1350" s="57"/>
      <c r="AU1350" s="52"/>
      <c r="AV1350" s="52"/>
      <c r="AW1350" s="58"/>
      <c r="AX1350" s="33">
        <f t="shared" si="1337"/>
        <v>0</v>
      </c>
      <c r="AY1350" s="31">
        <f t="shared" si="1338"/>
        <v>0</v>
      </c>
      <c r="AZ1350" s="30">
        <f t="shared" si="1339"/>
        <v>0</v>
      </c>
      <c r="BA1350" s="34"/>
      <c r="BB1350" s="34"/>
      <c r="BC1350" s="34"/>
      <c r="BD1350" s="76"/>
      <c r="BE1350" s="34"/>
      <c r="BF1350" s="34"/>
      <c r="BG1350" s="34"/>
      <c r="BH1350" s="34"/>
    </row>
    <row r="1351" spans="1:60" s="17" customFormat="1" ht="19.5" customHeight="1" x14ac:dyDescent="0.35">
      <c r="A1351" s="41">
        <f t="shared" ref="A1351:B1351" si="1341">A1350</f>
        <v>45446</v>
      </c>
      <c r="B1351" s="37" t="str">
        <f t="shared" si="1341"/>
        <v>Yıkama Takma</v>
      </c>
      <c r="C1351" s="65">
        <f t="shared" si="1335"/>
        <v>0</v>
      </c>
      <c r="D1351" s="67">
        <f t="shared" si="1336"/>
        <v>125</v>
      </c>
      <c r="E1351" s="57"/>
      <c r="F1351" s="52"/>
      <c r="G1351" s="52"/>
      <c r="H1351" s="58"/>
      <c r="I1351" s="57"/>
      <c r="J1351" s="52"/>
      <c r="K1351" s="52"/>
      <c r="L1351" s="58"/>
      <c r="M1351" s="57"/>
      <c r="N1351" s="52"/>
      <c r="O1351" s="52"/>
      <c r="P1351" s="58"/>
      <c r="Q1351" s="57"/>
      <c r="R1351" s="52"/>
      <c r="S1351" s="52"/>
      <c r="T1351" s="52"/>
      <c r="U1351" s="58"/>
      <c r="V1351" s="57"/>
      <c r="W1351" s="52"/>
      <c r="X1351" s="52"/>
      <c r="Y1351" s="58"/>
      <c r="Z1351" s="57"/>
      <c r="AA1351" s="52"/>
      <c r="AB1351" s="52"/>
      <c r="AC1351" s="58"/>
      <c r="AD1351" s="57"/>
      <c r="AE1351" s="52"/>
      <c r="AF1351" s="52"/>
      <c r="AG1351" s="58"/>
      <c r="AH1351" s="57"/>
      <c r="AI1351" s="52"/>
      <c r="AJ1351" s="52"/>
      <c r="AK1351" s="58"/>
      <c r="AL1351" s="57"/>
      <c r="AM1351" s="52"/>
      <c r="AN1351" s="52"/>
      <c r="AO1351" s="58"/>
      <c r="AP1351" s="57"/>
      <c r="AQ1351" s="52"/>
      <c r="AR1351" s="52"/>
      <c r="AS1351" s="58"/>
      <c r="AT1351" s="57"/>
      <c r="AU1351" s="52"/>
      <c r="AV1351" s="52"/>
      <c r="AW1351" s="58"/>
      <c r="AX1351" s="33">
        <f t="shared" si="1337"/>
        <v>0</v>
      </c>
      <c r="AY1351" s="31">
        <f t="shared" si="1338"/>
        <v>0</v>
      </c>
      <c r="AZ1351" s="30">
        <f t="shared" si="1339"/>
        <v>0</v>
      </c>
      <c r="BA1351" s="34"/>
      <c r="BB1351" s="34"/>
      <c r="BC1351" s="34"/>
      <c r="BD1351" s="76"/>
      <c r="BE1351" s="34"/>
      <c r="BF1351" s="34"/>
      <c r="BG1351" s="34"/>
      <c r="BH1351" s="34"/>
    </row>
    <row r="1352" spans="1:60" s="17" customFormat="1" ht="19.5" customHeight="1" x14ac:dyDescent="0.35">
      <c r="A1352" s="41">
        <f>A1349</f>
        <v>45446</v>
      </c>
      <c r="B1352" s="37" t="str">
        <f t="shared" ref="B1352" si="1342">B1351</f>
        <v>Yıkama Takma</v>
      </c>
      <c r="C1352" s="65">
        <f t="shared" si="1335"/>
        <v>0</v>
      </c>
      <c r="D1352" s="67">
        <f t="shared" si="1336"/>
        <v>125</v>
      </c>
      <c r="E1352" s="57"/>
      <c r="F1352" s="52"/>
      <c r="G1352" s="52"/>
      <c r="H1352" s="58"/>
      <c r="I1352" s="57"/>
      <c r="J1352" s="52"/>
      <c r="K1352" s="52"/>
      <c r="L1352" s="58"/>
      <c r="M1352" s="57"/>
      <c r="N1352" s="52"/>
      <c r="O1352" s="52"/>
      <c r="P1352" s="58"/>
      <c r="Q1352" s="57"/>
      <c r="R1352" s="52"/>
      <c r="S1352" s="52"/>
      <c r="T1352" s="52"/>
      <c r="U1352" s="58"/>
      <c r="V1352" s="57"/>
      <c r="W1352" s="52"/>
      <c r="X1352" s="52"/>
      <c r="Y1352" s="58"/>
      <c r="Z1352" s="57"/>
      <c r="AA1352" s="52"/>
      <c r="AB1352" s="52"/>
      <c r="AC1352" s="58"/>
      <c r="AD1352" s="57"/>
      <c r="AE1352" s="52"/>
      <c r="AF1352" s="52"/>
      <c r="AG1352" s="58"/>
      <c r="AH1352" s="57"/>
      <c r="AI1352" s="52"/>
      <c r="AJ1352" s="52"/>
      <c r="AK1352" s="58"/>
      <c r="AL1352" s="57"/>
      <c r="AM1352" s="52"/>
      <c r="AN1352" s="52"/>
      <c r="AO1352" s="58"/>
      <c r="AP1352" s="57"/>
      <c r="AQ1352" s="52"/>
      <c r="AR1352" s="52"/>
      <c r="AS1352" s="58"/>
      <c r="AT1352" s="57"/>
      <c r="AU1352" s="52"/>
      <c r="AV1352" s="52"/>
      <c r="AW1352" s="58"/>
      <c r="AX1352" s="33">
        <f t="shared" si="1337"/>
        <v>0</v>
      </c>
      <c r="AY1352" s="31">
        <f t="shared" si="1338"/>
        <v>0</v>
      </c>
      <c r="AZ1352" s="30">
        <f t="shared" si="1339"/>
        <v>0</v>
      </c>
      <c r="BA1352" s="34"/>
      <c r="BB1352" s="34"/>
      <c r="BC1352" s="34"/>
      <c r="BD1352" s="76"/>
      <c r="BE1352" s="34"/>
      <c r="BF1352" s="34"/>
      <c r="BG1352" s="34"/>
      <c r="BH1352" s="34"/>
    </row>
    <row r="1353" spans="1:60" s="17" customFormat="1" ht="19.5" customHeight="1" x14ac:dyDescent="0.35">
      <c r="A1353" s="41">
        <f t="shared" ref="A1353:B1353" si="1343">A1352</f>
        <v>45446</v>
      </c>
      <c r="B1353" s="37" t="str">
        <f t="shared" si="1343"/>
        <v>Yıkama Takma</v>
      </c>
      <c r="C1353" s="65">
        <f t="shared" si="1335"/>
        <v>0</v>
      </c>
      <c r="D1353" s="67">
        <f t="shared" si="1336"/>
        <v>125</v>
      </c>
      <c r="E1353" s="57"/>
      <c r="F1353" s="52"/>
      <c r="G1353" s="52"/>
      <c r="H1353" s="58"/>
      <c r="I1353" s="57"/>
      <c r="J1353" s="52"/>
      <c r="K1353" s="52"/>
      <c r="L1353" s="58"/>
      <c r="M1353" s="57"/>
      <c r="N1353" s="52"/>
      <c r="O1353" s="52"/>
      <c r="P1353" s="58"/>
      <c r="Q1353" s="57"/>
      <c r="R1353" s="52"/>
      <c r="S1353" s="52"/>
      <c r="T1353" s="52"/>
      <c r="U1353" s="58"/>
      <c r="V1353" s="57"/>
      <c r="W1353" s="52"/>
      <c r="X1353" s="52"/>
      <c r="Y1353" s="58"/>
      <c r="Z1353" s="57"/>
      <c r="AA1353" s="52"/>
      <c r="AB1353" s="52"/>
      <c r="AC1353" s="58"/>
      <c r="AD1353" s="57"/>
      <c r="AE1353" s="52"/>
      <c r="AF1353" s="52"/>
      <c r="AG1353" s="58"/>
      <c r="AH1353" s="57"/>
      <c r="AI1353" s="52"/>
      <c r="AJ1353" s="52"/>
      <c r="AK1353" s="58"/>
      <c r="AL1353" s="57"/>
      <c r="AM1353" s="52"/>
      <c r="AN1353" s="52"/>
      <c r="AO1353" s="58"/>
      <c r="AP1353" s="57"/>
      <c r="AQ1353" s="52"/>
      <c r="AR1353" s="52"/>
      <c r="AS1353" s="58"/>
      <c r="AT1353" s="57"/>
      <c r="AU1353" s="52"/>
      <c r="AV1353" s="52"/>
      <c r="AW1353" s="58"/>
      <c r="AX1353" s="33">
        <f t="shared" si="1337"/>
        <v>0</v>
      </c>
      <c r="AY1353" s="31">
        <f t="shared" si="1338"/>
        <v>0</v>
      </c>
      <c r="AZ1353" s="30">
        <f t="shared" si="1339"/>
        <v>0</v>
      </c>
      <c r="BA1353" s="34"/>
      <c r="BB1353" s="34"/>
      <c r="BC1353" s="34"/>
      <c r="BD1353" s="76"/>
      <c r="BE1353" s="34"/>
      <c r="BF1353" s="34"/>
      <c r="BG1353" s="34"/>
      <c r="BH1353" s="34"/>
    </row>
    <row r="1354" spans="1:60" s="17" customFormat="1" ht="19.5" customHeight="1" thickBot="1" x14ac:dyDescent="0.4">
      <c r="A1354" s="41">
        <f t="shared" ref="A1354:B1354" si="1344">A1353</f>
        <v>45446</v>
      </c>
      <c r="B1354" s="37" t="str">
        <f t="shared" si="1344"/>
        <v>Yıkama Takma</v>
      </c>
      <c r="C1354" s="65">
        <f t="shared" si="1335"/>
        <v>0</v>
      </c>
      <c r="D1354" s="67">
        <f t="shared" si="1336"/>
        <v>125</v>
      </c>
      <c r="E1354" s="59"/>
      <c r="F1354" s="60"/>
      <c r="G1354" s="61"/>
      <c r="H1354" s="62"/>
      <c r="I1354" s="59"/>
      <c r="J1354" s="60"/>
      <c r="K1354" s="61"/>
      <c r="L1354" s="62"/>
      <c r="M1354" s="59"/>
      <c r="N1354" s="60"/>
      <c r="O1354" s="61"/>
      <c r="P1354" s="62"/>
      <c r="Q1354" s="64"/>
      <c r="R1354" s="61"/>
      <c r="S1354" s="61"/>
      <c r="T1354" s="61"/>
      <c r="U1354" s="62"/>
      <c r="V1354" s="59"/>
      <c r="W1354" s="60"/>
      <c r="X1354" s="61"/>
      <c r="Y1354" s="62"/>
      <c r="Z1354" s="59"/>
      <c r="AA1354" s="60"/>
      <c r="AB1354" s="61"/>
      <c r="AC1354" s="62"/>
      <c r="AD1354" s="59"/>
      <c r="AE1354" s="60"/>
      <c r="AF1354" s="61"/>
      <c r="AG1354" s="62"/>
      <c r="AH1354" s="59"/>
      <c r="AI1354" s="60"/>
      <c r="AJ1354" s="61"/>
      <c r="AK1354" s="62"/>
      <c r="AL1354" s="59"/>
      <c r="AM1354" s="60"/>
      <c r="AN1354" s="61"/>
      <c r="AO1354" s="62"/>
      <c r="AP1354" s="59"/>
      <c r="AQ1354" s="60"/>
      <c r="AR1354" s="61"/>
      <c r="AS1354" s="62"/>
      <c r="AT1354" s="59"/>
      <c r="AU1354" s="60"/>
      <c r="AV1354" s="61"/>
      <c r="AW1354" s="62"/>
      <c r="AX1354" s="33">
        <f t="shared" si="1337"/>
        <v>0</v>
      </c>
      <c r="AY1354" s="31">
        <f t="shared" si="1338"/>
        <v>0</v>
      </c>
      <c r="AZ1354" s="30">
        <f t="shared" si="1339"/>
        <v>0</v>
      </c>
      <c r="BA1354" s="34"/>
      <c r="BB1354" s="34"/>
      <c r="BC1354" s="34"/>
      <c r="BD1354" s="76"/>
      <c r="BE1354" s="34"/>
      <c r="BF1354" s="34"/>
      <c r="BG1354" s="34"/>
      <c r="BH1354" s="34"/>
    </row>
    <row r="1355" spans="1:60" s="17" customFormat="1" ht="19.5" customHeight="1" thickBot="1" x14ac:dyDescent="0.45">
      <c r="A1355" s="41">
        <f t="shared" ref="A1355" si="1345">A1354</f>
        <v>45446</v>
      </c>
      <c r="B1355" s="139" t="str">
        <f>B1348</f>
        <v>Yıkama Takma</v>
      </c>
      <c r="C1355" s="140"/>
      <c r="D1355" s="40">
        <f>C1238/8</f>
        <v>500</v>
      </c>
      <c r="E1355" s="147">
        <f>SUM(E1348:H1354)</f>
        <v>510</v>
      </c>
      <c r="F1355" s="148"/>
      <c r="G1355" s="148"/>
      <c r="H1355" s="149"/>
      <c r="I1355" s="147">
        <f>SUM(I1348:L1354)</f>
        <v>480</v>
      </c>
      <c r="J1355" s="148"/>
      <c r="K1355" s="148"/>
      <c r="L1355" s="149"/>
      <c r="M1355" s="147">
        <f>SUM(M1348:P1354)</f>
        <v>500</v>
      </c>
      <c r="N1355" s="148"/>
      <c r="O1355" s="148"/>
      <c r="P1355" s="149"/>
      <c r="Q1355" s="147">
        <f>SUM(Q1348:U1354)</f>
        <v>425</v>
      </c>
      <c r="R1355" s="148"/>
      <c r="S1355" s="148"/>
      <c r="T1355" s="148"/>
      <c r="U1355" s="149"/>
      <c r="V1355" s="147">
        <f>SUM(V1348:Y1354)</f>
        <v>405</v>
      </c>
      <c r="W1355" s="148"/>
      <c r="X1355" s="148"/>
      <c r="Y1355" s="149"/>
      <c r="Z1355" s="147">
        <f>SUM(Z1348:AC1354)</f>
        <v>485</v>
      </c>
      <c r="AA1355" s="148"/>
      <c r="AB1355" s="148"/>
      <c r="AC1355" s="149"/>
      <c r="AD1355" s="147">
        <f>SUM(AD1348:AG1354)</f>
        <v>345</v>
      </c>
      <c r="AE1355" s="148"/>
      <c r="AF1355" s="148"/>
      <c r="AG1355" s="149"/>
      <c r="AH1355" s="147">
        <f>SUM(AH1348:AK1354)</f>
        <v>325</v>
      </c>
      <c r="AI1355" s="148"/>
      <c r="AJ1355" s="148"/>
      <c r="AK1355" s="149"/>
      <c r="AL1355" s="147">
        <f>SUM(AL1348:AO1354)</f>
        <v>0</v>
      </c>
      <c r="AM1355" s="148"/>
      <c r="AN1355" s="148"/>
      <c r="AO1355" s="149"/>
      <c r="AP1355" s="147">
        <f>SUM(AP1348:AS1354)</f>
        <v>0</v>
      </c>
      <c r="AQ1355" s="148"/>
      <c r="AR1355" s="148"/>
      <c r="AS1355" s="149"/>
      <c r="AT1355" s="147">
        <f>SUM(AT1348:AW1354)</f>
        <v>0</v>
      </c>
      <c r="AU1355" s="148"/>
      <c r="AV1355" s="148"/>
      <c r="AW1355" s="149"/>
      <c r="AX1355" s="87">
        <f>SUM(AX1348:AX1354)</f>
        <v>3475</v>
      </c>
      <c r="AY1355" s="88">
        <f>IFERROR(AVERAGEIF(E1355:AV1355,"&lt;&gt;0",(E1355:AV1355)),)</f>
        <v>434.375</v>
      </c>
      <c r="AZ1355" s="46">
        <f>IFERROR(AX1355/BB1349,0)</f>
        <v>0.86875000000000002</v>
      </c>
      <c r="BA1355" s="34"/>
      <c r="BB1355" s="34"/>
      <c r="BC1355" s="34"/>
      <c r="BD1355" s="76"/>
      <c r="BE1355" s="34"/>
      <c r="BF1355" s="34"/>
      <c r="BG1355" s="34"/>
      <c r="BH1355" s="34"/>
    </row>
    <row r="1356" spans="1:60" s="17" customFormat="1" ht="19.5" customHeight="1" thickBot="1" x14ac:dyDescent="0.4">
      <c r="A1356" s="42">
        <f>A1347</f>
        <v>45446</v>
      </c>
      <c r="B1356" s="38" t="str">
        <f>B1357</f>
        <v>Kol Reçme</v>
      </c>
      <c r="C1356" s="39" t="s">
        <v>180</v>
      </c>
      <c r="D1356" s="69" t="s">
        <v>181</v>
      </c>
      <c r="E1356" s="48">
        <v>0.34375</v>
      </c>
      <c r="F1356" s="49">
        <v>0.35416666666666669</v>
      </c>
      <c r="G1356" s="49">
        <v>0.36458333333333331</v>
      </c>
      <c r="H1356" s="50">
        <v>0.375</v>
      </c>
      <c r="I1356" s="48">
        <v>0.38541666666666702</v>
      </c>
      <c r="J1356" s="49">
        <v>0.39583333333333298</v>
      </c>
      <c r="K1356" s="49">
        <v>0.40625</v>
      </c>
      <c r="L1356" s="50">
        <v>0.41666666666666702</v>
      </c>
      <c r="M1356" s="48">
        <v>0.4375</v>
      </c>
      <c r="N1356" s="49">
        <v>0.44791666666666702</v>
      </c>
      <c r="O1356" s="49">
        <v>0.45833333333333398</v>
      </c>
      <c r="P1356" s="50">
        <v>0.46875</v>
      </c>
      <c r="Q1356" s="82">
        <v>0.47916666666666702</v>
      </c>
      <c r="R1356" s="83">
        <v>0.48958333333333398</v>
      </c>
      <c r="S1356" s="83">
        <v>0.5</v>
      </c>
      <c r="T1356" s="84">
        <v>0.51041666666666696</v>
      </c>
      <c r="U1356" s="85">
        <v>0.52083333333333204</v>
      </c>
      <c r="V1356" s="48">
        <v>0.5625</v>
      </c>
      <c r="W1356" s="49">
        <v>0.57291666666666663</v>
      </c>
      <c r="X1356" s="49">
        <v>0.58333333333333304</v>
      </c>
      <c r="Y1356" s="50">
        <v>0.59375</v>
      </c>
      <c r="Z1356" s="48">
        <v>0.60416666666666696</v>
      </c>
      <c r="AA1356" s="49">
        <v>0.61458333333333304</v>
      </c>
      <c r="AB1356" s="49">
        <v>0.625</v>
      </c>
      <c r="AC1356" s="50">
        <v>0.63541666666666596</v>
      </c>
      <c r="AD1356" s="48">
        <v>0.65625</v>
      </c>
      <c r="AE1356" s="49">
        <v>0.66666666666666663</v>
      </c>
      <c r="AF1356" s="49">
        <v>0.67708333333333304</v>
      </c>
      <c r="AG1356" s="50">
        <v>0.6875</v>
      </c>
      <c r="AH1356" s="48">
        <v>0.69791666666666696</v>
      </c>
      <c r="AI1356" s="49">
        <v>0.70833333333333304</v>
      </c>
      <c r="AJ1356" s="49">
        <v>0.71875</v>
      </c>
      <c r="AK1356" s="50">
        <v>0.72916666666666696</v>
      </c>
      <c r="AL1356" s="48">
        <v>0.73958333333333404</v>
      </c>
      <c r="AM1356" s="49">
        <v>0.750000000000001</v>
      </c>
      <c r="AN1356" s="49">
        <v>0.76041666666666796</v>
      </c>
      <c r="AO1356" s="50">
        <v>0.77083333333333504</v>
      </c>
      <c r="AP1356" s="48">
        <v>0.781250000000002</v>
      </c>
      <c r="AQ1356" s="49">
        <v>0.79166666666666896</v>
      </c>
      <c r="AR1356" s="49">
        <v>0.80208333333333603</v>
      </c>
      <c r="AS1356" s="50">
        <v>0.812500000000003</v>
      </c>
      <c r="AT1356" s="48">
        <v>0.82291666666666996</v>
      </c>
      <c r="AU1356" s="49">
        <v>0.83333333333333703</v>
      </c>
      <c r="AV1356" s="49">
        <v>0.843750000000004</v>
      </c>
      <c r="AW1356" s="50">
        <v>0.85416666666666663</v>
      </c>
      <c r="AX1356" s="68" t="s">
        <v>260</v>
      </c>
      <c r="AY1356" s="28" t="s">
        <v>261</v>
      </c>
      <c r="AZ1356" s="29" t="s">
        <v>262</v>
      </c>
      <c r="BA1356" s="136" t="str">
        <f>B1357</f>
        <v>Kol Reçme</v>
      </c>
      <c r="BB1356" s="137"/>
      <c r="BC1356" s="137"/>
      <c r="BD1356" s="137"/>
      <c r="BE1356" s="137"/>
      <c r="BF1356" s="137"/>
      <c r="BG1356" s="137"/>
      <c r="BH1356" s="138"/>
    </row>
    <row r="1357" spans="1:60" s="17" customFormat="1" ht="19.5" customHeight="1" thickBot="1" x14ac:dyDescent="0.4">
      <c r="A1357" s="41">
        <f t="shared" ref="A1357" si="1346">A1356</f>
        <v>45446</v>
      </c>
      <c r="B1357" s="37" t="str">
        <f>B1181</f>
        <v>Kol Reçme</v>
      </c>
      <c r="C1357" s="65" t="str">
        <f>C1181</f>
        <v>LEYLA ERDOĞAN</v>
      </c>
      <c r="D1357" s="70">
        <f>D1181</f>
        <v>60</v>
      </c>
      <c r="E1357" s="63">
        <v>45</v>
      </c>
      <c r="F1357" s="55">
        <v>45</v>
      </c>
      <c r="G1357" s="55">
        <v>45</v>
      </c>
      <c r="H1357" s="56">
        <v>50</v>
      </c>
      <c r="I1357" s="63">
        <v>45</v>
      </c>
      <c r="J1357" s="55">
        <v>45</v>
      </c>
      <c r="K1357" s="55">
        <v>40</v>
      </c>
      <c r="L1357" s="56">
        <v>45</v>
      </c>
      <c r="M1357" s="63">
        <v>45</v>
      </c>
      <c r="N1357" s="55">
        <v>50</v>
      </c>
      <c r="O1357" s="55">
        <v>45</v>
      </c>
      <c r="P1357" s="56">
        <v>45</v>
      </c>
      <c r="Q1357" s="63">
        <v>45</v>
      </c>
      <c r="R1357" s="55">
        <v>45</v>
      </c>
      <c r="S1357" s="55">
        <v>50</v>
      </c>
      <c r="T1357" s="55">
        <v>50</v>
      </c>
      <c r="U1357" s="56">
        <v>50</v>
      </c>
      <c r="V1357" s="63">
        <v>50</v>
      </c>
      <c r="W1357" s="55">
        <v>50</v>
      </c>
      <c r="X1357" s="55">
        <v>45</v>
      </c>
      <c r="Y1357" s="56">
        <v>50</v>
      </c>
      <c r="Z1357" s="63">
        <v>50</v>
      </c>
      <c r="AA1357" s="55">
        <v>20</v>
      </c>
      <c r="AB1357" s="55">
        <v>50</v>
      </c>
      <c r="AC1357" s="56">
        <v>45</v>
      </c>
      <c r="AD1357" s="63">
        <v>50</v>
      </c>
      <c r="AE1357" s="55">
        <v>50</v>
      </c>
      <c r="AF1357" s="55">
        <v>50</v>
      </c>
      <c r="AG1357" s="56">
        <v>50</v>
      </c>
      <c r="AH1357" s="63">
        <v>45</v>
      </c>
      <c r="AI1357" s="55">
        <v>45</v>
      </c>
      <c r="AJ1357" s="55">
        <v>45</v>
      </c>
      <c r="AK1357" s="56"/>
      <c r="AL1357" s="53"/>
      <c r="AM1357" s="54"/>
      <c r="AN1357" s="55"/>
      <c r="AO1357" s="56"/>
      <c r="AP1357" s="53"/>
      <c r="AQ1357" s="54"/>
      <c r="AR1357" s="55"/>
      <c r="AS1357" s="56"/>
      <c r="AT1357" s="53"/>
      <c r="AU1357" s="54"/>
      <c r="AV1357" s="55"/>
      <c r="AW1357" s="56"/>
      <c r="AX1357" s="33">
        <f>SUM(E1357:AW1357)</f>
        <v>1480</v>
      </c>
      <c r="AY1357" s="31">
        <f>IFERROR(AVERAGEIF(E1357:AW1357,"&lt;&gt;0",(E1357:AW1357)),)</f>
        <v>46.25</v>
      </c>
      <c r="AZ1357" s="30">
        <f>IFERROR(AY1357/D1357,0)</f>
        <v>0.77083333333333337</v>
      </c>
      <c r="BA1357" s="103" t="s">
        <v>182</v>
      </c>
      <c r="BB1357" s="100" t="s">
        <v>183</v>
      </c>
      <c r="BC1357" s="100" t="s">
        <v>184</v>
      </c>
      <c r="BD1357" s="101" t="s">
        <v>185</v>
      </c>
      <c r="BE1357" s="100" t="s">
        <v>186</v>
      </c>
      <c r="BF1357" s="102" t="s">
        <v>187</v>
      </c>
      <c r="BG1357" s="100" t="s">
        <v>188</v>
      </c>
      <c r="BH1357" s="102" t="s">
        <v>189</v>
      </c>
    </row>
    <row r="1358" spans="1:60" s="17" customFormat="1" ht="19.5" customHeight="1" thickBot="1" x14ac:dyDescent="0.4">
      <c r="A1358" s="41">
        <f t="shared" ref="A1358:B1358" si="1347">A1357</f>
        <v>45446</v>
      </c>
      <c r="B1358" s="37" t="str">
        <f t="shared" si="1347"/>
        <v>Kol Reçme</v>
      </c>
      <c r="C1358" s="65" t="str">
        <f t="shared" ref="C1358:C1363" si="1348">C1182</f>
        <v>SEMA GEZGİNCİ</v>
      </c>
      <c r="D1358" s="67">
        <f t="shared" ref="D1358:D1363" si="1349">D1357</f>
        <v>60</v>
      </c>
      <c r="E1358" s="57">
        <v>24</v>
      </c>
      <c r="F1358" s="52">
        <v>30</v>
      </c>
      <c r="G1358" s="52">
        <v>30</v>
      </c>
      <c r="H1358" s="58">
        <v>40</v>
      </c>
      <c r="I1358" s="57">
        <v>40</v>
      </c>
      <c r="J1358" s="52">
        <v>30</v>
      </c>
      <c r="K1358" s="52">
        <v>30</v>
      </c>
      <c r="L1358" s="58">
        <v>30</v>
      </c>
      <c r="M1358" s="57">
        <v>35</v>
      </c>
      <c r="N1358" s="52">
        <v>40</v>
      </c>
      <c r="O1358" s="52">
        <v>38</v>
      </c>
      <c r="P1358" s="58">
        <v>40</v>
      </c>
      <c r="Q1358" s="57">
        <v>35</v>
      </c>
      <c r="R1358" s="52">
        <v>35</v>
      </c>
      <c r="S1358" s="52">
        <v>40</v>
      </c>
      <c r="T1358" s="52">
        <v>40</v>
      </c>
      <c r="U1358" s="58">
        <v>40</v>
      </c>
      <c r="V1358" s="57">
        <v>35</v>
      </c>
      <c r="W1358" s="52">
        <v>30</v>
      </c>
      <c r="X1358" s="52">
        <v>32</v>
      </c>
      <c r="Y1358" s="58">
        <v>35</v>
      </c>
      <c r="Z1358" s="57">
        <v>30</v>
      </c>
      <c r="AA1358" s="52">
        <v>15</v>
      </c>
      <c r="AB1358" s="52">
        <v>25</v>
      </c>
      <c r="AC1358" s="58">
        <v>25</v>
      </c>
      <c r="AD1358" s="57">
        <v>0</v>
      </c>
      <c r="AE1358" s="52">
        <v>0</v>
      </c>
      <c r="AF1358" s="52">
        <v>35</v>
      </c>
      <c r="AG1358" s="58">
        <v>35</v>
      </c>
      <c r="AH1358" s="57">
        <v>40</v>
      </c>
      <c r="AI1358" s="52">
        <v>40</v>
      </c>
      <c r="AJ1358" s="52">
        <v>20</v>
      </c>
      <c r="AK1358" s="58"/>
      <c r="AL1358" s="57"/>
      <c r="AM1358" s="52"/>
      <c r="AN1358" s="52"/>
      <c r="AO1358" s="58"/>
      <c r="AP1358" s="57"/>
      <c r="AQ1358" s="52"/>
      <c r="AR1358" s="52"/>
      <c r="AS1358" s="58"/>
      <c r="AT1358" s="57"/>
      <c r="AU1358" s="52"/>
      <c r="AV1358" s="52"/>
      <c r="AW1358" s="58"/>
      <c r="AX1358" s="33">
        <f t="shared" ref="AX1358:AX1363" si="1350">SUM(E1358:AW1358)</f>
        <v>994</v>
      </c>
      <c r="AY1358" s="31">
        <f t="shared" ref="AY1358:AY1363" si="1351">IFERROR(AVERAGEIF(E1358:AW1358,"&lt;&gt;0",(E1358:AW1358)),)</f>
        <v>33.133333333333333</v>
      </c>
      <c r="AZ1358" s="30">
        <f t="shared" ref="AZ1358:AZ1363" si="1352">IFERROR(AY1358/D1358,0)</f>
        <v>0.55222222222222217</v>
      </c>
      <c r="BA1358" s="94">
        <f>AX1364+BA1182</f>
        <v>15828</v>
      </c>
      <c r="BB1358" s="95">
        <f>(D1364*8)</f>
        <v>4000</v>
      </c>
      <c r="BC1358" s="96">
        <f>C1237-BA1358</f>
        <v>26483</v>
      </c>
      <c r="BD1358" s="96">
        <f>BA1349-BA1358</f>
        <v>122</v>
      </c>
      <c r="BE1358" s="97">
        <f>IFERROR(BC1358/E1364,0)</f>
        <v>40.493883792048926</v>
      </c>
      <c r="BF1358" s="98">
        <f>IFERROR(BE1358/9,0)</f>
        <v>4.4993204213387692</v>
      </c>
      <c r="BG1358" s="97">
        <f>IFERROR(BC1358/AY1364,0)</f>
        <v>56.739153722549545</v>
      </c>
      <c r="BH1358" s="97">
        <f>IFERROR(BG1358/9,0)</f>
        <v>6.304350413616616</v>
      </c>
    </row>
    <row r="1359" spans="1:60" s="17" customFormat="1" ht="19.5" customHeight="1" x14ac:dyDescent="0.35">
      <c r="A1359" s="41">
        <f t="shared" ref="A1359:B1359" si="1353">A1358</f>
        <v>45446</v>
      </c>
      <c r="B1359" s="37" t="str">
        <f t="shared" si="1353"/>
        <v>Kol Reçme</v>
      </c>
      <c r="C1359" s="65" t="str">
        <f t="shared" si="1348"/>
        <v>BEYZANUR ERTÜRK</v>
      </c>
      <c r="D1359" s="67">
        <f t="shared" si="1349"/>
        <v>60</v>
      </c>
      <c r="E1359" s="57">
        <v>25</v>
      </c>
      <c r="F1359" s="52">
        <v>30</v>
      </c>
      <c r="G1359" s="52">
        <v>30</v>
      </c>
      <c r="H1359" s="58">
        <v>30</v>
      </c>
      <c r="I1359" s="57">
        <v>30</v>
      </c>
      <c r="J1359" s="52">
        <v>20</v>
      </c>
      <c r="K1359" s="52">
        <v>30</v>
      </c>
      <c r="L1359" s="58">
        <v>30</v>
      </c>
      <c r="M1359" s="57">
        <v>32</v>
      </c>
      <c r="N1359" s="52">
        <v>30</v>
      </c>
      <c r="O1359" s="52">
        <v>26</v>
      </c>
      <c r="P1359" s="58">
        <v>25</v>
      </c>
      <c r="Q1359" s="57">
        <v>30</v>
      </c>
      <c r="R1359" s="52">
        <v>30</v>
      </c>
      <c r="S1359" s="52">
        <v>35</v>
      </c>
      <c r="T1359" s="52">
        <v>35</v>
      </c>
      <c r="U1359" s="58">
        <v>30</v>
      </c>
      <c r="V1359" s="57">
        <v>18</v>
      </c>
      <c r="W1359" s="52">
        <v>15</v>
      </c>
      <c r="X1359" s="52">
        <v>20</v>
      </c>
      <c r="Y1359" s="58">
        <v>35</v>
      </c>
      <c r="Z1359" s="57">
        <v>32</v>
      </c>
      <c r="AA1359" s="52">
        <v>30</v>
      </c>
      <c r="AB1359" s="52">
        <v>12</v>
      </c>
      <c r="AC1359" s="58">
        <v>30</v>
      </c>
      <c r="AD1359" s="57"/>
      <c r="AE1359" s="52"/>
      <c r="AF1359" s="52"/>
      <c r="AG1359" s="58"/>
      <c r="AH1359" s="57"/>
      <c r="AI1359" s="52"/>
      <c r="AJ1359" s="52"/>
      <c r="AK1359" s="58"/>
      <c r="AL1359" s="57"/>
      <c r="AM1359" s="52"/>
      <c r="AN1359" s="52"/>
      <c r="AO1359" s="58"/>
      <c r="AP1359" s="57"/>
      <c r="AQ1359" s="52"/>
      <c r="AR1359" s="52"/>
      <c r="AS1359" s="58"/>
      <c r="AT1359" s="57"/>
      <c r="AU1359" s="52"/>
      <c r="AV1359" s="52"/>
      <c r="AW1359" s="58"/>
      <c r="AX1359" s="33">
        <f t="shared" si="1350"/>
        <v>690</v>
      </c>
      <c r="AY1359" s="31">
        <f t="shared" si="1351"/>
        <v>27.6</v>
      </c>
      <c r="AZ1359" s="30">
        <f t="shared" si="1352"/>
        <v>0.46</v>
      </c>
      <c r="BA1359" s="34"/>
      <c r="BB1359" s="34"/>
      <c r="BC1359" s="34"/>
      <c r="BD1359" s="76"/>
      <c r="BE1359" s="34"/>
      <c r="BF1359" s="34"/>
      <c r="BG1359" s="34"/>
      <c r="BH1359" s="34"/>
    </row>
    <row r="1360" spans="1:60" s="17" customFormat="1" ht="19.5" customHeight="1" x14ac:dyDescent="0.35">
      <c r="A1360" s="41">
        <f t="shared" ref="A1360:B1360" si="1354">A1359</f>
        <v>45446</v>
      </c>
      <c r="B1360" s="37" t="str">
        <f t="shared" si="1354"/>
        <v>Kol Reçme</v>
      </c>
      <c r="C1360" s="65" t="str">
        <f t="shared" si="1348"/>
        <v>SEVİNÇ KUNDAKÇI</v>
      </c>
      <c r="D1360" s="67">
        <f t="shared" si="1349"/>
        <v>60</v>
      </c>
      <c r="E1360" s="57">
        <v>50</v>
      </c>
      <c r="F1360" s="52">
        <v>60</v>
      </c>
      <c r="G1360" s="52">
        <v>60</v>
      </c>
      <c r="H1360" s="58">
        <v>60</v>
      </c>
      <c r="I1360" s="57">
        <v>50</v>
      </c>
      <c r="J1360" s="52">
        <v>70</v>
      </c>
      <c r="K1360" s="6">
        <v>0</v>
      </c>
      <c r="L1360" s="7">
        <v>0</v>
      </c>
      <c r="M1360" s="5">
        <v>0</v>
      </c>
      <c r="N1360" s="6">
        <v>0</v>
      </c>
      <c r="O1360" s="6">
        <v>0</v>
      </c>
      <c r="P1360" s="7">
        <v>0</v>
      </c>
      <c r="Q1360" s="5">
        <v>0</v>
      </c>
      <c r="R1360" s="6">
        <v>0</v>
      </c>
      <c r="S1360" s="6">
        <v>0</v>
      </c>
      <c r="T1360" s="6">
        <v>0</v>
      </c>
      <c r="U1360" s="7">
        <v>0</v>
      </c>
      <c r="V1360" s="5"/>
      <c r="W1360" s="6"/>
      <c r="X1360" s="6"/>
      <c r="Y1360" s="7"/>
      <c r="Z1360" s="5"/>
      <c r="AA1360" s="6"/>
      <c r="AB1360" s="6"/>
      <c r="AC1360" s="7">
        <v>20</v>
      </c>
      <c r="AD1360" s="57">
        <v>50</v>
      </c>
      <c r="AE1360" s="52">
        <v>50</v>
      </c>
      <c r="AF1360" s="52">
        <v>50</v>
      </c>
      <c r="AG1360" s="58">
        <v>50</v>
      </c>
      <c r="AH1360" s="5">
        <v>0</v>
      </c>
      <c r="AI1360" s="6">
        <v>0</v>
      </c>
      <c r="AJ1360" s="6">
        <v>0</v>
      </c>
      <c r="AK1360" s="58"/>
      <c r="AL1360" s="57"/>
      <c r="AM1360" s="52"/>
      <c r="AN1360" s="52"/>
      <c r="AO1360" s="58"/>
      <c r="AP1360" s="57"/>
      <c r="AQ1360" s="52"/>
      <c r="AR1360" s="52"/>
      <c r="AS1360" s="58"/>
      <c r="AT1360" s="57"/>
      <c r="AU1360" s="52"/>
      <c r="AV1360" s="52"/>
      <c r="AW1360" s="58"/>
      <c r="AX1360" s="33">
        <f t="shared" si="1350"/>
        <v>570</v>
      </c>
      <c r="AY1360" s="31">
        <f t="shared" si="1351"/>
        <v>51.81818181818182</v>
      </c>
      <c r="AZ1360" s="30">
        <f t="shared" si="1352"/>
        <v>0.86363636363636365</v>
      </c>
      <c r="BA1360" s="34"/>
      <c r="BB1360" s="34"/>
      <c r="BC1360" s="34"/>
      <c r="BD1360" s="76"/>
      <c r="BE1360" s="34"/>
      <c r="BF1360" s="34"/>
      <c r="BG1360" s="34"/>
      <c r="BH1360" s="34"/>
    </row>
    <row r="1361" spans="1:60" s="17" customFormat="1" ht="19.5" customHeight="1" x14ac:dyDescent="0.35">
      <c r="A1361" s="41">
        <f>A1358</f>
        <v>45446</v>
      </c>
      <c r="B1361" s="37" t="str">
        <f t="shared" ref="B1361" si="1355">B1360</f>
        <v>Kol Reçme</v>
      </c>
      <c r="C1361" s="65">
        <f t="shared" si="1348"/>
        <v>0</v>
      </c>
      <c r="D1361" s="67">
        <f t="shared" si="1349"/>
        <v>60</v>
      </c>
      <c r="E1361" s="57"/>
      <c r="F1361" s="52"/>
      <c r="G1361" s="52"/>
      <c r="H1361" s="58"/>
      <c r="I1361" s="57"/>
      <c r="J1361" s="52"/>
      <c r="K1361" s="52"/>
      <c r="L1361" s="58"/>
      <c r="M1361" s="57"/>
      <c r="N1361" s="52"/>
      <c r="O1361" s="52"/>
      <c r="P1361" s="58"/>
      <c r="Q1361" s="57"/>
      <c r="R1361" s="52"/>
      <c r="S1361" s="52"/>
      <c r="T1361" s="52"/>
      <c r="U1361" s="58"/>
      <c r="V1361" s="57"/>
      <c r="W1361" s="52"/>
      <c r="X1361" s="52"/>
      <c r="Y1361" s="58"/>
      <c r="Z1361" s="57"/>
      <c r="AA1361" s="52"/>
      <c r="AB1361" s="52"/>
      <c r="AC1361" s="58"/>
      <c r="AD1361" s="57"/>
      <c r="AE1361" s="52"/>
      <c r="AF1361" s="52"/>
      <c r="AG1361" s="58"/>
      <c r="AH1361" s="57"/>
      <c r="AI1361" s="52"/>
      <c r="AJ1361" s="52"/>
      <c r="AK1361" s="58"/>
      <c r="AL1361" s="57"/>
      <c r="AM1361" s="52"/>
      <c r="AN1361" s="52"/>
      <c r="AO1361" s="58"/>
      <c r="AP1361" s="57"/>
      <c r="AQ1361" s="52"/>
      <c r="AR1361" s="52"/>
      <c r="AS1361" s="58"/>
      <c r="AT1361" s="57"/>
      <c r="AU1361" s="52"/>
      <c r="AV1361" s="52"/>
      <c r="AW1361" s="58"/>
      <c r="AX1361" s="33">
        <f t="shared" si="1350"/>
        <v>0</v>
      </c>
      <c r="AY1361" s="31">
        <f t="shared" si="1351"/>
        <v>0</v>
      </c>
      <c r="AZ1361" s="30">
        <f t="shared" si="1352"/>
        <v>0</v>
      </c>
      <c r="BA1361" s="34"/>
      <c r="BB1361" s="34"/>
      <c r="BC1361" s="34"/>
      <c r="BD1361" s="76"/>
      <c r="BE1361" s="34"/>
      <c r="BF1361" s="34"/>
      <c r="BG1361" s="34"/>
      <c r="BH1361" s="34"/>
    </row>
    <row r="1362" spans="1:60" s="17" customFormat="1" ht="19.5" customHeight="1" x14ac:dyDescent="0.35">
      <c r="A1362" s="41">
        <f t="shared" ref="A1362:B1362" si="1356">A1361</f>
        <v>45446</v>
      </c>
      <c r="B1362" s="37" t="str">
        <f t="shared" si="1356"/>
        <v>Kol Reçme</v>
      </c>
      <c r="C1362" s="65">
        <f t="shared" si="1348"/>
        <v>0</v>
      </c>
      <c r="D1362" s="67">
        <f t="shared" si="1349"/>
        <v>60</v>
      </c>
      <c r="E1362" s="57"/>
      <c r="F1362" s="52"/>
      <c r="G1362" s="52"/>
      <c r="H1362" s="58"/>
      <c r="I1362" s="57"/>
      <c r="J1362" s="52"/>
      <c r="K1362" s="52"/>
      <c r="L1362" s="58"/>
      <c r="M1362" s="57"/>
      <c r="N1362" s="52"/>
      <c r="O1362" s="52"/>
      <c r="P1362" s="78"/>
      <c r="Q1362" s="57"/>
      <c r="R1362" s="52"/>
      <c r="S1362" s="52"/>
      <c r="T1362" s="52"/>
      <c r="U1362" s="58"/>
      <c r="V1362" s="80"/>
      <c r="W1362" s="52"/>
      <c r="X1362" s="52"/>
      <c r="Y1362" s="58"/>
      <c r="Z1362" s="57"/>
      <c r="AA1362" s="52"/>
      <c r="AB1362" s="52"/>
      <c r="AC1362" s="58"/>
      <c r="AD1362" s="57"/>
      <c r="AE1362" s="52"/>
      <c r="AF1362" s="52"/>
      <c r="AG1362" s="58"/>
      <c r="AH1362" s="57"/>
      <c r="AI1362" s="52"/>
      <c r="AJ1362" s="52"/>
      <c r="AK1362" s="58"/>
      <c r="AL1362" s="57"/>
      <c r="AM1362" s="52"/>
      <c r="AN1362" s="52"/>
      <c r="AO1362" s="58"/>
      <c r="AP1362" s="57"/>
      <c r="AQ1362" s="52"/>
      <c r="AR1362" s="52"/>
      <c r="AS1362" s="58"/>
      <c r="AT1362" s="57"/>
      <c r="AU1362" s="52"/>
      <c r="AV1362" s="52"/>
      <c r="AW1362" s="58"/>
      <c r="AX1362" s="33">
        <f t="shared" si="1350"/>
        <v>0</v>
      </c>
      <c r="AY1362" s="31">
        <f t="shared" si="1351"/>
        <v>0</v>
      </c>
      <c r="AZ1362" s="30">
        <f t="shared" si="1352"/>
        <v>0</v>
      </c>
      <c r="BA1362" s="34"/>
      <c r="BB1362" s="34"/>
      <c r="BC1362" s="34"/>
      <c r="BD1362" s="76"/>
      <c r="BE1362" s="34"/>
      <c r="BF1362" s="34"/>
      <c r="BG1362" s="34"/>
      <c r="BH1362" s="34"/>
    </row>
    <row r="1363" spans="1:60" s="17" customFormat="1" ht="19.5" customHeight="1" thickBot="1" x14ac:dyDescent="0.4">
      <c r="A1363" s="41">
        <f t="shared" ref="A1363:B1363" si="1357">A1362</f>
        <v>45446</v>
      </c>
      <c r="B1363" s="37" t="str">
        <f t="shared" si="1357"/>
        <v>Kol Reçme</v>
      </c>
      <c r="C1363" s="65">
        <f t="shared" si="1348"/>
        <v>0</v>
      </c>
      <c r="D1363" s="67">
        <f t="shared" si="1349"/>
        <v>60</v>
      </c>
      <c r="E1363" s="59"/>
      <c r="F1363" s="60"/>
      <c r="G1363" s="61"/>
      <c r="H1363" s="62"/>
      <c r="I1363" s="59"/>
      <c r="J1363" s="60"/>
      <c r="K1363" s="61"/>
      <c r="L1363" s="62"/>
      <c r="M1363" s="59"/>
      <c r="N1363" s="60"/>
      <c r="O1363" s="61"/>
      <c r="P1363" s="79"/>
      <c r="Q1363" s="64"/>
      <c r="R1363" s="61"/>
      <c r="S1363" s="61"/>
      <c r="T1363" s="61"/>
      <c r="U1363" s="62"/>
      <c r="V1363" s="81"/>
      <c r="W1363" s="60"/>
      <c r="X1363" s="61"/>
      <c r="Y1363" s="62"/>
      <c r="Z1363" s="59"/>
      <c r="AA1363" s="60"/>
      <c r="AB1363" s="61"/>
      <c r="AC1363" s="62"/>
      <c r="AD1363" s="59"/>
      <c r="AE1363" s="60"/>
      <c r="AF1363" s="61"/>
      <c r="AG1363" s="62"/>
      <c r="AH1363" s="59"/>
      <c r="AI1363" s="60"/>
      <c r="AJ1363" s="61"/>
      <c r="AK1363" s="62"/>
      <c r="AL1363" s="59"/>
      <c r="AM1363" s="60"/>
      <c r="AN1363" s="61"/>
      <c r="AO1363" s="62"/>
      <c r="AP1363" s="59"/>
      <c r="AQ1363" s="60"/>
      <c r="AR1363" s="61"/>
      <c r="AS1363" s="62"/>
      <c r="AT1363" s="59"/>
      <c r="AU1363" s="60"/>
      <c r="AV1363" s="61"/>
      <c r="AW1363" s="62"/>
      <c r="AX1363" s="33">
        <f t="shared" si="1350"/>
        <v>0</v>
      </c>
      <c r="AY1363" s="31">
        <f t="shared" si="1351"/>
        <v>0</v>
      </c>
      <c r="AZ1363" s="30">
        <f t="shared" si="1352"/>
        <v>0</v>
      </c>
      <c r="BA1363" s="34"/>
      <c r="BB1363" s="34"/>
      <c r="BC1363" s="34"/>
      <c r="BD1363" s="76"/>
      <c r="BE1363" s="34"/>
      <c r="BF1363" s="34"/>
      <c r="BG1363" s="34"/>
      <c r="BH1363" s="34"/>
    </row>
    <row r="1364" spans="1:60" s="17" customFormat="1" ht="19.5" customHeight="1" thickBot="1" x14ac:dyDescent="0.45">
      <c r="A1364" s="41">
        <f t="shared" ref="A1364" si="1358">A1363</f>
        <v>45446</v>
      </c>
      <c r="B1364" s="139" t="str">
        <f>B1357</f>
        <v>Kol Reçme</v>
      </c>
      <c r="C1364" s="140"/>
      <c r="D1364" s="40">
        <f>C1238/8</f>
        <v>500</v>
      </c>
      <c r="E1364" s="147">
        <f>SUM(E1357:H1363)</f>
        <v>654</v>
      </c>
      <c r="F1364" s="148"/>
      <c r="G1364" s="148"/>
      <c r="H1364" s="149"/>
      <c r="I1364" s="147">
        <f>SUM(I1357:L1363)</f>
        <v>535</v>
      </c>
      <c r="J1364" s="148"/>
      <c r="K1364" s="148"/>
      <c r="L1364" s="149"/>
      <c r="M1364" s="147">
        <f>SUM(M1357:P1363)</f>
        <v>451</v>
      </c>
      <c r="N1364" s="148"/>
      <c r="O1364" s="148"/>
      <c r="P1364" s="149"/>
      <c r="Q1364" s="151">
        <f>SUM(Q1357:U1363)</f>
        <v>590</v>
      </c>
      <c r="R1364" s="152"/>
      <c r="S1364" s="152"/>
      <c r="T1364" s="152"/>
      <c r="U1364" s="153"/>
      <c r="V1364" s="147">
        <f>SUM(V1357:Y1363)</f>
        <v>415</v>
      </c>
      <c r="W1364" s="148"/>
      <c r="X1364" s="148"/>
      <c r="Y1364" s="149"/>
      <c r="Z1364" s="147">
        <f>SUM(Z1357:AC1363)</f>
        <v>384</v>
      </c>
      <c r="AA1364" s="148"/>
      <c r="AB1364" s="148"/>
      <c r="AC1364" s="149"/>
      <c r="AD1364" s="147">
        <f>SUM(AD1357:AG1363)</f>
        <v>470</v>
      </c>
      <c r="AE1364" s="148"/>
      <c r="AF1364" s="148"/>
      <c r="AG1364" s="149"/>
      <c r="AH1364" s="147">
        <f>SUM(AH1357:AK1363)</f>
        <v>235</v>
      </c>
      <c r="AI1364" s="148"/>
      <c r="AJ1364" s="148"/>
      <c r="AK1364" s="149"/>
      <c r="AL1364" s="147">
        <f>SUM(AL1357:AO1363)</f>
        <v>0</v>
      </c>
      <c r="AM1364" s="148"/>
      <c r="AN1364" s="148"/>
      <c r="AO1364" s="149"/>
      <c r="AP1364" s="147">
        <f>SUM(AP1357:AS1363)</f>
        <v>0</v>
      </c>
      <c r="AQ1364" s="148"/>
      <c r="AR1364" s="148"/>
      <c r="AS1364" s="149"/>
      <c r="AT1364" s="147">
        <f>SUM(AT1357:AW1363)</f>
        <v>0</v>
      </c>
      <c r="AU1364" s="148"/>
      <c r="AV1364" s="148"/>
      <c r="AW1364" s="149"/>
      <c r="AX1364" s="87">
        <f>SUM(AX1357:AX1363)</f>
        <v>3734</v>
      </c>
      <c r="AY1364" s="88">
        <f>IFERROR(AVERAGEIF(E1364:AV1364,"&lt;&gt;0",(E1364:AV1364)),)</f>
        <v>466.75</v>
      </c>
      <c r="AZ1364" s="46">
        <f>IFERROR(AX1364/BB1358,0)</f>
        <v>0.9335</v>
      </c>
      <c r="BA1364" s="34"/>
      <c r="BB1364" s="34"/>
      <c r="BC1364" s="34"/>
      <c r="BD1364" s="76"/>
      <c r="BE1364" s="34"/>
      <c r="BF1364" s="34"/>
      <c r="BG1364" s="34"/>
      <c r="BH1364" s="34"/>
    </row>
    <row r="1365" spans="1:60" s="17" customFormat="1" ht="19.5" customHeight="1" thickBot="1" x14ac:dyDescent="0.4">
      <c r="A1365" s="42">
        <f>A1356</f>
        <v>45446</v>
      </c>
      <c r="B1365" s="38" t="str">
        <f>B1366</f>
        <v>Etek Reçme</v>
      </c>
      <c r="C1365" s="39" t="s">
        <v>180</v>
      </c>
      <c r="D1365" s="69" t="s">
        <v>181</v>
      </c>
      <c r="E1365" s="48">
        <v>0.34375</v>
      </c>
      <c r="F1365" s="49">
        <v>0.35416666666666669</v>
      </c>
      <c r="G1365" s="49">
        <v>0.36458333333333331</v>
      </c>
      <c r="H1365" s="50">
        <v>0.375</v>
      </c>
      <c r="I1365" s="48">
        <v>0.38541666666666702</v>
      </c>
      <c r="J1365" s="49">
        <v>0.39583333333333298</v>
      </c>
      <c r="K1365" s="49">
        <v>0.40625</v>
      </c>
      <c r="L1365" s="50">
        <v>0.41666666666666702</v>
      </c>
      <c r="M1365" s="48">
        <v>0.4375</v>
      </c>
      <c r="N1365" s="49">
        <v>0.44791666666666702</v>
      </c>
      <c r="O1365" s="49">
        <v>0.45833333333333398</v>
      </c>
      <c r="P1365" s="50">
        <v>0.46875</v>
      </c>
      <c r="Q1365" s="82">
        <v>0.47916666666666702</v>
      </c>
      <c r="R1365" s="83">
        <v>0.48958333333333398</v>
      </c>
      <c r="S1365" s="83">
        <v>0.5</v>
      </c>
      <c r="T1365" s="84">
        <v>0.51041666666666696</v>
      </c>
      <c r="U1365" s="85">
        <v>0.52083333333333204</v>
      </c>
      <c r="V1365" s="48">
        <v>0.5625</v>
      </c>
      <c r="W1365" s="49">
        <v>0.57291666666666663</v>
      </c>
      <c r="X1365" s="49">
        <v>0.58333333333333304</v>
      </c>
      <c r="Y1365" s="50">
        <v>0.59375</v>
      </c>
      <c r="Z1365" s="48">
        <v>0.60416666666666696</v>
      </c>
      <c r="AA1365" s="49">
        <v>0.61458333333333304</v>
      </c>
      <c r="AB1365" s="49">
        <v>0.625</v>
      </c>
      <c r="AC1365" s="50">
        <v>0.63541666666666596</v>
      </c>
      <c r="AD1365" s="48">
        <v>0.65625</v>
      </c>
      <c r="AE1365" s="49">
        <v>0.66666666666666663</v>
      </c>
      <c r="AF1365" s="49">
        <v>0.67708333333333304</v>
      </c>
      <c r="AG1365" s="50">
        <v>0.6875</v>
      </c>
      <c r="AH1365" s="48">
        <v>0.69791666666666696</v>
      </c>
      <c r="AI1365" s="49">
        <v>0.70833333333333304</v>
      </c>
      <c r="AJ1365" s="49">
        <v>0.71875</v>
      </c>
      <c r="AK1365" s="50">
        <v>0.72916666666666696</v>
      </c>
      <c r="AL1365" s="48">
        <v>0.73958333333333404</v>
      </c>
      <c r="AM1365" s="49">
        <v>0.750000000000001</v>
      </c>
      <c r="AN1365" s="49">
        <v>0.76041666666666796</v>
      </c>
      <c r="AO1365" s="50">
        <v>0.77083333333333504</v>
      </c>
      <c r="AP1365" s="48">
        <v>0.781250000000002</v>
      </c>
      <c r="AQ1365" s="49">
        <v>0.79166666666666896</v>
      </c>
      <c r="AR1365" s="49">
        <v>0.80208333333333603</v>
      </c>
      <c r="AS1365" s="50">
        <v>0.812500000000003</v>
      </c>
      <c r="AT1365" s="48">
        <v>0.82291666666666996</v>
      </c>
      <c r="AU1365" s="49">
        <v>0.83333333333333703</v>
      </c>
      <c r="AV1365" s="49">
        <v>0.843750000000004</v>
      </c>
      <c r="AW1365" s="50">
        <v>0.85416666666666663</v>
      </c>
      <c r="AX1365" s="68" t="s">
        <v>260</v>
      </c>
      <c r="AY1365" s="28" t="s">
        <v>261</v>
      </c>
      <c r="AZ1365" s="29" t="s">
        <v>262</v>
      </c>
      <c r="BA1365" s="136" t="str">
        <f>B1366</f>
        <v>Etek Reçme</v>
      </c>
      <c r="BB1365" s="137"/>
      <c r="BC1365" s="137"/>
      <c r="BD1365" s="137"/>
      <c r="BE1365" s="137"/>
      <c r="BF1365" s="137"/>
      <c r="BG1365" s="137"/>
      <c r="BH1365" s="138"/>
    </row>
    <row r="1366" spans="1:60" s="17" customFormat="1" ht="19.5" customHeight="1" thickBot="1" x14ac:dyDescent="0.4">
      <c r="A1366" s="41">
        <f t="shared" ref="A1366" si="1359">A1365</f>
        <v>45446</v>
      </c>
      <c r="B1366" s="37" t="str">
        <f>B1190</f>
        <v>Etek Reçme</v>
      </c>
      <c r="C1366" s="65" t="str">
        <f>C1190</f>
        <v>BEGÜM DURMAZ</v>
      </c>
      <c r="D1366" s="70">
        <f>D1190</f>
        <v>120</v>
      </c>
      <c r="E1366" s="63">
        <v>150</v>
      </c>
      <c r="F1366" s="55">
        <v>130</v>
      </c>
      <c r="G1366" s="55">
        <v>150</v>
      </c>
      <c r="H1366" s="56">
        <v>70</v>
      </c>
      <c r="I1366" s="63">
        <v>127</v>
      </c>
      <c r="J1366" s="55">
        <v>100</v>
      </c>
      <c r="K1366" s="55">
        <v>99</v>
      </c>
      <c r="L1366" s="56">
        <v>120</v>
      </c>
      <c r="M1366" s="63">
        <v>150</v>
      </c>
      <c r="N1366" s="55">
        <v>150</v>
      </c>
      <c r="O1366" s="55">
        <v>150</v>
      </c>
      <c r="P1366" s="56">
        <v>150</v>
      </c>
      <c r="Q1366" s="63">
        <v>150</v>
      </c>
      <c r="R1366" s="55">
        <v>84</v>
      </c>
      <c r="S1366" s="55">
        <v>150</v>
      </c>
      <c r="T1366" s="55">
        <v>60</v>
      </c>
      <c r="U1366" s="56">
        <v>150</v>
      </c>
      <c r="V1366" s="63">
        <v>150</v>
      </c>
      <c r="W1366" s="55">
        <v>150</v>
      </c>
      <c r="X1366" s="55">
        <v>150</v>
      </c>
      <c r="Y1366" s="56">
        <v>124</v>
      </c>
      <c r="Z1366" s="63">
        <v>80</v>
      </c>
      <c r="AA1366" s="55">
        <v>106</v>
      </c>
      <c r="AB1366" s="55">
        <v>150</v>
      </c>
      <c r="AC1366" s="56">
        <v>120</v>
      </c>
      <c r="AD1366" s="63">
        <v>120</v>
      </c>
      <c r="AE1366" s="55">
        <v>120</v>
      </c>
      <c r="AF1366" s="55">
        <v>120</v>
      </c>
      <c r="AG1366" s="56">
        <v>40</v>
      </c>
      <c r="AH1366" s="63">
        <v>111</v>
      </c>
      <c r="AI1366" s="55">
        <v>110</v>
      </c>
      <c r="AJ1366" s="55">
        <v>65</v>
      </c>
      <c r="AK1366" s="56"/>
      <c r="AL1366" s="53"/>
      <c r="AM1366" s="54"/>
      <c r="AN1366" s="55"/>
      <c r="AO1366" s="56"/>
      <c r="AP1366" s="53"/>
      <c r="AQ1366" s="54"/>
      <c r="AR1366" s="55"/>
      <c r="AS1366" s="56"/>
      <c r="AT1366" s="53"/>
      <c r="AU1366" s="54"/>
      <c r="AV1366" s="55"/>
      <c r="AW1366" s="56"/>
      <c r="AX1366" s="33">
        <f>SUM(E1366:AW1366)</f>
        <v>3856</v>
      </c>
      <c r="AY1366" s="31">
        <f>IFERROR(AVERAGEIF(E1366:AW1366,"&lt;&gt;0",(E1366:AW1366)),)</f>
        <v>120.5</v>
      </c>
      <c r="AZ1366" s="30">
        <f>IFERROR(AY1366/D1366,0)</f>
        <v>1.0041666666666667</v>
      </c>
      <c r="BA1366" s="103" t="s">
        <v>182</v>
      </c>
      <c r="BB1366" s="100" t="s">
        <v>183</v>
      </c>
      <c r="BC1366" s="100" t="s">
        <v>184</v>
      </c>
      <c r="BD1366" s="101" t="s">
        <v>185</v>
      </c>
      <c r="BE1366" s="100" t="s">
        <v>186</v>
      </c>
      <c r="BF1366" s="102" t="s">
        <v>187</v>
      </c>
      <c r="BG1366" s="100" t="s">
        <v>188</v>
      </c>
      <c r="BH1366" s="102" t="s">
        <v>189</v>
      </c>
    </row>
    <row r="1367" spans="1:60" s="17" customFormat="1" ht="19.5" customHeight="1" thickBot="1" x14ac:dyDescent="0.4">
      <c r="A1367" s="41">
        <f t="shared" ref="A1367:B1367" si="1360">A1366</f>
        <v>45446</v>
      </c>
      <c r="B1367" s="37" t="str">
        <f t="shared" si="1360"/>
        <v>Etek Reçme</v>
      </c>
      <c r="C1367" s="65">
        <f t="shared" ref="C1367:C1372" si="1361">C1191</f>
        <v>0</v>
      </c>
      <c r="D1367" s="67">
        <f t="shared" ref="D1367:D1372" si="1362">D1366</f>
        <v>120</v>
      </c>
      <c r="E1367" s="57"/>
      <c r="F1367" s="52"/>
      <c r="G1367" s="52"/>
      <c r="H1367" s="58"/>
      <c r="I1367" s="57"/>
      <c r="J1367" s="52"/>
      <c r="K1367" s="52"/>
      <c r="L1367" s="58"/>
      <c r="M1367" s="57"/>
      <c r="N1367" s="52"/>
      <c r="O1367" s="52"/>
      <c r="P1367" s="58"/>
      <c r="Q1367" s="57"/>
      <c r="R1367" s="52"/>
      <c r="S1367" s="52"/>
      <c r="T1367" s="52"/>
      <c r="U1367" s="58"/>
      <c r="V1367" s="57"/>
      <c r="W1367" s="52"/>
      <c r="X1367" s="52"/>
      <c r="Y1367" s="58"/>
      <c r="Z1367" s="57"/>
      <c r="AA1367" s="52"/>
      <c r="AB1367" s="52"/>
      <c r="AC1367" s="58"/>
      <c r="AD1367" s="57"/>
      <c r="AE1367" s="52"/>
      <c r="AF1367" s="52"/>
      <c r="AG1367" s="58"/>
      <c r="AH1367" s="57"/>
      <c r="AI1367" s="52"/>
      <c r="AJ1367" s="52"/>
      <c r="AK1367" s="58"/>
      <c r="AL1367" s="57"/>
      <c r="AM1367" s="52"/>
      <c r="AN1367" s="52"/>
      <c r="AO1367" s="58"/>
      <c r="AP1367" s="57"/>
      <c r="AQ1367" s="52"/>
      <c r="AR1367" s="52"/>
      <c r="AS1367" s="58"/>
      <c r="AT1367" s="57"/>
      <c r="AU1367" s="52"/>
      <c r="AV1367" s="52"/>
      <c r="AW1367" s="58"/>
      <c r="AX1367" s="33">
        <f t="shared" ref="AX1367:AX1372" si="1363">SUM(E1367:AW1367)</f>
        <v>0</v>
      </c>
      <c r="AY1367" s="31">
        <f t="shared" ref="AY1367:AY1372" si="1364">IFERROR(AVERAGEIF(E1367:AW1367,"&lt;&gt;0",(E1367:AW1367)),)</f>
        <v>0</v>
      </c>
      <c r="AZ1367" s="30">
        <f t="shared" ref="AZ1367:AZ1372" si="1365">IFERROR(AY1367/D1367,0)</f>
        <v>0</v>
      </c>
      <c r="BA1367" s="94">
        <f>AX1373+BA1191</f>
        <v>15508</v>
      </c>
      <c r="BB1367" s="95">
        <f>(D1373*8)</f>
        <v>4000</v>
      </c>
      <c r="BC1367" s="96">
        <f>C1237-BA1367</f>
        <v>26803</v>
      </c>
      <c r="BD1367" s="96">
        <f>BA1358-BA1367</f>
        <v>320</v>
      </c>
      <c r="BE1367" s="97">
        <f>IFERROR(BC1367/E1373,0)</f>
        <v>53.606000000000002</v>
      </c>
      <c r="BF1367" s="98">
        <f>IFERROR(BE1367/9,0)</f>
        <v>5.9562222222222223</v>
      </c>
      <c r="BG1367" s="97">
        <f>IFERROR(BC1367/AY1373,0)</f>
        <v>55.607883817427386</v>
      </c>
      <c r="BH1367" s="97">
        <f>IFERROR(BG1367/9,0)</f>
        <v>6.178653757491932</v>
      </c>
    </row>
    <row r="1368" spans="1:60" s="17" customFormat="1" ht="19.5" customHeight="1" x14ac:dyDescent="0.35">
      <c r="A1368" s="41">
        <f t="shared" ref="A1368:B1368" si="1366">A1367</f>
        <v>45446</v>
      </c>
      <c r="B1368" s="37" t="str">
        <f t="shared" si="1366"/>
        <v>Etek Reçme</v>
      </c>
      <c r="C1368" s="65">
        <f t="shared" si="1361"/>
        <v>0</v>
      </c>
      <c r="D1368" s="67">
        <f t="shared" si="1362"/>
        <v>120</v>
      </c>
      <c r="E1368" s="57"/>
      <c r="F1368" s="52"/>
      <c r="G1368" s="52"/>
      <c r="H1368" s="58"/>
      <c r="I1368" s="57"/>
      <c r="J1368" s="52"/>
      <c r="K1368" s="52"/>
      <c r="L1368" s="58"/>
      <c r="M1368" s="57"/>
      <c r="N1368" s="52"/>
      <c r="O1368" s="52"/>
      <c r="P1368" s="58"/>
      <c r="Q1368" s="57"/>
      <c r="R1368" s="52"/>
      <c r="S1368" s="52"/>
      <c r="T1368" s="52"/>
      <c r="U1368" s="58"/>
      <c r="V1368" s="57"/>
      <c r="W1368" s="52"/>
      <c r="X1368" s="52"/>
      <c r="Y1368" s="58"/>
      <c r="Z1368" s="57"/>
      <c r="AA1368" s="52"/>
      <c r="AB1368" s="52"/>
      <c r="AC1368" s="58"/>
      <c r="AD1368" s="57"/>
      <c r="AE1368" s="52"/>
      <c r="AF1368" s="52"/>
      <c r="AG1368" s="58"/>
      <c r="AH1368" s="57"/>
      <c r="AI1368" s="52"/>
      <c r="AJ1368" s="52"/>
      <c r="AK1368" s="58"/>
      <c r="AL1368" s="57"/>
      <c r="AM1368" s="52"/>
      <c r="AN1368" s="52"/>
      <c r="AO1368" s="58"/>
      <c r="AP1368" s="57"/>
      <c r="AQ1368" s="52"/>
      <c r="AR1368" s="52"/>
      <c r="AS1368" s="58"/>
      <c r="AT1368" s="57"/>
      <c r="AU1368" s="52"/>
      <c r="AV1368" s="52"/>
      <c r="AW1368" s="58"/>
      <c r="AX1368" s="33">
        <f t="shared" si="1363"/>
        <v>0</v>
      </c>
      <c r="AY1368" s="31">
        <f t="shared" si="1364"/>
        <v>0</v>
      </c>
      <c r="AZ1368" s="30">
        <f t="shared" si="1365"/>
        <v>0</v>
      </c>
      <c r="BA1368" s="34"/>
      <c r="BB1368" s="34"/>
      <c r="BC1368" s="34"/>
      <c r="BD1368" s="76"/>
      <c r="BE1368" s="34"/>
      <c r="BF1368" s="34"/>
      <c r="BG1368" s="34"/>
      <c r="BH1368" s="34"/>
    </row>
    <row r="1369" spans="1:60" s="17" customFormat="1" ht="19.5" customHeight="1" x14ac:dyDescent="0.35">
      <c r="A1369" s="41">
        <f t="shared" ref="A1369:B1369" si="1367">A1368</f>
        <v>45446</v>
      </c>
      <c r="B1369" s="37" t="str">
        <f t="shared" si="1367"/>
        <v>Etek Reçme</v>
      </c>
      <c r="C1369" s="65">
        <f t="shared" si="1361"/>
        <v>0</v>
      </c>
      <c r="D1369" s="67">
        <f t="shared" si="1362"/>
        <v>120</v>
      </c>
      <c r="E1369" s="57"/>
      <c r="F1369" s="52"/>
      <c r="G1369" s="52"/>
      <c r="H1369" s="58"/>
      <c r="I1369" s="57"/>
      <c r="J1369" s="52"/>
      <c r="K1369" s="52"/>
      <c r="L1369" s="58"/>
      <c r="M1369" s="57"/>
      <c r="N1369" s="52"/>
      <c r="O1369" s="52"/>
      <c r="P1369" s="58"/>
      <c r="Q1369" s="57"/>
      <c r="R1369" s="52"/>
      <c r="S1369" s="52"/>
      <c r="T1369" s="52"/>
      <c r="U1369" s="58"/>
      <c r="V1369" s="57"/>
      <c r="W1369" s="52"/>
      <c r="X1369" s="52"/>
      <c r="Y1369" s="58"/>
      <c r="Z1369" s="57"/>
      <c r="AA1369" s="52"/>
      <c r="AB1369" s="52"/>
      <c r="AC1369" s="58"/>
      <c r="AD1369" s="57"/>
      <c r="AE1369" s="52"/>
      <c r="AF1369" s="52"/>
      <c r="AG1369" s="58"/>
      <c r="AH1369" s="57"/>
      <c r="AI1369" s="52"/>
      <c r="AJ1369" s="52"/>
      <c r="AK1369" s="58"/>
      <c r="AL1369" s="57"/>
      <c r="AM1369" s="52"/>
      <c r="AN1369" s="52"/>
      <c r="AO1369" s="58"/>
      <c r="AP1369" s="57"/>
      <c r="AQ1369" s="52"/>
      <c r="AR1369" s="52"/>
      <c r="AS1369" s="58"/>
      <c r="AT1369" s="57"/>
      <c r="AU1369" s="52"/>
      <c r="AV1369" s="52"/>
      <c r="AW1369" s="58"/>
      <c r="AX1369" s="33">
        <f t="shared" si="1363"/>
        <v>0</v>
      </c>
      <c r="AY1369" s="31">
        <f t="shared" si="1364"/>
        <v>0</v>
      </c>
      <c r="AZ1369" s="30">
        <f t="shared" si="1365"/>
        <v>0</v>
      </c>
      <c r="BA1369" s="34"/>
      <c r="BB1369" s="34"/>
      <c r="BC1369" s="34"/>
      <c r="BD1369" s="76"/>
      <c r="BE1369" s="34"/>
      <c r="BF1369" s="34"/>
      <c r="BG1369" s="34"/>
      <c r="BH1369" s="34"/>
    </row>
    <row r="1370" spans="1:60" s="17" customFormat="1" ht="19.5" customHeight="1" x14ac:dyDescent="0.35">
      <c r="A1370" s="41">
        <f>A1367</f>
        <v>45446</v>
      </c>
      <c r="B1370" s="37" t="str">
        <f t="shared" ref="B1370" si="1368">B1369</f>
        <v>Etek Reçme</v>
      </c>
      <c r="C1370" s="65">
        <f t="shared" si="1361"/>
        <v>0</v>
      </c>
      <c r="D1370" s="67">
        <f t="shared" si="1362"/>
        <v>120</v>
      </c>
      <c r="E1370" s="57"/>
      <c r="F1370" s="52"/>
      <c r="G1370" s="52"/>
      <c r="H1370" s="58"/>
      <c r="I1370" s="57"/>
      <c r="J1370" s="52"/>
      <c r="K1370" s="52"/>
      <c r="L1370" s="58"/>
      <c r="M1370" s="57"/>
      <c r="N1370" s="52"/>
      <c r="O1370" s="52"/>
      <c r="P1370" s="58"/>
      <c r="Q1370" s="57"/>
      <c r="R1370" s="52"/>
      <c r="S1370" s="52"/>
      <c r="T1370" s="52"/>
      <c r="U1370" s="58"/>
      <c r="V1370" s="57"/>
      <c r="W1370" s="52"/>
      <c r="X1370" s="52"/>
      <c r="Y1370" s="58"/>
      <c r="Z1370" s="57"/>
      <c r="AA1370" s="52"/>
      <c r="AB1370" s="52"/>
      <c r="AC1370" s="58"/>
      <c r="AD1370" s="57"/>
      <c r="AE1370" s="52"/>
      <c r="AF1370" s="52"/>
      <c r="AG1370" s="58"/>
      <c r="AH1370" s="57"/>
      <c r="AI1370" s="52"/>
      <c r="AJ1370" s="52"/>
      <c r="AK1370" s="58"/>
      <c r="AL1370" s="57"/>
      <c r="AM1370" s="52"/>
      <c r="AN1370" s="52"/>
      <c r="AO1370" s="58"/>
      <c r="AP1370" s="57"/>
      <c r="AQ1370" s="52"/>
      <c r="AR1370" s="52"/>
      <c r="AS1370" s="58"/>
      <c r="AT1370" s="57"/>
      <c r="AU1370" s="52"/>
      <c r="AV1370" s="52"/>
      <c r="AW1370" s="58"/>
      <c r="AX1370" s="33">
        <f t="shared" si="1363"/>
        <v>0</v>
      </c>
      <c r="AY1370" s="31">
        <f t="shared" si="1364"/>
        <v>0</v>
      </c>
      <c r="AZ1370" s="30">
        <f t="shared" si="1365"/>
        <v>0</v>
      </c>
      <c r="BA1370" s="34"/>
      <c r="BB1370" s="34"/>
      <c r="BC1370" s="34"/>
      <c r="BD1370" s="76"/>
      <c r="BE1370" s="34"/>
      <c r="BF1370" s="34"/>
      <c r="BG1370" s="34"/>
      <c r="BH1370" s="34"/>
    </row>
    <row r="1371" spans="1:60" s="17" customFormat="1" ht="19.5" customHeight="1" x14ac:dyDescent="0.35">
      <c r="A1371" s="41">
        <f t="shared" ref="A1371:B1371" si="1369">A1370</f>
        <v>45446</v>
      </c>
      <c r="B1371" s="37" t="str">
        <f t="shared" si="1369"/>
        <v>Etek Reçme</v>
      </c>
      <c r="C1371" s="65">
        <f t="shared" si="1361"/>
        <v>0</v>
      </c>
      <c r="D1371" s="67">
        <f t="shared" si="1362"/>
        <v>120</v>
      </c>
      <c r="E1371" s="57"/>
      <c r="F1371" s="52"/>
      <c r="G1371" s="52"/>
      <c r="H1371" s="58"/>
      <c r="I1371" s="57"/>
      <c r="J1371" s="52"/>
      <c r="K1371" s="52"/>
      <c r="L1371" s="58"/>
      <c r="M1371" s="57"/>
      <c r="N1371" s="52"/>
      <c r="O1371" s="52"/>
      <c r="P1371" s="78"/>
      <c r="Q1371" s="57"/>
      <c r="R1371" s="52"/>
      <c r="S1371" s="52"/>
      <c r="T1371" s="52"/>
      <c r="U1371" s="58"/>
      <c r="V1371" s="80"/>
      <c r="W1371" s="52"/>
      <c r="X1371" s="52"/>
      <c r="Y1371" s="58"/>
      <c r="Z1371" s="57"/>
      <c r="AA1371" s="52"/>
      <c r="AB1371" s="52"/>
      <c r="AC1371" s="58"/>
      <c r="AD1371" s="57"/>
      <c r="AE1371" s="52"/>
      <c r="AF1371" s="52"/>
      <c r="AG1371" s="58"/>
      <c r="AH1371" s="57"/>
      <c r="AI1371" s="52"/>
      <c r="AJ1371" s="52"/>
      <c r="AK1371" s="58"/>
      <c r="AL1371" s="57"/>
      <c r="AM1371" s="52"/>
      <c r="AN1371" s="52"/>
      <c r="AO1371" s="58"/>
      <c r="AP1371" s="57"/>
      <c r="AQ1371" s="52"/>
      <c r="AR1371" s="52"/>
      <c r="AS1371" s="58"/>
      <c r="AT1371" s="57"/>
      <c r="AU1371" s="52"/>
      <c r="AV1371" s="52"/>
      <c r="AW1371" s="58"/>
      <c r="AX1371" s="33">
        <f t="shared" si="1363"/>
        <v>0</v>
      </c>
      <c r="AY1371" s="31">
        <f t="shared" si="1364"/>
        <v>0</v>
      </c>
      <c r="AZ1371" s="30">
        <f t="shared" si="1365"/>
        <v>0</v>
      </c>
      <c r="BA1371" s="34"/>
      <c r="BB1371" s="34"/>
      <c r="BC1371" s="34"/>
      <c r="BD1371" s="76"/>
      <c r="BE1371" s="34"/>
      <c r="BF1371" s="34"/>
      <c r="BG1371" s="34"/>
      <c r="BH1371" s="34"/>
    </row>
    <row r="1372" spans="1:60" s="17" customFormat="1" ht="19.5" customHeight="1" thickBot="1" x14ac:dyDescent="0.4">
      <c r="A1372" s="41">
        <f t="shared" ref="A1372:B1372" si="1370">A1371</f>
        <v>45446</v>
      </c>
      <c r="B1372" s="37" t="str">
        <f t="shared" si="1370"/>
        <v>Etek Reçme</v>
      </c>
      <c r="C1372" s="65">
        <f t="shared" si="1361"/>
        <v>0</v>
      </c>
      <c r="D1372" s="67">
        <f t="shared" si="1362"/>
        <v>120</v>
      </c>
      <c r="E1372" s="59"/>
      <c r="F1372" s="60"/>
      <c r="G1372" s="61"/>
      <c r="H1372" s="62"/>
      <c r="I1372" s="59"/>
      <c r="J1372" s="60"/>
      <c r="K1372" s="61"/>
      <c r="L1372" s="62"/>
      <c r="M1372" s="59"/>
      <c r="N1372" s="60"/>
      <c r="O1372" s="61"/>
      <c r="P1372" s="79"/>
      <c r="Q1372" s="64"/>
      <c r="R1372" s="61"/>
      <c r="S1372" s="61"/>
      <c r="T1372" s="61"/>
      <c r="U1372" s="62"/>
      <c r="V1372" s="81"/>
      <c r="W1372" s="60"/>
      <c r="X1372" s="61"/>
      <c r="Y1372" s="62"/>
      <c r="Z1372" s="59"/>
      <c r="AA1372" s="60"/>
      <c r="AB1372" s="61"/>
      <c r="AC1372" s="62"/>
      <c r="AD1372" s="59"/>
      <c r="AE1372" s="60"/>
      <c r="AF1372" s="61"/>
      <c r="AG1372" s="62"/>
      <c r="AH1372" s="59"/>
      <c r="AI1372" s="60"/>
      <c r="AJ1372" s="61"/>
      <c r="AK1372" s="62"/>
      <c r="AL1372" s="59"/>
      <c r="AM1372" s="60"/>
      <c r="AN1372" s="61"/>
      <c r="AO1372" s="62"/>
      <c r="AP1372" s="59"/>
      <c r="AQ1372" s="60"/>
      <c r="AR1372" s="61"/>
      <c r="AS1372" s="62"/>
      <c r="AT1372" s="59"/>
      <c r="AU1372" s="60"/>
      <c r="AV1372" s="61"/>
      <c r="AW1372" s="62"/>
      <c r="AX1372" s="33">
        <f t="shared" si="1363"/>
        <v>0</v>
      </c>
      <c r="AY1372" s="31">
        <f t="shared" si="1364"/>
        <v>0</v>
      </c>
      <c r="AZ1372" s="30">
        <f t="shared" si="1365"/>
        <v>0</v>
      </c>
      <c r="BA1372" s="34"/>
      <c r="BB1372" s="34"/>
      <c r="BC1372" s="34"/>
      <c r="BD1372" s="76"/>
      <c r="BE1372" s="34"/>
      <c r="BF1372" s="34"/>
      <c r="BG1372" s="34"/>
      <c r="BH1372" s="34"/>
    </row>
    <row r="1373" spans="1:60" s="17" customFormat="1" ht="19.5" customHeight="1" thickBot="1" x14ac:dyDescent="0.45">
      <c r="A1373" s="41">
        <f t="shared" ref="A1373" si="1371">A1372</f>
        <v>45446</v>
      </c>
      <c r="B1373" s="139" t="str">
        <f>B1366</f>
        <v>Etek Reçme</v>
      </c>
      <c r="C1373" s="140"/>
      <c r="D1373" s="40">
        <f>C1238/8</f>
        <v>500</v>
      </c>
      <c r="E1373" s="147">
        <f>SUM(E1366:H1372)</f>
        <v>500</v>
      </c>
      <c r="F1373" s="148"/>
      <c r="G1373" s="148"/>
      <c r="H1373" s="149"/>
      <c r="I1373" s="147">
        <f>SUM(I1366:L1372)</f>
        <v>446</v>
      </c>
      <c r="J1373" s="148"/>
      <c r="K1373" s="148"/>
      <c r="L1373" s="149"/>
      <c r="M1373" s="147">
        <f>SUM(M1366:P1372)</f>
        <v>600</v>
      </c>
      <c r="N1373" s="148"/>
      <c r="O1373" s="148"/>
      <c r="P1373" s="149"/>
      <c r="Q1373" s="151">
        <f>SUM(Q1366:U1372)</f>
        <v>594</v>
      </c>
      <c r="R1373" s="152"/>
      <c r="S1373" s="152"/>
      <c r="T1373" s="152"/>
      <c r="U1373" s="153"/>
      <c r="V1373" s="147">
        <f>SUM(V1366:Y1372)</f>
        <v>574</v>
      </c>
      <c r="W1373" s="148"/>
      <c r="X1373" s="148"/>
      <c r="Y1373" s="149"/>
      <c r="Z1373" s="147">
        <f>SUM(Z1366:AC1372)</f>
        <v>456</v>
      </c>
      <c r="AA1373" s="148"/>
      <c r="AB1373" s="148"/>
      <c r="AC1373" s="149"/>
      <c r="AD1373" s="147">
        <f>SUM(AD1366:AG1372)</f>
        <v>400</v>
      </c>
      <c r="AE1373" s="148"/>
      <c r="AF1373" s="148"/>
      <c r="AG1373" s="149"/>
      <c r="AH1373" s="147">
        <f>SUM(AH1366:AK1372)</f>
        <v>286</v>
      </c>
      <c r="AI1373" s="148"/>
      <c r="AJ1373" s="148"/>
      <c r="AK1373" s="149"/>
      <c r="AL1373" s="147">
        <f>SUM(AL1366:AO1372)</f>
        <v>0</v>
      </c>
      <c r="AM1373" s="148"/>
      <c r="AN1373" s="148"/>
      <c r="AO1373" s="149"/>
      <c r="AP1373" s="147">
        <f>SUM(AP1366:AS1372)</f>
        <v>0</v>
      </c>
      <c r="AQ1373" s="148"/>
      <c r="AR1373" s="148"/>
      <c r="AS1373" s="149"/>
      <c r="AT1373" s="147">
        <f>SUM(AT1366:AW1372)</f>
        <v>0</v>
      </c>
      <c r="AU1373" s="148"/>
      <c r="AV1373" s="148"/>
      <c r="AW1373" s="149"/>
      <c r="AX1373" s="87">
        <f>SUM(AX1366:AX1372)</f>
        <v>3856</v>
      </c>
      <c r="AY1373" s="88">
        <f>IFERROR(AVERAGEIF(E1373:AV1373,"&lt;&gt;0",(E1373:AV1373)),)</f>
        <v>482</v>
      </c>
      <c r="AZ1373" s="46">
        <f>IFERROR(AX1373/BB1367,0)</f>
        <v>0.96399999999999997</v>
      </c>
      <c r="BA1373" s="34"/>
      <c r="BB1373" s="34"/>
      <c r="BC1373" s="34"/>
      <c r="BD1373" s="76"/>
      <c r="BE1373" s="34"/>
      <c r="BF1373" s="34"/>
      <c r="BG1373" s="34"/>
      <c r="BH1373" s="34"/>
    </row>
    <row r="1374" spans="1:60" s="17" customFormat="1" ht="19.5" customHeight="1" thickBot="1" x14ac:dyDescent="0.4">
      <c r="A1374" s="42">
        <f>A1338</f>
        <v>45446</v>
      </c>
      <c r="B1374" s="38" t="str">
        <f>B1375</f>
        <v>Çevirme</v>
      </c>
      <c r="C1374" s="39" t="s">
        <v>180</v>
      </c>
      <c r="D1374" s="69" t="s">
        <v>181</v>
      </c>
      <c r="E1374" s="48">
        <v>0.34375</v>
      </c>
      <c r="F1374" s="49">
        <v>0.35416666666666669</v>
      </c>
      <c r="G1374" s="49">
        <v>0.36458333333333331</v>
      </c>
      <c r="H1374" s="50">
        <v>0.375</v>
      </c>
      <c r="I1374" s="48">
        <v>0.38541666666666702</v>
      </c>
      <c r="J1374" s="49">
        <v>0.39583333333333298</v>
      </c>
      <c r="K1374" s="49">
        <v>0.40625</v>
      </c>
      <c r="L1374" s="50">
        <v>0.41666666666666702</v>
      </c>
      <c r="M1374" s="48">
        <v>0.4375</v>
      </c>
      <c r="N1374" s="49">
        <v>0.44791666666666702</v>
      </c>
      <c r="O1374" s="49">
        <v>0.45833333333333398</v>
      </c>
      <c r="P1374" s="50">
        <v>0.46875</v>
      </c>
      <c r="Q1374" s="48">
        <v>0.47916666666666702</v>
      </c>
      <c r="R1374" s="49">
        <v>0.48958333333333398</v>
      </c>
      <c r="S1374" s="49">
        <v>0.5</v>
      </c>
      <c r="T1374" s="50">
        <v>0.51041666666666696</v>
      </c>
      <c r="U1374" s="51">
        <v>0.52083333333333204</v>
      </c>
      <c r="V1374" s="48">
        <v>0.5625</v>
      </c>
      <c r="W1374" s="49">
        <v>0.57291666666666663</v>
      </c>
      <c r="X1374" s="49">
        <v>0.58333333333333304</v>
      </c>
      <c r="Y1374" s="50">
        <v>0.59375</v>
      </c>
      <c r="Z1374" s="48">
        <v>0.60416666666666696</v>
      </c>
      <c r="AA1374" s="49">
        <v>0.61458333333333304</v>
      </c>
      <c r="AB1374" s="49">
        <v>0.625</v>
      </c>
      <c r="AC1374" s="50">
        <v>0.63541666666666596</v>
      </c>
      <c r="AD1374" s="48">
        <v>0.65625</v>
      </c>
      <c r="AE1374" s="49">
        <v>0.66666666666666663</v>
      </c>
      <c r="AF1374" s="49">
        <v>0.67708333333333304</v>
      </c>
      <c r="AG1374" s="50">
        <v>0.6875</v>
      </c>
      <c r="AH1374" s="48">
        <v>0.69791666666666696</v>
      </c>
      <c r="AI1374" s="49">
        <v>0.70833333333333304</v>
      </c>
      <c r="AJ1374" s="49">
        <v>0.71875</v>
      </c>
      <c r="AK1374" s="50">
        <v>0.72916666666666696</v>
      </c>
      <c r="AL1374" s="48">
        <v>0.73958333333333404</v>
      </c>
      <c r="AM1374" s="49">
        <v>0.750000000000001</v>
      </c>
      <c r="AN1374" s="49">
        <v>0.76041666666666796</v>
      </c>
      <c r="AO1374" s="50">
        <v>0.77083333333333504</v>
      </c>
      <c r="AP1374" s="48">
        <v>0.781250000000002</v>
      </c>
      <c r="AQ1374" s="49">
        <v>0.79166666666666896</v>
      </c>
      <c r="AR1374" s="49">
        <v>0.80208333333333603</v>
      </c>
      <c r="AS1374" s="50">
        <v>0.812500000000003</v>
      </c>
      <c r="AT1374" s="48">
        <v>0.82291666666666996</v>
      </c>
      <c r="AU1374" s="49">
        <v>0.83333333333333703</v>
      </c>
      <c r="AV1374" s="49">
        <v>0.843750000000004</v>
      </c>
      <c r="AW1374" s="50">
        <v>0.85416666666666663</v>
      </c>
      <c r="AX1374" s="68" t="s">
        <v>260</v>
      </c>
      <c r="AY1374" s="28" t="s">
        <v>261</v>
      </c>
      <c r="AZ1374" s="29" t="s">
        <v>262</v>
      </c>
      <c r="BA1374" s="136" t="str">
        <f>B1375</f>
        <v>Çevirme</v>
      </c>
      <c r="BB1374" s="137"/>
      <c r="BC1374" s="137"/>
      <c r="BD1374" s="137"/>
      <c r="BE1374" s="137"/>
      <c r="BF1374" s="137"/>
      <c r="BG1374" s="137"/>
      <c r="BH1374" s="138"/>
    </row>
    <row r="1375" spans="1:60" s="17" customFormat="1" ht="19.5" customHeight="1" thickBot="1" x14ac:dyDescent="0.4">
      <c r="A1375" s="41">
        <f t="shared" ref="A1375" si="1372">A1374</f>
        <v>45446</v>
      </c>
      <c r="B1375" s="37" t="str">
        <f>B1199</f>
        <v>Çevirme</v>
      </c>
      <c r="C1375" s="65" t="str">
        <f>C1199</f>
        <v>SEZER BOZKURT</v>
      </c>
      <c r="D1375" s="70">
        <f>D1163</f>
        <v>40</v>
      </c>
      <c r="E1375" s="63"/>
      <c r="F1375" s="55"/>
      <c r="G1375" s="55"/>
      <c r="H1375" s="56"/>
      <c r="I1375" s="63"/>
      <c r="J1375" s="55"/>
      <c r="K1375" s="55"/>
      <c r="L1375" s="56"/>
      <c r="M1375" s="63"/>
      <c r="N1375" s="55"/>
      <c r="O1375" s="55"/>
      <c r="P1375" s="56"/>
      <c r="Q1375" s="63"/>
      <c r="R1375" s="55"/>
      <c r="S1375" s="55"/>
      <c r="T1375" s="55"/>
      <c r="U1375" s="56"/>
      <c r="V1375" s="63"/>
      <c r="W1375" s="55"/>
      <c r="X1375" s="55"/>
      <c r="Y1375" s="56"/>
      <c r="Z1375" s="63"/>
      <c r="AA1375" s="55"/>
      <c r="AB1375" s="55"/>
      <c r="AC1375" s="56"/>
      <c r="AD1375" s="63"/>
      <c r="AE1375" s="55"/>
      <c r="AF1375" s="55"/>
      <c r="AG1375" s="56"/>
      <c r="AH1375" s="63"/>
      <c r="AI1375" s="55"/>
      <c r="AJ1375" s="55"/>
      <c r="AK1375" s="56"/>
      <c r="AL1375" s="63"/>
      <c r="AM1375" s="55"/>
      <c r="AN1375" s="55"/>
      <c r="AO1375" s="56"/>
      <c r="AP1375" s="63"/>
      <c r="AQ1375" s="55"/>
      <c r="AR1375" s="55"/>
      <c r="AS1375" s="56"/>
      <c r="AT1375" s="53"/>
      <c r="AU1375" s="54"/>
      <c r="AV1375" s="55"/>
      <c r="AW1375" s="56"/>
      <c r="AX1375" s="33">
        <f>SUM(E1375:AW1375)</f>
        <v>0</v>
      </c>
      <c r="AY1375" s="31">
        <f>IFERROR(AVERAGEIF(E1375:AW1375,"&lt;&gt;0",(E1375:AW1375)),)</f>
        <v>0</v>
      </c>
      <c r="AZ1375" s="30">
        <f>IFERROR(AY1375/D1375,0)</f>
        <v>0</v>
      </c>
      <c r="BA1375" s="103" t="s">
        <v>182</v>
      </c>
      <c r="BB1375" s="100" t="s">
        <v>183</v>
      </c>
      <c r="BC1375" s="100" t="s">
        <v>184</v>
      </c>
      <c r="BD1375" s="101" t="s">
        <v>185</v>
      </c>
      <c r="BE1375" s="100" t="s">
        <v>186</v>
      </c>
      <c r="BF1375" s="102" t="s">
        <v>187</v>
      </c>
      <c r="BG1375" s="100" t="s">
        <v>188</v>
      </c>
      <c r="BH1375" s="102" t="s">
        <v>189</v>
      </c>
    </row>
    <row r="1376" spans="1:60" s="17" customFormat="1" ht="19.5" customHeight="1" thickBot="1" x14ac:dyDescent="0.4">
      <c r="A1376" s="41">
        <f t="shared" ref="A1376:B1376" si="1373">A1375</f>
        <v>45446</v>
      </c>
      <c r="B1376" s="37" t="str">
        <f t="shared" si="1373"/>
        <v>Çevirme</v>
      </c>
      <c r="C1376" s="65" t="str">
        <f t="shared" ref="C1376:C1381" si="1374">C1200</f>
        <v>SEMRA ARAZ</v>
      </c>
      <c r="D1376" s="67">
        <f t="shared" ref="D1376:D1381" si="1375">D1375</f>
        <v>40</v>
      </c>
      <c r="E1376" s="57"/>
      <c r="F1376" s="52"/>
      <c r="G1376" s="52"/>
      <c r="H1376" s="58"/>
      <c r="I1376" s="57"/>
      <c r="J1376" s="52"/>
      <c r="K1376" s="52"/>
      <c r="L1376" s="58"/>
      <c r="M1376" s="57"/>
      <c r="N1376" s="52"/>
      <c r="O1376" s="52"/>
      <c r="P1376" s="58"/>
      <c r="Q1376" s="57"/>
      <c r="R1376" s="52"/>
      <c r="S1376" s="52"/>
      <c r="T1376" s="52"/>
      <c r="U1376" s="58"/>
      <c r="V1376" s="57"/>
      <c r="W1376" s="52"/>
      <c r="X1376" s="52"/>
      <c r="Y1376" s="58"/>
      <c r="Z1376" s="57"/>
      <c r="AA1376" s="52"/>
      <c r="AB1376" s="52"/>
      <c r="AC1376" s="58"/>
      <c r="AD1376" s="57"/>
      <c r="AE1376" s="52"/>
      <c r="AF1376" s="52"/>
      <c r="AG1376" s="58"/>
      <c r="AH1376" s="57"/>
      <c r="AI1376" s="52"/>
      <c r="AJ1376" s="52"/>
      <c r="AK1376" s="58"/>
      <c r="AL1376" s="57"/>
      <c r="AM1376" s="52"/>
      <c r="AN1376" s="52"/>
      <c r="AO1376" s="58"/>
      <c r="AP1376" s="57"/>
      <c r="AQ1376" s="52"/>
      <c r="AR1376" s="52"/>
      <c r="AS1376" s="58"/>
      <c r="AT1376" s="57"/>
      <c r="AU1376" s="52"/>
      <c r="AV1376" s="52"/>
      <c r="AW1376" s="58"/>
      <c r="AX1376" s="33">
        <f t="shared" ref="AX1376:AX1381" si="1376">SUM(E1376:AW1376)</f>
        <v>0</v>
      </c>
      <c r="AY1376" s="31">
        <f t="shared" ref="AY1376:AY1381" si="1377">IFERROR(AVERAGEIF(E1376:AW1376,"&lt;&gt;0",(E1376:AW1376)),)</f>
        <v>0</v>
      </c>
      <c r="AZ1376" s="30">
        <f t="shared" ref="AZ1376:AZ1381" si="1378">IFERROR(AY1376/D1376,0)</f>
        <v>0</v>
      </c>
      <c r="BA1376" s="94">
        <f>AX1382+BA1200</f>
        <v>12121</v>
      </c>
      <c r="BB1376" s="95">
        <f>(D1382*8)</f>
        <v>4000</v>
      </c>
      <c r="BC1376" s="96">
        <f>C1237-BA1376</f>
        <v>30190</v>
      </c>
      <c r="BD1376" s="96">
        <f>BA1358-BA1376</f>
        <v>3707</v>
      </c>
      <c r="BE1376" s="97">
        <f>IFERROR(BC1376/E1382,0)</f>
        <v>0</v>
      </c>
      <c r="BF1376" s="98">
        <f>IFERROR(BE1376/9,0)</f>
        <v>0</v>
      </c>
      <c r="BG1376" s="97">
        <f>IFERROR(BC1376/AY1382,0)</f>
        <v>0</v>
      </c>
      <c r="BH1376" s="97">
        <f>IFERROR(BG1376/9,0)</f>
        <v>0</v>
      </c>
    </row>
    <row r="1377" spans="1:60" s="17" customFormat="1" ht="19.5" customHeight="1" x14ac:dyDescent="0.35">
      <c r="A1377" s="41">
        <f t="shared" ref="A1377:B1377" si="1379">A1376</f>
        <v>45446</v>
      </c>
      <c r="B1377" s="37" t="str">
        <f t="shared" si="1379"/>
        <v>Çevirme</v>
      </c>
      <c r="C1377" s="65" t="str">
        <f t="shared" si="1374"/>
        <v>NECLA KOÇ</v>
      </c>
      <c r="D1377" s="67">
        <f t="shared" si="1375"/>
        <v>40</v>
      </c>
      <c r="E1377" s="57"/>
      <c r="F1377" s="52"/>
      <c r="G1377" s="52"/>
      <c r="H1377" s="58"/>
      <c r="I1377" s="57"/>
      <c r="J1377" s="52"/>
      <c r="K1377" s="52"/>
      <c r="L1377" s="58"/>
      <c r="M1377" s="57"/>
      <c r="N1377" s="52"/>
      <c r="O1377" s="52"/>
      <c r="P1377" s="58"/>
      <c r="Q1377" s="57"/>
      <c r="R1377" s="52"/>
      <c r="S1377" s="52"/>
      <c r="T1377" s="52"/>
      <c r="U1377" s="58"/>
      <c r="V1377" s="57"/>
      <c r="W1377" s="52"/>
      <c r="X1377" s="52"/>
      <c r="Y1377" s="58"/>
      <c r="Z1377" s="57"/>
      <c r="AA1377" s="52"/>
      <c r="AB1377" s="52"/>
      <c r="AC1377" s="58"/>
      <c r="AD1377" s="57"/>
      <c r="AE1377" s="52"/>
      <c r="AF1377" s="52"/>
      <c r="AG1377" s="58"/>
      <c r="AH1377" s="57"/>
      <c r="AI1377" s="52"/>
      <c r="AJ1377" s="52"/>
      <c r="AK1377" s="58"/>
      <c r="AL1377" s="57"/>
      <c r="AM1377" s="52"/>
      <c r="AN1377" s="52"/>
      <c r="AO1377" s="58"/>
      <c r="AP1377" s="57"/>
      <c r="AQ1377" s="52"/>
      <c r="AR1377" s="52"/>
      <c r="AS1377" s="58"/>
      <c r="AT1377" s="57"/>
      <c r="AU1377" s="52"/>
      <c r="AV1377" s="52"/>
      <c r="AW1377" s="58"/>
      <c r="AX1377" s="33">
        <f t="shared" si="1376"/>
        <v>0</v>
      </c>
      <c r="AY1377" s="31">
        <f t="shared" si="1377"/>
        <v>0</v>
      </c>
      <c r="AZ1377" s="30">
        <f t="shared" si="1378"/>
        <v>0</v>
      </c>
      <c r="BA1377" s="34"/>
      <c r="BB1377" s="34"/>
      <c r="BC1377" s="34"/>
      <c r="BD1377" s="76"/>
      <c r="BE1377" s="34"/>
      <c r="BF1377" s="34"/>
      <c r="BG1377" s="34"/>
      <c r="BH1377" s="34"/>
    </row>
    <row r="1378" spans="1:60" s="17" customFormat="1" ht="19.5" customHeight="1" x14ac:dyDescent="0.35">
      <c r="A1378" s="41">
        <f t="shared" ref="A1378:B1378" si="1380">A1377</f>
        <v>45446</v>
      </c>
      <c r="B1378" s="37" t="str">
        <f t="shared" si="1380"/>
        <v>Çevirme</v>
      </c>
      <c r="C1378" s="65" t="str">
        <f t="shared" si="1374"/>
        <v>ARZU ÖZÇAĞLAYAN</v>
      </c>
      <c r="D1378" s="67">
        <f t="shared" si="1375"/>
        <v>40</v>
      </c>
      <c r="E1378" s="57"/>
      <c r="F1378" s="52"/>
      <c r="G1378" s="52"/>
      <c r="H1378" s="58"/>
      <c r="I1378" s="57"/>
      <c r="J1378" s="52"/>
      <c r="K1378" s="52"/>
      <c r="L1378" s="58"/>
      <c r="M1378" s="57"/>
      <c r="N1378" s="52"/>
      <c r="O1378" s="52"/>
      <c r="P1378" s="58"/>
      <c r="Q1378" s="57"/>
      <c r="R1378" s="52"/>
      <c r="S1378" s="52"/>
      <c r="T1378" s="52"/>
      <c r="U1378" s="58"/>
      <c r="V1378" s="57"/>
      <c r="W1378" s="52"/>
      <c r="X1378" s="52"/>
      <c r="Y1378" s="58"/>
      <c r="Z1378" s="57"/>
      <c r="AA1378" s="52"/>
      <c r="AB1378" s="52"/>
      <c r="AC1378" s="58"/>
      <c r="AD1378" s="57"/>
      <c r="AE1378" s="52"/>
      <c r="AF1378" s="52"/>
      <c r="AG1378" s="58"/>
      <c r="AH1378" s="57"/>
      <c r="AI1378" s="52"/>
      <c r="AJ1378" s="52"/>
      <c r="AK1378" s="58"/>
      <c r="AL1378" s="57"/>
      <c r="AM1378" s="52"/>
      <c r="AN1378" s="52"/>
      <c r="AO1378" s="58"/>
      <c r="AP1378" s="57"/>
      <c r="AQ1378" s="52"/>
      <c r="AR1378" s="52"/>
      <c r="AS1378" s="58"/>
      <c r="AT1378" s="57"/>
      <c r="AU1378" s="52"/>
      <c r="AV1378" s="52"/>
      <c r="AW1378" s="58"/>
      <c r="AX1378" s="33">
        <f t="shared" si="1376"/>
        <v>0</v>
      </c>
      <c r="AY1378" s="31">
        <f t="shared" si="1377"/>
        <v>0</v>
      </c>
      <c r="AZ1378" s="30">
        <f t="shared" si="1378"/>
        <v>0</v>
      </c>
      <c r="BA1378" s="34"/>
      <c r="BB1378" s="34"/>
      <c r="BC1378" s="34"/>
      <c r="BD1378" s="76"/>
      <c r="BE1378" s="34"/>
      <c r="BF1378" s="34"/>
      <c r="BG1378" s="34"/>
      <c r="BH1378" s="34"/>
    </row>
    <row r="1379" spans="1:60" s="17" customFormat="1" ht="19.5" customHeight="1" x14ac:dyDescent="0.35">
      <c r="A1379" s="41">
        <f>A1376</f>
        <v>45446</v>
      </c>
      <c r="B1379" s="37" t="str">
        <f t="shared" ref="B1379" si="1381">B1378</f>
        <v>Çevirme</v>
      </c>
      <c r="C1379" s="65">
        <f t="shared" si="1374"/>
        <v>0</v>
      </c>
      <c r="D1379" s="67">
        <f t="shared" si="1375"/>
        <v>40</v>
      </c>
      <c r="E1379" s="57"/>
      <c r="F1379" s="52"/>
      <c r="G1379" s="52"/>
      <c r="H1379" s="58"/>
      <c r="I1379" s="57"/>
      <c r="J1379" s="52"/>
      <c r="K1379" s="52"/>
      <c r="L1379" s="58"/>
      <c r="M1379" s="57"/>
      <c r="N1379" s="52"/>
      <c r="O1379" s="52"/>
      <c r="P1379" s="58"/>
      <c r="Q1379" s="57"/>
      <c r="R1379" s="52"/>
      <c r="S1379" s="52"/>
      <c r="T1379" s="52"/>
      <c r="U1379" s="58"/>
      <c r="V1379" s="57"/>
      <c r="W1379" s="52"/>
      <c r="X1379" s="52"/>
      <c r="Y1379" s="58"/>
      <c r="Z1379" s="57"/>
      <c r="AA1379" s="52"/>
      <c r="AB1379" s="52"/>
      <c r="AC1379" s="58"/>
      <c r="AD1379" s="57"/>
      <c r="AE1379" s="52"/>
      <c r="AF1379" s="52"/>
      <c r="AG1379" s="58"/>
      <c r="AH1379" s="57"/>
      <c r="AI1379" s="52"/>
      <c r="AJ1379" s="52"/>
      <c r="AK1379" s="58"/>
      <c r="AL1379" s="57"/>
      <c r="AM1379" s="52"/>
      <c r="AN1379" s="52"/>
      <c r="AO1379" s="58"/>
      <c r="AP1379" s="57"/>
      <c r="AQ1379" s="52"/>
      <c r="AR1379" s="52"/>
      <c r="AS1379" s="58"/>
      <c r="AT1379" s="57"/>
      <c r="AU1379" s="52"/>
      <c r="AV1379" s="52"/>
      <c r="AW1379" s="58"/>
      <c r="AX1379" s="33">
        <f t="shared" si="1376"/>
        <v>0</v>
      </c>
      <c r="AY1379" s="31">
        <f t="shared" si="1377"/>
        <v>0</v>
      </c>
      <c r="AZ1379" s="30">
        <f t="shared" si="1378"/>
        <v>0</v>
      </c>
      <c r="BA1379" s="34"/>
      <c r="BB1379" s="34"/>
      <c r="BC1379" s="34"/>
      <c r="BD1379" s="76"/>
      <c r="BE1379" s="34"/>
      <c r="BF1379" s="34"/>
      <c r="BG1379" s="34"/>
      <c r="BH1379" s="34"/>
    </row>
    <row r="1380" spans="1:60" s="17" customFormat="1" ht="19.5" customHeight="1" x14ac:dyDescent="0.35">
      <c r="A1380" s="41">
        <f t="shared" ref="A1380:B1380" si="1382">A1379</f>
        <v>45446</v>
      </c>
      <c r="B1380" s="37" t="str">
        <f t="shared" si="1382"/>
        <v>Çevirme</v>
      </c>
      <c r="C1380" s="65">
        <f t="shared" si="1374"/>
        <v>0</v>
      </c>
      <c r="D1380" s="67">
        <f t="shared" si="1375"/>
        <v>40</v>
      </c>
      <c r="E1380" s="57"/>
      <c r="F1380" s="52"/>
      <c r="G1380" s="52"/>
      <c r="H1380" s="58"/>
      <c r="I1380" s="57"/>
      <c r="J1380" s="52"/>
      <c r="K1380" s="52"/>
      <c r="L1380" s="58"/>
      <c r="M1380" s="57"/>
      <c r="N1380" s="52"/>
      <c r="O1380" s="52"/>
      <c r="P1380" s="58"/>
      <c r="Q1380" s="57"/>
      <c r="R1380" s="52"/>
      <c r="S1380" s="52"/>
      <c r="T1380" s="52"/>
      <c r="U1380" s="58"/>
      <c r="V1380" s="57"/>
      <c r="W1380" s="52"/>
      <c r="X1380" s="52"/>
      <c r="Y1380" s="58"/>
      <c r="Z1380" s="57"/>
      <c r="AA1380" s="52"/>
      <c r="AB1380" s="52"/>
      <c r="AC1380" s="58"/>
      <c r="AD1380" s="57"/>
      <c r="AE1380" s="52"/>
      <c r="AF1380" s="52"/>
      <c r="AG1380" s="58"/>
      <c r="AH1380" s="57"/>
      <c r="AI1380" s="52"/>
      <c r="AJ1380" s="52"/>
      <c r="AK1380" s="58"/>
      <c r="AL1380" s="57"/>
      <c r="AM1380" s="52"/>
      <c r="AN1380" s="52"/>
      <c r="AO1380" s="58"/>
      <c r="AP1380" s="57"/>
      <c r="AQ1380" s="52"/>
      <c r="AR1380" s="52"/>
      <c r="AS1380" s="58"/>
      <c r="AT1380" s="57"/>
      <c r="AU1380" s="52"/>
      <c r="AV1380" s="52"/>
      <c r="AW1380" s="58"/>
      <c r="AX1380" s="33">
        <f t="shared" si="1376"/>
        <v>0</v>
      </c>
      <c r="AY1380" s="31">
        <f t="shared" si="1377"/>
        <v>0</v>
      </c>
      <c r="AZ1380" s="30">
        <f t="shared" si="1378"/>
        <v>0</v>
      </c>
      <c r="BA1380" s="34"/>
      <c r="BB1380" s="34"/>
      <c r="BC1380" s="34"/>
      <c r="BD1380" s="76"/>
      <c r="BE1380" s="34"/>
      <c r="BF1380" s="34"/>
      <c r="BG1380" s="34"/>
      <c r="BH1380" s="34"/>
    </row>
    <row r="1381" spans="1:60" s="17" customFormat="1" ht="19.5" customHeight="1" thickBot="1" x14ac:dyDescent="0.4">
      <c r="A1381" s="41">
        <f t="shared" ref="A1381:B1381" si="1383">A1380</f>
        <v>45446</v>
      </c>
      <c r="B1381" s="37" t="str">
        <f t="shared" si="1383"/>
        <v>Çevirme</v>
      </c>
      <c r="C1381" s="65">
        <f t="shared" si="1374"/>
        <v>0</v>
      </c>
      <c r="D1381" s="67">
        <f t="shared" si="1375"/>
        <v>40</v>
      </c>
      <c r="E1381" s="59"/>
      <c r="F1381" s="60"/>
      <c r="G1381" s="61"/>
      <c r="H1381" s="62"/>
      <c r="I1381" s="59"/>
      <c r="J1381" s="60"/>
      <c r="K1381" s="61"/>
      <c r="L1381" s="62"/>
      <c r="M1381" s="59"/>
      <c r="N1381" s="60"/>
      <c r="O1381" s="61"/>
      <c r="P1381" s="62"/>
      <c r="Q1381" s="64"/>
      <c r="R1381" s="61"/>
      <c r="S1381" s="61"/>
      <c r="T1381" s="61"/>
      <c r="U1381" s="62"/>
      <c r="V1381" s="59"/>
      <c r="W1381" s="60"/>
      <c r="X1381" s="61"/>
      <c r="Y1381" s="62"/>
      <c r="Z1381" s="59"/>
      <c r="AA1381" s="60"/>
      <c r="AB1381" s="61"/>
      <c r="AC1381" s="62"/>
      <c r="AD1381" s="59"/>
      <c r="AE1381" s="60"/>
      <c r="AF1381" s="61"/>
      <c r="AG1381" s="62"/>
      <c r="AH1381" s="59"/>
      <c r="AI1381" s="60"/>
      <c r="AJ1381" s="61"/>
      <c r="AK1381" s="62"/>
      <c r="AL1381" s="59"/>
      <c r="AM1381" s="60"/>
      <c r="AN1381" s="61"/>
      <c r="AO1381" s="62"/>
      <c r="AP1381" s="59"/>
      <c r="AQ1381" s="60"/>
      <c r="AR1381" s="61"/>
      <c r="AS1381" s="62"/>
      <c r="AT1381" s="59"/>
      <c r="AU1381" s="60"/>
      <c r="AV1381" s="61"/>
      <c r="AW1381" s="62"/>
      <c r="AX1381" s="33">
        <f t="shared" si="1376"/>
        <v>0</v>
      </c>
      <c r="AY1381" s="31">
        <f t="shared" si="1377"/>
        <v>0</v>
      </c>
      <c r="AZ1381" s="30">
        <f t="shared" si="1378"/>
        <v>0</v>
      </c>
      <c r="BA1381" s="34"/>
      <c r="BB1381" s="34"/>
      <c r="BC1381" s="34"/>
      <c r="BD1381" s="76"/>
      <c r="BE1381" s="34"/>
      <c r="BF1381" s="34"/>
      <c r="BG1381" s="34"/>
      <c r="BH1381" s="34"/>
    </row>
    <row r="1382" spans="1:60" s="17" customFormat="1" ht="19.5" customHeight="1" thickBot="1" x14ac:dyDescent="0.45">
      <c r="A1382" s="41">
        <f t="shared" ref="A1382" si="1384">A1381</f>
        <v>45446</v>
      </c>
      <c r="B1382" s="139" t="str">
        <f>B1375</f>
        <v>Çevirme</v>
      </c>
      <c r="C1382" s="140"/>
      <c r="D1382" s="40">
        <f>C1238/8</f>
        <v>500</v>
      </c>
      <c r="E1382" s="147">
        <f>SUM(E1375:H1381)</f>
        <v>0</v>
      </c>
      <c r="F1382" s="148"/>
      <c r="G1382" s="148"/>
      <c r="H1382" s="149"/>
      <c r="I1382" s="147">
        <f>SUM(I1375:L1381)</f>
        <v>0</v>
      </c>
      <c r="J1382" s="148"/>
      <c r="K1382" s="148"/>
      <c r="L1382" s="149"/>
      <c r="M1382" s="147">
        <f>SUM(M1375:P1381)</f>
        <v>0</v>
      </c>
      <c r="N1382" s="148"/>
      <c r="O1382" s="148"/>
      <c r="P1382" s="149"/>
      <c r="Q1382" s="147">
        <f>SUM(Q1375:U1381)</f>
        <v>0</v>
      </c>
      <c r="R1382" s="148"/>
      <c r="S1382" s="148"/>
      <c r="T1382" s="148"/>
      <c r="U1382" s="149"/>
      <c r="V1382" s="147">
        <f>SUM(V1375:Y1381)</f>
        <v>0</v>
      </c>
      <c r="W1382" s="148"/>
      <c r="X1382" s="148"/>
      <c r="Y1382" s="149"/>
      <c r="Z1382" s="147">
        <f>SUM(Z1375:AC1381)</f>
        <v>0</v>
      </c>
      <c r="AA1382" s="148"/>
      <c r="AB1382" s="148"/>
      <c r="AC1382" s="149"/>
      <c r="AD1382" s="147">
        <f>SUM(AD1375:AG1381)</f>
        <v>0</v>
      </c>
      <c r="AE1382" s="148"/>
      <c r="AF1382" s="148"/>
      <c r="AG1382" s="149"/>
      <c r="AH1382" s="147">
        <f>SUM(AH1375:AK1381)</f>
        <v>0</v>
      </c>
      <c r="AI1382" s="148"/>
      <c r="AJ1382" s="148"/>
      <c r="AK1382" s="149"/>
      <c r="AL1382" s="147">
        <f>SUM(AL1375:AO1381)</f>
        <v>0</v>
      </c>
      <c r="AM1382" s="148"/>
      <c r="AN1382" s="148"/>
      <c r="AO1382" s="149"/>
      <c r="AP1382" s="147">
        <f>SUM(AP1375:AS1381)</f>
        <v>0</v>
      </c>
      <c r="AQ1382" s="148"/>
      <c r="AR1382" s="148"/>
      <c r="AS1382" s="149"/>
      <c r="AT1382" s="147">
        <f>SUM(AT1375:AW1381)</f>
        <v>0</v>
      </c>
      <c r="AU1382" s="148"/>
      <c r="AV1382" s="148"/>
      <c r="AW1382" s="149"/>
      <c r="AX1382" s="87">
        <f>SUM(AX1375:AX1381)</f>
        <v>0</v>
      </c>
      <c r="AY1382" s="88">
        <f>IFERROR(AVERAGEIF(E1382:AV1382,"&lt;&gt;0",(E1382:AV1382)),)</f>
        <v>0</v>
      </c>
      <c r="AZ1382" s="46">
        <f>IFERROR(AX1382/BB1376,0)</f>
        <v>0</v>
      </c>
      <c r="BA1382" s="34"/>
      <c r="BB1382" s="34"/>
      <c r="BC1382" s="34"/>
      <c r="BD1382" s="76"/>
      <c r="BE1382" s="34"/>
      <c r="BF1382" s="34"/>
      <c r="BG1382" s="34"/>
      <c r="BH1382" s="34"/>
    </row>
    <row r="1383" spans="1:60" s="17" customFormat="1" ht="19.5" customHeight="1" thickBot="1" x14ac:dyDescent="0.4">
      <c r="A1383" s="42">
        <f>A1374</f>
        <v>45446</v>
      </c>
      <c r="B1383" s="38" t="str">
        <f>B1384</f>
        <v>ÇEVİRME BEDEN</v>
      </c>
      <c r="C1383" s="39" t="s">
        <v>180</v>
      </c>
      <c r="D1383" s="69" t="s">
        <v>181</v>
      </c>
      <c r="E1383" s="48">
        <v>0.34375</v>
      </c>
      <c r="F1383" s="49">
        <v>0.35416666666666669</v>
      </c>
      <c r="G1383" s="49">
        <v>0.36458333333333331</v>
      </c>
      <c r="H1383" s="50">
        <v>0.375</v>
      </c>
      <c r="I1383" s="48">
        <v>0.38541666666666702</v>
      </c>
      <c r="J1383" s="49">
        <v>0.39583333333333298</v>
      </c>
      <c r="K1383" s="49">
        <v>0.40625</v>
      </c>
      <c r="L1383" s="50">
        <v>0.41666666666666702</v>
      </c>
      <c r="M1383" s="48">
        <v>0.4375</v>
      </c>
      <c r="N1383" s="49">
        <v>0.44791666666666702</v>
      </c>
      <c r="O1383" s="49">
        <v>0.45833333333333398</v>
      </c>
      <c r="P1383" s="50">
        <v>0.46875</v>
      </c>
      <c r="Q1383" s="48">
        <v>0.47916666666666702</v>
      </c>
      <c r="R1383" s="49">
        <v>0.48958333333333398</v>
      </c>
      <c r="S1383" s="49">
        <v>0.5</v>
      </c>
      <c r="T1383" s="50">
        <v>0.51041666666666696</v>
      </c>
      <c r="U1383" s="51">
        <v>0.52083333333333204</v>
      </c>
      <c r="V1383" s="48">
        <v>0.5625</v>
      </c>
      <c r="W1383" s="49">
        <v>0.57291666666666663</v>
      </c>
      <c r="X1383" s="49">
        <v>0.58333333333333304</v>
      </c>
      <c r="Y1383" s="50">
        <v>0.59375</v>
      </c>
      <c r="Z1383" s="48">
        <v>0.60416666666666696</v>
      </c>
      <c r="AA1383" s="49">
        <v>0.61458333333333304</v>
      </c>
      <c r="AB1383" s="49">
        <v>0.625</v>
      </c>
      <c r="AC1383" s="50">
        <v>0.63541666666666596</v>
      </c>
      <c r="AD1383" s="48">
        <v>0.65625</v>
      </c>
      <c r="AE1383" s="49">
        <v>0.66666666666666663</v>
      </c>
      <c r="AF1383" s="49">
        <v>0.67708333333333304</v>
      </c>
      <c r="AG1383" s="50">
        <v>0.6875</v>
      </c>
      <c r="AH1383" s="48">
        <v>0.69791666666666696</v>
      </c>
      <c r="AI1383" s="49">
        <v>0.70833333333333304</v>
      </c>
      <c r="AJ1383" s="49">
        <v>0.71875</v>
      </c>
      <c r="AK1383" s="50">
        <v>0.72916666666666696</v>
      </c>
      <c r="AL1383" s="48">
        <v>0.73958333333333404</v>
      </c>
      <c r="AM1383" s="49">
        <v>0.750000000000001</v>
      </c>
      <c r="AN1383" s="49">
        <v>0.76041666666666796</v>
      </c>
      <c r="AO1383" s="50">
        <v>0.77083333333333504</v>
      </c>
      <c r="AP1383" s="48">
        <v>0.781250000000002</v>
      </c>
      <c r="AQ1383" s="49">
        <v>0.79166666666666896</v>
      </c>
      <c r="AR1383" s="49">
        <v>0.80208333333333603</v>
      </c>
      <c r="AS1383" s="50">
        <v>0.812500000000003</v>
      </c>
      <c r="AT1383" s="48">
        <v>0.82291666666666996</v>
      </c>
      <c r="AU1383" s="49">
        <v>0.83333333333333703</v>
      </c>
      <c r="AV1383" s="49">
        <v>0.843750000000004</v>
      </c>
      <c r="AW1383" s="50">
        <v>0.85416666666666663</v>
      </c>
      <c r="AX1383" s="68" t="s">
        <v>260</v>
      </c>
      <c r="AY1383" s="28" t="s">
        <v>261</v>
      </c>
      <c r="AZ1383" s="29" t="s">
        <v>262</v>
      </c>
      <c r="BA1383" s="136" t="str">
        <f>B1384</f>
        <v>ÇEVİRME BEDEN</v>
      </c>
      <c r="BB1383" s="137"/>
      <c r="BC1383" s="137"/>
      <c r="BD1383" s="137"/>
      <c r="BE1383" s="137"/>
      <c r="BF1383" s="137"/>
      <c r="BG1383" s="137"/>
      <c r="BH1383" s="138"/>
    </row>
    <row r="1384" spans="1:60" s="17" customFormat="1" ht="19.5" customHeight="1" thickBot="1" x14ac:dyDescent="0.4">
      <c r="A1384" s="41">
        <f t="shared" ref="A1384" si="1385">A1383</f>
        <v>45446</v>
      </c>
      <c r="B1384" s="37" t="str">
        <f>B1208</f>
        <v>ÇEVİRME BEDEN</v>
      </c>
      <c r="C1384" s="65" t="str">
        <f>C1208</f>
        <v>ARZU ÖZÇAĞLAYAN</v>
      </c>
      <c r="D1384" s="70">
        <f>D1199</f>
        <v>40</v>
      </c>
      <c r="E1384" s="63"/>
      <c r="F1384" s="55"/>
      <c r="G1384" s="55"/>
      <c r="H1384" s="56"/>
      <c r="I1384" s="63"/>
      <c r="J1384" s="55"/>
      <c r="K1384" s="55"/>
      <c r="L1384" s="56"/>
      <c r="M1384" s="63"/>
      <c r="N1384" s="55"/>
      <c r="O1384" s="55"/>
      <c r="P1384" s="56"/>
      <c r="Q1384" s="63"/>
      <c r="R1384" s="55"/>
      <c r="S1384" s="55"/>
      <c r="T1384" s="55"/>
      <c r="U1384" s="56"/>
      <c r="V1384" s="63"/>
      <c r="W1384" s="55"/>
      <c r="X1384" s="55"/>
      <c r="Y1384" s="56"/>
      <c r="Z1384" s="63"/>
      <c r="AA1384" s="55"/>
      <c r="AB1384" s="55"/>
      <c r="AC1384" s="56"/>
      <c r="AD1384" s="63"/>
      <c r="AE1384" s="55"/>
      <c r="AF1384" s="55"/>
      <c r="AG1384" s="56"/>
      <c r="AH1384" s="63"/>
      <c r="AI1384" s="55"/>
      <c r="AJ1384" s="55"/>
      <c r="AK1384" s="56"/>
      <c r="AL1384" s="63"/>
      <c r="AM1384" s="55"/>
      <c r="AN1384" s="55"/>
      <c r="AO1384" s="56"/>
      <c r="AP1384" s="63"/>
      <c r="AQ1384" s="55"/>
      <c r="AR1384" s="55"/>
      <c r="AS1384" s="56"/>
      <c r="AT1384" s="53"/>
      <c r="AU1384" s="54"/>
      <c r="AV1384" s="55"/>
      <c r="AW1384" s="56"/>
      <c r="AX1384" s="33">
        <f>SUM(E1384:AW1384)</f>
        <v>0</v>
      </c>
      <c r="AY1384" s="31">
        <f>IFERROR(AVERAGEIF(E1384:AW1384,"&lt;&gt;0",(E1384:AW1384)),)</f>
        <v>0</v>
      </c>
      <c r="AZ1384" s="30">
        <f>IFERROR(AY1384/D1384,0)</f>
        <v>0</v>
      </c>
      <c r="BA1384" s="93"/>
      <c r="BB1384" s="93" t="str">
        <f t="shared" ref="BB1384" si="1386">BA1238</f>
        <v>XS</v>
      </c>
      <c r="BC1384" s="93" t="str">
        <f t="shared" ref="BC1384" si="1387">BB1238</f>
        <v>S</v>
      </c>
      <c r="BD1384" s="93" t="str">
        <f t="shared" ref="BD1384" si="1388">BC1238</f>
        <v>M</v>
      </c>
      <c r="BE1384" s="93" t="str">
        <f t="shared" ref="BE1384" si="1389">BD1238</f>
        <v>L</v>
      </c>
      <c r="BF1384" s="93" t="str">
        <f t="shared" ref="BF1384" si="1390">BE1238</f>
        <v>XL</v>
      </c>
      <c r="BG1384" s="93" t="str">
        <f t="shared" ref="BG1384" si="1391">BF1238</f>
        <v>XXL</v>
      </c>
      <c r="BH1384" s="93"/>
    </row>
    <row r="1385" spans="1:60" s="17" customFormat="1" ht="19.5" customHeight="1" thickBot="1" x14ac:dyDescent="0.4">
      <c r="A1385" s="41">
        <f t="shared" ref="A1385:B1385" si="1392">A1384</f>
        <v>45446</v>
      </c>
      <c r="B1385" s="37" t="str">
        <f t="shared" si="1392"/>
        <v>ÇEVİRME BEDEN</v>
      </c>
      <c r="C1385" s="65" t="str">
        <f t="shared" ref="C1385:C1390" si="1393">C1209</f>
        <v>NECLA KOÇ</v>
      </c>
      <c r="D1385" s="67">
        <f t="shared" ref="D1385:D1390" si="1394">D1384</f>
        <v>40</v>
      </c>
      <c r="E1385" s="57"/>
      <c r="F1385" s="52"/>
      <c r="G1385" s="52"/>
      <c r="H1385" s="58"/>
      <c r="I1385" s="57"/>
      <c r="J1385" s="52"/>
      <c r="K1385" s="52"/>
      <c r="L1385" s="58"/>
      <c r="M1385" s="57"/>
      <c r="N1385" s="52"/>
      <c r="O1385" s="52"/>
      <c r="P1385" s="58"/>
      <c r="Q1385" s="57"/>
      <c r="R1385" s="52"/>
      <c r="S1385" s="52"/>
      <c r="T1385" s="52"/>
      <c r="U1385" s="58"/>
      <c r="V1385" s="57"/>
      <c r="W1385" s="52"/>
      <c r="X1385" s="52"/>
      <c r="Y1385" s="58"/>
      <c r="Z1385" s="57"/>
      <c r="AA1385" s="52"/>
      <c r="AB1385" s="52"/>
      <c r="AC1385" s="58"/>
      <c r="AD1385" s="57"/>
      <c r="AE1385" s="52"/>
      <c r="AF1385" s="52"/>
      <c r="AG1385" s="58"/>
      <c r="AH1385" s="57"/>
      <c r="AI1385" s="52"/>
      <c r="AJ1385" s="52"/>
      <c r="AK1385" s="58"/>
      <c r="AL1385" s="57"/>
      <c r="AM1385" s="52"/>
      <c r="AN1385" s="52"/>
      <c r="AO1385" s="58"/>
      <c r="AP1385" s="57"/>
      <c r="AQ1385" s="52"/>
      <c r="AR1385" s="52"/>
      <c r="AS1385" s="58"/>
      <c r="AT1385" s="57"/>
      <c r="AU1385" s="52"/>
      <c r="AV1385" s="52"/>
      <c r="AW1385" s="58"/>
      <c r="AX1385" s="33">
        <f t="shared" ref="AX1385:AX1390" si="1395">SUM(E1385:AW1385)</f>
        <v>0</v>
      </c>
      <c r="AY1385" s="31">
        <f t="shared" ref="AY1385:AY1390" si="1396">IFERROR(AVERAGEIF(E1385:AW1385,"&lt;&gt;0",(E1385:AW1385)),)</f>
        <v>0</v>
      </c>
      <c r="AZ1385" s="30">
        <f t="shared" ref="AZ1385:AZ1390" si="1397">IFERROR(AY1385/D1385,0)</f>
        <v>0</v>
      </c>
      <c r="BA1385" s="94" t="s">
        <v>194</v>
      </c>
      <c r="BB1385" s="96">
        <f t="shared" ref="BB1385:BG1385" si="1398">BB1277</f>
        <v>0</v>
      </c>
      <c r="BC1385" s="96">
        <f t="shared" si="1398"/>
        <v>0</v>
      </c>
      <c r="BD1385" s="96">
        <f t="shared" si="1398"/>
        <v>0</v>
      </c>
      <c r="BE1385" s="96">
        <f t="shared" si="1398"/>
        <v>0</v>
      </c>
      <c r="BF1385" s="96">
        <f t="shared" si="1398"/>
        <v>0</v>
      </c>
      <c r="BG1385" s="96">
        <f t="shared" si="1398"/>
        <v>0</v>
      </c>
      <c r="BH1385" s="99">
        <f>SUM(BB1385:BG1385)</f>
        <v>0</v>
      </c>
    </row>
    <row r="1386" spans="1:60" s="17" customFormat="1" ht="19.5" customHeight="1" thickBot="1" x14ac:dyDescent="0.4">
      <c r="A1386" s="41">
        <f t="shared" ref="A1386:B1386" si="1399">A1385</f>
        <v>45446</v>
      </c>
      <c r="B1386" s="37" t="str">
        <f t="shared" si="1399"/>
        <v>ÇEVİRME BEDEN</v>
      </c>
      <c r="C1386" s="65" t="str">
        <f t="shared" si="1393"/>
        <v>SEZER BOZKURT</v>
      </c>
      <c r="D1386" s="67">
        <f t="shared" si="1394"/>
        <v>40</v>
      </c>
      <c r="E1386" s="57"/>
      <c r="F1386" s="52"/>
      <c r="G1386" s="52"/>
      <c r="H1386" s="58"/>
      <c r="I1386" s="57"/>
      <c r="J1386" s="52"/>
      <c r="K1386" s="52"/>
      <c r="L1386" s="58"/>
      <c r="M1386" s="57"/>
      <c r="N1386" s="52"/>
      <c r="O1386" s="52"/>
      <c r="P1386" s="58"/>
      <c r="Q1386" s="57"/>
      <c r="R1386" s="52"/>
      <c r="S1386" s="52"/>
      <c r="T1386" s="52"/>
      <c r="U1386" s="58"/>
      <c r="V1386" s="57"/>
      <c r="W1386" s="52"/>
      <c r="X1386" s="52"/>
      <c r="Y1386" s="58"/>
      <c r="Z1386" s="57"/>
      <c r="AA1386" s="52"/>
      <c r="AB1386" s="52"/>
      <c r="AC1386" s="58"/>
      <c r="AD1386" s="57"/>
      <c r="AE1386" s="52"/>
      <c r="AF1386" s="52"/>
      <c r="AG1386" s="58"/>
      <c r="AH1386" s="57"/>
      <c r="AI1386" s="52"/>
      <c r="AJ1386" s="52"/>
      <c r="AK1386" s="58"/>
      <c r="AL1386" s="57"/>
      <c r="AM1386" s="52"/>
      <c r="AN1386" s="52"/>
      <c r="AO1386" s="58"/>
      <c r="AP1386" s="57"/>
      <c r="AQ1386" s="52"/>
      <c r="AR1386" s="52"/>
      <c r="AS1386" s="58"/>
      <c r="AT1386" s="57"/>
      <c r="AU1386" s="52"/>
      <c r="AV1386" s="52"/>
      <c r="AW1386" s="58"/>
      <c r="AX1386" s="33">
        <f t="shared" si="1395"/>
        <v>0</v>
      </c>
      <c r="AY1386" s="31">
        <f t="shared" si="1396"/>
        <v>0</v>
      </c>
      <c r="AZ1386" s="30">
        <f t="shared" si="1397"/>
        <v>0</v>
      </c>
      <c r="BA1386" s="94" t="s">
        <v>195</v>
      </c>
      <c r="BB1386" s="96">
        <f>SUMIF(C1384:C1390,BB1384,AX1384:AX1390)+BB1210</f>
        <v>0</v>
      </c>
      <c r="BC1386" s="96">
        <f>SUMIF(C1384:C1390,BC1384,AX1384:AX1390)+BC1210</f>
        <v>0</v>
      </c>
      <c r="BD1386" s="96">
        <f>SUMIF(C1384:C1390,BD1384,AX1384:AX1390)+BD1210</f>
        <v>0</v>
      </c>
      <c r="BE1386" s="96">
        <f>SUMIF(C1384:C1390,BE1384,AX1384:AX1390)+BE1210</f>
        <v>0</v>
      </c>
      <c r="BF1386" s="96">
        <f>SUMIF(C1384:C1390,BF1384,AX1384:AX1390)+BF1210</f>
        <v>0</v>
      </c>
      <c r="BG1386" s="96">
        <f>SUMIF(C1384:C1390,BG1384,AX1384:AX1390)+BG1210</f>
        <v>0</v>
      </c>
      <c r="BH1386" s="99">
        <f>SUM(BB1386:BG1386)</f>
        <v>0</v>
      </c>
    </row>
    <row r="1387" spans="1:60" s="17" customFormat="1" ht="19.5" customHeight="1" thickBot="1" x14ac:dyDescent="0.4">
      <c r="A1387" s="41">
        <f t="shared" ref="A1387:B1387" si="1400">A1386</f>
        <v>45446</v>
      </c>
      <c r="B1387" s="37" t="str">
        <f t="shared" si="1400"/>
        <v>ÇEVİRME BEDEN</v>
      </c>
      <c r="C1387" s="65" t="str">
        <f t="shared" si="1393"/>
        <v>MELAHAT EROL</v>
      </c>
      <c r="D1387" s="67">
        <f t="shared" si="1394"/>
        <v>40</v>
      </c>
      <c r="E1387" s="57"/>
      <c r="F1387" s="52"/>
      <c r="G1387" s="52"/>
      <c r="H1387" s="58"/>
      <c r="I1387" s="57"/>
      <c r="J1387" s="52"/>
      <c r="K1387" s="52"/>
      <c r="L1387" s="58"/>
      <c r="M1387" s="57"/>
      <c r="N1387" s="52"/>
      <c r="O1387" s="52"/>
      <c r="P1387" s="58"/>
      <c r="Q1387" s="57"/>
      <c r="R1387" s="52"/>
      <c r="S1387" s="52"/>
      <c r="T1387" s="52"/>
      <c r="U1387" s="58"/>
      <c r="V1387" s="57"/>
      <c r="W1387" s="52"/>
      <c r="X1387" s="52"/>
      <c r="Y1387" s="58"/>
      <c r="Z1387" s="57"/>
      <c r="AA1387" s="52"/>
      <c r="AB1387" s="52"/>
      <c r="AC1387" s="58"/>
      <c r="AD1387" s="57"/>
      <c r="AE1387" s="52"/>
      <c r="AF1387" s="52"/>
      <c r="AG1387" s="58"/>
      <c r="AH1387" s="57"/>
      <c r="AI1387" s="52"/>
      <c r="AJ1387" s="52"/>
      <c r="AK1387" s="58"/>
      <c r="AL1387" s="57"/>
      <c r="AM1387" s="52"/>
      <c r="AN1387" s="52"/>
      <c r="AO1387" s="58"/>
      <c r="AP1387" s="57"/>
      <c r="AQ1387" s="52"/>
      <c r="AR1387" s="52"/>
      <c r="AS1387" s="58"/>
      <c r="AT1387" s="57"/>
      <c r="AU1387" s="52"/>
      <c r="AV1387" s="52"/>
      <c r="AW1387" s="58"/>
      <c r="AX1387" s="33">
        <f t="shared" si="1395"/>
        <v>0</v>
      </c>
      <c r="AY1387" s="31">
        <f t="shared" si="1396"/>
        <v>0</v>
      </c>
      <c r="AZ1387" s="30">
        <f t="shared" si="1397"/>
        <v>0</v>
      </c>
      <c r="BA1387" s="94" t="s">
        <v>196</v>
      </c>
      <c r="BB1387" s="96">
        <f t="shared" ref="BB1387:BG1387" si="1401">BB1385-BB1386</f>
        <v>0</v>
      </c>
      <c r="BC1387" s="96">
        <f t="shared" si="1401"/>
        <v>0</v>
      </c>
      <c r="BD1387" s="96">
        <f t="shared" si="1401"/>
        <v>0</v>
      </c>
      <c r="BE1387" s="96">
        <f t="shared" si="1401"/>
        <v>0</v>
      </c>
      <c r="BF1387" s="96">
        <f t="shared" si="1401"/>
        <v>0</v>
      </c>
      <c r="BG1387" s="96">
        <f t="shared" si="1401"/>
        <v>0</v>
      </c>
      <c r="BH1387" s="99">
        <f>SUM(BB1387:BG1387)</f>
        <v>0</v>
      </c>
    </row>
    <row r="1388" spans="1:60" s="17" customFormat="1" ht="19.5" customHeight="1" x14ac:dyDescent="0.35">
      <c r="A1388" s="41">
        <f>A1385</f>
        <v>45446</v>
      </c>
      <c r="B1388" s="37" t="str">
        <f t="shared" ref="B1388" si="1402">B1387</f>
        <v>ÇEVİRME BEDEN</v>
      </c>
      <c r="C1388" s="65" t="str">
        <f t="shared" si="1393"/>
        <v>DERYA KESKİN</v>
      </c>
      <c r="D1388" s="67">
        <f t="shared" si="1394"/>
        <v>40</v>
      </c>
      <c r="E1388" s="57"/>
      <c r="F1388" s="52"/>
      <c r="G1388" s="52"/>
      <c r="H1388" s="58"/>
      <c r="I1388" s="57"/>
      <c r="J1388" s="52"/>
      <c r="K1388" s="52"/>
      <c r="L1388" s="58"/>
      <c r="M1388" s="57"/>
      <c r="N1388" s="52"/>
      <c r="O1388" s="52"/>
      <c r="P1388" s="58"/>
      <c r="Q1388" s="57"/>
      <c r="R1388" s="52"/>
      <c r="S1388" s="52"/>
      <c r="T1388" s="52"/>
      <c r="U1388" s="58"/>
      <c r="V1388" s="57"/>
      <c r="W1388" s="52"/>
      <c r="X1388" s="52"/>
      <c r="Y1388" s="58"/>
      <c r="Z1388" s="57"/>
      <c r="AA1388" s="52"/>
      <c r="AB1388" s="52"/>
      <c r="AC1388" s="58"/>
      <c r="AD1388" s="57"/>
      <c r="AE1388" s="52"/>
      <c r="AF1388" s="52"/>
      <c r="AG1388" s="58"/>
      <c r="AH1388" s="57"/>
      <c r="AI1388" s="52"/>
      <c r="AJ1388" s="52"/>
      <c r="AK1388" s="58"/>
      <c r="AL1388" s="57"/>
      <c r="AM1388" s="52"/>
      <c r="AN1388" s="52"/>
      <c r="AO1388" s="58"/>
      <c r="AP1388" s="57"/>
      <c r="AQ1388" s="52"/>
      <c r="AR1388" s="52"/>
      <c r="AS1388" s="58"/>
      <c r="AT1388" s="57"/>
      <c r="AU1388" s="52"/>
      <c r="AV1388" s="52"/>
      <c r="AW1388" s="58"/>
      <c r="AX1388" s="33">
        <f t="shared" si="1395"/>
        <v>0</v>
      </c>
      <c r="AY1388" s="31">
        <f t="shared" si="1396"/>
        <v>0</v>
      </c>
      <c r="AZ1388" s="30">
        <f t="shared" si="1397"/>
        <v>0</v>
      </c>
      <c r="BA1388" s="34"/>
      <c r="BB1388" s="34"/>
      <c r="BC1388" s="34"/>
      <c r="BD1388" s="76"/>
      <c r="BE1388" s="34"/>
      <c r="BF1388" s="34"/>
      <c r="BG1388" s="34"/>
      <c r="BH1388" s="34"/>
    </row>
    <row r="1389" spans="1:60" s="17" customFormat="1" ht="19.5" customHeight="1" x14ac:dyDescent="0.35">
      <c r="A1389" s="41">
        <f t="shared" ref="A1389:B1389" si="1403">A1388</f>
        <v>45446</v>
      </c>
      <c r="B1389" s="37" t="str">
        <f t="shared" si="1403"/>
        <v>ÇEVİRME BEDEN</v>
      </c>
      <c r="C1389" s="65">
        <f t="shared" si="1393"/>
        <v>0</v>
      </c>
      <c r="D1389" s="67">
        <f t="shared" si="1394"/>
        <v>40</v>
      </c>
      <c r="E1389" s="57"/>
      <c r="F1389" s="52"/>
      <c r="G1389" s="52"/>
      <c r="H1389" s="58"/>
      <c r="I1389" s="57"/>
      <c r="J1389" s="52"/>
      <c r="K1389" s="52"/>
      <c r="L1389" s="58"/>
      <c r="M1389" s="57"/>
      <c r="N1389" s="52"/>
      <c r="O1389" s="52"/>
      <c r="P1389" s="58"/>
      <c r="Q1389" s="57"/>
      <c r="R1389" s="52"/>
      <c r="S1389" s="52"/>
      <c r="T1389" s="52"/>
      <c r="U1389" s="58"/>
      <c r="V1389" s="57"/>
      <c r="W1389" s="52"/>
      <c r="X1389" s="52"/>
      <c r="Y1389" s="58"/>
      <c r="Z1389" s="57"/>
      <c r="AA1389" s="52"/>
      <c r="AB1389" s="52"/>
      <c r="AC1389" s="58"/>
      <c r="AD1389" s="57"/>
      <c r="AE1389" s="52"/>
      <c r="AF1389" s="52"/>
      <c r="AG1389" s="58"/>
      <c r="AH1389" s="57"/>
      <c r="AI1389" s="52"/>
      <c r="AJ1389" s="52"/>
      <c r="AK1389" s="58"/>
      <c r="AL1389" s="57"/>
      <c r="AM1389" s="52"/>
      <c r="AN1389" s="52"/>
      <c r="AO1389" s="58"/>
      <c r="AP1389" s="57"/>
      <c r="AQ1389" s="52"/>
      <c r="AR1389" s="52"/>
      <c r="AS1389" s="58"/>
      <c r="AT1389" s="57"/>
      <c r="AU1389" s="52"/>
      <c r="AV1389" s="52"/>
      <c r="AW1389" s="58"/>
      <c r="AX1389" s="33">
        <f t="shared" si="1395"/>
        <v>0</v>
      </c>
      <c r="AY1389" s="31">
        <f t="shared" si="1396"/>
        <v>0</v>
      </c>
      <c r="AZ1389" s="30">
        <f t="shared" si="1397"/>
        <v>0</v>
      </c>
      <c r="BA1389" s="34"/>
      <c r="BB1389" s="34"/>
      <c r="BC1389" s="34"/>
      <c r="BD1389" s="76"/>
      <c r="BE1389" s="34"/>
      <c r="BF1389" s="34"/>
      <c r="BG1389" s="34"/>
      <c r="BH1389" s="34"/>
    </row>
    <row r="1390" spans="1:60" s="17" customFormat="1" ht="19.5" customHeight="1" thickBot="1" x14ac:dyDescent="0.4">
      <c r="A1390" s="41">
        <f t="shared" ref="A1390:B1390" si="1404">A1389</f>
        <v>45446</v>
      </c>
      <c r="B1390" s="37" t="str">
        <f t="shared" si="1404"/>
        <v>ÇEVİRME BEDEN</v>
      </c>
      <c r="C1390" s="65">
        <f t="shared" si="1393"/>
        <v>0</v>
      </c>
      <c r="D1390" s="67">
        <f t="shared" si="1394"/>
        <v>40</v>
      </c>
      <c r="E1390" s="59"/>
      <c r="F1390" s="60"/>
      <c r="G1390" s="61"/>
      <c r="H1390" s="62"/>
      <c r="I1390" s="59"/>
      <c r="J1390" s="60"/>
      <c r="K1390" s="61"/>
      <c r="L1390" s="62"/>
      <c r="M1390" s="59"/>
      <c r="N1390" s="60"/>
      <c r="O1390" s="61"/>
      <c r="P1390" s="62"/>
      <c r="Q1390" s="64"/>
      <c r="R1390" s="61"/>
      <c r="S1390" s="61"/>
      <c r="T1390" s="61"/>
      <c r="U1390" s="62"/>
      <c r="V1390" s="59"/>
      <c r="W1390" s="60"/>
      <c r="X1390" s="61"/>
      <c r="Y1390" s="62"/>
      <c r="Z1390" s="59"/>
      <c r="AA1390" s="60"/>
      <c r="AB1390" s="61"/>
      <c r="AC1390" s="62"/>
      <c r="AD1390" s="59"/>
      <c r="AE1390" s="60"/>
      <c r="AF1390" s="61"/>
      <c r="AG1390" s="62"/>
      <c r="AH1390" s="59"/>
      <c r="AI1390" s="60"/>
      <c r="AJ1390" s="61"/>
      <c r="AK1390" s="62"/>
      <c r="AL1390" s="59"/>
      <c r="AM1390" s="60"/>
      <c r="AN1390" s="61"/>
      <c r="AO1390" s="62"/>
      <c r="AP1390" s="59"/>
      <c r="AQ1390" s="60"/>
      <c r="AR1390" s="61"/>
      <c r="AS1390" s="62"/>
      <c r="AT1390" s="59"/>
      <c r="AU1390" s="60"/>
      <c r="AV1390" s="61"/>
      <c r="AW1390" s="62"/>
      <c r="AX1390" s="33">
        <f t="shared" si="1395"/>
        <v>0</v>
      </c>
      <c r="AY1390" s="31">
        <f t="shared" si="1396"/>
        <v>0</v>
      </c>
      <c r="AZ1390" s="30">
        <f t="shared" si="1397"/>
        <v>0</v>
      </c>
      <c r="BA1390" s="34"/>
      <c r="BB1390" s="34"/>
      <c r="BC1390" s="34"/>
      <c r="BD1390" s="76"/>
      <c r="BE1390" s="34"/>
      <c r="BF1390" s="34"/>
      <c r="BG1390" s="34"/>
      <c r="BH1390" s="34"/>
    </row>
    <row r="1391" spans="1:60" s="17" customFormat="1" ht="19.5" customHeight="1" thickBot="1" x14ac:dyDescent="0.45">
      <c r="A1391" s="41">
        <f t="shared" ref="A1391" si="1405">A1390</f>
        <v>45446</v>
      </c>
      <c r="B1391" s="139" t="str">
        <f>B1384</f>
        <v>ÇEVİRME BEDEN</v>
      </c>
      <c r="C1391" s="140"/>
      <c r="D1391" s="40">
        <f>C1238/8</f>
        <v>500</v>
      </c>
      <c r="E1391" s="147">
        <f>SUM(E1384:H1390)</f>
        <v>0</v>
      </c>
      <c r="F1391" s="148"/>
      <c r="G1391" s="148"/>
      <c r="H1391" s="149"/>
      <c r="I1391" s="147">
        <f>SUM(I1384:L1390)</f>
        <v>0</v>
      </c>
      <c r="J1391" s="148"/>
      <c r="K1391" s="148"/>
      <c r="L1391" s="149"/>
      <c r="M1391" s="147">
        <f>SUM(M1384:P1390)</f>
        <v>0</v>
      </c>
      <c r="N1391" s="148"/>
      <c r="O1391" s="148"/>
      <c r="P1391" s="149"/>
      <c r="Q1391" s="147">
        <f>SUM(Q1384:U1390)</f>
        <v>0</v>
      </c>
      <c r="R1391" s="148"/>
      <c r="S1391" s="148"/>
      <c r="T1391" s="148"/>
      <c r="U1391" s="149"/>
      <c r="V1391" s="147">
        <f>SUM(V1384:Y1390)</f>
        <v>0</v>
      </c>
      <c r="W1391" s="148"/>
      <c r="X1391" s="148"/>
      <c r="Y1391" s="149"/>
      <c r="Z1391" s="147">
        <f>SUM(Z1384:AC1390)</f>
        <v>0</v>
      </c>
      <c r="AA1391" s="148"/>
      <c r="AB1391" s="148"/>
      <c r="AC1391" s="149"/>
      <c r="AD1391" s="147">
        <f>SUM(AD1384:AG1390)</f>
        <v>0</v>
      </c>
      <c r="AE1391" s="148"/>
      <c r="AF1391" s="148"/>
      <c r="AG1391" s="149"/>
      <c r="AH1391" s="147">
        <f>SUM(AH1384:AK1390)</f>
        <v>0</v>
      </c>
      <c r="AI1391" s="148"/>
      <c r="AJ1391" s="148"/>
      <c r="AK1391" s="149"/>
      <c r="AL1391" s="147">
        <f>SUM(AL1384:AO1390)</f>
        <v>0</v>
      </c>
      <c r="AM1391" s="148"/>
      <c r="AN1391" s="148"/>
      <c r="AO1391" s="149"/>
      <c r="AP1391" s="147">
        <f>SUM(AP1384:AS1390)</f>
        <v>0</v>
      </c>
      <c r="AQ1391" s="148"/>
      <c r="AR1391" s="148"/>
      <c r="AS1391" s="149"/>
      <c r="AT1391" s="147">
        <f>SUM(AT1384:AW1390)</f>
        <v>0</v>
      </c>
      <c r="AU1391" s="148"/>
      <c r="AV1391" s="148"/>
      <c r="AW1391" s="149"/>
      <c r="AX1391" s="87">
        <f>SUM(AX1384:AX1390)</f>
        <v>0</v>
      </c>
      <c r="AY1391" s="88">
        <f>IFERROR(AVERAGEIF(E1391:AV1391,"&lt;&gt;0",(E1391:AV1391)),)</f>
        <v>0</v>
      </c>
      <c r="AZ1391" s="46">
        <f>IFERROR(AX1391/BB1385,0)</f>
        <v>0</v>
      </c>
      <c r="BA1391" s="34"/>
      <c r="BB1391" s="34"/>
      <c r="BC1391" s="34"/>
      <c r="BD1391" s="76"/>
      <c r="BE1391" s="34"/>
      <c r="BF1391" s="34"/>
      <c r="BG1391" s="34"/>
      <c r="BH1391" s="34"/>
    </row>
    <row r="1392" spans="1:60" s="17" customFormat="1" ht="19.5" customHeight="1" thickBot="1" x14ac:dyDescent="0.4">
      <c r="A1392" s="42">
        <f>A1383</f>
        <v>45446</v>
      </c>
      <c r="B1392" s="38">
        <v>50</v>
      </c>
      <c r="C1392" s="39" t="s">
        <v>180</v>
      </c>
      <c r="D1392" s="69" t="s">
        <v>181</v>
      </c>
      <c r="E1392" s="48">
        <v>0.34375</v>
      </c>
      <c r="F1392" s="49">
        <v>0.35416666666666669</v>
      </c>
      <c r="G1392" s="49">
        <v>0.36458333333333331</v>
      </c>
      <c r="H1392" s="50">
        <v>0.375</v>
      </c>
      <c r="I1392" s="48">
        <v>0.38541666666666702</v>
      </c>
      <c r="J1392" s="49">
        <v>0.39583333333333298</v>
      </c>
      <c r="K1392" s="49">
        <v>0.40625</v>
      </c>
      <c r="L1392" s="50">
        <v>0.41666666666666702</v>
      </c>
      <c r="M1392" s="48">
        <v>0.4375</v>
      </c>
      <c r="N1392" s="49">
        <v>0.44791666666666702</v>
      </c>
      <c r="O1392" s="49">
        <v>0.45833333333333398</v>
      </c>
      <c r="P1392" s="50">
        <v>0.46875</v>
      </c>
      <c r="Q1392" s="82">
        <v>0.47916666666666702</v>
      </c>
      <c r="R1392" s="83">
        <v>0.48958333333333398</v>
      </c>
      <c r="S1392" s="83">
        <v>0.5</v>
      </c>
      <c r="T1392" s="84">
        <v>0.51041666666666696</v>
      </c>
      <c r="U1392" s="85">
        <v>0.52083333333333204</v>
      </c>
      <c r="V1392" s="48">
        <v>0.5625</v>
      </c>
      <c r="W1392" s="49">
        <v>0.57291666666666663</v>
      </c>
      <c r="X1392" s="49">
        <v>0.58333333333333304</v>
      </c>
      <c r="Y1392" s="50">
        <v>0.59375</v>
      </c>
      <c r="Z1392" s="48">
        <v>0.60416666666666696</v>
      </c>
      <c r="AA1392" s="49">
        <v>0.61458333333333304</v>
      </c>
      <c r="AB1392" s="49">
        <v>0.625</v>
      </c>
      <c r="AC1392" s="50">
        <v>0.63541666666666596</v>
      </c>
      <c r="AD1392" s="48">
        <v>0.65625</v>
      </c>
      <c r="AE1392" s="49">
        <v>0.66666666666666663</v>
      </c>
      <c r="AF1392" s="49">
        <v>0.67708333333333304</v>
      </c>
      <c r="AG1392" s="50">
        <v>0.6875</v>
      </c>
      <c r="AH1392" s="48">
        <v>0.69791666666666696</v>
      </c>
      <c r="AI1392" s="49">
        <v>0.70833333333333304</v>
      </c>
      <c r="AJ1392" s="49">
        <v>0.71875</v>
      </c>
      <c r="AK1392" s="50">
        <v>0.72916666666666696</v>
      </c>
      <c r="AL1392" s="48">
        <v>0.73958333333333404</v>
      </c>
      <c r="AM1392" s="49">
        <v>0.750000000000001</v>
      </c>
      <c r="AN1392" s="49">
        <v>0.76041666666666796</v>
      </c>
      <c r="AO1392" s="50">
        <v>0.77083333333333504</v>
      </c>
      <c r="AP1392" s="48">
        <v>0.781250000000002</v>
      </c>
      <c r="AQ1392" s="49">
        <v>0.79166666666666896</v>
      </c>
      <c r="AR1392" s="49">
        <v>0.80208333333333603</v>
      </c>
      <c r="AS1392" s="50">
        <v>0.812500000000003</v>
      </c>
      <c r="AT1392" s="48">
        <v>0.82291666666666996</v>
      </c>
      <c r="AU1392" s="49">
        <v>0.83333333333333703</v>
      </c>
      <c r="AV1392" s="49">
        <v>0.843750000000004</v>
      </c>
      <c r="AW1392" s="50">
        <v>0.85416666666666663</v>
      </c>
      <c r="AX1392" s="68" t="s">
        <v>260</v>
      </c>
      <c r="AY1392" s="28" t="s">
        <v>261</v>
      </c>
      <c r="AZ1392" s="29" t="s">
        <v>262</v>
      </c>
      <c r="BA1392" s="136" t="str">
        <f>B1393</f>
        <v>Ütü</v>
      </c>
      <c r="BB1392" s="137"/>
      <c r="BC1392" s="137"/>
      <c r="BD1392" s="137"/>
      <c r="BE1392" s="137"/>
      <c r="BF1392" s="137"/>
      <c r="BG1392" s="137"/>
      <c r="BH1392" s="138"/>
    </row>
    <row r="1393" spans="1:60" s="17" customFormat="1" ht="19.5" customHeight="1" thickBot="1" x14ac:dyDescent="0.4">
      <c r="A1393" s="41">
        <f t="shared" ref="A1393" si="1406">A1392</f>
        <v>45446</v>
      </c>
      <c r="B1393" s="37" t="str">
        <f>B1217</f>
        <v>Ütü</v>
      </c>
      <c r="C1393" s="65" t="str">
        <f>C1217</f>
        <v>FARUK BİÇER</v>
      </c>
      <c r="D1393" s="70">
        <f>D1217</f>
        <v>45</v>
      </c>
      <c r="E1393" s="63"/>
      <c r="F1393" s="55"/>
      <c r="G1393" s="55"/>
      <c r="H1393" s="56"/>
      <c r="I1393" s="63"/>
      <c r="J1393" s="55"/>
      <c r="K1393" s="55"/>
      <c r="L1393" s="56"/>
      <c r="M1393" s="63"/>
      <c r="N1393" s="55"/>
      <c r="O1393" s="55"/>
      <c r="P1393" s="56"/>
      <c r="Q1393" s="63"/>
      <c r="R1393" s="55"/>
      <c r="S1393" s="55"/>
      <c r="T1393" s="55"/>
      <c r="U1393" s="56"/>
      <c r="V1393" s="63"/>
      <c r="W1393" s="55"/>
      <c r="X1393" s="55"/>
      <c r="Y1393" s="56"/>
      <c r="Z1393" s="63"/>
      <c r="AA1393" s="55"/>
      <c r="AB1393" s="55"/>
      <c r="AC1393" s="56"/>
      <c r="AD1393" s="63"/>
      <c r="AE1393" s="55"/>
      <c r="AF1393" s="55"/>
      <c r="AG1393" s="56"/>
      <c r="AH1393" s="63"/>
      <c r="AI1393" s="55"/>
      <c r="AJ1393" s="55"/>
      <c r="AK1393" s="56"/>
      <c r="AL1393" s="53"/>
      <c r="AM1393" s="54"/>
      <c r="AN1393" s="55"/>
      <c r="AO1393" s="56"/>
      <c r="AP1393" s="53"/>
      <c r="AQ1393" s="54"/>
      <c r="AR1393" s="55"/>
      <c r="AS1393" s="56"/>
      <c r="AT1393" s="53"/>
      <c r="AU1393" s="54"/>
      <c r="AV1393" s="55"/>
      <c r="AW1393" s="56"/>
      <c r="AX1393" s="33">
        <f>SUM(E1393:AW1393)</f>
        <v>0</v>
      </c>
      <c r="AY1393" s="31">
        <f>IFERROR(AVERAGEIF(E1393:AW1393,"&lt;&gt;0",(E1393:AW1393)),)</f>
        <v>0</v>
      </c>
      <c r="AZ1393" s="30">
        <f>IFERROR(AY1393/D1393,0)</f>
        <v>0</v>
      </c>
      <c r="BA1393" s="103" t="s">
        <v>182</v>
      </c>
      <c r="BB1393" s="100" t="s">
        <v>183</v>
      </c>
      <c r="BC1393" s="100" t="s">
        <v>184</v>
      </c>
      <c r="BD1393" s="101" t="s">
        <v>185</v>
      </c>
      <c r="BE1393" s="100" t="s">
        <v>186</v>
      </c>
      <c r="BF1393" s="102" t="s">
        <v>187</v>
      </c>
      <c r="BG1393" s="100" t="s">
        <v>188</v>
      </c>
      <c r="BH1393" s="102" t="s">
        <v>189</v>
      </c>
    </row>
    <row r="1394" spans="1:60" s="17" customFormat="1" ht="19.5" customHeight="1" thickBot="1" x14ac:dyDescent="0.4">
      <c r="A1394" s="41">
        <f t="shared" ref="A1394:B1394" si="1407">A1393</f>
        <v>45446</v>
      </c>
      <c r="B1394" s="37" t="str">
        <f t="shared" si="1407"/>
        <v>Ütü</v>
      </c>
      <c r="C1394" s="65" t="str">
        <f t="shared" ref="C1394:C1399" si="1408">C1218</f>
        <v>HANİFE BOZKURT</v>
      </c>
      <c r="D1394" s="67">
        <f t="shared" ref="D1394:D1399" si="1409">D1393</f>
        <v>45</v>
      </c>
      <c r="E1394" s="57"/>
      <c r="F1394" s="52"/>
      <c r="G1394" s="52"/>
      <c r="H1394" s="58"/>
      <c r="I1394" s="57"/>
      <c r="J1394" s="52"/>
      <c r="K1394" s="52"/>
      <c r="L1394" s="58"/>
      <c r="M1394" s="57"/>
      <c r="N1394" s="52"/>
      <c r="O1394" s="52"/>
      <c r="P1394" s="58"/>
      <c r="Q1394" s="57"/>
      <c r="R1394" s="52"/>
      <c r="S1394" s="52"/>
      <c r="T1394" s="52"/>
      <c r="U1394" s="58"/>
      <c r="V1394" s="57"/>
      <c r="W1394" s="52"/>
      <c r="X1394" s="52"/>
      <c r="Y1394" s="58"/>
      <c r="Z1394" s="57"/>
      <c r="AA1394" s="52"/>
      <c r="AB1394" s="52"/>
      <c r="AC1394" s="58"/>
      <c r="AD1394" s="57"/>
      <c r="AE1394" s="52"/>
      <c r="AF1394" s="52"/>
      <c r="AG1394" s="58"/>
      <c r="AH1394" s="57"/>
      <c r="AI1394" s="52"/>
      <c r="AJ1394" s="52"/>
      <c r="AK1394" s="58"/>
      <c r="AL1394" s="57"/>
      <c r="AM1394" s="52"/>
      <c r="AN1394" s="52"/>
      <c r="AO1394" s="58"/>
      <c r="AP1394" s="57"/>
      <c r="AQ1394" s="52"/>
      <c r="AR1394" s="52"/>
      <c r="AS1394" s="58"/>
      <c r="AT1394" s="57"/>
      <c r="AU1394" s="52"/>
      <c r="AV1394" s="52"/>
      <c r="AW1394" s="58"/>
      <c r="AX1394" s="33">
        <f t="shared" ref="AX1394:AX1399" si="1410">SUM(E1394:AW1394)</f>
        <v>0</v>
      </c>
      <c r="AY1394" s="31">
        <f t="shared" ref="AY1394:AY1399" si="1411">IFERROR(AVERAGEIF(E1394:AW1394,"&lt;&gt;0",(E1394:AW1394)),)</f>
        <v>0</v>
      </c>
      <c r="AZ1394" s="30">
        <f t="shared" ref="AZ1394:AZ1399" si="1412">IFERROR(AY1394/D1394,0)</f>
        <v>0</v>
      </c>
      <c r="BA1394" s="94">
        <f>AX1400+BA1218</f>
        <v>10947</v>
      </c>
      <c r="BB1394" s="95">
        <f>(D1382*8)</f>
        <v>4000</v>
      </c>
      <c r="BC1394" s="96">
        <f>C1237-BA1394</f>
        <v>31364</v>
      </c>
      <c r="BD1394" s="96">
        <f>BA1367-BA1394</f>
        <v>4561</v>
      </c>
      <c r="BE1394" s="97">
        <f>IFERROR(BC1394/E1400,0)</f>
        <v>0</v>
      </c>
      <c r="BF1394" s="98">
        <f>IFERROR(BE1394/9,0)</f>
        <v>0</v>
      </c>
      <c r="BG1394" s="97">
        <f>IFERROR(BC1394/AY1400,0)</f>
        <v>0</v>
      </c>
      <c r="BH1394" s="97">
        <f>IFERROR(BG1394/9,0)</f>
        <v>0</v>
      </c>
    </row>
    <row r="1395" spans="1:60" s="17" customFormat="1" ht="19.5" customHeight="1" x14ac:dyDescent="0.35">
      <c r="A1395" s="41">
        <f t="shared" ref="A1395:B1395" si="1413">A1394</f>
        <v>45446</v>
      </c>
      <c r="B1395" s="37" t="str">
        <f t="shared" si="1413"/>
        <v>Ütü</v>
      </c>
      <c r="C1395" s="65" t="str">
        <f t="shared" si="1408"/>
        <v>BAİSE KURTULDU</v>
      </c>
      <c r="D1395" s="67">
        <f t="shared" si="1409"/>
        <v>45</v>
      </c>
      <c r="E1395" s="57"/>
      <c r="F1395" s="52"/>
      <c r="G1395" s="52"/>
      <c r="H1395" s="58"/>
      <c r="I1395" s="57"/>
      <c r="J1395" s="52"/>
      <c r="K1395" s="52"/>
      <c r="L1395" s="58"/>
      <c r="M1395" s="57"/>
      <c r="N1395" s="52"/>
      <c r="O1395" s="52"/>
      <c r="P1395" s="58"/>
      <c r="Q1395" s="57"/>
      <c r="R1395" s="52"/>
      <c r="S1395" s="52"/>
      <c r="T1395" s="52"/>
      <c r="U1395" s="58"/>
      <c r="V1395" s="57"/>
      <c r="W1395" s="52"/>
      <c r="X1395" s="52"/>
      <c r="Y1395" s="58"/>
      <c r="Z1395" s="57"/>
      <c r="AA1395" s="52"/>
      <c r="AB1395" s="52"/>
      <c r="AC1395" s="58"/>
      <c r="AD1395" s="57"/>
      <c r="AE1395" s="52"/>
      <c r="AF1395" s="52"/>
      <c r="AG1395" s="58"/>
      <c r="AH1395" s="57"/>
      <c r="AI1395" s="52"/>
      <c r="AJ1395" s="52"/>
      <c r="AK1395" s="58"/>
      <c r="AL1395" s="57"/>
      <c r="AM1395" s="52"/>
      <c r="AN1395" s="52"/>
      <c r="AO1395" s="58"/>
      <c r="AP1395" s="57"/>
      <c r="AQ1395" s="52"/>
      <c r="AR1395" s="52"/>
      <c r="AS1395" s="58"/>
      <c r="AT1395" s="57"/>
      <c r="AU1395" s="52"/>
      <c r="AV1395" s="52"/>
      <c r="AW1395" s="58"/>
      <c r="AX1395" s="33">
        <f t="shared" si="1410"/>
        <v>0</v>
      </c>
      <c r="AY1395" s="31">
        <f t="shared" si="1411"/>
        <v>0</v>
      </c>
      <c r="AZ1395" s="30">
        <f t="shared" si="1412"/>
        <v>0</v>
      </c>
      <c r="BA1395" s="34"/>
      <c r="BB1395" s="34"/>
      <c r="BC1395" s="34"/>
      <c r="BD1395" s="76"/>
      <c r="BE1395" s="34"/>
      <c r="BF1395" s="34"/>
      <c r="BG1395" s="34"/>
      <c r="BH1395" s="34"/>
    </row>
    <row r="1396" spans="1:60" s="17" customFormat="1" ht="19.5" customHeight="1" x14ac:dyDescent="0.35">
      <c r="A1396" s="41">
        <f t="shared" ref="A1396:B1396" si="1414">A1395</f>
        <v>45446</v>
      </c>
      <c r="B1396" s="37" t="str">
        <f t="shared" si="1414"/>
        <v>Ütü</v>
      </c>
      <c r="C1396" s="65" t="str">
        <f t="shared" si="1408"/>
        <v>DERYA KESKİN</v>
      </c>
      <c r="D1396" s="67">
        <f t="shared" si="1409"/>
        <v>45</v>
      </c>
      <c r="E1396" s="57"/>
      <c r="F1396" s="52"/>
      <c r="G1396" s="52"/>
      <c r="H1396" s="58"/>
      <c r="I1396" s="57"/>
      <c r="J1396" s="52"/>
      <c r="K1396" s="52"/>
      <c r="L1396" s="58"/>
      <c r="M1396" s="57"/>
      <c r="N1396" s="52"/>
      <c r="O1396" s="52"/>
      <c r="P1396" s="58"/>
      <c r="Q1396" s="57"/>
      <c r="R1396" s="52"/>
      <c r="S1396" s="52"/>
      <c r="T1396" s="52"/>
      <c r="U1396" s="58"/>
      <c r="V1396" s="57"/>
      <c r="W1396" s="52"/>
      <c r="X1396" s="52"/>
      <c r="Y1396" s="58"/>
      <c r="Z1396" s="57"/>
      <c r="AA1396" s="52"/>
      <c r="AB1396" s="52"/>
      <c r="AC1396" s="58"/>
      <c r="AD1396" s="57"/>
      <c r="AE1396" s="52"/>
      <c r="AF1396" s="52"/>
      <c r="AG1396" s="58"/>
      <c r="AH1396" s="57"/>
      <c r="AI1396" s="52"/>
      <c r="AJ1396" s="52"/>
      <c r="AK1396" s="58"/>
      <c r="AL1396" s="57"/>
      <c r="AM1396" s="52"/>
      <c r="AN1396" s="52"/>
      <c r="AO1396" s="58"/>
      <c r="AP1396" s="57"/>
      <c r="AQ1396" s="52"/>
      <c r="AR1396" s="52"/>
      <c r="AS1396" s="58"/>
      <c r="AT1396" s="57"/>
      <c r="AU1396" s="52"/>
      <c r="AV1396" s="52"/>
      <c r="AW1396" s="58"/>
      <c r="AX1396" s="33">
        <f t="shared" si="1410"/>
        <v>0</v>
      </c>
      <c r="AY1396" s="31">
        <f t="shared" si="1411"/>
        <v>0</v>
      </c>
      <c r="AZ1396" s="30">
        <f t="shared" si="1412"/>
        <v>0</v>
      </c>
      <c r="BA1396" s="34"/>
      <c r="BB1396" s="34"/>
      <c r="BC1396" s="34"/>
      <c r="BD1396" s="76"/>
      <c r="BE1396" s="34"/>
      <c r="BF1396" s="34"/>
      <c r="BG1396" s="34"/>
      <c r="BH1396" s="34"/>
    </row>
    <row r="1397" spans="1:60" s="17" customFormat="1" ht="19.5" customHeight="1" x14ac:dyDescent="0.35">
      <c r="A1397" s="41">
        <f>A1394</f>
        <v>45446</v>
      </c>
      <c r="B1397" s="37" t="str">
        <f t="shared" ref="B1397" si="1415">B1396</f>
        <v>Ütü</v>
      </c>
      <c r="C1397" s="65" t="str">
        <f t="shared" si="1408"/>
        <v>NEDİME KÖSE</v>
      </c>
      <c r="D1397" s="67">
        <f t="shared" si="1409"/>
        <v>45</v>
      </c>
      <c r="E1397" s="57"/>
      <c r="F1397" s="52"/>
      <c r="G1397" s="52"/>
      <c r="H1397" s="58"/>
      <c r="I1397" s="57"/>
      <c r="J1397" s="52"/>
      <c r="K1397" s="52"/>
      <c r="L1397" s="58"/>
      <c r="M1397" s="57"/>
      <c r="N1397" s="52"/>
      <c r="O1397" s="52"/>
      <c r="P1397" s="58"/>
      <c r="Q1397" s="57"/>
      <c r="R1397" s="52"/>
      <c r="S1397" s="52"/>
      <c r="T1397" s="52"/>
      <c r="U1397" s="58"/>
      <c r="V1397" s="57"/>
      <c r="W1397" s="52"/>
      <c r="X1397" s="52"/>
      <c r="Y1397" s="58"/>
      <c r="Z1397" s="57"/>
      <c r="AA1397" s="52"/>
      <c r="AB1397" s="52"/>
      <c r="AC1397" s="58"/>
      <c r="AD1397" s="57"/>
      <c r="AE1397" s="52"/>
      <c r="AF1397" s="52"/>
      <c r="AG1397" s="58"/>
      <c r="AH1397" s="57"/>
      <c r="AI1397" s="52"/>
      <c r="AJ1397" s="52"/>
      <c r="AK1397" s="58"/>
      <c r="AL1397" s="57"/>
      <c r="AM1397" s="52"/>
      <c r="AN1397" s="52"/>
      <c r="AO1397" s="58"/>
      <c r="AP1397" s="57"/>
      <c r="AQ1397" s="52"/>
      <c r="AR1397" s="52"/>
      <c r="AS1397" s="58"/>
      <c r="AT1397" s="57"/>
      <c r="AU1397" s="52"/>
      <c r="AV1397" s="52"/>
      <c r="AW1397" s="58"/>
      <c r="AX1397" s="33">
        <f t="shared" si="1410"/>
        <v>0</v>
      </c>
      <c r="AY1397" s="31">
        <f t="shared" si="1411"/>
        <v>0</v>
      </c>
      <c r="AZ1397" s="30">
        <f t="shared" si="1412"/>
        <v>0</v>
      </c>
      <c r="BA1397" s="34"/>
      <c r="BB1397" s="34"/>
      <c r="BC1397" s="34"/>
      <c r="BD1397" s="76"/>
      <c r="BE1397" s="34"/>
      <c r="BF1397" s="34"/>
      <c r="BG1397" s="34"/>
      <c r="BH1397" s="34"/>
    </row>
    <row r="1398" spans="1:60" s="17" customFormat="1" ht="19.5" customHeight="1" x14ac:dyDescent="0.35">
      <c r="A1398" s="41">
        <f t="shared" ref="A1398:B1398" si="1416">A1397</f>
        <v>45446</v>
      </c>
      <c r="B1398" s="37" t="str">
        <f t="shared" si="1416"/>
        <v>Ütü</v>
      </c>
      <c r="C1398" s="65">
        <f t="shared" si="1408"/>
        <v>0</v>
      </c>
      <c r="D1398" s="67">
        <f t="shared" si="1409"/>
        <v>45</v>
      </c>
      <c r="E1398" s="57"/>
      <c r="F1398" s="52"/>
      <c r="G1398" s="52"/>
      <c r="H1398" s="58"/>
      <c r="I1398" s="57"/>
      <c r="J1398" s="52"/>
      <c r="K1398" s="52"/>
      <c r="L1398" s="58"/>
      <c r="M1398" s="57"/>
      <c r="N1398" s="52"/>
      <c r="O1398" s="52"/>
      <c r="P1398" s="78"/>
      <c r="Q1398" s="57"/>
      <c r="R1398" s="52"/>
      <c r="S1398" s="52"/>
      <c r="T1398" s="52"/>
      <c r="U1398" s="58"/>
      <c r="V1398" s="80"/>
      <c r="W1398" s="52"/>
      <c r="X1398" s="52"/>
      <c r="Y1398" s="58"/>
      <c r="Z1398" s="57"/>
      <c r="AA1398" s="52"/>
      <c r="AB1398" s="52"/>
      <c r="AC1398" s="58"/>
      <c r="AD1398" s="57"/>
      <c r="AE1398" s="52"/>
      <c r="AF1398" s="52"/>
      <c r="AG1398" s="58"/>
      <c r="AH1398" s="57"/>
      <c r="AI1398" s="52"/>
      <c r="AJ1398" s="52"/>
      <c r="AK1398" s="58"/>
      <c r="AL1398" s="57"/>
      <c r="AM1398" s="52"/>
      <c r="AN1398" s="52"/>
      <c r="AO1398" s="58"/>
      <c r="AP1398" s="57"/>
      <c r="AQ1398" s="52"/>
      <c r="AR1398" s="52"/>
      <c r="AS1398" s="58"/>
      <c r="AT1398" s="57"/>
      <c r="AU1398" s="52"/>
      <c r="AV1398" s="52"/>
      <c r="AW1398" s="58"/>
      <c r="AX1398" s="33">
        <f t="shared" si="1410"/>
        <v>0</v>
      </c>
      <c r="AY1398" s="31">
        <f t="shared" si="1411"/>
        <v>0</v>
      </c>
      <c r="AZ1398" s="30">
        <f t="shared" si="1412"/>
        <v>0</v>
      </c>
      <c r="BA1398" s="34"/>
      <c r="BB1398" s="34"/>
      <c r="BC1398" s="34"/>
      <c r="BD1398" s="76"/>
      <c r="BE1398" s="34"/>
      <c r="BF1398" s="34"/>
      <c r="BG1398" s="34"/>
      <c r="BH1398" s="34"/>
    </row>
    <row r="1399" spans="1:60" s="17" customFormat="1" ht="19.5" customHeight="1" thickBot="1" x14ac:dyDescent="0.4">
      <c r="A1399" s="41">
        <f t="shared" ref="A1399:B1399" si="1417">A1398</f>
        <v>45446</v>
      </c>
      <c r="B1399" s="37" t="str">
        <f t="shared" si="1417"/>
        <v>Ütü</v>
      </c>
      <c r="C1399" s="65">
        <f t="shared" si="1408"/>
        <v>0</v>
      </c>
      <c r="D1399" s="67">
        <f t="shared" si="1409"/>
        <v>45</v>
      </c>
      <c r="E1399" s="59"/>
      <c r="F1399" s="60"/>
      <c r="G1399" s="61"/>
      <c r="H1399" s="62"/>
      <c r="I1399" s="59"/>
      <c r="J1399" s="60"/>
      <c r="K1399" s="61"/>
      <c r="L1399" s="62"/>
      <c r="M1399" s="59"/>
      <c r="N1399" s="60"/>
      <c r="O1399" s="61"/>
      <c r="P1399" s="79"/>
      <c r="Q1399" s="64"/>
      <c r="R1399" s="61"/>
      <c r="S1399" s="61"/>
      <c r="T1399" s="61"/>
      <c r="U1399" s="62"/>
      <c r="V1399" s="81"/>
      <c r="W1399" s="60"/>
      <c r="X1399" s="61"/>
      <c r="Y1399" s="62"/>
      <c r="Z1399" s="59"/>
      <c r="AA1399" s="60"/>
      <c r="AB1399" s="61"/>
      <c r="AC1399" s="62"/>
      <c r="AD1399" s="59"/>
      <c r="AE1399" s="60"/>
      <c r="AF1399" s="61"/>
      <c r="AG1399" s="62"/>
      <c r="AH1399" s="59"/>
      <c r="AI1399" s="60"/>
      <c r="AJ1399" s="61"/>
      <c r="AK1399" s="62"/>
      <c r="AL1399" s="59"/>
      <c r="AM1399" s="60"/>
      <c r="AN1399" s="61"/>
      <c r="AO1399" s="62"/>
      <c r="AP1399" s="59"/>
      <c r="AQ1399" s="60"/>
      <c r="AR1399" s="61"/>
      <c r="AS1399" s="62"/>
      <c r="AT1399" s="59"/>
      <c r="AU1399" s="60"/>
      <c r="AV1399" s="61"/>
      <c r="AW1399" s="62"/>
      <c r="AX1399" s="33">
        <f t="shared" si="1410"/>
        <v>0</v>
      </c>
      <c r="AY1399" s="31">
        <f t="shared" si="1411"/>
        <v>0</v>
      </c>
      <c r="AZ1399" s="30">
        <f t="shared" si="1412"/>
        <v>0</v>
      </c>
      <c r="BA1399" s="34"/>
      <c r="BB1399" s="34"/>
      <c r="BC1399" s="34"/>
      <c r="BD1399" s="76"/>
      <c r="BE1399" s="34"/>
      <c r="BF1399" s="34"/>
      <c r="BG1399" s="34"/>
      <c r="BH1399" s="34"/>
    </row>
    <row r="1400" spans="1:60" s="17" customFormat="1" ht="19.5" customHeight="1" thickBot="1" x14ac:dyDescent="0.45">
      <c r="A1400" s="41">
        <f t="shared" ref="A1400" si="1418">A1399</f>
        <v>45446</v>
      </c>
      <c r="B1400" s="139" t="str">
        <f>B1393</f>
        <v>Ütü</v>
      </c>
      <c r="C1400" s="140"/>
      <c r="D1400" s="40">
        <f>C1238/8</f>
        <v>500</v>
      </c>
      <c r="E1400" s="141">
        <f>SUM(E1393:H1399)</f>
        <v>0</v>
      </c>
      <c r="F1400" s="142"/>
      <c r="G1400" s="142"/>
      <c r="H1400" s="143"/>
      <c r="I1400" s="141">
        <f>SUM(I1393:L1399)</f>
        <v>0</v>
      </c>
      <c r="J1400" s="142"/>
      <c r="K1400" s="142"/>
      <c r="L1400" s="143"/>
      <c r="M1400" s="141">
        <f>SUM(M1393:P1399)</f>
        <v>0</v>
      </c>
      <c r="N1400" s="142"/>
      <c r="O1400" s="142"/>
      <c r="P1400" s="143"/>
      <c r="Q1400" s="144">
        <f>SUM(Q1393:U1399)</f>
        <v>0</v>
      </c>
      <c r="R1400" s="145"/>
      <c r="S1400" s="145"/>
      <c r="T1400" s="145"/>
      <c r="U1400" s="146"/>
      <c r="V1400" s="141">
        <f>SUM(V1393:Y1399)</f>
        <v>0</v>
      </c>
      <c r="W1400" s="142"/>
      <c r="X1400" s="142"/>
      <c r="Y1400" s="143"/>
      <c r="Z1400" s="141">
        <f>SUM(Z1393:AC1399)</f>
        <v>0</v>
      </c>
      <c r="AA1400" s="142"/>
      <c r="AB1400" s="142"/>
      <c r="AC1400" s="143"/>
      <c r="AD1400" s="147">
        <f>SUM(AD1393:AG1399)</f>
        <v>0</v>
      </c>
      <c r="AE1400" s="148"/>
      <c r="AF1400" s="148"/>
      <c r="AG1400" s="149"/>
      <c r="AH1400" s="147">
        <f>SUM(AH1393:AK1399)</f>
        <v>0</v>
      </c>
      <c r="AI1400" s="148"/>
      <c r="AJ1400" s="148"/>
      <c r="AK1400" s="149"/>
      <c r="AL1400" s="147">
        <f>SUM(AL1393:AO1399)</f>
        <v>0</v>
      </c>
      <c r="AM1400" s="148"/>
      <c r="AN1400" s="148"/>
      <c r="AO1400" s="149"/>
      <c r="AP1400" s="147">
        <f>SUM(AP1393:AS1399)</f>
        <v>0</v>
      </c>
      <c r="AQ1400" s="148"/>
      <c r="AR1400" s="148"/>
      <c r="AS1400" s="149"/>
      <c r="AT1400" s="147">
        <f>SUM(AT1393:AW1399)</f>
        <v>0</v>
      </c>
      <c r="AU1400" s="148"/>
      <c r="AV1400" s="148"/>
      <c r="AW1400" s="149"/>
      <c r="AX1400" s="87">
        <f>SUM(AX1393:AX1399)</f>
        <v>0</v>
      </c>
      <c r="AY1400" s="88">
        <f>IFERROR(AVERAGEIF(E1400:AV1400,"&lt;&gt;0",(E1400:AV1400)),)</f>
        <v>0</v>
      </c>
      <c r="AZ1400" s="46">
        <f>IFERROR(AX1400/BB1394,0)</f>
        <v>0</v>
      </c>
      <c r="BA1400" s="34"/>
      <c r="BB1400" s="34"/>
      <c r="BC1400" s="34"/>
      <c r="BD1400" s="76"/>
      <c r="BE1400" s="34"/>
      <c r="BF1400" s="34"/>
      <c r="BG1400" s="34"/>
      <c r="BH1400" s="34"/>
    </row>
    <row r="1401" spans="1:60" s="17" customFormat="1" ht="19.5" customHeight="1" thickBot="1" x14ac:dyDescent="0.4">
      <c r="A1401" s="115">
        <f>A1392</f>
        <v>45446</v>
      </c>
      <c r="B1401" s="113" t="str">
        <f>B1402</f>
        <v>Kalite</v>
      </c>
      <c r="C1401" s="39" t="s">
        <v>180</v>
      </c>
      <c r="D1401" s="69" t="s">
        <v>181</v>
      </c>
      <c r="E1401" s="48">
        <v>0.34375</v>
      </c>
      <c r="F1401" s="49">
        <v>0.35416666666666669</v>
      </c>
      <c r="G1401" s="49">
        <v>0.36458333333333331</v>
      </c>
      <c r="H1401" s="50">
        <v>0.375</v>
      </c>
      <c r="I1401" s="48">
        <v>0.38541666666666702</v>
      </c>
      <c r="J1401" s="49">
        <v>0.39583333333333298</v>
      </c>
      <c r="K1401" s="49">
        <v>0.40625</v>
      </c>
      <c r="L1401" s="50">
        <v>0.41666666666666702</v>
      </c>
      <c r="M1401" s="48">
        <v>0.4375</v>
      </c>
      <c r="N1401" s="49">
        <v>0.44791666666666702</v>
      </c>
      <c r="O1401" s="49">
        <v>0.45833333333333398</v>
      </c>
      <c r="P1401" s="50">
        <v>0.46875</v>
      </c>
      <c r="Q1401" s="82">
        <v>0.47916666666666702</v>
      </c>
      <c r="R1401" s="83">
        <v>0.48958333333333398</v>
      </c>
      <c r="S1401" s="83">
        <v>0.5</v>
      </c>
      <c r="T1401" s="84">
        <v>0.51041666666666696</v>
      </c>
      <c r="U1401" s="85">
        <v>0.52083333333333204</v>
      </c>
      <c r="V1401" s="48">
        <v>0.5625</v>
      </c>
      <c r="W1401" s="49">
        <v>0.57291666666666663</v>
      </c>
      <c r="X1401" s="49">
        <v>0.58333333333333304</v>
      </c>
      <c r="Y1401" s="50">
        <v>0.59375</v>
      </c>
      <c r="Z1401" s="48">
        <v>0.60416666666666696</v>
      </c>
      <c r="AA1401" s="49">
        <v>0.61458333333333304</v>
      </c>
      <c r="AB1401" s="49">
        <v>0.625</v>
      </c>
      <c r="AC1401" s="50">
        <v>0.63541666666666596</v>
      </c>
      <c r="AD1401" s="48">
        <v>0.65625</v>
      </c>
      <c r="AE1401" s="49">
        <v>0.66666666666666663</v>
      </c>
      <c r="AF1401" s="49">
        <v>0.67708333333333304</v>
      </c>
      <c r="AG1401" s="50">
        <v>0.6875</v>
      </c>
      <c r="AH1401" s="48">
        <v>0.69791666666666696</v>
      </c>
      <c r="AI1401" s="49">
        <v>0.70833333333333304</v>
      </c>
      <c r="AJ1401" s="49">
        <v>0.71875</v>
      </c>
      <c r="AK1401" s="50">
        <v>0.72916666666666696</v>
      </c>
      <c r="AL1401" s="48">
        <v>0.73958333333333404</v>
      </c>
      <c r="AM1401" s="49">
        <v>0.750000000000001</v>
      </c>
      <c r="AN1401" s="49">
        <v>0.76041666666666796</v>
      </c>
      <c r="AO1401" s="50">
        <v>0.77083333333333504</v>
      </c>
      <c r="AP1401" s="48">
        <v>0.781250000000002</v>
      </c>
      <c r="AQ1401" s="49">
        <v>0.79166666666666896</v>
      </c>
      <c r="AR1401" s="49">
        <v>0.80208333333333603</v>
      </c>
      <c r="AS1401" s="50">
        <v>0.812500000000003</v>
      </c>
      <c r="AT1401" s="48">
        <v>0.82291666666666996</v>
      </c>
      <c r="AU1401" s="49">
        <v>0.83333333333333703</v>
      </c>
      <c r="AV1401" s="49">
        <v>0.843750000000004</v>
      </c>
      <c r="AW1401" s="50">
        <v>0.85416666666666663</v>
      </c>
      <c r="AX1401" s="68" t="s">
        <v>260</v>
      </c>
      <c r="AY1401" s="28" t="s">
        <v>261</v>
      </c>
      <c r="AZ1401" s="29" t="s">
        <v>262</v>
      </c>
      <c r="BA1401" s="136" t="str">
        <f>B1402</f>
        <v>Kalite</v>
      </c>
      <c r="BB1401" s="137"/>
      <c r="BC1401" s="137"/>
      <c r="BD1401" s="137"/>
      <c r="BE1401" s="137"/>
      <c r="BF1401" s="137"/>
      <c r="BG1401" s="137"/>
      <c r="BH1401" s="138"/>
    </row>
    <row r="1402" spans="1:60" s="17" customFormat="1" ht="19.5" customHeight="1" thickBot="1" x14ac:dyDescent="0.4">
      <c r="A1402" s="116">
        <f t="shared" ref="A1402" si="1419">A1401</f>
        <v>45446</v>
      </c>
      <c r="B1402" s="114" t="str">
        <f>B1226</f>
        <v>Kalite</v>
      </c>
      <c r="C1402" s="65" t="str">
        <f>C1226</f>
        <v>MELAHAT EROL</v>
      </c>
      <c r="D1402" s="70">
        <f>D1226</f>
        <v>28</v>
      </c>
      <c r="E1402" s="63"/>
      <c r="F1402" s="55"/>
      <c r="G1402" s="55"/>
      <c r="H1402" s="56"/>
      <c r="I1402" s="63"/>
      <c r="J1402" s="55"/>
      <c r="K1402" s="55"/>
      <c r="L1402" s="56"/>
      <c r="M1402" s="63"/>
      <c r="N1402" s="55"/>
      <c r="O1402" s="55"/>
      <c r="P1402" s="56"/>
      <c r="Q1402" s="63"/>
      <c r="R1402" s="55"/>
      <c r="S1402" s="55"/>
      <c r="T1402" s="55"/>
      <c r="U1402" s="56"/>
      <c r="V1402" s="63"/>
      <c r="W1402" s="55"/>
      <c r="X1402" s="55"/>
      <c r="Y1402" s="56"/>
      <c r="Z1402" s="63"/>
      <c r="AA1402" s="55"/>
      <c r="AB1402" s="55"/>
      <c r="AC1402" s="56"/>
      <c r="AD1402" s="63"/>
      <c r="AE1402" s="55"/>
      <c r="AF1402" s="55"/>
      <c r="AG1402" s="56"/>
      <c r="AH1402" s="63"/>
      <c r="AI1402" s="55"/>
      <c r="AJ1402" s="55"/>
      <c r="AK1402" s="56"/>
      <c r="AL1402" s="53"/>
      <c r="AM1402" s="54"/>
      <c r="AN1402" s="55"/>
      <c r="AO1402" s="56"/>
      <c r="AP1402" s="53"/>
      <c r="AQ1402" s="54"/>
      <c r="AR1402" s="55"/>
      <c r="AS1402" s="56"/>
      <c r="AT1402" s="53"/>
      <c r="AU1402" s="54"/>
      <c r="AV1402" s="55"/>
      <c r="AW1402" s="56"/>
      <c r="AX1402" s="33">
        <f>SUM(E1402:AW1402)</f>
        <v>0</v>
      </c>
      <c r="AY1402" s="31">
        <f>IFERROR(AVERAGEIF(E1402:AW1402,"&lt;&gt;0",(E1402:AW1402)),)</f>
        <v>0</v>
      </c>
      <c r="AZ1402" s="30">
        <f>IFERROR(AY1402/D1402,0)</f>
        <v>0</v>
      </c>
      <c r="BA1402" s="103" t="s">
        <v>182</v>
      </c>
      <c r="BB1402" s="100" t="s">
        <v>183</v>
      </c>
      <c r="BC1402" s="100" t="s">
        <v>184</v>
      </c>
      <c r="BD1402" s="101" t="s">
        <v>185</v>
      </c>
      <c r="BE1402" s="100" t="s">
        <v>186</v>
      </c>
      <c r="BF1402" s="102" t="s">
        <v>187</v>
      </c>
      <c r="BG1402" s="100" t="s">
        <v>188</v>
      </c>
      <c r="BH1402" s="102" t="s">
        <v>189</v>
      </c>
    </row>
    <row r="1403" spans="1:60" s="17" customFormat="1" ht="19.5" customHeight="1" thickBot="1" x14ac:dyDescent="0.4">
      <c r="A1403" s="116">
        <f t="shared" ref="A1403:B1403" si="1420">A1402</f>
        <v>45446</v>
      </c>
      <c r="B1403" s="114" t="str">
        <f t="shared" si="1420"/>
        <v>Kalite</v>
      </c>
      <c r="C1403" s="65" t="str">
        <f t="shared" ref="C1403:C1408" si="1421">C1227</f>
        <v>DERYA KESKİN</v>
      </c>
      <c r="D1403" s="67">
        <f t="shared" ref="D1403:D1408" si="1422">D1402</f>
        <v>28</v>
      </c>
      <c r="E1403" s="57"/>
      <c r="F1403" s="52"/>
      <c r="G1403" s="52"/>
      <c r="H1403" s="58"/>
      <c r="I1403" s="57"/>
      <c r="J1403" s="52"/>
      <c r="K1403" s="52"/>
      <c r="L1403" s="58"/>
      <c r="M1403" s="57"/>
      <c r="N1403" s="52"/>
      <c r="O1403" s="52"/>
      <c r="P1403" s="58"/>
      <c r="Q1403" s="57"/>
      <c r="R1403" s="52"/>
      <c r="S1403" s="52"/>
      <c r="T1403" s="52"/>
      <c r="U1403" s="58"/>
      <c r="V1403" s="57"/>
      <c r="W1403" s="52"/>
      <c r="X1403" s="52"/>
      <c r="Y1403" s="58"/>
      <c r="Z1403" s="57"/>
      <c r="AA1403" s="52"/>
      <c r="AB1403" s="52"/>
      <c r="AC1403" s="58"/>
      <c r="AD1403" s="57"/>
      <c r="AE1403" s="52"/>
      <c r="AF1403" s="52"/>
      <c r="AG1403" s="58"/>
      <c r="AH1403" s="57"/>
      <c r="AI1403" s="52"/>
      <c r="AJ1403" s="52"/>
      <c r="AK1403" s="58"/>
      <c r="AL1403" s="57"/>
      <c r="AM1403" s="52"/>
      <c r="AN1403" s="52"/>
      <c r="AO1403" s="58"/>
      <c r="AP1403" s="57"/>
      <c r="AQ1403" s="52"/>
      <c r="AR1403" s="52"/>
      <c r="AS1403" s="58"/>
      <c r="AT1403" s="57"/>
      <c r="AU1403" s="52"/>
      <c r="AV1403" s="52"/>
      <c r="AW1403" s="58"/>
      <c r="AX1403" s="33">
        <f t="shared" ref="AX1403:AX1408" si="1423">SUM(E1403:AW1403)</f>
        <v>0</v>
      </c>
      <c r="AY1403" s="31">
        <f t="shared" ref="AY1403:AY1408" si="1424">IFERROR(AVERAGEIF(E1403:AW1403,"&lt;&gt;0",(E1403:AW1403)),)</f>
        <v>0</v>
      </c>
      <c r="AZ1403" s="30">
        <f t="shared" ref="AZ1403:AZ1408" si="1425">IFERROR(AY1403/D1403,0)</f>
        <v>0</v>
      </c>
      <c r="BA1403" s="94">
        <f>AX1409+BA1227</f>
        <v>10543</v>
      </c>
      <c r="BB1403" s="95">
        <f>(D1409*8)</f>
        <v>4000</v>
      </c>
      <c r="BC1403" s="96">
        <f>C1237-BA1403</f>
        <v>31768</v>
      </c>
      <c r="BD1403" s="96">
        <f>BA1394-BA1403</f>
        <v>404</v>
      </c>
      <c r="BE1403" s="97">
        <f>IFERROR(BC1403/E1409,0)</f>
        <v>0</v>
      </c>
      <c r="BF1403" s="98">
        <f>IFERROR(BE1403/9,0)</f>
        <v>0</v>
      </c>
      <c r="BG1403" s="97">
        <f>IFERROR(BC1403/AY1409,0)</f>
        <v>0</v>
      </c>
      <c r="BH1403" s="97">
        <f>IFERROR(BG1403/9,0)</f>
        <v>0</v>
      </c>
    </row>
    <row r="1404" spans="1:60" s="17" customFormat="1" ht="19.5" customHeight="1" x14ac:dyDescent="0.35">
      <c r="A1404" s="116">
        <f t="shared" ref="A1404:B1404" si="1426">A1403</f>
        <v>45446</v>
      </c>
      <c r="B1404" s="114" t="str">
        <f t="shared" si="1426"/>
        <v>Kalite</v>
      </c>
      <c r="C1404" s="65" t="str">
        <f t="shared" si="1421"/>
        <v>GÜLCAN MUHTANCI</v>
      </c>
      <c r="D1404" s="67">
        <f t="shared" si="1422"/>
        <v>28</v>
      </c>
      <c r="E1404" s="57"/>
      <c r="F1404" s="52"/>
      <c r="G1404" s="52"/>
      <c r="H1404" s="58"/>
      <c r="I1404" s="57"/>
      <c r="J1404" s="52"/>
      <c r="K1404" s="52"/>
      <c r="L1404" s="58"/>
      <c r="M1404" s="57"/>
      <c r="N1404" s="52"/>
      <c r="O1404" s="52"/>
      <c r="P1404" s="58"/>
      <c r="Q1404" s="57"/>
      <c r="R1404" s="52"/>
      <c r="S1404" s="52"/>
      <c r="T1404" s="52"/>
      <c r="U1404" s="58"/>
      <c r="V1404" s="57"/>
      <c r="W1404" s="52"/>
      <c r="X1404" s="52"/>
      <c r="Y1404" s="58"/>
      <c r="Z1404" s="57"/>
      <c r="AA1404" s="52"/>
      <c r="AB1404" s="52"/>
      <c r="AC1404" s="58"/>
      <c r="AD1404" s="57"/>
      <c r="AE1404" s="52"/>
      <c r="AF1404" s="52"/>
      <c r="AG1404" s="58"/>
      <c r="AH1404" s="57"/>
      <c r="AI1404" s="52"/>
      <c r="AJ1404" s="52"/>
      <c r="AK1404" s="58"/>
      <c r="AL1404" s="57"/>
      <c r="AM1404" s="52"/>
      <c r="AN1404" s="52"/>
      <c r="AO1404" s="58"/>
      <c r="AP1404" s="57"/>
      <c r="AQ1404" s="52"/>
      <c r="AR1404" s="52"/>
      <c r="AS1404" s="58"/>
      <c r="AT1404" s="57"/>
      <c r="AU1404" s="52"/>
      <c r="AV1404" s="52"/>
      <c r="AW1404" s="58"/>
      <c r="AX1404" s="33">
        <f t="shared" si="1423"/>
        <v>0</v>
      </c>
      <c r="AY1404" s="31">
        <f t="shared" si="1424"/>
        <v>0</v>
      </c>
      <c r="AZ1404" s="30">
        <f t="shared" si="1425"/>
        <v>0</v>
      </c>
      <c r="BA1404" s="34"/>
      <c r="BB1404" s="34"/>
      <c r="BC1404" s="34"/>
      <c r="BD1404" s="76"/>
      <c r="BE1404" s="34"/>
      <c r="BF1404" s="34"/>
      <c r="BG1404" s="34"/>
      <c r="BH1404" s="34"/>
    </row>
    <row r="1405" spans="1:60" s="17" customFormat="1" ht="19.5" customHeight="1" x14ac:dyDescent="0.35">
      <c r="A1405" s="116">
        <f t="shared" ref="A1405:B1405" si="1427">A1404</f>
        <v>45446</v>
      </c>
      <c r="B1405" s="114" t="str">
        <f t="shared" si="1427"/>
        <v>Kalite</v>
      </c>
      <c r="C1405" s="65" t="str">
        <f t="shared" si="1421"/>
        <v>NEZAHAT ALTIN</v>
      </c>
      <c r="D1405" s="67">
        <f t="shared" si="1422"/>
        <v>28</v>
      </c>
      <c r="E1405" s="57"/>
      <c r="F1405" s="52"/>
      <c r="G1405" s="52"/>
      <c r="H1405" s="58"/>
      <c r="I1405" s="57"/>
      <c r="J1405" s="52"/>
      <c r="K1405" s="52"/>
      <c r="L1405" s="58"/>
      <c r="M1405" s="57"/>
      <c r="N1405" s="52"/>
      <c r="O1405" s="52"/>
      <c r="P1405" s="58"/>
      <c r="Q1405" s="57"/>
      <c r="R1405" s="52"/>
      <c r="S1405" s="52"/>
      <c r="T1405" s="52"/>
      <c r="U1405" s="58"/>
      <c r="V1405" s="57"/>
      <c r="W1405" s="52"/>
      <c r="X1405" s="52"/>
      <c r="Y1405" s="58"/>
      <c r="Z1405" s="57"/>
      <c r="AA1405" s="52"/>
      <c r="AB1405" s="52"/>
      <c r="AC1405" s="58"/>
      <c r="AD1405" s="57"/>
      <c r="AE1405" s="52"/>
      <c r="AF1405" s="52"/>
      <c r="AG1405" s="58"/>
      <c r="AH1405" s="57"/>
      <c r="AI1405" s="52"/>
      <c r="AJ1405" s="52"/>
      <c r="AK1405" s="58"/>
      <c r="AL1405" s="57"/>
      <c r="AM1405" s="52"/>
      <c r="AN1405" s="52"/>
      <c r="AO1405" s="58"/>
      <c r="AP1405" s="57"/>
      <c r="AQ1405" s="52"/>
      <c r="AR1405" s="52"/>
      <c r="AS1405" s="58"/>
      <c r="AT1405" s="57"/>
      <c r="AU1405" s="52"/>
      <c r="AV1405" s="52"/>
      <c r="AW1405" s="58"/>
      <c r="AX1405" s="33">
        <f t="shared" si="1423"/>
        <v>0</v>
      </c>
      <c r="AY1405" s="31">
        <f t="shared" si="1424"/>
        <v>0</v>
      </c>
      <c r="AZ1405" s="30">
        <f t="shared" si="1425"/>
        <v>0</v>
      </c>
      <c r="BA1405" s="34"/>
      <c r="BB1405" s="34"/>
      <c r="BC1405" s="34"/>
      <c r="BD1405" s="76"/>
      <c r="BE1405" s="34"/>
      <c r="BF1405" s="34"/>
      <c r="BG1405" s="34"/>
      <c r="BH1405" s="34"/>
    </row>
    <row r="1406" spans="1:60" s="17" customFormat="1" ht="19.5" customHeight="1" x14ac:dyDescent="0.35">
      <c r="A1406" s="116">
        <f>A1403</f>
        <v>45446</v>
      </c>
      <c r="B1406" s="114" t="str">
        <f t="shared" ref="B1406" si="1428">B1405</f>
        <v>Kalite</v>
      </c>
      <c r="C1406" s="65" t="str">
        <f t="shared" si="1421"/>
        <v>NEDİME KÖSE</v>
      </c>
      <c r="D1406" s="67">
        <f t="shared" si="1422"/>
        <v>28</v>
      </c>
      <c r="E1406" s="57"/>
      <c r="F1406" s="52"/>
      <c r="G1406" s="52"/>
      <c r="H1406" s="58"/>
      <c r="I1406" s="57"/>
      <c r="J1406" s="52"/>
      <c r="K1406" s="52"/>
      <c r="L1406" s="58"/>
      <c r="M1406" s="57"/>
      <c r="N1406" s="52"/>
      <c r="O1406" s="52"/>
      <c r="P1406" s="58"/>
      <c r="Q1406" s="57"/>
      <c r="R1406" s="52"/>
      <c r="S1406" s="52"/>
      <c r="T1406" s="52"/>
      <c r="U1406" s="58"/>
      <c r="V1406" s="57"/>
      <c r="W1406" s="52"/>
      <c r="X1406" s="52"/>
      <c r="Y1406" s="58"/>
      <c r="Z1406" s="57"/>
      <c r="AA1406" s="52"/>
      <c r="AB1406" s="52"/>
      <c r="AC1406" s="58"/>
      <c r="AD1406" s="57"/>
      <c r="AE1406" s="52"/>
      <c r="AF1406" s="52"/>
      <c r="AG1406" s="58"/>
      <c r="AH1406" s="57"/>
      <c r="AI1406" s="52"/>
      <c r="AJ1406" s="52"/>
      <c r="AK1406" s="58"/>
      <c r="AL1406" s="57"/>
      <c r="AM1406" s="52"/>
      <c r="AN1406" s="52"/>
      <c r="AO1406" s="58"/>
      <c r="AP1406" s="57"/>
      <c r="AQ1406" s="52"/>
      <c r="AR1406" s="52"/>
      <c r="AS1406" s="58"/>
      <c r="AT1406" s="57"/>
      <c r="AU1406" s="52"/>
      <c r="AV1406" s="52"/>
      <c r="AW1406" s="58"/>
      <c r="AX1406" s="33">
        <f t="shared" si="1423"/>
        <v>0</v>
      </c>
      <c r="AY1406" s="31">
        <f t="shared" si="1424"/>
        <v>0</v>
      </c>
      <c r="AZ1406" s="30">
        <f t="shared" si="1425"/>
        <v>0</v>
      </c>
      <c r="BA1406" s="34"/>
      <c r="BB1406" s="34"/>
      <c r="BC1406" s="34"/>
      <c r="BD1406" s="76"/>
      <c r="BE1406" s="34"/>
      <c r="BF1406" s="34"/>
      <c r="BG1406" s="34"/>
      <c r="BH1406" s="34"/>
    </row>
    <row r="1407" spans="1:60" s="17" customFormat="1" ht="19.5" customHeight="1" x14ac:dyDescent="0.35">
      <c r="A1407" s="116">
        <f t="shared" ref="A1407:B1407" si="1429">A1406</f>
        <v>45446</v>
      </c>
      <c r="B1407" s="114" t="str">
        <f t="shared" si="1429"/>
        <v>Kalite</v>
      </c>
      <c r="C1407" s="65" t="str">
        <f t="shared" si="1421"/>
        <v>ESRA DURSUN</v>
      </c>
      <c r="D1407" s="67">
        <f t="shared" si="1422"/>
        <v>28</v>
      </c>
      <c r="E1407" s="57"/>
      <c r="F1407" s="52"/>
      <c r="G1407" s="52"/>
      <c r="H1407" s="58"/>
      <c r="I1407" s="57"/>
      <c r="J1407" s="52"/>
      <c r="K1407" s="52"/>
      <c r="L1407" s="58"/>
      <c r="M1407" s="57"/>
      <c r="N1407" s="52"/>
      <c r="O1407" s="52"/>
      <c r="P1407" s="78"/>
      <c r="Q1407" s="57"/>
      <c r="R1407" s="52"/>
      <c r="S1407" s="52"/>
      <c r="T1407" s="52"/>
      <c r="U1407" s="58"/>
      <c r="V1407" s="80"/>
      <c r="W1407" s="52"/>
      <c r="X1407" s="52"/>
      <c r="Y1407" s="58"/>
      <c r="Z1407" s="57"/>
      <c r="AA1407" s="52"/>
      <c r="AB1407" s="52"/>
      <c r="AC1407" s="58"/>
      <c r="AD1407" s="57"/>
      <c r="AE1407" s="52"/>
      <c r="AF1407" s="52"/>
      <c r="AG1407" s="58"/>
      <c r="AH1407" s="57"/>
      <c r="AI1407" s="52"/>
      <c r="AJ1407" s="52"/>
      <c r="AK1407" s="58"/>
      <c r="AL1407" s="57"/>
      <c r="AM1407" s="52"/>
      <c r="AN1407" s="52"/>
      <c r="AO1407" s="58"/>
      <c r="AP1407" s="57"/>
      <c r="AQ1407" s="52"/>
      <c r="AR1407" s="52"/>
      <c r="AS1407" s="58"/>
      <c r="AT1407" s="57"/>
      <c r="AU1407" s="52"/>
      <c r="AV1407" s="52"/>
      <c r="AW1407" s="58"/>
      <c r="AX1407" s="33">
        <f t="shared" si="1423"/>
        <v>0</v>
      </c>
      <c r="AY1407" s="31">
        <f t="shared" si="1424"/>
        <v>0</v>
      </c>
      <c r="AZ1407" s="30">
        <f t="shared" si="1425"/>
        <v>0</v>
      </c>
      <c r="BA1407" s="34"/>
      <c r="BB1407" s="34"/>
      <c r="BC1407" s="34"/>
      <c r="BD1407" s="76"/>
      <c r="BE1407" s="34"/>
      <c r="BF1407" s="34"/>
      <c r="BG1407" s="34"/>
      <c r="BH1407" s="34"/>
    </row>
    <row r="1408" spans="1:60" s="17" customFormat="1" ht="19.5" customHeight="1" thickBot="1" x14ac:dyDescent="0.4">
      <c r="A1408" s="116">
        <f t="shared" ref="A1408:B1408" si="1430">A1407</f>
        <v>45446</v>
      </c>
      <c r="B1408" s="114" t="str">
        <f t="shared" si="1430"/>
        <v>Kalite</v>
      </c>
      <c r="C1408" s="65" t="str">
        <f t="shared" si="1421"/>
        <v>NECLA KOÇ</v>
      </c>
      <c r="D1408" s="67">
        <f t="shared" si="1422"/>
        <v>28</v>
      </c>
      <c r="E1408" s="59"/>
      <c r="F1408" s="60"/>
      <c r="G1408" s="61"/>
      <c r="H1408" s="62"/>
      <c r="I1408" s="59"/>
      <c r="J1408" s="60"/>
      <c r="K1408" s="61"/>
      <c r="L1408" s="62"/>
      <c r="M1408" s="59"/>
      <c r="N1408" s="60"/>
      <c r="O1408" s="61"/>
      <c r="P1408" s="79"/>
      <c r="Q1408" s="64"/>
      <c r="R1408" s="61"/>
      <c r="S1408" s="61"/>
      <c r="T1408" s="61"/>
      <c r="U1408" s="62"/>
      <c r="V1408" s="81"/>
      <c r="W1408" s="60"/>
      <c r="X1408" s="61"/>
      <c r="Y1408" s="62"/>
      <c r="Z1408" s="59"/>
      <c r="AA1408" s="60"/>
      <c r="AB1408" s="61"/>
      <c r="AC1408" s="62"/>
      <c r="AD1408" s="59"/>
      <c r="AE1408" s="60"/>
      <c r="AF1408" s="61"/>
      <c r="AG1408" s="62"/>
      <c r="AH1408" s="59"/>
      <c r="AI1408" s="60"/>
      <c r="AJ1408" s="61"/>
      <c r="AK1408" s="62"/>
      <c r="AL1408" s="59"/>
      <c r="AM1408" s="60"/>
      <c r="AN1408" s="61"/>
      <c r="AO1408" s="62"/>
      <c r="AP1408" s="59"/>
      <c r="AQ1408" s="60"/>
      <c r="AR1408" s="61"/>
      <c r="AS1408" s="62"/>
      <c r="AT1408" s="59"/>
      <c r="AU1408" s="60"/>
      <c r="AV1408" s="61"/>
      <c r="AW1408" s="62"/>
      <c r="AX1408" s="33">
        <f t="shared" si="1423"/>
        <v>0</v>
      </c>
      <c r="AY1408" s="31">
        <f t="shared" si="1424"/>
        <v>0</v>
      </c>
      <c r="AZ1408" s="30">
        <f t="shared" si="1425"/>
        <v>0</v>
      </c>
      <c r="BA1408" s="34"/>
      <c r="BB1408" s="34"/>
      <c r="BC1408" s="34"/>
      <c r="BD1408" s="76"/>
      <c r="BE1408" s="34"/>
      <c r="BF1408" s="34"/>
      <c r="BG1408" s="34"/>
      <c r="BH1408" s="34"/>
    </row>
    <row r="1409" spans="1:60" s="17" customFormat="1" ht="19.5" customHeight="1" thickBot="1" x14ac:dyDescent="0.45">
      <c r="A1409" s="117">
        <f t="shared" ref="A1409" si="1431">A1408</f>
        <v>45446</v>
      </c>
      <c r="B1409" s="150" t="str">
        <f>B1402</f>
        <v>Kalite</v>
      </c>
      <c r="C1409" s="140"/>
      <c r="D1409" s="40">
        <f>C1238/8</f>
        <v>500</v>
      </c>
      <c r="E1409" s="147">
        <f>SUM(E1402:H1408)</f>
        <v>0</v>
      </c>
      <c r="F1409" s="148"/>
      <c r="G1409" s="148"/>
      <c r="H1409" s="149"/>
      <c r="I1409" s="147">
        <f>SUM(I1402:L1408)</f>
        <v>0</v>
      </c>
      <c r="J1409" s="148"/>
      <c r="K1409" s="148"/>
      <c r="L1409" s="149"/>
      <c r="M1409" s="147">
        <f>SUM(M1402:P1408)</f>
        <v>0</v>
      </c>
      <c r="N1409" s="148"/>
      <c r="O1409" s="148"/>
      <c r="P1409" s="149"/>
      <c r="Q1409" s="147">
        <f>SUM(Q1402:U1408)</f>
        <v>0</v>
      </c>
      <c r="R1409" s="148"/>
      <c r="S1409" s="148"/>
      <c r="T1409" s="148"/>
      <c r="U1409" s="149"/>
      <c r="V1409" s="147">
        <f>SUM(V1402:Y1408)</f>
        <v>0</v>
      </c>
      <c r="W1409" s="148"/>
      <c r="X1409" s="148"/>
      <c r="Y1409" s="149"/>
      <c r="Z1409" s="147">
        <f>SUM(Z1402:AC1408)</f>
        <v>0</v>
      </c>
      <c r="AA1409" s="148"/>
      <c r="AB1409" s="148"/>
      <c r="AC1409" s="149"/>
      <c r="AD1409" s="147">
        <f>SUM(AD1402:AG1408)</f>
        <v>0</v>
      </c>
      <c r="AE1409" s="148"/>
      <c r="AF1409" s="148"/>
      <c r="AG1409" s="149"/>
      <c r="AH1409" s="147">
        <f>SUM(AH1402:AK1408)</f>
        <v>0</v>
      </c>
      <c r="AI1409" s="148"/>
      <c r="AJ1409" s="148"/>
      <c r="AK1409" s="149"/>
      <c r="AL1409" s="147">
        <f>SUM(AL1402:AO1408)</f>
        <v>0</v>
      </c>
      <c r="AM1409" s="148"/>
      <c r="AN1409" s="148"/>
      <c r="AO1409" s="149"/>
      <c r="AP1409" s="147">
        <f>SUM(AP1402:AS1408)</f>
        <v>0</v>
      </c>
      <c r="AQ1409" s="148"/>
      <c r="AR1409" s="148"/>
      <c r="AS1409" s="149"/>
      <c r="AT1409" s="147">
        <f>SUM(AT1402:AW1408)</f>
        <v>0</v>
      </c>
      <c r="AU1409" s="148"/>
      <c r="AV1409" s="148"/>
      <c r="AW1409" s="149"/>
      <c r="AX1409" s="87">
        <f>SUM(AX1402:AX1408)</f>
        <v>0</v>
      </c>
      <c r="AY1409" s="88">
        <f>IFERROR(AVERAGEIF(E1409:AV1409,"&lt;&gt;0",(E1409:AV1409)),)</f>
        <v>0</v>
      </c>
      <c r="AZ1409" s="46">
        <f>IFERROR(AX1409/BB1403,0)</f>
        <v>0</v>
      </c>
      <c r="BA1409" s="34"/>
      <c r="BB1409" s="34"/>
      <c r="BC1409" s="34"/>
      <c r="BD1409" s="76"/>
      <c r="BE1409" s="34"/>
      <c r="BF1409" s="34"/>
      <c r="BG1409" s="34"/>
      <c r="BH1409" s="34"/>
    </row>
    <row r="1410" spans="1:60" s="17" customFormat="1" ht="19.5" customHeight="1" x14ac:dyDescent="0.35">
      <c r="A1410" s="109"/>
      <c r="B1410" s="35" t="s">
        <v>168</v>
      </c>
      <c r="C1410" s="24">
        <v>45447</v>
      </c>
      <c r="D1410" s="109"/>
      <c r="E1410" s="109"/>
      <c r="F1410" s="109"/>
      <c r="G1410" s="109"/>
      <c r="H1410" s="109"/>
      <c r="I1410" s="109"/>
      <c r="J1410" s="109"/>
      <c r="K1410" s="109"/>
      <c r="L1410" s="109"/>
      <c r="M1410" s="109"/>
      <c r="N1410" s="109"/>
      <c r="O1410" s="109"/>
      <c r="P1410" s="109"/>
      <c r="Q1410" s="109"/>
      <c r="R1410" s="109"/>
      <c r="S1410" s="109"/>
      <c r="T1410" s="109"/>
      <c r="U1410" s="109"/>
      <c r="V1410" s="109"/>
      <c r="W1410" s="109"/>
      <c r="X1410" s="109"/>
      <c r="Y1410" s="109"/>
      <c r="Z1410" s="109"/>
      <c r="AA1410" s="109"/>
      <c r="AB1410" s="109"/>
      <c r="AC1410" s="109"/>
      <c r="AD1410" s="109"/>
      <c r="AE1410" s="109"/>
      <c r="AF1410" s="109"/>
      <c r="AG1410" s="109"/>
      <c r="AH1410" s="109"/>
      <c r="AI1410" s="109"/>
      <c r="AJ1410" s="109"/>
      <c r="AK1410" s="109"/>
      <c r="AL1410" s="109"/>
      <c r="AM1410" s="109"/>
      <c r="AN1410" s="109"/>
      <c r="AO1410" s="109"/>
      <c r="AP1410" s="109"/>
      <c r="AQ1410" s="109"/>
      <c r="AR1410" s="109"/>
      <c r="AS1410" s="109"/>
      <c r="AT1410" s="109"/>
      <c r="AU1410" s="109"/>
      <c r="AV1410" s="109"/>
      <c r="AW1410" s="109"/>
      <c r="AX1410" s="109"/>
      <c r="AY1410" s="109"/>
      <c r="AZ1410" s="109"/>
      <c r="BA1410" s="109"/>
      <c r="BB1410" s="109"/>
      <c r="BC1410" s="109"/>
      <c r="BD1410" s="110"/>
      <c r="BE1410" s="109"/>
      <c r="BF1410" s="109"/>
      <c r="BG1410" s="109"/>
      <c r="BH1410" s="109"/>
    </row>
    <row r="1411" spans="1:60" s="17" customFormat="1" ht="19.5" customHeight="1" x14ac:dyDescent="0.35">
      <c r="A1411" s="109"/>
      <c r="B1411" s="35" t="s">
        <v>169</v>
      </c>
      <c r="C1411" s="77">
        <f>C1235</f>
        <v>0</v>
      </c>
      <c r="D1411" s="109"/>
      <c r="E1411" s="109"/>
      <c r="F1411" s="109"/>
      <c r="G1411" s="109"/>
      <c r="H1411" s="109"/>
      <c r="I1411" s="109"/>
      <c r="J1411" s="109"/>
      <c r="K1411" s="109"/>
      <c r="L1411" s="109"/>
      <c r="M1411" s="109"/>
      <c r="N1411" s="109"/>
      <c r="O1411" s="109"/>
      <c r="P1411" s="109"/>
      <c r="Q1411" s="109"/>
      <c r="R1411" s="109"/>
      <c r="S1411" s="109"/>
      <c r="T1411" s="109"/>
      <c r="U1411" s="109"/>
      <c r="V1411" s="109"/>
      <c r="W1411" s="109"/>
      <c r="X1411" s="109"/>
      <c r="Y1411" s="109"/>
      <c r="Z1411" s="109"/>
      <c r="AA1411" s="109"/>
      <c r="AB1411" s="109"/>
      <c r="AC1411" s="109"/>
      <c r="AD1411" s="109"/>
      <c r="AE1411" s="109"/>
      <c r="AF1411" s="109"/>
      <c r="AG1411" s="109"/>
      <c r="AH1411" s="109"/>
      <c r="AI1411" s="109"/>
      <c r="AJ1411" s="109"/>
      <c r="AK1411" s="109"/>
      <c r="AL1411" s="109"/>
      <c r="AM1411" s="109"/>
      <c r="AN1411" s="109"/>
      <c r="AO1411" s="109"/>
      <c r="AP1411" s="109"/>
      <c r="AQ1411" s="109"/>
      <c r="AR1411" s="109"/>
      <c r="AS1411" s="109"/>
      <c r="AT1411" s="109"/>
      <c r="AU1411" s="109"/>
      <c r="AV1411" s="109"/>
      <c r="AW1411" s="109"/>
      <c r="AX1411" s="109"/>
      <c r="AY1411" s="109"/>
      <c r="AZ1411" s="109"/>
      <c r="BA1411" s="20" t="s">
        <v>170</v>
      </c>
      <c r="BB1411" s="21" t="s">
        <v>171</v>
      </c>
      <c r="BC1411" s="26" t="s">
        <v>172</v>
      </c>
      <c r="BD1411" s="110"/>
      <c r="BE1411" s="109"/>
      <c r="BF1411" s="109"/>
      <c r="BG1411" s="109"/>
      <c r="BH1411" s="109"/>
    </row>
    <row r="1412" spans="1:60" s="17" customFormat="1" ht="19.5" customHeight="1" x14ac:dyDescent="0.35">
      <c r="A1412" s="109"/>
      <c r="B1412" s="35" t="s">
        <v>173</v>
      </c>
      <c r="C1412" s="77" t="str">
        <f>C1236</f>
        <v>H&amp;M MAN</v>
      </c>
      <c r="D1412" s="109"/>
      <c r="E1412" s="109"/>
      <c r="F1412" s="109"/>
      <c r="G1412" s="109"/>
      <c r="H1412" s="109"/>
      <c r="I1412" s="109"/>
      <c r="J1412" s="109"/>
      <c r="K1412" s="109"/>
      <c r="L1412" s="109"/>
      <c r="M1412" s="109"/>
      <c r="N1412" s="109"/>
      <c r="O1412" s="109"/>
      <c r="P1412" s="109"/>
      <c r="Q1412" s="109"/>
      <c r="R1412" s="109"/>
      <c r="S1412" s="109"/>
      <c r="T1412" s="109"/>
      <c r="U1412" s="109"/>
      <c r="V1412" s="109"/>
      <c r="W1412" s="109"/>
      <c r="X1412" s="109"/>
      <c r="Y1412" s="109"/>
      <c r="Z1412" s="109"/>
      <c r="AA1412" s="109"/>
      <c r="AB1412" s="109"/>
      <c r="AC1412" s="109"/>
      <c r="AD1412" s="109"/>
      <c r="AE1412" s="109"/>
      <c r="AF1412" s="109"/>
      <c r="AG1412" s="109"/>
      <c r="AH1412" s="109"/>
      <c r="AI1412" s="109"/>
      <c r="AJ1412" s="109"/>
      <c r="AK1412" s="109"/>
      <c r="AL1412" s="109"/>
      <c r="AM1412" s="109"/>
      <c r="AN1412" s="109"/>
      <c r="AO1412" s="109"/>
      <c r="AP1412" s="109"/>
      <c r="AQ1412" s="109"/>
      <c r="AR1412" s="109"/>
      <c r="AS1412" s="109"/>
      <c r="AT1412" s="109"/>
      <c r="AU1412" s="109"/>
      <c r="AV1412" s="109"/>
      <c r="AW1412" s="109"/>
      <c r="AX1412" s="109"/>
      <c r="AY1412" s="109"/>
      <c r="AZ1412" s="109"/>
      <c r="BA1412" s="32" t="s">
        <v>174</v>
      </c>
      <c r="BB1412" s="22" t="s">
        <v>175</v>
      </c>
      <c r="BC1412" s="109"/>
      <c r="BD1412" s="110"/>
      <c r="BE1412" s="109"/>
      <c r="BF1412" s="109"/>
      <c r="BG1412" s="109"/>
      <c r="BH1412" s="109"/>
    </row>
    <row r="1413" spans="1:60" s="17" customFormat="1" ht="19.5" customHeight="1" thickBot="1" x14ac:dyDescent="0.4">
      <c r="A1413" s="109"/>
      <c r="B1413" s="35" t="s">
        <v>176</v>
      </c>
      <c r="C1413" s="25">
        <f>C1237</f>
        <v>42311</v>
      </c>
      <c r="D1413" s="109"/>
      <c r="E1413" s="109"/>
      <c r="F1413" s="109"/>
      <c r="G1413" s="109"/>
      <c r="H1413" s="109"/>
      <c r="I1413" s="109"/>
      <c r="J1413" s="109"/>
      <c r="K1413" s="109"/>
      <c r="L1413" s="109"/>
      <c r="M1413" s="109"/>
      <c r="N1413" s="109"/>
      <c r="O1413" s="109"/>
      <c r="P1413" s="109"/>
      <c r="Q1413" s="109"/>
      <c r="R1413" s="109"/>
      <c r="S1413" s="109"/>
      <c r="T1413" s="109"/>
      <c r="U1413" s="109"/>
      <c r="V1413" s="109"/>
      <c r="W1413" s="109"/>
      <c r="X1413" s="109"/>
      <c r="Y1413" s="109"/>
      <c r="Z1413" s="109"/>
      <c r="AA1413" s="109"/>
      <c r="AB1413" s="109"/>
      <c r="AC1413" s="109"/>
      <c r="AD1413" s="109"/>
      <c r="AE1413" s="109"/>
      <c r="AF1413" s="109"/>
      <c r="AG1413" s="109"/>
      <c r="AH1413" s="109"/>
      <c r="AI1413" s="109"/>
      <c r="AJ1413" s="109"/>
      <c r="AK1413" s="109"/>
      <c r="AL1413" s="109"/>
      <c r="AM1413" s="109"/>
      <c r="AN1413" s="109"/>
      <c r="AO1413" s="109"/>
      <c r="AP1413" s="109"/>
      <c r="AQ1413" s="109"/>
      <c r="AR1413" s="109"/>
      <c r="AS1413" s="109"/>
      <c r="AT1413" s="109"/>
      <c r="AU1413" s="109"/>
      <c r="AV1413" s="109"/>
      <c r="AW1413" s="109"/>
      <c r="AX1413" s="109"/>
      <c r="AY1413" s="109"/>
      <c r="AZ1413" s="109"/>
      <c r="BA1413" s="27" t="s">
        <v>177</v>
      </c>
      <c r="BB1413" s="23" t="s">
        <v>178</v>
      </c>
      <c r="BC1413" s="109"/>
      <c r="BD1413" s="110"/>
      <c r="BE1413" s="109"/>
      <c r="BF1413" s="109"/>
      <c r="BG1413" s="109"/>
      <c r="BH1413" s="109"/>
    </row>
    <row r="1414" spans="1:60" s="17" customFormat="1" ht="19.5" customHeight="1" x14ac:dyDescent="0.35">
      <c r="A1414" s="109"/>
      <c r="B1414" s="36" t="s">
        <v>179</v>
      </c>
      <c r="C1414" s="25">
        <f>C1238</f>
        <v>4000</v>
      </c>
      <c r="D1414" s="109"/>
      <c r="E1414" s="109"/>
      <c r="F1414" s="109"/>
      <c r="G1414" s="109"/>
      <c r="H1414" s="109"/>
      <c r="I1414" s="109"/>
      <c r="J1414" s="109"/>
      <c r="K1414" s="109"/>
      <c r="L1414" s="109"/>
      <c r="M1414" s="109"/>
      <c r="N1414" s="109"/>
      <c r="O1414" s="109"/>
      <c r="P1414" s="109"/>
      <c r="Q1414" s="109"/>
      <c r="R1414" s="109"/>
      <c r="S1414" s="109"/>
      <c r="T1414" s="109"/>
      <c r="U1414" s="109"/>
      <c r="V1414" s="109"/>
      <c r="W1414" s="109"/>
      <c r="X1414" s="109"/>
      <c r="Y1414" s="109"/>
      <c r="Z1414" s="109"/>
      <c r="AA1414" s="109"/>
      <c r="AB1414" s="109"/>
      <c r="AC1414" s="109"/>
      <c r="AD1414" s="109"/>
      <c r="AE1414" s="109"/>
      <c r="AF1414" s="109"/>
      <c r="AG1414" s="109"/>
      <c r="AH1414" s="109"/>
      <c r="AI1414" s="109"/>
      <c r="AJ1414" s="109"/>
      <c r="AK1414" s="109"/>
      <c r="AL1414" s="109"/>
      <c r="AM1414" s="109"/>
      <c r="AN1414" s="109"/>
      <c r="AO1414" s="109"/>
      <c r="AP1414" s="109"/>
      <c r="AQ1414" s="109"/>
      <c r="AR1414" s="109"/>
      <c r="AS1414" s="109"/>
      <c r="AT1414" s="109"/>
      <c r="AU1414" s="109"/>
      <c r="AV1414" s="109"/>
      <c r="AW1414" s="109"/>
      <c r="AX1414" s="109"/>
      <c r="AY1414" s="109"/>
      <c r="AZ1414" s="109"/>
      <c r="BA1414" s="12" t="str">
        <f t="shared" ref="BA1414:BG1414" si="1432">BA1238</f>
        <v>XS</v>
      </c>
      <c r="BB1414" s="12" t="str">
        <f t="shared" si="1432"/>
        <v>S</v>
      </c>
      <c r="BC1414" s="12" t="str">
        <f t="shared" si="1432"/>
        <v>M</v>
      </c>
      <c r="BD1414" s="12" t="str">
        <f t="shared" si="1432"/>
        <v>L</v>
      </c>
      <c r="BE1414" s="12" t="str">
        <f t="shared" si="1432"/>
        <v>XL</v>
      </c>
      <c r="BF1414" s="12" t="str">
        <f t="shared" si="1432"/>
        <v>XXL</v>
      </c>
      <c r="BG1414" s="12">
        <f t="shared" si="1432"/>
        <v>0</v>
      </c>
      <c r="BH1414" s="13"/>
    </row>
    <row r="1415" spans="1:60" s="17" customFormat="1" ht="19.5" customHeight="1" thickBot="1" x14ac:dyDescent="0.4">
      <c r="A1415" s="109"/>
      <c r="B1415" s="36" t="s">
        <v>197</v>
      </c>
      <c r="C1415" s="25" t="str">
        <f>C1239</f>
        <v>EKRU</v>
      </c>
      <c r="D1415" s="109"/>
      <c r="E1415" s="109"/>
      <c r="F1415" s="109"/>
      <c r="G1415" s="109"/>
      <c r="H1415" s="109"/>
      <c r="I1415" s="109"/>
      <c r="J1415" s="109"/>
      <c r="K1415" s="109"/>
      <c r="L1415" s="109"/>
      <c r="M1415" s="109"/>
      <c r="N1415" s="109"/>
      <c r="O1415" s="109"/>
      <c r="P1415" s="109"/>
      <c r="Q1415" s="109"/>
      <c r="R1415" s="109"/>
      <c r="S1415" s="109"/>
      <c r="T1415" s="109"/>
      <c r="U1415" s="109"/>
      <c r="V1415" s="109"/>
      <c r="W1415" s="109"/>
      <c r="X1415" s="109"/>
      <c r="Y1415" s="109"/>
      <c r="Z1415" s="109"/>
      <c r="AA1415" s="109"/>
      <c r="AB1415" s="109"/>
      <c r="AC1415" s="109"/>
      <c r="AD1415" s="109"/>
      <c r="AE1415" s="109"/>
      <c r="AF1415" s="109"/>
      <c r="AG1415" s="109"/>
      <c r="AH1415" s="109"/>
      <c r="AI1415" s="109"/>
      <c r="AJ1415" s="109"/>
      <c r="AK1415" s="109"/>
      <c r="AL1415" s="109"/>
      <c r="AM1415" s="109"/>
      <c r="AN1415" s="109"/>
      <c r="AO1415" s="109"/>
      <c r="AP1415" s="109"/>
      <c r="AQ1415" s="109"/>
      <c r="AR1415" s="109"/>
      <c r="AS1415" s="109"/>
      <c r="AT1415" s="109"/>
      <c r="AU1415" s="109"/>
      <c r="AV1415" s="109"/>
      <c r="AW1415" s="109"/>
      <c r="AX1415" s="109"/>
      <c r="AY1415" s="109"/>
      <c r="AZ1415" s="109"/>
      <c r="BA1415" s="14">
        <f t="shared" ref="BA1415:BG1415" si="1433">BA1239</f>
        <v>492</v>
      </c>
      <c r="BB1415" s="14">
        <f t="shared" si="1433"/>
        <v>11438</v>
      </c>
      <c r="BC1415" s="14">
        <f t="shared" si="1433"/>
        <v>13689</v>
      </c>
      <c r="BD1415" s="14">
        <f t="shared" si="1433"/>
        <v>9760</v>
      </c>
      <c r="BE1415" s="14">
        <f t="shared" si="1433"/>
        <v>4794</v>
      </c>
      <c r="BF1415" s="14">
        <f t="shared" si="1433"/>
        <v>2138</v>
      </c>
      <c r="BG1415" s="14">
        <f t="shared" si="1433"/>
        <v>0</v>
      </c>
      <c r="BH1415" s="15">
        <f>SUM(BA1415:BG1415)</f>
        <v>42311</v>
      </c>
    </row>
    <row r="1416" spans="1:60" s="17" customFormat="1" ht="19.5" customHeight="1" thickBot="1" x14ac:dyDescent="0.4">
      <c r="A1416" s="42">
        <f>C1410</f>
        <v>45447</v>
      </c>
      <c r="B1416" s="38" t="str">
        <f>B1417</f>
        <v>Yaka İç Dikiş</v>
      </c>
      <c r="C1416" s="39" t="s">
        <v>180</v>
      </c>
      <c r="D1416" s="69" t="s">
        <v>181</v>
      </c>
      <c r="E1416" s="48">
        <v>0.34375</v>
      </c>
      <c r="F1416" s="49">
        <v>0.35416666666666669</v>
      </c>
      <c r="G1416" s="49">
        <v>0.36458333333333331</v>
      </c>
      <c r="H1416" s="50">
        <v>0.375</v>
      </c>
      <c r="I1416" s="48">
        <v>0.38541666666666702</v>
      </c>
      <c r="J1416" s="49">
        <v>0.39583333333333298</v>
      </c>
      <c r="K1416" s="49">
        <v>0.40625</v>
      </c>
      <c r="L1416" s="50">
        <v>0.41666666666666702</v>
      </c>
      <c r="M1416" s="48">
        <v>0.4375</v>
      </c>
      <c r="N1416" s="49">
        <v>0.44791666666666702</v>
      </c>
      <c r="O1416" s="49">
        <v>0.45833333333333398</v>
      </c>
      <c r="P1416" s="50">
        <v>0.46875</v>
      </c>
      <c r="Q1416" s="48">
        <v>0.47916666666666702</v>
      </c>
      <c r="R1416" s="49">
        <v>0.48958333333333398</v>
      </c>
      <c r="S1416" s="49">
        <v>0.5</v>
      </c>
      <c r="T1416" s="50">
        <v>0.51041666666666696</v>
      </c>
      <c r="U1416" s="51">
        <v>0.52083333333333204</v>
      </c>
      <c r="V1416" s="48">
        <v>0.5625</v>
      </c>
      <c r="W1416" s="49">
        <v>0.57291666666666663</v>
      </c>
      <c r="X1416" s="49">
        <v>0.58333333333333304</v>
      </c>
      <c r="Y1416" s="50">
        <v>0.59375</v>
      </c>
      <c r="Z1416" s="48">
        <v>0.60416666666666696</v>
      </c>
      <c r="AA1416" s="49">
        <v>0.61458333333333304</v>
      </c>
      <c r="AB1416" s="49">
        <v>0.625</v>
      </c>
      <c r="AC1416" s="50">
        <v>0.63541666666666596</v>
      </c>
      <c r="AD1416" s="48">
        <v>0.65625</v>
      </c>
      <c r="AE1416" s="49">
        <v>0.66666666666666663</v>
      </c>
      <c r="AF1416" s="49">
        <v>0.67708333333333304</v>
      </c>
      <c r="AG1416" s="50">
        <v>0.6875</v>
      </c>
      <c r="AH1416" s="48">
        <v>0.69791666666666696</v>
      </c>
      <c r="AI1416" s="49">
        <v>0.70833333333333304</v>
      </c>
      <c r="AJ1416" s="49">
        <v>0.71875</v>
      </c>
      <c r="AK1416" s="50">
        <v>0.72916666666666696</v>
      </c>
      <c r="AL1416" s="48">
        <v>0.73958333333333404</v>
      </c>
      <c r="AM1416" s="49">
        <v>0.750000000000001</v>
      </c>
      <c r="AN1416" s="49">
        <v>0.76041666666666796</v>
      </c>
      <c r="AO1416" s="50">
        <v>0.77083333333333504</v>
      </c>
      <c r="AP1416" s="48">
        <v>0.781250000000002</v>
      </c>
      <c r="AQ1416" s="49">
        <v>0.79166666666666896</v>
      </c>
      <c r="AR1416" s="49">
        <v>0.80208333333333603</v>
      </c>
      <c r="AS1416" s="50">
        <v>0.812500000000003</v>
      </c>
      <c r="AT1416" s="48">
        <v>0.82291666666666996</v>
      </c>
      <c r="AU1416" s="49">
        <v>0.83333333333333703</v>
      </c>
      <c r="AV1416" s="49">
        <v>0.843750000000004</v>
      </c>
      <c r="AW1416" s="50">
        <v>0.85416666666666663</v>
      </c>
      <c r="AX1416" s="68" t="s">
        <v>260</v>
      </c>
      <c r="AY1416" s="28" t="s">
        <v>261</v>
      </c>
      <c r="AZ1416" s="29" t="s">
        <v>262</v>
      </c>
      <c r="BA1416" s="136" t="str">
        <f>B1417</f>
        <v>Yaka İç Dikiş</v>
      </c>
      <c r="BB1416" s="137"/>
      <c r="BC1416" s="137"/>
      <c r="BD1416" s="137"/>
      <c r="BE1416" s="137"/>
      <c r="BF1416" s="137"/>
      <c r="BG1416" s="137"/>
      <c r="BH1416" s="138"/>
    </row>
    <row r="1417" spans="1:60" s="17" customFormat="1" ht="19.5" customHeight="1" thickBot="1" x14ac:dyDescent="0.4">
      <c r="A1417" s="41">
        <f t="shared" ref="A1417:A1422" si="1434">A1416</f>
        <v>45447</v>
      </c>
      <c r="B1417" s="37" t="str">
        <f>B1241</f>
        <v>Yaka İç Dikiş</v>
      </c>
      <c r="C1417" s="66" t="str">
        <f>C1241</f>
        <v>HAZİME AVCİ</v>
      </c>
      <c r="D1417" s="70">
        <f>D1241</f>
        <v>200</v>
      </c>
      <c r="E1417" s="63"/>
      <c r="F1417" s="55"/>
      <c r="G1417" s="55"/>
      <c r="H1417" s="56"/>
      <c r="I1417" s="63"/>
      <c r="J1417" s="55"/>
      <c r="K1417" s="55"/>
      <c r="L1417" s="56"/>
      <c r="M1417" s="63"/>
      <c r="N1417" s="55"/>
      <c r="O1417" s="55"/>
      <c r="P1417" s="56"/>
      <c r="Q1417" s="63"/>
      <c r="R1417" s="55"/>
      <c r="S1417" s="55"/>
      <c r="T1417" s="55"/>
      <c r="U1417" s="56"/>
      <c r="V1417" s="63"/>
      <c r="W1417" s="55"/>
      <c r="X1417" s="55"/>
      <c r="Y1417" s="56"/>
      <c r="Z1417" s="63"/>
      <c r="AA1417" s="55"/>
      <c r="AB1417" s="55"/>
      <c r="AC1417" s="56"/>
      <c r="AD1417" s="63"/>
      <c r="AE1417" s="55"/>
      <c r="AF1417" s="55"/>
      <c r="AG1417" s="56"/>
      <c r="AH1417" s="63"/>
      <c r="AI1417" s="55"/>
      <c r="AJ1417" s="55"/>
      <c r="AK1417" s="56"/>
      <c r="AL1417" s="63"/>
      <c r="AM1417" s="55"/>
      <c r="AN1417" s="55"/>
      <c r="AO1417" s="56"/>
      <c r="AP1417" s="63"/>
      <c r="AQ1417" s="54"/>
      <c r="AR1417" s="55"/>
      <c r="AS1417" s="56"/>
      <c r="AT1417" s="53"/>
      <c r="AU1417" s="54"/>
      <c r="AV1417" s="55"/>
      <c r="AW1417" s="56"/>
      <c r="AX1417" s="33">
        <f>SUM(E1417:AW1417)</f>
        <v>0</v>
      </c>
      <c r="AY1417" s="31">
        <f>IFERROR(AVERAGEIF(E1417:AW1417,"&lt;&gt;0",(E1417:AW1417)),)</f>
        <v>0</v>
      </c>
      <c r="AZ1417" s="30">
        <f>IFERROR(AY1417/D1417,0)</f>
        <v>0</v>
      </c>
      <c r="BA1417" s="103" t="s">
        <v>182</v>
      </c>
      <c r="BB1417" s="100" t="s">
        <v>183</v>
      </c>
      <c r="BC1417" s="100" t="s">
        <v>184</v>
      </c>
      <c r="BD1417" s="101" t="s">
        <v>185</v>
      </c>
      <c r="BE1417" s="100" t="s">
        <v>186</v>
      </c>
      <c r="BF1417" s="102" t="s">
        <v>187</v>
      </c>
      <c r="BG1417" s="100" t="s">
        <v>188</v>
      </c>
      <c r="BH1417" s="102" t="s">
        <v>189</v>
      </c>
    </row>
    <row r="1418" spans="1:60" s="17" customFormat="1" ht="19.5" customHeight="1" thickBot="1" x14ac:dyDescent="0.4">
      <c r="A1418" s="41">
        <f t="shared" si="1434"/>
        <v>45447</v>
      </c>
      <c r="B1418" s="37" t="str">
        <f>B1417</f>
        <v>Yaka İç Dikiş</v>
      </c>
      <c r="C1418" s="66">
        <f>C1242</f>
        <v>0</v>
      </c>
      <c r="D1418" s="67">
        <f>D1417</f>
        <v>200</v>
      </c>
      <c r="E1418" s="57"/>
      <c r="F1418" s="52"/>
      <c r="G1418" s="52"/>
      <c r="H1418" s="58"/>
      <c r="I1418" s="57"/>
      <c r="J1418" s="52"/>
      <c r="K1418" s="52"/>
      <c r="L1418" s="58"/>
      <c r="M1418" s="57"/>
      <c r="N1418" s="52"/>
      <c r="O1418" s="52"/>
      <c r="P1418" s="58"/>
      <c r="Q1418" s="57"/>
      <c r="R1418" s="52"/>
      <c r="S1418" s="52"/>
      <c r="T1418" s="52"/>
      <c r="U1418" s="58"/>
      <c r="V1418" s="57"/>
      <c r="W1418" s="52"/>
      <c r="X1418" s="52"/>
      <c r="Y1418" s="58"/>
      <c r="Z1418" s="57"/>
      <c r="AA1418" s="52"/>
      <c r="AB1418" s="52"/>
      <c r="AC1418" s="58"/>
      <c r="AD1418" s="57"/>
      <c r="AE1418" s="52"/>
      <c r="AF1418" s="52"/>
      <c r="AG1418" s="58"/>
      <c r="AH1418" s="57"/>
      <c r="AI1418" s="52"/>
      <c r="AJ1418" s="52"/>
      <c r="AK1418" s="58"/>
      <c r="AL1418" s="57"/>
      <c r="AM1418" s="52"/>
      <c r="AN1418" s="52"/>
      <c r="AO1418" s="58"/>
      <c r="AP1418" s="57"/>
      <c r="AQ1418" s="52"/>
      <c r="AR1418" s="52"/>
      <c r="AS1418" s="58"/>
      <c r="AT1418" s="57"/>
      <c r="AU1418" s="52"/>
      <c r="AV1418" s="52"/>
      <c r="AW1418" s="58"/>
      <c r="AX1418" s="33">
        <f>SUM(E1418:AW1418)</f>
        <v>0</v>
      </c>
      <c r="AY1418" s="31">
        <f>IFERROR(AVERAGEIF(E1418:AW1418,"&lt;&gt;0",(E1418:AW1418)),)</f>
        <v>0</v>
      </c>
      <c r="AZ1418" s="30">
        <f>IFERROR(AY1418/D1418,0)</f>
        <v>0</v>
      </c>
      <c r="BA1418" s="94">
        <f>AX1422+BA1242</f>
        <v>22370</v>
      </c>
      <c r="BB1418" s="95">
        <f>(D1422*8)</f>
        <v>4000</v>
      </c>
      <c r="BC1418" s="96">
        <f>C1413-BA1418</f>
        <v>19941</v>
      </c>
      <c r="BD1418" s="96">
        <f>BC1418</f>
        <v>19941</v>
      </c>
      <c r="BE1418" s="97">
        <f>IFERROR(BC1418/E1422,0)</f>
        <v>0</v>
      </c>
      <c r="BF1418" s="98">
        <f>IFERROR(BE1418/9,0)</f>
        <v>0</v>
      </c>
      <c r="BG1418" s="97">
        <f>IFERROR(BC1418/AY1422,0)</f>
        <v>0</v>
      </c>
      <c r="BH1418" s="97">
        <f>IFERROR(BG1418/9,0)</f>
        <v>0</v>
      </c>
    </row>
    <row r="1419" spans="1:60" s="17" customFormat="1" ht="19.5" customHeight="1" x14ac:dyDescent="0.35">
      <c r="A1419" s="41">
        <f t="shared" si="1434"/>
        <v>45447</v>
      </c>
      <c r="B1419" s="37" t="str">
        <f>B1418</f>
        <v>Yaka İç Dikiş</v>
      </c>
      <c r="C1419" s="66">
        <f>C1243</f>
        <v>0</v>
      </c>
      <c r="D1419" s="67">
        <f>D1418</f>
        <v>200</v>
      </c>
      <c r="E1419" s="57"/>
      <c r="F1419" s="52"/>
      <c r="G1419" s="52"/>
      <c r="H1419" s="58"/>
      <c r="I1419" s="57"/>
      <c r="J1419" s="52"/>
      <c r="K1419" s="52"/>
      <c r="L1419" s="58"/>
      <c r="M1419" s="57"/>
      <c r="N1419" s="52"/>
      <c r="O1419" s="52"/>
      <c r="P1419" s="58"/>
      <c r="Q1419" s="57"/>
      <c r="R1419" s="52"/>
      <c r="S1419" s="52"/>
      <c r="T1419" s="52"/>
      <c r="U1419" s="58"/>
      <c r="V1419" s="57"/>
      <c r="W1419" s="52"/>
      <c r="X1419" s="52"/>
      <c r="Y1419" s="58"/>
      <c r="Z1419" s="57"/>
      <c r="AA1419" s="52"/>
      <c r="AB1419" s="52"/>
      <c r="AC1419" s="58"/>
      <c r="AD1419" s="57"/>
      <c r="AE1419" s="52"/>
      <c r="AF1419" s="52"/>
      <c r="AG1419" s="58"/>
      <c r="AH1419" s="57"/>
      <c r="AI1419" s="52"/>
      <c r="AJ1419" s="52"/>
      <c r="AK1419" s="58"/>
      <c r="AL1419" s="57"/>
      <c r="AM1419" s="52"/>
      <c r="AN1419" s="52"/>
      <c r="AO1419" s="58"/>
      <c r="AP1419" s="57"/>
      <c r="AQ1419" s="52"/>
      <c r="AR1419" s="52"/>
      <c r="AS1419" s="58"/>
      <c r="AT1419" s="57"/>
      <c r="AU1419" s="52"/>
      <c r="AV1419" s="52"/>
      <c r="AW1419" s="58"/>
      <c r="AX1419" s="33">
        <f>SUM(E1419:AW1419)</f>
        <v>0</v>
      </c>
      <c r="AY1419" s="31">
        <f>IFERROR(AVERAGEIF(E1419:AW1419,"&lt;&gt;0",(E1419:AW1419)),)</f>
        <v>0</v>
      </c>
      <c r="AZ1419" s="30">
        <f>IFERROR(AY1419/D1419,0)</f>
        <v>0</v>
      </c>
      <c r="BA1419" s="34"/>
      <c r="BB1419" s="34"/>
      <c r="BC1419" s="34"/>
      <c r="BD1419" s="76"/>
      <c r="BE1419" s="34"/>
      <c r="BF1419" s="34"/>
      <c r="BG1419" s="34"/>
      <c r="BH1419" s="34"/>
    </row>
    <row r="1420" spans="1:60" s="17" customFormat="1" ht="19.5" customHeight="1" x14ac:dyDescent="0.35">
      <c r="A1420" s="41">
        <f t="shared" si="1434"/>
        <v>45447</v>
      </c>
      <c r="B1420" s="37" t="str">
        <f>B1419</f>
        <v>Yaka İç Dikiş</v>
      </c>
      <c r="C1420" s="66">
        <f>C1244</f>
        <v>0</v>
      </c>
      <c r="D1420" s="67">
        <f>D1419</f>
        <v>200</v>
      </c>
      <c r="E1420" s="57"/>
      <c r="F1420" s="52"/>
      <c r="G1420" s="52"/>
      <c r="H1420" s="58"/>
      <c r="I1420" s="57"/>
      <c r="J1420" s="52"/>
      <c r="K1420" s="52"/>
      <c r="L1420" s="58"/>
      <c r="M1420" s="57"/>
      <c r="N1420" s="52"/>
      <c r="O1420" s="52"/>
      <c r="P1420" s="58"/>
      <c r="Q1420" s="57"/>
      <c r="R1420" s="52"/>
      <c r="S1420" s="52"/>
      <c r="T1420" s="52"/>
      <c r="U1420" s="58"/>
      <c r="V1420" s="57"/>
      <c r="W1420" s="52"/>
      <c r="X1420" s="52"/>
      <c r="Y1420" s="58"/>
      <c r="Z1420" s="57"/>
      <c r="AA1420" s="52"/>
      <c r="AB1420" s="52"/>
      <c r="AC1420" s="58"/>
      <c r="AD1420" s="57"/>
      <c r="AE1420" s="52"/>
      <c r="AF1420" s="52"/>
      <c r="AG1420" s="58"/>
      <c r="AH1420" s="57"/>
      <c r="AI1420" s="52"/>
      <c r="AJ1420" s="52"/>
      <c r="AK1420" s="58"/>
      <c r="AL1420" s="57"/>
      <c r="AM1420" s="52"/>
      <c r="AN1420" s="52"/>
      <c r="AO1420" s="58"/>
      <c r="AP1420" s="57"/>
      <c r="AQ1420" s="52"/>
      <c r="AR1420" s="52"/>
      <c r="AS1420" s="58"/>
      <c r="AT1420" s="57"/>
      <c r="AU1420" s="52"/>
      <c r="AV1420" s="52"/>
      <c r="AW1420" s="58"/>
      <c r="AX1420" s="33">
        <f>SUM(E1420:AW1420)</f>
        <v>0</v>
      </c>
      <c r="AY1420" s="31">
        <f>IFERROR(AVERAGEIF(E1420:AW1420,"&lt;&gt;0",(E1420:AW1420)),)</f>
        <v>0</v>
      </c>
      <c r="AZ1420" s="30">
        <f>IFERROR(AY1420/D1420,0)</f>
        <v>0</v>
      </c>
      <c r="BA1420" s="34"/>
      <c r="BB1420" s="34"/>
      <c r="BC1420" s="34"/>
      <c r="BD1420" s="76"/>
      <c r="BE1420" s="34"/>
      <c r="BF1420" s="34"/>
      <c r="BG1420" s="34"/>
      <c r="BH1420" s="34"/>
    </row>
    <row r="1421" spans="1:60" s="17" customFormat="1" ht="19.5" customHeight="1" thickBot="1" x14ac:dyDescent="0.4">
      <c r="A1421" s="41">
        <f t="shared" si="1434"/>
        <v>45447</v>
      </c>
      <c r="B1421" s="37" t="str">
        <f>B1420</f>
        <v>Yaka İç Dikiş</v>
      </c>
      <c r="C1421" s="66">
        <f>C1245</f>
        <v>0</v>
      </c>
      <c r="D1421" s="67">
        <f>D1420</f>
        <v>200</v>
      </c>
      <c r="E1421" s="64"/>
      <c r="F1421" s="61"/>
      <c r="G1421" s="61"/>
      <c r="H1421" s="62"/>
      <c r="I1421" s="64"/>
      <c r="J1421" s="61"/>
      <c r="K1421" s="61"/>
      <c r="L1421" s="62"/>
      <c r="M1421" s="64"/>
      <c r="N1421" s="61"/>
      <c r="O1421" s="61"/>
      <c r="P1421" s="62"/>
      <c r="Q1421" s="64"/>
      <c r="R1421" s="61"/>
      <c r="S1421" s="61"/>
      <c r="T1421" s="61"/>
      <c r="U1421" s="62"/>
      <c r="V1421" s="64"/>
      <c r="W1421" s="61"/>
      <c r="X1421" s="61"/>
      <c r="Y1421" s="62"/>
      <c r="Z1421" s="59"/>
      <c r="AA1421" s="60"/>
      <c r="AB1421" s="61"/>
      <c r="AC1421" s="62"/>
      <c r="AD1421" s="59"/>
      <c r="AE1421" s="60"/>
      <c r="AF1421" s="61"/>
      <c r="AG1421" s="62"/>
      <c r="AH1421" s="59"/>
      <c r="AI1421" s="60"/>
      <c r="AJ1421" s="61"/>
      <c r="AK1421" s="62"/>
      <c r="AL1421" s="59"/>
      <c r="AM1421" s="60"/>
      <c r="AN1421" s="61"/>
      <c r="AO1421" s="62"/>
      <c r="AP1421" s="59"/>
      <c r="AQ1421" s="60"/>
      <c r="AR1421" s="61"/>
      <c r="AS1421" s="62"/>
      <c r="AT1421" s="59"/>
      <c r="AU1421" s="60"/>
      <c r="AV1421" s="61"/>
      <c r="AW1421" s="62"/>
      <c r="AX1421" s="43">
        <f>SUM(E1421:AW1421)</f>
        <v>0</v>
      </c>
      <c r="AY1421" s="44">
        <f>IFERROR(AVERAGEIF(E1421:AW1421,"&lt;&gt;0",(E1421:AW1421)),)</f>
        <v>0</v>
      </c>
      <c r="AZ1421" s="45">
        <f>IFERROR(AY1421/D1421,0)</f>
        <v>0</v>
      </c>
      <c r="BA1421" s="34"/>
      <c r="BB1421" s="34"/>
      <c r="BC1421" s="34"/>
      <c r="BD1421" s="76"/>
      <c r="BE1421" s="34"/>
      <c r="BF1421" s="34"/>
      <c r="BG1421" s="34"/>
      <c r="BH1421" s="34"/>
    </row>
    <row r="1422" spans="1:60" s="17" customFormat="1" ht="19.5" customHeight="1" thickBot="1" x14ac:dyDescent="0.45">
      <c r="A1422" s="41">
        <f t="shared" si="1434"/>
        <v>45447</v>
      </c>
      <c r="B1422" s="139" t="str">
        <f>B1417</f>
        <v>Yaka İç Dikiş</v>
      </c>
      <c r="C1422" s="140"/>
      <c r="D1422" s="40">
        <f>C1414/8</f>
        <v>500</v>
      </c>
      <c r="E1422" s="151">
        <f>SUM(E1417:H1421)</f>
        <v>0</v>
      </c>
      <c r="F1422" s="152"/>
      <c r="G1422" s="152"/>
      <c r="H1422" s="153"/>
      <c r="I1422" s="151">
        <f>SUM(I1417:L1421)</f>
        <v>0</v>
      </c>
      <c r="J1422" s="152"/>
      <c r="K1422" s="152"/>
      <c r="L1422" s="153"/>
      <c r="M1422" s="151">
        <f>SUM(M1417:P1421)</f>
        <v>0</v>
      </c>
      <c r="N1422" s="152"/>
      <c r="O1422" s="152"/>
      <c r="P1422" s="153"/>
      <c r="Q1422" s="151">
        <f>SUM(Q1417:U1421)</f>
        <v>0</v>
      </c>
      <c r="R1422" s="152"/>
      <c r="S1422" s="152"/>
      <c r="T1422" s="152"/>
      <c r="U1422" s="153"/>
      <c r="V1422" s="151">
        <f>SUM(V1417:Y1421)</f>
        <v>0</v>
      </c>
      <c r="W1422" s="152"/>
      <c r="X1422" s="152"/>
      <c r="Y1422" s="153"/>
      <c r="Z1422" s="151">
        <f>SUM(Z1417:AC1421)</f>
        <v>0</v>
      </c>
      <c r="AA1422" s="152"/>
      <c r="AB1422" s="152"/>
      <c r="AC1422" s="153"/>
      <c r="AD1422" s="151">
        <f>SUM(AD1417:AG1421)</f>
        <v>0</v>
      </c>
      <c r="AE1422" s="152"/>
      <c r="AF1422" s="152"/>
      <c r="AG1422" s="153"/>
      <c r="AH1422" s="151">
        <f>SUM(AH1417:AK1421)</f>
        <v>0</v>
      </c>
      <c r="AI1422" s="152"/>
      <c r="AJ1422" s="152"/>
      <c r="AK1422" s="153"/>
      <c r="AL1422" s="151">
        <f>SUM(AL1417:AO1421)</f>
        <v>0</v>
      </c>
      <c r="AM1422" s="152"/>
      <c r="AN1422" s="152"/>
      <c r="AO1422" s="153"/>
      <c r="AP1422" s="151">
        <f>SUM(AP1417:AS1421)</f>
        <v>0</v>
      </c>
      <c r="AQ1422" s="152"/>
      <c r="AR1422" s="152"/>
      <c r="AS1422" s="153"/>
      <c r="AT1422" s="151">
        <f>SUM(AT1417:AW1421)</f>
        <v>0</v>
      </c>
      <c r="AU1422" s="152"/>
      <c r="AV1422" s="152"/>
      <c r="AW1422" s="153"/>
      <c r="AX1422" s="87">
        <f>SUM(AX1417:AX1421)</f>
        <v>0</v>
      </c>
      <c r="AY1422" s="88">
        <f>IFERROR(AVERAGEIF(E1422:AV1422,"&lt;&gt;0",(E1422:AV1422)),)</f>
        <v>0</v>
      </c>
      <c r="AZ1422" s="46">
        <f>IFERROR(AX1422/BB1418,0)</f>
        <v>0</v>
      </c>
      <c r="BA1422" s="34"/>
      <c r="BB1422" s="34"/>
      <c r="BC1422" s="34"/>
      <c r="BD1422" s="76"/>
      <c r="BE1422" s="34"/>
      <c r="BF1422" s="34"/>
      <c r="BG1422" s="34"/>
      <c r="BH1422" s="34"/>
    </row>
    <row r="1423" spans="1:60" s="17" customFormat="1" ht="19.5" customHeight="1" thickBot="1" x14ac:dyDescent="0.4">
      <c r="A1423" s="42">
        <f>A1416</f>
        <v>45447</v>
      </c>
      <c r="B1423" s="38" t="str">
        <f>B1424</f>
        <v>Yaka Tıktık</v>
      </c>
      <c r="C1423" s="39" t="s">
        <v>180</v>
      </c>
      <c r="D1423" s="69" t="s">
        <v>181</v>
      </c>
      <c r="E1423" s="48">
        <v>0.34375</v>
      </c>
      <c r="F1423" s="49">
        <v>0.35416666666666669</v>
      </c>
      <c r="G1423" s="49">
        <v>0.36458333333333331</v>
      </c>
      <c r="H1423" s="50">
        <v>0.375</v>
      </c>
      <c r="I1423" s="48">
        <v>0.38541666666666702</v>
      </c>
      <c r="J1423" s="49">
        <v>0.39583333333333298</v>
      </c>
      <c r="K1423" s="49">
        <v>0.40625</v>
      </c>
      <c r="L1423" s="50">
        <v>0.41666666666666702</v>
      </c>
      <c r="M1423" s="48">
        <v>0.4375</v>
      </c>
      <c r="N1423" s="49">
        <v>0.44791666666666702</v>
      </c>
      <c r="O1423" s="49">
        <v>0.45833333333333398</v>
      </c>
      <c r="P1423" s="50">
        <v>0.46875</v>
      </c>
      <c r="Q1423" s="48">
        <v>0.47916666666666702</v>
      </c>
      <c r="R1423" s="49">
        <v>0.48958333333333398</v>
      </c>
      <c r="S1423" s="49">
        <v>0.5</v>
      </c>
      <c r="T1423" s="50">
        <v>0.51041666666666696</v>
      </c>
      <c r="U1423" s="51">
        <v>0.52083333333333204</v>
      </c>
      <c r="V1423" s="48">
        <v>0.5625</v>
      </c>
      <c r="W1423" s="49">
        <v>0.57291666666666663</v>
      </c>
      <c r="X1423" s="49">
        <v>0.58333333333333304</v>
      </c>
      <c r="Y1423" s="50">
        <v>0.59375</v>
      </c>
      <c r="Z1423" s="48">
        <v>0.60416666666666696</v>
      </c>
      <c r="AA1423" s="49">
        <v>0.61458333333333304</v>
      </c>
      <c r="AB1423" s="49">
        <v>0.625</v>
      </c>
      <c r="AC1423" s="50">
        <v>0.63541666666666596</v>
      </c>
      <c r="AD1423" s="48">
        <v>0.65625</v>
      </c>
      <c r="AE1423" s="49">
        <v>0.66666666666666663</v>
      </c>
      <c r="AF1423" s="49">
        <v>0.67708333333333304</v>
      </c>
      <c r="AG1423" s="50">
        <v>0.6875</v>
      </c>
      <c r="AH1423" s="48">
        <v>0.69791666666666696</v>
      </c>
      <c r="AI1423" s="49">
        <v>0.70833333333333304</v>
      </c>
      <c r="AJ1423" s="49">
        <v>0.71875</v>
      </c>
      <c r="AK1423" s="50">
        <v>0.72916666666666696</v>
      </c>
      <c r="AL1423" s="48">
        <v>0.73958333333333404</v>
      </c>
      <c r="AM1423" s="49">
        <v>0.750000000000001</v>
      </c>
      <c r="AN1423" s="49">
        <v>0.76041666666666796</v>
      </c>
      <c r="AO1423" s="50">
        <v>0.77083333333333504</v>
      </c>
      <c r="AP1423" s="48">
        <v>0.781250000000002</v>
      </c>
      <c r="AQ1423" s="49">
        <v>0.79166666666666896</v>
      </c>
      <c r="AR1423" s="49">
        <v>0.80208333333333603</v>
      </c>
      <c r="AS1423" s="50">
        <v>0.812500000000003</v>
      </c>
      <c r="AT1423" s="48">
        <v>0.82291666666666996</v>
      </c>
      <c r="AU1423" s="49">
        <v>0.83333333333333703</v>
      </c>
      <c r="AV1423" s="49">
        <v>0.843750000000004</v>
      </c>
      <c r="AW1423" s="50">
        <v>0.85416666666666663</v>
      </c>
      <c r="AX1423" s="68" t="s">
        <v>260</v>
      </c>
      <c r="AY1423" s="28" t="s">
        <v>261</v>
      </c>
      <c r="AZ1423" s="29" t="s">
        <v>262</v>
      </c>
      <c r="BA1423" s="136" t="str">
        <f>B1424</f>
        <v>Yaka Tıktık</v>
      </c>
      <c r="BB1423" s="137"/>
      <c r="BC1423" s="137"/>
      <c r="BD1423" s="137"/>
      <c r="BE1423" s="137"/>
      <c r="BF1423" s="137"/>
      <c r="BG1423" s="137"/>
      <c r="BH1423" s="138"/>
    </row>
    <row r="1424" spans="1:60" s="17" customFormat="1" ht="19.5" customHeight="1" thickBot="1" x14ac:dyDescent="0.4">
      <c r="A1424" s="41">
        <f>A1416</f>
        <v>45447</v>
      </c>
      <c r="B1424" s="37" t="str">
        <f>B1248</f>
        <v>Yaka Tıktık</v>
      </c>
      <c r="C1424" s="66" t="str">
        <f>C1248</f>
        <v>HAYAL ŞENER</v>
      </c>
      <c r="D1424" s="70">
        <f>D1248</f>
        <v>150</v>
      </c>
      <c r="E1424" s="63"/>
      <c r="F1424" s="55"/>
      <c r="G1424" s="55"/>
      <c r="H1424" s="56"/>
      <c r="I1424" s="63"/>
      <c r="J1424" s="55"/>
      <c r="K1424" s="55"/>
      <c r="L1424" s="56"/>
      <c r="M1424" s="63"/>
      <c r="N1424" s="55"/>
      <c r="O1424" s="55"/>
      <c r="P1424" s="56"/>
      <c r="Q1424" s="63"/>
      <c r="R1424" s="55"/>
      <c r="S1424" s="55"/>
      <c r="T1424" s="55"/>
      <c r="U1424" s="56"/>
      <c r="V1424" s="63"/>
      <c r="W1424" s="55"/>
      <c r="X1424" s="55"/>
      <c r="Y1424" s="56"/>
      <c r="Z1424" s="63"/>
      <c r="AA1424" s="55"/>
      <c r="AB1424" s="55"/>
      <c r="AC1424" s="56"/>
      <c r="AD1424" s="63"/>
      <c r="AE1424" s="55"/>
      <c r="AF1424" s="55"/>
      <c r="AG1424" s="56"/>
      <c r="AH1424" s="63"/>
      <c r="AI1424" s="55"/>
      <c r="AJ1424" s="55"/>
      <c r="AK1424" s="56"/>
      <c r="AL1424" s="63"/>
      <c r="AM1424" s="55"/>
      <c r="AN1424" s="55"/>
      <c r="AO1424" s="56"/>
      <c r="AP1424" s="63"/>
      <c r="AQ1424" s="54"/>
      <c r="AR1424" s="55"/>
      <c r="AS1424" s="56"/>
      <c r="AT1424" s="53"/>
      <c r="AU1424" s="54"/>
      <c r="AV1424" s="55"/>
      <c r="AW1424" s="56"/>
      <c r="AX1424" s="33">
        <f>SUM(E1424:AW1424)</f>
        <v>0</v>
      </c>
      <c r="AY1424" s="31">
        <f>IFERROR(AVERAGEIF(E1424:AW1424,"&lt;&gt;0",(E1424:AW1424)),)</f>
        <v>0</v>
      </c>
      <c r="AZ1424" s="30">
        <f>IFERROR(AY1424/D1424,0)</f>
        <v>0</v>
      </c>
      <c r="BA1424" s="103" t="s">
        <v>182</v>
      </c>
      <c r="BB1424" s="100" t="s">
        <v>183</v>
      </c>
      <c r="BC1424" s="100" t="s">
        <v>184</v>
      </c>
      <c r="BD1424" s="101" t="s">
        <v>185</v>
      </c>
      <c r="BE1424" s="100" t="s">
        <v>186</v>
      </c>
      <c r="BF1424" s="102" t="s">
        <v>187</v>
      </c>
      <c r="BG1424" s="100" t="s">
        <v>188</v>
      </c>
      <c r="BH1424" s="102" t="s">
        <v>189</v>
      </c>
    </row>
    <row r="1425" spans="1:60" s="17" customFormat="1" ht="19.5" customHeight="1" thickBot="1" x14ac:dyDescent="0.4">
      <c r="A1425" s="41">
        <f t="shared" ref="A1425:B1425" si="1435">A1424</f>
        <v>45447</v>
      </c>
      <c r="B1425" s="37" t="str">
        <f t="shared" si="1435"/>
        <v>Yaka Tıktık</v>
      </c>
      <c r="C1425" s="66">
        <f>C1249</f>
        <v>0</v>
      </c>
      <c r="D1425" s="67">
        <f>D1424</f>
        <v>150</v>
      </c>
      <c r="E1425" s="57"/>
      <c r="F1425" s="52"/>
      <c r="G1425" s="52"/>
      <c r="H1425" s="58"/>
      <c r="I1425" s="57"/>
      <c r="J1425" s="52"/>
      <c r="K1425" s="52"/>
      <c r="L1425" s="58"/>
      <c r="M1425" s="57"/>
      <c r="N1425" s="52"/>
      <c r="O1425" s="52"/>
      <c r="P1425" s="58"/>
      <c r="Q1425" s="57"/>
      <c r="R1425" s="52"/>
      <c r="S1425" s="52"/>
      <c r="T1425" s="52"/>
      <c r="U1425" s="58"/>
      <c r="V1425" s="57"/>
      <c r="W1425" s="52"/>
      <c r="X1425" s="52"/>
      <c r="Y1425" s="58"/>
      <c r="Z1425" s="57"/>
      <c r="AA1425" s="52"/>
      <c r="AB1425" s="52"/>
      <c r="AC1425" s="58"/>
      <c r="AD1425" s="57"/>
      <c r="AE1425" s="52"/>
      <c r="AF1425" s="52"/>
      <c r="AG1425" s="58"/>
      <c r="AH1425" s="57"/>
      <c r="AI1425" s="52"/>
      <c r="AJ1425" s="52"/>
      <c r="AK1425" s="58"/>
      <c r="AL1425" s="57"/>
      <c r="AM1425" s="52"/>
      <c r="AN1425" s="52"/>
      <c r="AO1425" s="58"/>
      <c r="AP1425" s="57"/>
      <c r="AQ1425" s="52"/>
      <c r="AR1425" s="52"/>
      <c r="AS1425" s="58"/>
      <c r="AT1425" s="57"/>
      <c r="AU1425" s="52"/>
      <c r="AV1425" s="52"/>
      <c r="AW1425" s="58"/>
      <c r="AX1425" s="33">
        <f>SUM(E1425:AW1425)</f>
        <v>0</v>
      </c>
      <c r="AY1425" s="31">
        <f>IFERROR(AVERAGEIF(E1425:AW1425,"&lt;&gt;0",(E1425:AW1425)),)</f>
        <v>0</v>
      </c>
      <c r="AZ1425" s="30">
        <f>IFERROR(AY1425/D1425,0)</f>
        <v>0</v>
      </c>
      <c r="BA1425" s="94">
        <f>AX1429+BA1249</f>
        <v>16105</v>
      </c>
      <c r="BB1425" s="95">
        <f>(D1429*8)</f>
        <v>4000</v>
      </c>
      <c r="BC1425" s="96">
        <f>C1413-BA1425</f>
        <v>26206</v>
      </c>
      <c r="BD1425" s="96">
        <f>BA1418-BA1425</f>
        <v>6265</v>
      </c>
      <c r="BE1425" s="97">
        <f>IFERROR(BC1425/E1429,0)</f>
        <v>0</v>
      </c>
      <c r="BF1425" s="98">
        <f>IFERROR(BE1425/9,0)</f>
        <v>0</v>
      </c>
      <c r="BG1425" s="97">
        <f>IFERROR(BC1425/AY1429,0)</f>
        <v>0</v>
      </c>
      <c r="BH1425" s="97">
        <f>IFERROR(BG1425/9,0)</f>
        <v>0</v>
      </c>
    </row>
    <row r="1426" spans="1:60" s="17" customFormat="1" ht="19.5" customHeight="1" x14ac:dyDescent="0.35">
      <c r="A1426" s="41">
        <f t="shared" ref="A1426:B1426" si="1436">A1425</f>
        <v>45447</v>
      </c>
      <c r="B1426" s="37" t="str">
        <f t="shared" si="1436"/>
        <v>Yaka Tıktık</v>
      </c>
      <c r="C1426" s="66">
        <f>C1250</f>
        <v>0</v>
      </c>
      <c r="D1426" s="67">
        <f>D1425</f>
        <v>150</v>
      </c>
      <c r="E1426" s="57"/>
      <c r="F1426" s="52"/>
      <c r="G1426" s="52"/>
      <c r="H1426" s="58"/>
      <c r="I1426" s="57"/>
      <c r="J1426" s="52"/>
      <c r="K1426" s="52"/>
      <c r="L1426" s="58"/>
      <c r="M1426" s="57"/>
      <c r="N1426" s="52"/>
      <c r="O1426" s="52"/>
      <c r="P1426" s="58"/>
      <c r="Q1426" s="57"/>
      <c r="R1426" s="52"/>
      <c r="S1426" s="52"/>
      <c r="T1426" s="52"/>
      <c r="U1426" s="58"/>
      <c r="V1426" s="57"/>
      <c r="W1426" s="52"/>
      <c r="X1426" s="52"/>
      <c r="Y1426" s="58"/>
      <c r="Z1426" s="57"/>
      <c r="AA1426" s="52"/>
      <c r="AB1426" s="52"/>
      <c r="AC1426" s="58"/>
      <c r="AD1426" s="57"/>
      <c r="AE1426" s="52"/>
      <c r="AF1426" s="52"/>
      <c r="AG1426" s="58"/>
      <c r="AH1426" s="57"/>
      <c r="AI1426" s="52"/>
      <c r="AJ1426" s="52"/>
      <c r="AK1426" s="58"/>
      <c r="AL1426" s="57"/>
      <c r="AM1426" s="52"/>
      <c r="AN1426" s="52"/>
      <c r="AO1426" s="58"/>
      <c r="AP1426" s="57"/>
      <c r="AQ1426" s="52"/>
      <c r="AR1426" s="52"/>
      <c r="AS1426" s="58"/>
      <c r="AT1426" s="57"/>
      <c r="AU1426" s="52"/>
      <c r="AV1426" s="52"/>
      <c r="AW1426" s="58"/>
      <c r="AX1426" s="33">
        <f>SUM(E1426:AW1426)</f>
        <v>0</v>
      </c>
      <c r="AY1426" s="31">
        <f>IFERROR(AVERAGEIF(E1426:AW1426,"&lt;&gt;0",(E1426:AW1426)),)</f>
        <v>0</v>
      </c>
      <c r="AZ1426" s="30">
        <f>IFERROR(AY1426/D1426,0)</f>
        <v>0</v>
      </c>
      <c r="BA1426" s="34"/>
      <c r="BB1426" s="34"/>
      <c r="BC1426" s="34"/>
      <c r="BD1426" s="76"/>
      <c r="BE1426" s="34"/>
      <c r="BF1426" s="34"/>
      <c r="BG1426" s="34"/>
      <c r="BH1426" s="34"/>
    </row>
    <row r="1427" spans="1:60" s="17" customFormat="1" ht="19.5" customHeight="1" x14ac:dyDescent="0.35">
      <c r="A1427" s="41">
        <f t="shared" ref="A1427:B1427" si="1437">A1426</f>
        <v>45447</v>
      </c>
      <c r="B1427" s="37" t="str">
        <f t="shared" si="1437"/>
        <v>Yaka Tıktık</v>
      </c>
      <c r="C1427" s="66">
        <f>C1251</f>
        <v>0</v>
      </c>
      <c r="D1427" s="67">
        <f>D1426</f>
        <v>150</v>
      </c>
      <c r="E1427" s="57"/>
      <c r="F1427" s="52"/>
      <c r="G1427" s="52"/>
      <c r="H1427" s="58"/>
      <c r="I1427" s="57"/>
      <c r="J1427" s="52"/>
      <c r="K1427" s="52"/>
      <c r="L1427" s="58"/>
      <c r="M1427" s="57"/>
      <c r="N1427" s="52"/>
      <c r="O1427" s="52"/>
      <c r="P1427" s="58"/>
      <c r="Q1427" s="57"/>
      <c r="R1427" s="52"/>
      <c r="S1427" s="52"/>
      <c r="T1427" s="52"/>
      <c r="U1427" s="58"/>
      <c r="V1427" s="57"/>
      <c r="W1427" s="52"/>
      <c r="X1427" s="52"/>
      <c r="Y1427" s="58"/>
      <c r="Z1427" s="57"/>
      <c r="AA1427" s="52"/>
      <c r="AB1427" s="52"/>
      <c r="AC1427" s="58"/>
      <c r="AD1427" s="57"/>
      <c r="AE1427" s="52"/>
      <c r="AF1427" s="52"/>
      <c r="AG1427" s="58"/>
      <c r="AH1427" s="57"/>
      <c r="AI1427" s="52"/>
      <c r="AJ1427" s="52"/>
      <c r="AK1427" s="58"/>
      <c r="AL1427" s="57"/>
      <c r="AM1427" s="52"/>
      <c r="AN1427" s="52"/>
      <c r="AO1427" s="58"/>
      <c r="AP1427" s="57"/>
      <c r="AQ1427" s="52"/>
      <c r="AR1427" s="52"/>
      <c r="AS1427" s="58"/>
      <c r="AT1427" s="57"/>
      <c r="AU1427" s="52"/>
      <c r="AV1427" s="52"/>
      <c r="AW1427" s="58"/>
      <c r="AX1427" s="33">
        <f>SUM(E1427:AW1427)</f>
        <v>0</v>
      </c>
      <c r="AY1427" s="31">
        <f>IFERROR(AVERAGEIF(E1427:AW1427,"&lt;&gt;0",(E1427:AW1427)),)</f>
        <v>0</v>
      </c>
      <c r="AZ1427" s="30">
        <f>IFERROR(AY1427/D1427,0)</f>
        <v>0</v>
      </c>
      <c r="BA1427" s="34"/>
      <c r="BB1427" s="34"/>
      <c r="BC1427" s="34"/>
      <c r="BD1427" s="76"/>
      <c r="BE1427" s="34"/>
      <c r="BF1427" s="34"/>
      <c r="BG1427" s="34"/>
      <c r="BH1427" s="34"/>
    </row>
    <row r="1428" spans="1:60" s="17" customFormat="1" ht="19.5" customHeight="1" thickBot="1" x14ac:dyDescent="0.4">
      <c r="A1428" s="41">
        <f t="shared" ref="A1428:B1428" si="1438">A1427</f>
        <v>45447</v>
      </c>
      <c r="B1428" s="37" t="str">
        <f t="shared" si="1438"/>
        <v>Yaka Tıktık</v>
      </c>
      <c r="C1428" s="66">
        <f>C1252</f>
        <v>0</v>
      </c>
      <c r="D1428" s="67">
        <f>D1427</f>
        <v>150</v>
      </c>
      <c r="E1428" s="64"/>
      <c r="F1428" s="61"/>
      <c r="G1428" s="61"/>
      <c r="H1428" s="62"/>
      <c r="I1428" s="64"/>
      <c r="J1428" s="61"/>
      <c r="K1428" s="61"/>
      <c r="L1428" s="62"/>
      <c r="M1428" s="64"/>
      <c r="N1428" s="61"/>
      <c r="O1428" s="61"/>
      <c r="P1428" s="62"/>
      <c r="Q1428" s="64"/>
      <c r="R1428" s="61"/>
      <c r="S1428" s="61"/>
      <c r="T1428" s="61"/>
      <c r="U1428" s="62"/>
      <c r="V1428" s="64"/>
      <c r="W1428" s="61"/>
      <c r="X1428" s="61"/>
      <c r="Y1428" s="62"/>
      <c r="Z1428" s="59"/>
      <c r="AA1428" s="60"/>
      <c r="AB1428" s="61"/>
      <c r="AC1428" s="62"/>
      <c r="AD1428" s="59"/>
      <c r="AE1428" s="60"/>
      <c r="AF1428" s="61"/>
      <c r="AG1428" s="62"/>
      <c r="AH1428" s="59"/>
      <c r="AI1428" s="60"/>
      <c r="AJ1428" s="61"/>
      <c r="AK1428" s="62"/>
      <c r="AL1428" s="59"/>
      <c r="AM1428" s="60"/>
      <c r="AN1428" s="61"/>
      <c r="AO1428" s="62"/>
      <c r="AP1428" s="59"/>
      <c r="AQ1428" s="60"/>
      <c r="AR1428" s="61"/>
      <c r="AS1428" s="62"/>
      <c r="AT1428" s="59"/>
      <c r="AU1428" s="60"/>
      <c r="AV1428" s="61"/>
      <c r="AW1428" s="62"/>
      <c r="AX1428" s="43">
        <f>SUM(E1428:AW1428)</f>
        <v>0</v>
      </c>
      <c r="AY1428" s="44">
        <f>IFERROR(AVERAGEIF(E1428:AW1428,"&lt;&gt;0",(E1428:AW1428)),)</f>
        <v>0</v>
      </c>
      <c r="AZ1428" s="45">
        <f>IFERROR(AY1428/D1428,0)</f>
        <v>0</v>
      </c>
      <c r="BA1428" s="34"/>
      <c r="BB1428" s="34"/>
      <c r="BC1428" s="34"/>
      <c r="BD1428" s="76"/>
      <c r="BE1428" s="34"/>
      <c r="BF1428" s="34"/>
      <c r="BG1428" s="34"/>
      <c r="BH1428" s="34"/>
    </row>
    <row r="1429" spans="1:60" s="17" customFormat="1" ht="19.5" customHeight="1" thickBot="1" x14ac:dyDescent="0.45">
      <c r="A1429" s="41">
        <f>A1428</f>
        <v>45447</v>
      </c>
      <c r="B1429" s="139" t="str">
        <f>B1424</f>
        <v>Yaka Tıktık</v>
      </c>
      <c r="C1429" s="140"/>
      <c r="D1429" s="40">
        <f>C1414/8</f>
        <v>500</v>
      </c>
      <c r="E1429" s="151">
        <f>SUM(E1424:H1428)</f>
        <v>0</v>
      </c>
      <c r="F1429" s="152"/>
      <c r="G1429" s="152"/>
      <c r="H1429" s="153"/>
      <c r="I1429" s="151">
        <f>SUM(I1424:L1428)</f>
        <v>0</v>
      </c>
      <c r="J1429" s="152"/>
      <c r="K1429" s="152"/>
      <c r="L1429" s="153"/>
      <c r="M1429" s="151">
        <f>SUM(M1424:P1428)</f>
        <v>0</v>
      </c>
      <c r="N1429" s="152"/>
      <c r="O1429" s="152"/>
      <c r="P1429" s="153"/>
      <c r="Q1429" s="151">
        <f>SUM(Q1424:U1428)</f>
        <v>0</v>
      </c>
      <c r="R1429" s="152"/>
      <c r="S1429" s="152"/>
      <c r="T1429" s="152"/>
      <c r="U1429" s="153"/>
      <c r="V1429" s="151">
        <f>SUM(V1424:Y1428)</f>
        <v>0</v>
      </c>
      <c r="W1429" s="152"/>
      <c r="X1429" s="152"/>
      <c r="Y1429" s="153"/>
      <c r="Z1429" s="151">
        <f>SUM(Z1424:AC1428)</f>
        <v>0</v>
      </c>
      <c r="AA1429" s="152"/>
      <c r="AB1429" s="152"/>
      <c r="AC1429" s="153"/>
      <c r="AD1429" s="151">
        <f>SUM(AD1424:AG1428)</f>
        <v>0</v>
      </c>
      <c r="AE1429" s="152"/>
      <c r="AF1429" s="152"/>
      <c r="AG1429" s="153"/>
      <c r="AH1429" s="151">
        <f>SUM(AH1424:AK1428)</f>
        <v>0</v>
      </c>
      <c r="AI1429" s="152"/>
      <c r="AJ1429" s="152"/>
      <c r="AK1429" s="153"/>
      <c r="AL1429" s="151">
        <f>SUM(AL1424:AO1428)</f>
        <v>0</v>
      </c>
      <c r="AM1429" s="152"/>
      <c r="AN1429" s="152"/>
      <c r="AO1429" s="153"/>
      <c r="AP1429" s="151">
        <f>SUM(AP1424:AS1428)</f>
        <v>0</v>
      </c>
      <c r="AQ1429" s="152"/>
      <c r="AR1429" s="152"/>
      <c r="AS1429" s="153"/>
      <c r="AT1429" s="151">
        <f>SUM(AT1424:AW1428)</f>
        <v>0</v>
      </c>
      <c r="AU1429" s="152"/>
      <c r="AV1429" s="152"/>
      <c r="AW1429" s="153"/>
      <c r="AX1429" s="87">
        <f>SUM(AX1424:AX1428)</f>
        <v>0</v>
      </c>
      <c r="AY1429" s="88">
        <f>IFERROR(AVERAGEIF(E1429:AV1429,"&lt;&gt;0",(E1429:AV1429)),)</f>
        <v>0</v>
      </c>
      <c r="AZ1429" s="46">
        <f>IFERROR(AX1429/BB1425,0)</f>
        <v>0</v>
      </c>
      <c r="BA1429" s="34"/>
      <c r="BB1429" s="34"/>
      <c r="BC1429" s="34"/>
      <c r="BD1429" s="76"/>
      <c r="BE1429" s="34"/>
      <c r="BF1429" s="34"/>
      <c r="BG1429" s="34"/>
      <c r="BH1429" s="34"/>
    </row>
    <row r="1430" spans="1:60" s="17" customFormat="1" ht="19.5" customHeight="1" thickBot="1" x14ac:dyDescent="0.4">
      <c r="A1430" s="42">
        <f>A1416</f>
        <v>45447</v>
      </c>
      <c r="B1430" s="38" t="str">
        <f>B1431</f>
        <v>Etiket Hazırlama</v>
      </c>
      <c r="C1430" s="39" t="s">
        <v>180</v>
      </c>
      <c r="D1430" s="69" t="s">
        <v>181</v>
      </c>
      <c r="E1430" s="48">
        <v>0.34375</v>
      </c>
      <c r="F1430" s="49">
        <v>0.35416666666666669</v>
      </c>
      <c r="G1430" s="49">
        <v>0.36458333333333331</v>
      </c>
      <c r="H1430" s="50">
        <v>0.375</v>
      </c>
      <c r="I1430" s="48">
        <v>0.38541666666666702</v>
      </c>
      <c r="J1430" s="49">
        <v>0.39583333333333298</v>
      </c>
      <c r="K1430" s="49">
        <v>0.40625</v>
      </c>
      <c r="L1430" s="50">
        <v>0.41666666666666702</v>
      </c>
      <c r="M1430" s="48">
        <v>0.4375</v>
      </c>
      <c r="N1430" s="49">
        <v>0.44791666666666702</v>
      </c>
      <c r="O1430" s="49">
        <v>0.45833333333333398</v>
      </c>
      <c r="P1430" s="50">
        <v>0.46875</v>
      </c>
      <c r="Q1430" s="48">
        <v>0.47916666666666702</v>
      </c>
      <c r="R1430" s="49">
        <v>0.48958333333333398</v>
      </c>
      <c r="S1430" s="49">
        <v>0.5</v>
      </c>
      <c r="T1430" s="50">
        <v>0.51041666666666696</v>
      </c>
      <c r="U1430" s="51">
        <v>0.52083333333333204</v>
      </c>
      <c r="V1430" s="48">
        <v>0.5625</v>
      </c>
      <c r="W1430" s="49">
        <v>0.57291666666666663</v>
      </c>
      <c r="X1430" s="49">
        <v>0.58333333333333304</v>
      </c>
      <c r="Y1430" s="50">
        <v>0.59375</v>
      </c>
      <c r="Z1430" s="48">
        <v>0.60416666666666696</v>
      </c>
      <c r="AA1430" s="49">
        <v>0.61458333333333304</v>
      </c>
      <c r="AB1430" s="49">
        <v>0.625</v>
      </c>
      <c r="AC1430" s="50">
        <v>0.63541666666666596</v>
      </c>
      <c r="AD1430" s="48">
        <v>0.65625</v>
      </c>
      <c r="AE1430" s="49">
        <v>0.66666666666666663</v>
      </c>
      <c r="AF1430" s="49">
        <v>0.67708333333333304</v>
      </c>
      <c r="AG1430" s="50">
        <v>0.6875</v>
      </c>
      <c r="AH1430" s="48">
        <v>0.69791666666666696</v>
      </c>
      <c r="AI1430" s="49">
        <v>0.70833333333333304</v>
      </c>
      <c r="AJ1430" s="49">
        <v>0.71875</v>
      </c>
      <c r="AK1430" s="50">
        <v>0.72916666666666696</v>
      </c>
      <c r="AL1430" s="48">
        <v>0.73958333333333404</v>
      </c>
      <c r="AM1430" s="49">
        <v>0.750000000000001</v>
      </c>
      <c r="AN1430" s="49">
        <v>0.76041666666666796</v>
      </c>
      <c r="AO1430" s="50">
        <v>0.77083333333333504</v>
      </c>
      <c r="AP1430" s="48">
        <v>0.781250000000002</v>
      </c>
      <c r="AQ1430" s="49">
        <v>0.79166666666666896</v>
      </c>
      <c r="AR1430" s="49">
        <v>0.80208333333333603</v>
      </c>
      <c r="AS1430" s="50">
        <v>0.812500000000003</v>
      </c>
      <c r="AT1430" s="48">
        <v>0.82291666666666996</v>
      </c>
      <c r="AU1430" s="49">
        <v>0.83333333333333703</v>
      </c>
      <c r="AV1430" s="49">
        <v>0.843750000000004</v>
      </c>
      <c r="AW1430" s="50">
        <v>0.85416666666666663</v>
      </c>
      <c r="AX1430" s="68" t="s">
        <v>260</v>
      </c>
      <c r="AY1430" s="28" t="s">
        <v>261</v>
      </c>
      <c r="AZ1430" s="29" t="s">
        <v>262</v>
      </c>
      <c r="BA1430" s="136" t="str">
        <f>B1431</f>
        <v>Etiket Hazırlama</v>
      </c>
      <c r="BB1430" s="137"/>
      <c r="BC1430" s="137"/>
      <c r="BD1430" s="137"/>
      <c r="BE1430" s="137"/>
      <c r="BF1430" s="137"/>
      <c r="BG1430" s="137"/>
      <c r="BH1430" s="138"/>
    </row>
    <row r="1431" spans="1:60" s="17" customFormat="1" ht="19.5" customHeight="1" thickBot="1" x14ac:dyDescent="0.4">
      <c r="A1431" s="41">
        <f t="shared" ref="A1431:A1436" si="1439">A1430</f>
        <v>45447</v>
      </c>
      <c r="B1431" s="37" t="str">
        <f>B1255</f>
        <v>Etiket Hazırlama</v>
      </c>
      <c r="C1431" s="66" t="str">
        <f>C1255</f>
        <v>EMİNE PİŞKİN</v>
      </c>
      <c r="D1431" s="70">
        <f>D1255</f>
        <v>120</v>
      </c>
      <c r="E1431" s="63"/>
      <c r="F1431" s="55"/>
      <c r="G1431" s="55"/>
      <c r="H1431" s="56"/>
      <c r="I1431" s="63"/>
      <c r="J1431" s="55"/>
      <c r="K1431" s="55"/>
      <c r="L1431" s="56"/>
      <c r="M1431" s="63"/>
      <c r="N1431" s="55"/>
      <c r="O1431" s="55"/>
      <c r="P1431" s="56"/>
      <c r="Q1431" s="63"/>
      <c r="R1431" s="55"/>
      <c r="S1431" s="55"/>
      <c r="T1431" s="55"/>
      <c r="U1431" s="56"/>
      <c r="V1431" s="63"/>
      <c r="W1431" s="55"/>
      <c r="X1431" s="55"/>
      <c r="Y1431" s="56"/>
      <c r="Z1431" s="63"/>
      <c r="AA1431" s="55"/>
      <c r="AB1431" s="55"/>
      <c r="AC1431" s="56"/>
      <c r="AD1431" s="63"/>
      <c r="AE1431" s="55"/>
      <c r="AF1431" s="55"/>
      <c r="AG1431" s="56"/>
      <c r="AH1431" s="63"/>
      <c r="AI1431" s="55"/>
      <c r="AJ1431" s="55"/>
      <c r="AK1431" s="56"/>
      <c r="AL1431" s="63"/>
      <c r="AM1431" s="55"/>
      <c r="AN1431" s="55"/>
      <c r="AO1431" s="56"/>
      <c r="AP1431" s="63"/>
      <c r="AQ1431" s="54"/>
      <c r="AR1431" s="55"/>
      <c r="AS1431" s="56"/>
      <c r="AT1431" s="53"/>
      <c r="AU1431" s="54"/>
      <c r="AV1431" s="55"/>
      <c r="AW1431" s="56"/>
      <c r="AX1431" s="33">
        <f>SUM(E1431:AW1431)</f>
        <v>0</v>
      </c>
      <c r="AY1431" s="31">
        <f>IFERROR(AVERAGEIF(E1431:AW1431,"&lt;&gt;0",(E1431:AW1431)),)</f>
        <v>0</v>
      </c>
      <c r="AZ1431" s="30">
        <f>IFERROR(AY1431/D1431,0)</f>
        <v>0</v>
      </c>
      <c r="BA1431" s="103" t="s">
        <v>182</v>
      </c>
      <c r="BB1431" s="100" t="s">
        <v>183</v>
      </c>
      <c r="BC1431" s="100" t="s">
        <v>184</v>
      </c>
      <c r="BD1431" s="101" t="s">
        <v>185</v>
      </c>
      <c r="BE1431" s="100" t="s">
        <v>186</v>
      </c>
      <c r="BF1431" s="102" t="s">
        <v>187</v>
      </c>
      <c r="BG1431" s="100" t="s">
        <v>188</v>
      </c>
      <c r="BH1431" s="102" t="s">
        <v>189</v>
      </c>
    </row>
    <row r="1432" spans="1:60" s="17" customFormat="1" ht="19.5" customHeight="1" thickBot="1" x14ac:dyDescent="0.4">
      <c r="A1432" s="41">
        <f t="shared" si="1439"/>
        <v>45447</v>
      </c>
      <c r="B1432" s="37" t="str">
        <f>B1431</f>
        <v>Etiket Hazırlama</v>
      </c>
      <c r="C1432" s="66">
        <f>C1256</f>
        <v>0</v>
      </c>
      <c r="D1432" s="67">
        <f>D1431</f>
        <v>120</v>
      </c>
      <c r="E1432" s="57"/>
      <c r="F1432" s="52"/>
      <c r="G1432" s="52"/>
      <c r="H1432" s="58"/>
      <c r="I1432" s="57"/>
      <c r="J1432" s="52"/>
      <c r="K1432" s="52"/>
      <c r="L1432" s="58"/>
      <c r="M1432" s="57"/>
      <c r="N1432" s="52"/>
      <c r="O1432" s="52"/>
      <c r="P1432" s="58"/>
      <c r="Q1432" s="57"/>
      <c r="R1432" s="52"/>
      <c r="S1432" s="52"/>
      <c r="T1432" s="52"/>
      <c r="U1432" s="58"/>
      <c r="V1432" s="57"/>
      <c r="W1432" s="52"/>
      <c r="X1432" s="52"/>
      <c r="Y1432" s="58"/>
      <c r="Z1432" s="57"/>
      <c r="AA1432" s="52"/>
      <c r="AB1432" s="52"/>
      <c r="AC1432" s="58"/>
      <c r="AD1432" s="57"/>
      <c r="AE1432" s="52"/>
      <c r="AF1432" s="52"/>
      <c r="AG1432" s="58"/>
      <c r="AH1432" s="57"/>
      <c r="AI1432" s="52"/>
      <c r="AJ1432" s="52"/>
      <c r="AK1432" s="58"/>
      <c r="AL1432" s="57"/>
      <c r="AM1432" s="52"/>
      <c r="AN1432" s="52"/>
      <c r="AO1432" s="58"/>
      <c r="AP1432" s="57"/>
      <c r="AQ1432" s="52"/>
      <c r="AR1432" s="52"/>
      <c r="AS1432" s="58"/>
      <c r="AT1432" s="57"/>
      <c r="AU1432" s="52"/>
      <c r="AV1432" s="52"/>
      <c r="AW1432" s="58"/>
      <c r="AX1432" s="33">
        <f>SUM(E1432:AW1432)</f>
        <v>0</v>
      </c>
      <c r="AY1432" s="31">
        <f>IFERROR(AVERAGEIF(E1432:AW1432,"&lt;&gt;0",(E1432:AW1432)),)</f>
        <v>0</v>
      </c>
      <c r="AZ1432" s="30">
        <f>IFERROR(AY1432/D1432,0)</f>
        <v>0</v>
      </c>
      <c r="BA1432" s="94">
        <f>AX1436+BA1256</f>
        <v>19562</v>
      </c>
      <c r="BB1432" s="95">
        <f>(D1436*8)</f>
        <v>4000</v>
      </c>
      <c r="BC1432" s="96">
        <f>C1413-BA1432</f>
        <v>22749</v>
      </c>
      <c r="BD1432" s="96">
        <f>BC1432</f>
        <v>22749</v>
      </c>
      <c r="BE1432" s="97">
        <f>IFERROR(BC1432/E1436,0)</f>
        <v>0</v>
      </c>
      <c r="BF1432" s="98">
        <f>IFERROR(BE1432/9,0)</f>
        <v>0</v>
      </c>
      <c r="BG1432" s="97">
        <f>IFERROR(BC1432/AY1436,0)</f>
        <v>0</v>
      </c>
      <c r="BH1432" s="97">
        <f>IFERROR(BG1432/9,0)</f>
        <v>0</v>
      </c>
    </row>
    <row r="1433" spans="1:60" s="17" customFormat="1" ht="19.5" customHeight="1" x14ac:dyDescent="0.35">
      <c r="A1433" s="41">
        <f t="shared" si="1439"/>
        <v>45447</v>
      </c>
      <c r="B1433" s="37" t="str">
        <f>B1432</f>
        <v>Etiket Hazırlama</v>
      </c>
      <c r="C1433" s="66">
        <f>C1257</f>
        <v>0</v>
      </c>
      <c r="D1433" s="67">
        <f>D1432</f>
        <v>120</v>
      </c>
      <c r="E1433" s="57"/>
      <c r="F1433" s="52"/>
      <c r="G1433" s="52"/>
      <c r="H1433" s="58"/>
      <c r="I1433" s="57"/>
      <c r="J1433" s="52"/>
      <c r="K1433" s="52"/>
      <c r="L1433" s="58"/>
      <c r="M1433" s="57"/>
      <c r="N1433" s="52"/>
      <c r="O1433" s="52"/>
      <c r="P1433" s="58"/>
      <c r="Q1433" s="57"/>
      <c r="R1433" s="52"/>
      <c r="S1433" s="52"/>
      <c r="T1433" s="52"/>
      <c r="U1433" s="58"/>
      <c r="V1433" s="57"/>
      <c r="W1433" s="52"/>
      <c r="X1433" s="52"/>
      <c r="Y1433" s="58"/>
      <c r="Z1433" s="57"/>
      <c r="AA1433" s="52"/>
      <c r="AB1433" s="52"/>
      <c r="AC1433" s="58"/>
      <c r="AD1433" s="57"/>
      <c r="AE1433" s="52"/>
      <c r="AF1433" s="52"/>
      <c r="AG1433" s="58"/>
      <c r="AH1433" s="57"/>
      <c r="AI1433" s="52"/>
      <c r="AJ1433" s="52"/>
      <c r="AK1433" s="58"/>
      <c r="AL1433" s="57"/>
      <c r="AM1433" s="52"/>
      <c r="AN1433" s="52"/>
      <c r="AO1433" s="58"/>
      <c r="AP1433" s="57"/>
      <c r="AQ1433" s="52"/>
      <c r="AR1433" s="52"/>
      <c r="AS1433" s="58"/>
      <c r="AT1433" s="57"/>
      <c r="AU1433" s="52"/>
      <c r="AV1433" s="52"/>
      <c r="AW1433" s="58"/>
      <c r="AX1433" s="33">
        <f>SUM(E1433:AW1433)</f>
        <v>0</v>
      </c>
      <c r="AY1433" s="31">
        <f>IFERROR(AVERAGEIF(E1433:AW1433,"&lt;&gt;0",(E1433:AW1433)),)</f>
        <v>0</v>
      </c>
      <c r="AZ1433" s="30">
        <f>IFERROR(AY1433/D1433,0)</f>
        <v>0</v>
      </c>
      <c r="BA1433" s="34"/>
      <c r="BB1433" s="34"/>
      <c r="BC1433" s="34"/>
      <c r="BD1433" s="76"/>
      <c r="BE1433" s="34"/>
      <c r="BF1433" s="34"/>
      <c r="BG1433" s="34"/>
      <c r="BH1433" s="34"/>
    </row>
    <row r="1434" spans="1:60" s="17" customFormat="1" ht="19.5" customHeight="1" x14ac:dyDescent="0.35">
      <c r="A1434" s="41">
        <f t="shared" si="1439"/>
        <v>45447</v>
      </c>
      <c r="B1434" s="37" t="str">
        <f>B1433</f>
        <v>Etiket Hazırlama</v>
      </c>
      <c r="C1434" s="66">
        <f>C1258</f>
        <v>0</v>
      </c>
      <c r="D1434" s="67">
        <f>D1433</f>
        <v>120</v>
      </c>
      <c r="E1434" s="57"/>
      <c r="F1434" s="52"/>
      <c r="G1434" s="52"/>
      <c r="H1434" s="58"/>
      <c r="I1434" s="57"/>
      <c r="J1434" s="52"/>
      <c r="K1434" s="52"/>
      <c r="L1434" s="58"/>
      <c r="M1434" s="57"/>
      <c r="N1434" s="52"/>
      <c r="O1434" s="52"/>
      <c r="P1434" s="58"/>
      <c r="Q1434" s="57"/>
      <c r="R1434" s="52"/>
      <c r="S1434" s="52"/>
      <c r="T1434" s="52"/>
      <c r="U1434" s="58"/>
      <c r="V1434" s="57"/>
      <c r="W1434" s="52"/>
      <c r="X1434" s="52"/>
      <c r="Y1434" s="58"/>
      <c r="Z1434" s="57"/>
      <c r="AA1434" s="52"/>
      <c r="AB1434" s="52"/>
      <c r="AC1434" s="58"/>
      <c r="AD1434" s="57"/>
      <c r="AE1434" s="52"/>
      <c r="AF1434" s="52"/>
      <c r="AG1434" s="58"/>
      <c r="AH1434" s="57"/>
      <c r="AI1434" s="52"/>
      <c r="AJ1434" s="52"/>
      <c r="AK1434" s="58"/>
      <c r="AL1434" s="57"/>
      <c r="AM1434" s="52"/>
      <c r="AN1434" s="52"/>
      <c r="AO1434" s="58"/>
      <c r="AP1434" s="57"/>
      <c r="AQ1434" s="52"/>
      <c r="AR1434" s="52"/>
      <c r="AS1434" s="58"/>
      <c r="AT1434" s="57"/>
      <c r="AU1434" s="52"/>
      <c r="AV1434" s="52"/>
      <c r="AW1434" s="58"/>
      <c r="AX1434" s="33">
        <f>SUM(E1434:AW1434)</f>
        <v>0</v>
      </c>
      <c r="AY1434" s="31">
        <f>IFERROR(AVERAGEIF(E1434:AW1434,"&lt;&gt;0",(E1434:AW1434)),)</f>
        <v>0</v>
      </c>
      <c r="AZ1434" s="30">
        <f>IFERROR(AY1434/D1434,0)</f>
        <v>0</v>
      </c>
      <c r="BA1434" s="34"/>
      <c r="BB1434" s="34"/>
      <c r="BC1434" s="34"/>
      <c r="BD1434" s="76"/>
      <c r="BE1434" s="34"/>
      <c r="BF1434" s="34"/>
      <c r="BG1434" s="34"/>
      <c r="BH1434" s="34"/>
    </row>
    <row r="1435" spans="1:60" s="17" customFormat="1" ht="19.5" customHeight="1" thickBot="1" x14ac:dyDescent="0.4">
      <c r="A1435" s="41">
        <f t="shared" si="1439"/>
        <v>45447</v>
      </c>
      <c r="B1435" s="37" t="str">
        <f>B1434</f>
        <v>Etiket Hazırlama</v>
      </c>
      <c r="C1435" s="66">
        <f>C1259</f>
        <v>0</v>
      </c>
      <c r="D1435" s="67">
        <f>D1434</f>
        <v>120</v>
      </c>
      <c r="E1435" s="64"/>
      <c r="F1435" s="61"/>
      <c r="G1435" s="61"/>
      <c r="H1435" s="62"/>
      <c r="I1435" s="64"/>
      <c r="J1435" s="61"/>
      <c r="K1435" s="61"/>
      <c r="L1435" s="62"/>
      <c r="M1435" s="64"/>
      <c r="N1435" s="61"/>
      <c r="O1435" s="61"/>
      <c r="P1435" s="62"/>
      <c r="Q1435" s="64"/>
      <c r="R1435" s="61"/>
      <c r="S1435" s="61"/>
      <c r="T1435" s="61"/>
      <c r="U1435" s="62"/>
      <c r="V1435" s="64"/>
      <c r="W1435" s="61"/>
      <c r="X1435" s="61"/>
      <c r="Y1435" s="62"/>
      <c r="Z1435" s="59"/>
      <c r="AA1435" s="60"/>
      <c r="AB1435" s="61"/>
      <c r="AC1435" s="62"/>
      <c r="AD1435" s="59"/>
      <c r="AE1435" s="60"/>
      <c r="AF1435" s="61"/>
      <c r="AG1435" s="62"/>
      <c r="AH1435" s="59"/>
      <c r="AI1435" s="60"/>
      <c r="AJ1435" s="61"/>
      <c r="AK1435" s="62"/>
      <c r="AL1435" s="59"/>
      <c r="AM1435" s="60"/>
      <c r="AN1435" s="61"/>
      <c r="AO1435" s="62"/>
      <c r="AP1435" s="59"/>
      <c r="AQ1435" s="60"/>
      <c r="AR1435" s="61"/>
      <c r="AS1435" s="62"/>
      <c r="AT1435" s="59"/>
      <c r="AU1435" s="60"/>
      <c r="AV1435" s="61"/>
      <c r="AW1435" s="62"/>
      <c r="AX1435" s="43">
        <f>SUM(E1435:AW1435)</f>
        <v>0</v>
      </c>
      <c r="AY1435" s="44">
        <f>IFERROR(AVERAGEIF(E1435:AW1435,"&lt;&gt;0",(E1435:AW1435)),)</f>
        <v>0</v>
      </c>
      <c r="AZ1435" s="45">
        <f>IFERROR(AY1435/D1435,0)</f>
        <v>0</v>
      </c>
      <c r="BA1435" s="34"/>
      <c r="BB1435" s="34"/>
      <c r="BC1435" s="34"/>
      <c r="BD1435" s="76"/>
      <c r="BE1435" s="34"/>
      <c r="BF1435" s="34"/>
      <c r="BG1435" s="34"/>
      <c r="BH1435" s="34"/>
    </row>
    <row r="1436" spans="1:60" s="17" customFormat="1" ht="19.5" customHeight="1" thickBot="1" x14ac:dyDescent="0.45">
      <c r="A1436" s="41">
        <f t="shared" si="1439"/>
        <v>45447</v>
      </c>
      <c r="B1436" s="139" t="str">
        <f>B1431</f>
        <v>Etiket Hazırlama</v>
      </c>
      <c r="C1436" s="140"/>
      <c r="D1436" s="40">
        <f>C1414/8</f>
        <v>500</v>
      </c>
      <c r="E1436" s="151">
        <f>SUM(E1431:H1435)</f>
        <v>0</v>
      </c>
      <c r="F1436" s="152"/>
      <c r="G1436" s="152"/>
      <c r="H1436" s="153"/>
      <c r="I1436" s="151">
        <f>SUM(I1431:L1435)</f>
        <v>0</v>
      </c>
      <c r="J1436" s="152"/>
      <c r="K1436" s="152"/>
      <c r="L1436" s="153"/>
      <c r="M1436" s="151">
        <f>SUM(M1431:P1435)</f>
        <v>0</v>
      </c>
      <c r="N1436" s="152"/>
      <c r="O1436" s="152"/>
      <c r="P1436" s="153"/>
      <c r="Q1436" s="151">
        <f>SUM(Q1431:U1435)</f>
        <v>0</v>
      </c>
      <c r="R1436" s="152"/>
      <c r="S1436" s="152"/>
      <c r="T1436" s="152"/>
      <c r="U1436" s="153"/>
      <c r="V1436" s="151">
        <f>SUM(V1431:Y1435)</f>
        <v>0</v>
      </c>
      <c r="W1436" s="152"/>
      <c r="X1436" s="152"/>
      <c r="Y1436" s="153"/>
      <c r="Z1436" s="151">
        <f>SUM(Z1431:AC1435)</f>
        <v>0</v>
      </c>
      <c r="AA1436" s="152"/>
      <c r="AB1436" s="152"/>
      <c r="AC1436" s="153"/>
      <c r="AD1436" s="151">
        <f>SUM(AD1431:AG1435)</f>
        <v>0</v>
      </c>
      <c r="AE1436" s="152"/>
      <c r="AF1436" s="152"/>
      <c r="AG1436" s="153"/>
      <c r="AH1436" s="151">
        <f>SUM(AH1431:AK1435)</f>
        <v>0</v>
      </c>
      <c r="AI1436" s="152"/>
      <c r="AJ1436" s="152"/>
      <c r="AK1436" s="153"/>
      <c r="AL1436" s="151">
        <f>SUM(AL1431:AO1435)</f>
        <v>0</v>
      </c>
      <c r="AM1436" s="152"/>
      <c r="AN1436" s="152"/>
      <c r="AO1436" s="153"/>
      <c r="AP1436" s="151">
        <f>SUM(AP1431:AS1435)</f>
        <v>0</v>
      </c>
      <c r="AQ1436" s="152"/>
      <c r="AR1436" s="152"/>
      <c r="AS1436" s="153"/>
      <c r="AT1436" s="151">
        <f>SUM(AT1431:AW1435)</f>
        <v>0</v>
      </c>
      <c r="AU1436" s="152"/>
      <c r="AV1436" s="152"/>
      <c r="AW1436" s="153"/>
      <c r="AX1436" s="87">
        <f>SUM(AX1431:AX1435)</f>
        <v>0</v>
      </c>
      <c r="AY1436" s="88">
        <f>IFERROR(AVERAGEIF(E1436:AV1436,"&lt;&gt;0",(E1436:AV1436)),)</f>
        <v>0</v>
      </c>
      <c r="AZ1436" s="46">
        <f>IFERROR(AX1436/BB1432,0)</f>
        <v>0</v>
      </c>
      <c r="BA1436" s="34"/>
      <c r="BB1436" s="34"/>
      <c r="BC1436" s="34"/>
      <c r="BD1436" s="76"/>
      <c r="BE1436" s="34"/>
      <c r="BF1436" s="34"/>
      <c r="BG1436" s="34"/>
      <c r="BH1436" s="34"/>
    </row>
    <row r="1437" spans="1:60" s="17" customFormat="1" ht="19.5" customHeight="1" thickBot="1" x14ac:dyDescent="0.4">
      <c r="A1437" s="42">
        <f>A1416</f>
        <v>45447</v>
      </c>
      <c r="B1437" s="38" t="str">
        <f>B1438</f>
        <v>Tela Yapıştırma</v>
      </c>
      <c r="C1437" s="39" t="s">
        <v>180</v>
      </c>
      <c r="D1437" s="69" t="s">
        <v>181</v>
      </c>
      <c r="E1437" s="48">
        <v>0.34375</v>
      </c>
      <c r="F1437" s="49">
        <v>0.35416666666666669</v>
      </c>
      <c r="G1437" s="49">
        <v>0.36458333333333331</v>
      </c>
      <c r="H1437" s="50">
        <v>0.375</v>
      </c>
      <c r="I1437" s="48">
        <v>0.38541666666666702</v>
      </c>
      <c r="J1437" s="49">
        <v>0.39583333333333298</v>
      </c>
      <c r="K1437" s="49">
        <v>0.40625</v>
      </c>
      <c r="L1437" s="50">
        <v>0.41666666666666702</v>
      </c>
      <c r="M1437" s="48">
        <v>0.4375</v>
      </c>
      <c r="N1437" s="49">
        <v>0.44791666666666702</v>
      </c>
      <c r="O1437" s="49">
        <v>0.45833333333333398</v>
      </c>
      <c r="P1437" s="50">
        <v>0.46875</v>
      </c>
      <c r="Q1437" s="48">
        <v>0.47916666666666702</v>
      </c>
      <c r="R1437" s="49">
        <v>0.48958333333333398</v>
      </c>
      <c r="S1437" s="49">
        <v>0.5</v>
      </c>
      <c r="T1437" s="50">
        <v>0.51041666666666696</v>
      </c>
      <c r="U1437" s="51">
        <v>0.52083333333333204</v>
      </c>
      <c r="V1437" s="48">
        <v>0.5625</v>
      </c>
      <c r="W1437" s="49">
        <v>0.57291666666666663</v>
      </c>
      <c r="X1437" s="49">
        <v>0.58333333333333304</v>
      </c>
      <c r="Y1437" s="50">
        <v>0.59375</v>
      </c>
      <c r="Z1437" s="48">
        <v>0.60416666666666696</v>
      </c>
      <c r="AA1437" s="49">
        <v>0.61458333333333304</v>
      </c>
      <c r="AB1437" s="49">
        <v>0.625</v>
      </c>
      <c r="AC1437" s="50">
        <v>0.63541666666666596</v>
      </c>
      <c r="AD1437" s="48">
        <v>0.65625</v>
      </c>
      <c r="AE1437" s="49">
        <v>0.66666666666666663</v>
      </c>
      <c r="AF1437" s="49">
        <v>0.67708333333333304</v>
      </c>
      <c r="AG1437" s="50">
        <v>0.6875</v>
      </c>
      <c r="AH1437" s="48">
        <v>0.69791666666666696</v>
      </c>
      <c r="AI1437" s="49">
        <v>0.70833333333333304</v>
      </c>
      <c r="AJ1437" s="49">
        <v>0.71875</v>
      </c>
      <c r="AK1437" s="50">
        <v>0.72916666666666696</v>
      </c>
      <c r="AL1437" s="48">
        <v>0.73958333333333404</v>
      </c>
      <c r="AM1437" s="49">
        <v>0.750000000000001</v>
      </c>
      <c r="AN1437" s="49">
        <v>0.76041666666666796</v>
      </c>
      <c r="AO1437" s="50">
        <v>0.77083333333333504</v>
      </c>
      <c r="AP1437" s="48">
        <v>0.781250000000002</v>
      </c>
      <c r="AQ1437" s="49">
        <v>0.79166666666666896</v>
      </c>
      <c r="AR1437" s="49">
        <v>0.80208333333333603</v>
      </c>
      <c r="AS1437" s="50">
        <v>0.812500000000003</v>
      </c>
      <c r="AT1437" s="48">
        <v>0.82291666666666996</v>
      </c>
      <c r="AU1437" s="49">
        <v>0.83333333333333703</v>
      </c>
      <c r="AV1437" s="49">
        <v>0.843750000000004</v>
      </c>
      <c r="AW1437" s="50">
        <v>0.85416666666666663</v>
      </c>
      <c r="AX1437" s="68" t="s">
        <v>260</v>
      </c>
      <c r="AY1437" s="28" t="s">
        <v>261</v>
      </c>
      <c r="AZ1437" s="29" t="s">
        <v>262</v>
      </c>
      <c r="BA1437" s="136" t="str">
        <f>B1438</f>
        <v>Tela Yapıştırma</v>
      </c>
      <c r="BB1437" s="137"/>
      <c r="BC1437" s="137"/>
      <c r="BD1437" s="137"/>
      <c r="BE1437" s="137"/>
      <c r="BF1437" s="137"/>
      <c r="BG1437" s="137"/>
      <c r="BH1437" s="138"/>
    </row>
    <row r="1438" spans="1:60" s="17" customFormat="1" ht="19.5" customHeight="1" thickBot="1" x14ac:dyDescent="0.4">
      <c r="A1438" s="41">
        <f>A1430</f>
        <v>45447</v>
      </c>
      <c r="B1438" s="37" t="str">
        <f>B1262</f>
        <v>Tela Yapıştırma</v>
      </c>
      <c r="C1438" s="66" t="str">
        <f>C1262</f>
        <v>AYŞE ADADA</v>
      </c>
      <c r="D1438" s="70">
        <f>D1262</f>
        <v>200</v>
      </c>
      <c r="E1438" s="63"/>
      <c r="F1438" s="55"/>
      <c r="G1438" s="55"/>
      <c r="H1438" s="56"/>
      <c r="I1438" s="63"/>
      <c r="J1438" s="55"/>
      <c r="K1438" s="55"/>
      <c r="L1438" s="56"/>
      <c r="M1438" s="63"/>
      <c r="N1438" s="55"/>
      <c r="O1438" s="55"/>
      <c r="P1438" s="56"/>
      <c r="Q1438" s="63"/>
      <c r="R1438" s="55"/>
      <c r="S1438" s="55"/>
      <c r="T1438" s="55"/>
      <c r="U1438" s="56"/>
      <c r="V1438" s="63"/>
      <c r="W1438" s="55"/>
      <c r="X1438" s="55"/>
      <c r="Y1438" s="56"/>
      <c r="Z1438" s="63"/>
      <c r="AA1438" s="55"/>
      <c r="AB1438" s="55"/>
      <c r="AC1438" s="56"/>
      <c r="AD1438" s="63"/>
      <c r="AE1438" s="55"/>
      <c r="AF1438" s="55"/>
      <c r="AG1438" s="56"/>
      <c r="AH1438" s="63"/>
      <c r="AI1438" s="55"/>
      <c r="AJ1438" s="55"/>
      <c r="AK1438" s="56"/>
      <c r="AL1438" s="63"/>
      <c r="AM1438" s="55"/>
      <c r="AN1438" s="55"/>
      <c r="AO1438" s="56"/>
      <c r="AP1438" s="63"/>
      <c r="AQ1438" s="54"/>
      <c r="AR1438" s="55"/>
      <c r="AS1438" s="56"/>
      <c r="AT1438" s="53"/>
      <c r="AU1438" s="54"/>
      <c r="AV1438" s="55"/>
      <c r="AW1438" s="56"/>
      <c r="AX1438" s="33">
        <f>SUM(E1438:AW1438)</f>
        <v>0</v>
      </c>
      <c r="AY1438" s="31">
        <f>IFERROR(AVERAGEIF(E1438:AW1438,"&lt;&gt;0",(E1438:AW1438)),)</f>
        <v>0</v>
      </c>
      <c r="AZ1438" s="30">
        <f>IFERROR(AY1438/D1438,0)</f>
        <v>0</v>
      </c>
      <c r="BA1438" s="103" t="s">
        <v>182</v>
      </c>
      <c r="BB1438" s="100" t="s">
        <v>183</v>
      </c>
      <c r="BC1438" s="100" t="s">
        <v>184</v>
      </c>
      <c r="BD1438" s="101" t="s">
        <v>185</v>
      </c>
      <c r="BE1438" s="100" t="s">
        <v>186</v>
      </c>
      <c r="BF1438" s="102" t="s">
        <v>187</v>
      </c>
      <c r="BG1438" s="100" t="s">
        <v>188</v>
      </c>
      <c r="BH1438" s="102" t="s">
        <v>189</v>
      </c>
    </row>
    <row r="1439" spans="1:60" s="17" customFormat="1" ht="19.5" customHeight="1" thickBot="1" x14ac:dyDescent="0.4">
      <c r="A1439" s="41">
        <f t="shared" ref="A1439:B1439" si="1440">A1438</f>
        <v>45447</v>
      </c>
      <c r="B1439" s="37" t="str">
        <f t="shared" si="1440"/>
        <v>Tela Yapıştırma</v>
      </c>
      <c r="C1439" s="66">
        <f>C1263</f>
        <v>0</v>
      </c>
      <c r="D1439" s="67">
        <f>D1438</f>
        <v>200</v>
      </c>
      <c r="E1439" s="57"/>
      <c r="F1439" s="52"/>
      <c r="G1439" s="52"/>
      <c r="H1439" s="58"/>
      <c r="I1439" s="57"/>
      <c r="J1439" s="52"/>
      <c r="K1439" s="52"/>
      <c r="L1439" s="58"/>
      <c r="M1439" s="57"/>
      <c r="N1439" s="52"/>
      <c r="O1439" s="52"/>
      <c r="P1439" s="58"/>
      <c r="Q1439" s="57"/>
      <c r="R1439" s="52"/>
      <c r="S1439" s="52"/>
      <c r="T1439" s="52"/>
      <c r="U1439" s="58"/>
      <c r="V1439" s="57"/>
      <c r="W1439" s="52"/>
      <c r="X1439" s="52"/>
      <c r="Y1439" s="58"/>
      <c r="Z1439" s="57"/>
      <c r="AA1439" s="52"/>
      <c r="AB1439" s="52"/>
      <c r="AC1439" s="58"/>
      <c r="AD1439" s="57"/>
      <c r="AE1439" s="52"/>
      <c r="AF1439" s="52"/>
      <c r="AG1439" s="58"/>
      <c r="AH1439" s="57"/>
      <c r="AI1439" s="52"/>
      <c r="AJ1439" s="52"/>
      <c r="AK1439" s="58"/>
      <c r="AL1439" s="57"/>
      <c r="AM1439" s="52"/>
      <c r="AN1439" s="52"/>
      <c r="AO1439" s="58"/>
      <c r="AP1439" s="57"/>
      <c r="AQ1439" s="52"/>
      <c r="AR1439" s="52"/>
      <c r="AS1439" s="58"/>
      <c r="AT1439" s="57"/>
      <c r="AU1439" s="52"/>
      <c r="AV1439" s="52"/>
      <c r="AW1439" s="58"/>
      <c r="AX1439" s="33">
        <f>SUM(E1439:AW1439)</f>
        <v>0</v>
      </c>
      <c r="AY1439" s="31">
        <f>IFERROR(AVERAGEIF(E1439:AW1439,"&lt;&gt;0",(E1439:AW1439)),)</f>
        <v>0</v>
      </c>
      <c r="AZ1439" s="30">
        <f>IFERROR(AY1439/D1439,0)</f>
        <v>0</v>
      </c>
      <c r="BA1439" s="94">
        <f>AX1443+BA1263</f>
        <v>0</v>
      </c>
      <c r="BB1439" s="95">
        <f>(D1443*8)</f>
        <v>4000</v>
      </c>
      <c r="BC1439" s="96">
        <f>C1413-BA1439</f>
        <v>42311</v>
      </c>
      <c r="BD1439" s="96">
        <f>BC1439</f>
        <v>42311</v>
      </c>
      <c r="BE1439" s="97">
        <f>IFERROR(BC1439/E1443,0)</f>
        <v>0</v>
      </c>
      <c r="BF1439" s="98">
        <f>IFERROR(BE1439/9,0)</f>
        <v>0</v>
      </c>
      <c r="BG1439" s="97">
        <f>IFERROR(BC1439/AY1443,0)</f>
        <v>0</v>
      </c>
      <c r="BH1439" s="97">
        <f>IFERROR(BG1439/9,0)</f>
        <v>0</v>
      </c>
    </row>
    <row r="1440" spans="1:60" s="17" customFormat="1" ht="19.5" customHeight="1" x14ac:dyDescent="0.35">
      <c r="A1440" s="41">
        <f t="shared" ref="A1440:B1440" si="1441">A1439</f>
        <v>45447</v>
      </c>
      <c r="B1440" s="37" t="str">
        <f t="shared" si="1441"/>
        <v>Tela Yapıştırma</v>
      </c>
      <c r="C1440" s="66">
        <f>C1264</f>
        <v>0</v>
      </c>
      <c r="D1440" s="67">
        <f>D1439</f>
        <v>200</v>
      </c>
      <c r="E1440" s="57"/>
      <c r="F1440" s="52"/>
      <c r="G1440" s="52"/>
      <c r="H1440" s="58"/>
      <c r="I1440" s="57"/>
      <c r="J1440" s="52"/>
      <c r="K1440" s="52"/>
      <c r="L1440" s="58"/>
      <c r="M1440" s="57"/>
      <c r="N1440" s="52"/>
      <c r="O1440" s="52"/>
      <c r="P1440" s="58"/>
      <c r="Q1440" s="57"/>
      <c r="R1440" s="52"/>
      <c r="S1440" s="52"/>
      <c r="T1440" s="52"/>
      <c r="U1440" s="58"/>
      <c r="V1440" s="57"/>
      <c r="W1440" s="52"/>
      <c r="X1440" s="52"/>
      <c r="Y1440" s="58"/>
      <c r="Z1440" s="57"/>
      <c r="AA1440" s="52"/>
      <c r="AB1440" s="52"/>
      <c r="AC1440" s="58"/>
      <c r="AD1440" s="57"/>
      <c r="AE1440" s="52"/>
      <c r="AF1440" s="52"/>
      <c r="AG1440" s="58"/>
      <c r="AH1440" s="57"/>
      <c r="AI1440" s="52"/>
      <c r="AJ1440" s="52"/>
      <c r="AK1440" s="58"/>
      <c r="AL1440" s="57"/>
      <c r="AM1440" s="52"/>
      <c r="AN1440" s="52"/>
      <c r="AO1440" s="58"/>
      <c r="AP1440" s="57"/>
      <c r="AQ1440" s="52"/>
      <c r="AR1440" s="52"/>
      <c r="AS1440" s="58"/>
      <c r="AT1440" s="57"/>
      <c r="AU1440" s="52"/>
      <c r="AV1440" s="52"/>
      <c r="AW1440" s="58"/>
      <c r="AX1440" s="33">
        <f>SUM(E1440:AW1440)</f>
        <v>0</v>
      </c>
      <c r="AY1440" s="31">
        <f>IFERROR(AVERAGEIF(E1440:AW1440,"&lt;&gt;0",(E1440:AW1440)),)</f>
        <v>0</v>
      </c>
      <c r="AZ1440" s="30">
        <f>IFERROR(AY1440/D1440,0)</f>
        <v>0</v>
      </c>
      <c r="BA1440" s="34"/>
      <c r="BB1440" s="34"/>
      <c r="BC1440" s="34"/>
      <c r="BD1440" s="76"/>
      <c r="BE1440" s="34"/>
      <c r="BF1440" s="34"/>
      <c r="BG1440" s="34"/>
      <c r="BH1440" s="34"/>
    </row>
    <row r="1441" spans="1:60" s="17" customFormat="1" ht="19.5" customHeight="1" x14ac:dyDescent="0.35">
      <c r="A1441" s="41">
        <f t="shared" ref="A1441:B1441" si="1442">A1440</f>
        <v>45447</v>
      </c>
      <c r="B1441" s="37" t="str">
        <f t="shared" si="1442"/>
        <v>Tela Yapıştırma</v>
      </c>
      <c r="C1441" s="66">
        <f>C1265</f>
        <v>0</v>
      </c>
      <c r="D1441" s="67">
        <f>D1440</f>
        <v>200</v>
      </c>
      <c r="E1441" s="57"/>
      <c r="F1441" s="52"/>
      <c r="G1441" s="52"/>
      <c r="H1441" s="58"/>
      <c r="I1441" s="57"/>
      <c r="J1441" s="52"/>
      <c r="K1441" s="52"/>
      <c r="L1441" s="58"/>
      <c r="M1441" s="57"/>
      <c r="N1441" s="52"/>
      <c r="O1441" s="52"/>
      <c r="P1441" s="58"/>
      <c r="Q1441" s="57"/>
      <c r="R1441" s="52"/>
      <c r="S1441" s="52"/>
      <c r="T1441" s="52"/>
      <c r="U1441" s="58"/>
      <c r="V1441" s="57"/>
      <c r="W1441" s="52"/>
      <c r="X1441" s="52"/>
      <c r="Y1441" s="58"/>
      <c r="Z1441" s="57"/>
      <c r="AA1441" s="52"/>
      <c r="AB1441" s="52"/>
      <c r="AC1441" s="58"/>
      <c r="AD1441" s="57"/>
      <c r="AE1441" s="52"/>
      <c r="AF1441" s="52"/>
      <c r="AG1441" s="58"/>
      <c r="AH1441" s="57"/>
      <c r="AI1441" s="52"/>
      <c r="AJ1441" s="52"/>
      <c r="AK1441" s="58"/>
      <c r="AL1441" s="57"/>
      <c r="AM1441" s="52"/>
      <c r="AN1441" s="52"/>
      <c r="AO1441" s="58"/>
      <c r="AP1441" s="57"/>
      <c r="AQ1441" s="52"/>
      <c r="AR1441" s="52"/>
      <c r="AS1441" s="58"/>
      <c r="AT1441" s="57"/>
      <c r="AU1441" s="52"/>
      <c r="AV1441" s="52"/>
      <c r="AW1441" s="58"/>
      <c r="AX1441" s="33">
        <f>SUM(E1441:AW1441)</f>
        <v>0</v>
      </c>
      <c r="AY1441" s="31">
        <f>IFERROR(AVERAGEIF(E1441:AW1441,"&lt;&gt;0",(E1441:AW1441)),)</f>
        <v>0</v>
      </c>
      <c r="AZ1441" s="30">
        <f>IFERROR(AY1441/D1441,0)</f>
        <v>0</v>
      </c>
      <c r="BA1441" s="34"/>
      <c r="BB1441" s="34"/>
      <c r="BC1441" s="34"/>
      <c r="BD1441" s="76"/>
      <c r="BE1441" s="34"/>
      <c r="BF1441" s="34"/>
      <c r="BG1441" s="34"/>
      <c r="BH1441" s="34"/>
    </row>
    <row r="1442" spans="1:60" s="17" customFormat="1" ht="19.5" customHeight="1" thickBot="1" x14ac:dyDescent="0.4">
      <c r="A1442" s="41">
        <f t="shared" ref="A1442:B1442" si="1443">A1441</f>
        <v>45447</v>
      </c>
      <c r="B1442" s="37" t="str">
        <f t="shared" si="1443"/>
        <v>Tela Yapıştırma</v>
      </c>
      <c r="C1442" s="66">
        <f>C1266</f>
        <v>0</v>
      </c>
      <c r="D1442" s="67">
        <f>D1441</f>
        <v>200</v>
      </c>
      <c r="E1442" s="64"/>
      <c r="F1442" s="61"/>
      <c r="G1442" s="61"/>
      <c r="H1442" s="62"/>
      <c r="I1442" s="64"/>
      <c r="J1442" s="61"/>
      <c r="K1442" s="61"/>
      <c r="L1442" s="62"/>
      <c r="M1442" s="64"/>
      <c r="N1442" s="61"/>
      <c r="O1442" s="61"/>
      <c r="P1442" s="62"/>
      <c r="Q1442" s="64"/>
      <c r="R1442" s="61"/>
      <c r="S1442" s="61"/>
      <c r="T1442" s="61"/>
      <c r="U1442" s="62"/>
      <c r="V1442" s="64"/>
      <c r="W1442" s="61"/>
      <c r="X1442" s="61"/>
      <c r="Y1442" s="62"/>
      <c r="Z1442" s="59"/>
      <c r="AA1442" s="60"/>
      <c r="AB1442" s="61"/>
      <c r="AC1442" s="62"/>
      <c r="AD1442" s="59"/>
      <c r="AE1442" s="60"/>
      <c r="AF1442" s="61"/>
      <c r="AG1442" s="62"/>
      <c r="AH1442" s="59"/>
      <c r="AI1442" s="60"/>
      <c r="AJ1442" s="61"/>
      <c r="AK1442" s="62"/>
      <c r="AL1442" s="59"/>
      <c r="AM1442" s="60"/>
      <c r="AN1442" s="61"/>
      <c r="AO1442" s="62"/>
      <c r="AP1442" s="59"/>
      <c r="AQ1442" s="60"/>
      <c r="AR1442" s="61"/>
      <c r="AS1442" s="62"/>
      <c r="AT1442" s="59"/>
      <c r="AU1442" s="60"/>
      <c r="AV1442" s="61"/>
      <c r="AW1442" s="62"/>
      <c r="AX1442" s="43">
        <f>SUM(E1442:AW1442)</f>
        <v>0</v>
      </c>
      <c r="AY1442" s="44">
        <f>IFERROR(AVERAGEIF(E1442:AW1442,"&lt;&gt;0",(E1442:AW1442)),)</f>
        <v>0</v>
      </c>
      <c r="AZ1442" s="45">
        <f>IFERROR(AY1442/D1442,0)</f>
        <v>0</v>
      </c>
      <c r="BA1442" s="34"/>
      <c r="BB1442" s="34"/>
      <c r="BC1442" s="34"/>
      <c r="BD1442" s="76"/>
      <c r="BE1442" s="34"/>
      <c r="BF1442" s="34"/>
      <c r="BG1442" s="34"/>
      <c r="BH1442" s="34"/>
    </row>
    <row r="1443" spans="1:60" s="17" customFormat="1" ht="19.5" customHeight="1" thickBot="1" x14ac:dyDescent="0.45">
      <c r="A1443" s="41">
        <f>A1442</f>
        <v>45447</v>
      </c>
      <c r="B1443" s="139" t="str">
        <f>B1438</f>
        <v>Tela Yapıştırma</v>
      </c>
      <c r="C1443" s="140"/>
      <c r="D1443" s="40">
        <f>C1414/8</f>
        <v>500</v>
      </c>
      <c r="E1443" s="151">
        <f>SUM(E1438:H1442)</f>
        <v>0</v>
      </c>
      <c r="F1443" s="152"/>
      <c r="G1443" s="152"/>
      <c r="H1443" s="153"/>
      <c r="I1443" s="151">
        <f>SUM(I1438:L1442)</f>
        <v>0</v>
      </c>
      <c r="J1443" s="152"/>
      <c r="K1443" s="152"/>
      <c r="L1443" s="153"/>
      <c r="M1443" s="151">
        <f>SUM(M1438:P1442)</f>
        <v>0</v>
      </c>
      <c r="N1443" s="152"/>
      <c r="O1443" s="152"/>
      <c r="P1443" s="153"/>
      <c r="Q1443" s="151">
        <f>SUM(Q1438:U1442)</f>
        <v>0</v>
      </c>
      <c r="R1443" s="152"/>
      <c r="S1443" s="152"/>
      <c r="T1443" s="152"/>
      <c r="U1443" s="153"/>
      <c r="V1443" s="151">
        <f>SUM(V1438:Y1442)</f>
        <v>0</v>
      </c>
      <c r="W1443" s="152"/>
      <c r="X1443" s="152"/>
      <c r="Y1443" s="153"/>
      <c r="Z1443" s="151">
        <f>SUM(Z1438:AC1442)</f>
        <v>0</v>
      </c>
      <c r="AA1443" s="152"/>
      <c r="AB1443" s="152"/>
      <c r="AC1443" s="153"/>
      <c r="AD1443" s="151">
        <f>SUM(AD1438:AG1442)</f>
        <v>0</v>
      </c>
      <c r="AE1443" s="152"/>
      <c r="AF1443" s="152"/>
      <c r="AG1443" s="153"/>
      <c r="AH1443" s="151">
        <f>SUM(AH1438:AK1442)</f>
        <v>0</v>
      </c>
      <c r="AI1443" s="152"/>
      <c r="AJ1443" s="152"/>
      <c r="AK1443" s="153"/>
      <c r="AL1443" s="151">
        <f>SUM(AL1438:AO1442)</f>
        <v>0</v>
      </c>
      <c r="AM1443" s="152"/>
      <c r="AN1443" s="152"/>
      <c r="AO1443" s="153"/>
      <c r="AP1443" s="151">
        <f>SUM(AP1438:AS1442)</f>
        <v>0</v>
      </c>
      <c r="AQ1443" s="152"/>
      <c r="AR1443" s="152"/>
      <c r="AS1443" s="153"/>
      <c r="AT1443" s="151">
        <f>SUM(AT1438:AW1442)</f>
        <v>0</v>
      </c>
      <c r="AU1443" s="152"/>
      <c r="AV1443" s="152"/>
      <c r="AW1443" s="153"/>
      <c r="AX1443" s="87">
        <f>SUM(AX1438:AX1442)</f>
        <v>0</v>
      </c>
      <c r="AY1443" s="88">
        <f>IFERROR(AVERAGEIF(E1443:AV1443,"&lt;&gt;0",(E1443:AV1443)),)</f>
        <v>0</v>
      </c>
      <c r="AZ1443" s="46">
        <f>IFERROR(AX1443/BB1439,0)</f>
        <v>0</v>
      </c>
      <c r="BA1443" s="34"/>
      <c r="BB1443" s="34"/>
      <c r="BC1443" s="34"/>
      <c r="BD1443" s="76"/>
      <c r="BE1443" s="34"/>
      <c r="BF1443" s="34"/>
      <c r="BG1443" s="34"/>
      <c r="BH1443" s="34"/>
    </row>
    <row r="1444" spans="1:60" s="17" customFormat="1" ht="19.5" customHeight="1" thickBot="1" x14ac:dyDescent="0.4">
      <c r="A1444" s="42">
        <f>A1430</f>
        <v>45447</v>
      </c>
      <c r="B1444" s="38">
        <f>B1445</f>
        <v>0</v>
      </c>
      <c r="C1444" s="39" t="s">
        <v>180</v>
      </c>
      <c r="D1444" s="69" t="s">
        <v>181</v>
      </c>
      <c r="E1444" s="48">
        <v>0.34375</v>
      </c>
      <c r="F1444" s="49">
        <v>0.35416666666666669</v>
      </c>
      <c r="G1444" s="49">
        <v>0.36458333333333331</v>
      </c>
      <c r="H1444" s="50">
        <v>0.375</v>
      </c>
      <c r="I1444" s="48">
        <v>0.38541666666666702</v>
      </c>
      <c r="J1444" s="49">
        <v>0.39583333333333298</v>
      </c>
      <c r="K1444" s="49">
        <v>0.40625</v>
      </c>
      <c r="L1444" s="50">
        <v>0.41666666666666702</v>
      </c>
      <c r="M1444" s="48">
        <v>0.4375</v>
      </c>
      <c r="N1444" s="49">
        <v>0.44791666666666702</v>
      </c>
      <c r="O1444" s="49">
        <v>0.45833333333333398</v>
      </c>
      <c r="P1444" s="50">
        <v>0.46875</v>
      </c>
      <c r="Q1444" s="48">
        <v>0.47916666666666702</v>
      </c>
      <c r="R1444" s="49">
        <v>0.48958333333333398</v>
      </c>
      <c r="S1444" s="49">
        <v>0.5</v>
      </c>
      <c r="T1444" s="50">
        <v>0.51041666666666696</v>
      </c>
      <c r="U1444" s="51">
        <v>0.52083333333333204</v>
      </c>
      <c r="V1444" s="48">
        <v>0.5625</v>
      </c>
      <c r="W1444" s="49">
        <v>0.57291666666666663</v>
      </c>
      <c r="X1444" s="49">
        <v>0.58333333333333304</v>
      </c>
      <c r="Y1444" s="50">
        <v>0.59375</v>
      </c>
      <c r="Z1444" s="48">
        <v>0.60416666666666696</v>
      </c>
      <c r="AA1444" s="49">
        <v>0.61458333333333304</v>
      </c>
      <c r="AB1444" s="49">
        <v>0.625</v>
      </c>
      <c r="AC1444" s="50">
        <v>0.63541666666666596</v>
      </c>
      <c r="AD1444" s="48">
        <v>0.65625</v>
      </c>
      <c r="AE1444" s="49">
        <v>0.66666666666666663</v>
      </c>
      <c r="AF1444" s="49">
        <v>0.67708333333333304</v>
      </c>
      <c r="AG1444" s="50">
        <v>0.6875</v>
      </c>
      <c r="AH1444" s="48">
        <v>0.69791666666666696</v>
      </c>
      <c r="AI1444" s="49">
        <v>0.70833333333333304</v>
      </c>
      <c r="AJ1444" s="49">
        <v>0.71875</v>
      </c>
      <c r="AK1444" s="50">
        <v>0.72916666666666696</v>
      </c>
      <c r="AL1444" s="48">
        <v>0.73958333333333404</v>
      </c>
      <c r="AM1444" s="49">
        <v>0.750000000000001</v>
      </c>
      <c r="AN1444" s="49">
        <v>0.76041666666666796</v>
      </c>
      <c r="AO1444" s="50">
        <v>0.77083333333333504</v>
      </c>
      <c r="AP1444" s="48">
        <v>0.781250000000002</v>
      </c>
      <c r="AQ1444" s="49">
        <v>0.79166666666666896</v>
      </c>
      <c r="AR1444" s="49">
        <v>0.80208333333333603</v>
      </c>
      <c r="AS1444" s="50">
        <v>0.812500000000003</v>
      </c>
      <c r="AT1444" s="48">
        <v>0.82291666666666996</v>
      </c>
      <c r="AU1444" s="49">
        <v>0.83333333333333703</v>
      </c>
      <c r="AV1444" s="49">
        <v>0.843750000000004</v>
      </c>
      <c r="AW1444" s="50">
        <v>0.85416666666666663</v>
      </c>
      <c r="AX1444" s="68" t="s">
        <v>260</v>
      </c>
      <c r="AY1444" s="28" t="s">
        <v>261</v>
      </c>
      <c r="AZ1444" s="29" t="s">
        <v>262</v>
      </c>
      <c r="BA1444" s="136">
        <f>B1445</f>
        <v>0</v>
      </c>
      <c r="BB1444" s="137"/>
      <c r="BC1444" s="137"/>
      <c r="BD1444" s="137"/>
      <c r="BE1444" s="137"/>
      <c r="BF1444" s="137"/>
      <c r="BG1444" s="137"/>
      <c r="BH1444" s="138"/>
    </row>
    <row r="1445" spans="1:60" s="17" customFormat="1" ht="19.5" customHeight="1" thickBot="1" x14ac:dyDescent="0.4">
      <c r="A1445" s="41">
        <f>A1437</f>
        <v>45447</v>
      </c>
      <c r="B1445" s="37">
        <f>B1269</f>
        <v>0</v>
      </c>
      <c r="C1445" s="66">
        <f>C1269</f>
        <v>0</v>
      </c>
      <c r="D1445" s="70">
        <f>D1269</f>
        <v>200</v>
      </c>
      <c r="E1445" s="63"/>
      <c r="F1445" s="55"/>
      <c r="G1445" s="55"/>
      <c r="H1445" s="56"/>
      <c r="I1445" s="63"/>
      <c r="J1445" s="55"/>
      <c r="K1445" s="55"/>
      <c r="L1445" s="56"/>
      <c r="M1445" s="63"/>
      <c r="N1445" s="55"/>
      <c r="O1445" s="55"/>
      <c r="P1445" s="56"/>
      <c r="Q1445" s="63"/>
      <c r="R1445" s="55"/>
      <c r="S1445" s="55"/>
      <c r="T1445" s="55"/>
      <c r="U1445" s="56"/>
      <c r="V1445" s="63"/>
      <c r="W1445" s="55"/>
      <c r="X1445" s="55"/>
      <c r="Y1445" s="56"/>
      <c r="Z1445" s="63"/>
      <c r="AA1445" s="55"/>
      <c r="AB1445" s="55"/>
      <c r="AC1445" s="56"/>
      <c r="AD1445" s="63"/>
      <c r="AE1445" s="55"/>
      <c r="AF1445" s="55"/>
      <c r="AG1445" s="56"/>
      <c r="AH1445" s="63"/>
      <c r="AI1445" s="55"/>
      <c r="AJ1445" s="55"/>
      <c r="AK1445" s="56"/>
      <c r="AL1445" s="63"/>
      <c r="AM1445" s="55"/>
      <c r="AN1445" s="55"/>
      <c r="AO1445" s="56"/>
      <c r="AP1445" s="63"/>
      <c r="AQ1445" s="54"/>
      <c r="AR1445" s="55"/>
      <c r="AS1445" s="56"/>
      <c r="AT1445" s="53"/>
      <c r="AU1445" s="54"/>
      <c r="AV1445" s="55"/>
      <c r="AW1445" s="56"/>
      <c r="AX1445" s="33">
        <f>SUM(E1445:AW1445)</f>
        <v>0</v>
      </c>
      <c r="AY1445" s="31">
        <f>IFERROR(AVERAGEIF(E1445:AW1445,"&lt;&gt;0",(E1445:AW1445)),)</f>
        <v>0</v>
      </c>
      <c r="AZ1445" s="30">
        <f>IFERROR(AY1445/D1445,0)</f>
        <v>0</v>
      </c>
      <c r="BA1445" s="103" t="s">
        <v>182</v>
      </c>
      <c r="BB1445" s="100" t="s">
        <v>183</v>
      </c>
      <c r="BC1445" s="100" t="s">
        <v>184</v>
      </c>
      <c r="BD1445" s="101" t="s">
        <v>185</v>
      </c>
      <c r="BE1445" s="100" t="s">
        <v>186</v>
      </c>
      <c r="BF1445" s="102" t="s">
        <v>187</v>
      </c>
      <c r="BG1445" s="100" t="s">
        <v>188</v>
      </c>
      <c r="BH1445" s="102" t="s">
        <v>189</v>
      </c>
    </row>
    <row r="1446" spans="1:60" s="17" customFormat="1" ht="19.5" customHeight="1" thickBot="1" x14ac:dyDescent="0.4">
      <c r="A1446" s="41">
        <f t="shared" ref="A1446:B1446" si="1444">A1445</f>
        <v>45447</v>
      </c>
      <c r="B1446" s="37">
        <f t="shared" si="1444"/>
        <v>0</v>
      </c>
      <c r="C1446" s="66">
        <f>C1270</f>
        <v>0</v>
      </c>
      <c r="D1446" s="67">
        <f>D1445</f>
        <v>200</v>
      </c>
      <c r="E1446" s="57"/>
      <c r="F1446" s="52"/>
      <c r="G1446" s="52"/>
      <c r="H1446" s="58"/>
      <c r="I1446" s="57"/>
      <c r="J1446" s="52"/>
      <c r="K1446" s="52"/>
      <c r="L1446" s="58"/>
      <c r="M1446" s="57"/>
      <c r="N1446" s="52"/>
      <c r="O1446" s="52"/>
      <c r="P1446" s="58"/>
      <c r="Q1446" s="57"/>
      <c r="R1446" s="52"/>
      <c r="S1446" s="52"/>
      <c r="T1446" s="52"/>
      <c r="U1446" s="58"/>
      <c r="V1446" s="57"/>
      <c r="W1446" s="52"/>
      <c r="X1446" s="52"/>
      <c r="Y1446" s="58"/>
      <c r="Z1446" s="57"/>
      <c r="AA1446" s="52"/>
      <c r="AB1446" s="52"/>
      <c r="AC1446" s="58"/>
      <c r="AD1446" s="57"/>
      <c r="AE1446" s="52"/>
      <c r="AF1446" s="52"/>
      <c r="AG1446" s="58"/>
      <c r="AH1446" s="57"/>
      <c r="AI1446" s="52"/>
      <c r="AJ1446" s="52"/>
      <c r="AK1446" s="58"/>
      <c r="AL1446" s="57"/>
      <c r="AM1446" s="52"/>
      <c r="AN1446" s="52"/>
      <c r="AO1446" s="58"/>
      <c r="AP1446" s="57"/>
      <c r="AQ1446" s="52"/>
      <c r="AR1446" s="52"/>
      <c r="AS1446" s="58"/>
      <c r="AT1446" s="57"/>
      <c r="AU1446" s="52"/>
      <c r="AV1446" s="52"/>
      <c r="AW1446" s="58"/>
      <c r="AX1446" s="33">
        <f>SUM(E1446:AW1446)</f>
        <v>0</v>
      </c>
      <c r="AY1446" s="31">
        <f>IFERROR(AVERAGEIF(E1446:AW1446,"&lt;&gt;0",(E1446:AW1446)),)</f>
        <v>0</v>
      </c>
      <c r="AZ1446" s="30">
        <f>IFERROR(AY1446/D1446,0)</f>
        <v>0</v>
      </c>
      <c r="BA1446" s="94">
        <f>AX1450+BA1270</f>
        <v>0</v>
      </c>
      <c r="BB1446" s="95">
        <f>(D1450*8)</f>
        <v>4000</v>
      </c>
      <c r="BC1446" s="96">
        <f>C1413-BA1446</f>
        <v>42311</v>
      </c>
      <c r="BD1446" s="96">
        <f>BA1439-BA1446</f>
        <v>0</v>
      </c>
      <c r="BE1446" s="97">
        <f>IFERROR(BC1446/E1450,0)</f>
        <v>0</v>
      </c>
      <c r="BF1446" s="98">
        <f>IFERROR(BE1446/9,0)</f>
        <v>0</v>
      </c>
      <c r="BG1446" s="97">
        <f>IFERROR(BC1446/AY1450,0)</f>
        <v>0</v>
      </c>
      <c r="BH1446" s="97">
        <f>IFERROR(BG1446/9,0)</f>
        <v>0</v>
      </c>
    </row>
    <row r="1447" spans="1:60" s="17" customFormat="1" ht="19.5" customHeight="1" x14ac:dyDescent="0.35">
      <c r="A1447" s="41">
        <f t="shared" ref="A1447:B1447" si="1445">A1446</f>
        <v>45447</v>
      </c>
      <c r="B1447" s="37">
        <f t="shared" si="1445"/>
        <v>0</v>
      </c>
      <c r="C1447" s="66">
        <f>C1271</f>
        <v>0</v>
      </c>
      <c r="D1447" s="67">
        <f>D1446</f>
        <v>200</v>
      </c>
      <c r="E1447" s="57"/>
      <c r="F1447" s="52"/>
      <c r="G1447" s="52"/>
      <c r="H1447" s="58"/>
      <c r="I1447" s="57"/>
      <c r="J1447" s="52"/>
      <c r="K1447" s="52"/>
      <c r="L1447" s="58"/>
      <c r="M1447" s="57"/>
      <c r="N1447" s="52"/>
      <c r="O1447" s="52"/>
      <c r="P1447" s="58"/>
      <c r="Q1447" s="57"/>
      <c r="R1447" s="52"/>
      <c r="S1447" s="52"/>
      <c r="T1447" s="52"/>
      <c r="U1447" s="58"/>
      <c r="V1447" s="57"/>
      <c r="W1447" s="52"/>
      <c r="X1447" s="52"/>
      <c r="Y1447" s="58"/>
      <c r="Z1447" s="57"/>
      <c r="AA1447" s="52"/>
      <c r="AB1447" s="52"/>
      <c r="AC1447" s="58"/>
      <c r="AD1447" s="57"/>
      <c r="AE1447" s="52"/>
      <c r="AF1447" s="52"/>
      <c r="AG1447" s="58"/>
      <c r="AH1447" s="57"/>
      <c r="AI1447" s="52"/>
      <c r="AJ1447" s="52"/>
      <c r="AK1447" s="58"/>
      <c r="AL1447" s="57"/>
      <c r="AM1447" s="52"/>
      <c r="AN1447" s="52"/>
      <c r="AO1447" s="58"/>
      <c r="AP1447" s="57"/>
      <c r="AQ1447" s="52"/>
      <c r="AR1447" s="52"/>
      <c r="AS1447" s="58"/>
      <c r="AT1447" s="57"/>
      <c r="AU1447" s="52"/>
      <c r="AV1447" s="52"/>
      <c r="AW1447" s="58"/>
      <c r="AX1447" s="33">
        <f>SUM(E1447:AW1447)</f>
        <v>0</v>
      </c>
      <c r="AY1447" s="31">
        <f>IFERROR(AVERAGEIF(E1447:AW1447,"&lt;&gt;0",(E1447:AW1447)),)</f>
        <v>0</v>
      </c>
      <c r="AZ1447" s="30">
        <f>IFERROR(AY1447/D1447,0)</f>
        <v>0</v>
      </c>
      <c r="BA1447" s="34"/>
      <c r="BB1447" s="34"/>
      <c r="BC1447" s="34"/>
      <c r="BD1447" s="76"/>
      <c r="BE1447" s="34"/>
      <c r="BF1447" s="34"/>
      <c r="BG1447" s="34"/>
      <c r="BH1447" s="34"/>
    </row>
    <row r="1448" spans="1:60" s="17" customFormat="1" ht="19.5" customHeight="1" x14ac:dyDescent="0.35">
      <c r="A1448" s="41">
        <f t="shared" ref="A1448:B1448" si="1446">A1447</f>
        <v>45447</v>
      </c>
      <c r="B1448" s="37">
        <f t="shared" si="1446"/>
        <v>0</v>
      </c>
      <c r="C1448" s="66">
        <f>C1272</f>
        <v>0</v>
      </c>
      <c r="D1448" s="67">
        <f>D1447</f>
        <v>200</v>
      </c>
      <c r="E1448" s="57"/>
      <c r="F1448" s="52"/>
      <c r="G1448" s="52"/>
      <c r="H1448" s="58"/>
      <c r="I1448" s="57"/>
      <c r="J1448" s="52"/>
      <c r="K1448" s="52"/>
      <c r="L1448" s="58"/>
      <c r="M1448" s="57"/>
      <c r="N1448" s="52"/>
      <c r="O1448" s="52"/>
      <c r="P1448" s="58"/>
      <c r="Q1448" s="57"/>
      <c r="R1448" s="52"/>
      <c r="S1448" s="52"/>
      <c r="T1448" s="52"/>
      <c r="U1448" s="58"/>
      <c r="V1448" s="57"/>
      <c r="W1448" s="52"/>
      <c r="X1448" s="52"/>
      <c r="Y1448" s="58"/>
      <c r="Z1448" s="57"/>
      <c r="AA1448" s="52"/>
      <c r="AB1448" s="52"/>
      <c r="AC1448" s="58"/>
      <c r="AD1448" s="57"/>
      <c r="AE1448" s="52"/>
      <c r="AF1448" s="52"/>
      <c r="AG1448" s="58"/>
      <c r="AH1448" s="57"/>
      <c r="AI1448" s="52"/>
      <c r="AJ1448" s="52"/>
      <c r="AK1448" s="58"/>
      <c r="AL1448" s="57"/>
      <c r="AM1448" s="52"/>
      <c r="AN1448" s="52"/>
      <c r="AO1448" s="58"/>
      <c r="AP1448" s="57"/>
      <c r="AQ1448" s="52"/>
      <c r="AR1448" s="52"/>
      <c r="AS1448" s="58"/>
      <c r="AT1448" s="57"/>
      <c r="AU1448" s="52"/>
      <c r="AV1448" s="52"/>
      <c r="AW1448" s="58"/>
      <c r="AX1448" s="33">
        <f>SUM(E1448:AW1448)</f>
        <v>0</v>
      </c>
      <c r="AY1448" s="31">
        <f>IFERROR(AVERAGEIF(E1448:AW1448,"&lt;&gt;0",(E1448:AW1448)),)</f>
        <v>0</v>
      </c>
      <c r="AZ1448" s="30">
        <f>IFERROR(AY1448/D1448,0)</f>
        <v>0</v>
      </c>
      <c r="BA1448" s="34"/>
      <c r="BB1448" s="34"/>
      <c r="BC1448" s="34"/>
      <c r="BD1448" s="76"/>
      <c r="BE1448" s="34"/>
      <c r="BF1448" s="34"/>
      <c r="BG1448" s="34"/>
      <c r="BH1448" s="34"/>
    </row>
    <row r="1449" spans="1:60" s="17" customFormat="1" ht="19.5" customHeight="1" thickBot="1" x14ac:dyDescent="0.4">
      <c r="A1449" s="41">
        <f t="shared" ref="A1449:B1449" si="1447">A1448</f>
        <v>45447</v>
      </c>
      <c r="B1449" s="37">
        <f t="shared" si="1447"/>
        <v>0</v>
      </c>
      <c r="C1449" s="66">
        <f>C1273</f>
        <v>0</v>
      </c>
      <c r="D1449" s="67">
        <f>D1448</f>
        <v>200</v>
      </c>
      <c r="E1449" s="64"/>
      <c r="F1449" s="61"/>
      <c r="G1449" s="61"/>
      <c r="H1449" s="62"/>
      <c r="I1449" s="64"/>
      <c r="J1449" s="61"/>
      <c r="K1449" s="61"/>
      <c r="L1449" s="62"/>
      <c r="M1449" s="64"/>
      <c r="N1449" s="61"/>
      <c r="O1449" s="61"/>
      <c r="P1449" s="62"/>
      <c r="Q1449" s="64"/>
      <c r="R1449" s="61"/>
      <c r="S1449" s="61"/>
      <c r="T1449" s="61"/>
      <c r="U1449" s="62"/>
      <c r="V1449" s="64"/>
      <c r="W1449" s="61"/>
      <c r="X1449" s="61"/>
      <c r="Y1449" s="62"/>
      <c r="Z1449" s="59"/>
      <c r="AA1449" s="60"/>
      <c r="AB1449" s="61"/>
      <c r="AC1449" s="62"/>
      <c r="AD1449" s="59"/>
      <c r="AE1449" s="60"/>
      <c r="AF1449" s="61"/>
      <c r="AG1449" s="62"/>
      <c r="AH1449" s="59"/>
      <c r="AI1449" s="60"/>
      <c r="AJ1449" s="61"/>
      <c r="AK1449" s="62"/>
      <c r="AL1449" s="59"/>
      <c r="AM1449" s="60"/>
      <c r="AN1449" s="61"/>
      <c r="AO1449" s="62"/>
      <c r="AP1449" s="59"/>
      <c r="AQ1449" s="60"/>
      <c r="AR1449" s="61"/>
      <c r="AS1449" s="62"/>
      <c r="AT1449" s="59"/>
      <c r="AU1449" s="60"/>
      <c r="AV1449" s="61"/>
      <c r="AW1449" s="62"/>
      <c r="AX1449" s="43">
        <f>SUM(E1449:AW1449)</f>
        <v>0</v>
      </c>
      <c r="AY1449" s="44">
        <f>IFERROR(AVERAGEIF(E1449:AW1449,"&lt;&gt;0",(E1449:AW1449)),)</f>
        <v>0</v>
      </c>
      <c r="AZ1449" s="45">
        <f>IFERROR(AY1449/D1449,0)</f>
        <v>0</v>
      </c>
      <c r="BA1449" s="34"/>
      <c r="BB1449" s="34"/>
      <c r="BC1449" s="34"/>
      <c r="BD1449" s="76"/>
      <c r="BE1449" s="34"/>
      <c r="BF1449" s="34"/>
      <c r="BG1449" s="34"/>
      <c r="BH1449" s="34"/>
    </row>
    <row r="1450" spans="1:60" s="17" customFormat="1" ht="19.5" customHeight="1" thickBot="1" x14ac:dyDescent="0.45">
      <c r="A1450" s="41">
        <f>A1449</f>
        <v>45447</v>
      </c>
      <c r="B1450" s="139">
        <f>B1445</f>
        <v>0</v>
      </c>
      <c r="C1450" s="140"/>
      <c r="D1450" s="40">
        <f>C1414/8</f>
        <v>500</v>
      </c>
      <c r="E1450" s="151">
        <f>SUM(E1445:H1449)</f>
        <v>0</v>
      </c>
      <c r="F1450" s="152"/>
      <c r="G1450" s="152"/>
      <c r="H1450" s="153"/>
      <c r="I1450" s="151">
        <f>SUM(I1445:L1449)</f>
        <v>0</v>
      </c>
      <c r="J1450" s="152"/>
      <c r="K1450" s="152"/>
      <c r="L1450" s="153"/>
      <c r="M1450" s="151">
        <f>SUM(M1445:P1449)</f>
        <v>0</v>
      </c>
      <c r="N1450" s="152"/>
      <c r="O1450" s="152"/>
      <c r="P1450" s="153"/>
      <c r="Q1450" s="151">
        <f>SUM(Q1445:U1449)</f>
        <v>0</v>
      </c>
      <c r="R1450" s="152"/>
      <c r="S1450" s="152"/>
      <c r="T1450" s="152"/>
      <c r="U1450" s="153"/>
      <c r="V1450" s="151">
        <f>SUM(V1445:Y1449)</f>
        <v>0</v>
      </c>
      <c r="W1450" s="152"/>
      <c r="X1450" s="152"/>
      <c r="Y1450" s="153"/>
      <c r="Z1450" s="151">
        <f>SUM(Z1445:AC1449)</f>
        <v>0</v>
      </c>
      <c r="AA1450" s="152"/>
      <c r="AB1450" s="152"/>
      <c r="AC1450" s="153"/>
      <c r="AD1450" s="151">
        <f>SUM(AD1445:AG1449)</f>
        <v>0</v>
      </c>
      <c r="AE1450" s="152"/>
      <c r="AF1450" s="152"/>
      <c r="AG1450" s="153"/>
      <c r="AH1450" s="151">
        <f>SUM(AH1445:AK1449)</f>
        <v>0</v>
      </c>
      <c r="AI1450" s="152"/>
      <c r="AJ1450" s="152"/>
      <c r="AK1450" s="153"/>
      <c r="AL1450" s="151">
        <f>SUM(AL1445:AO1449)</f>
        <v>0</v>
      </c>
      <c r="AM1450" s="152"/>
      <c r="AN1450" s="152"/>
      <c r="AO1450" s="153"/>
      <c r="AP1450" s="151">
        <f>SUM(AP1445:AS1449)</f>
        <v>0</v>
      </c>
      <c r="AQ1450" s="152"/>
      <c r="AR1450" s="152"/>
      <c r="AS1450" s="153"/>
      <c r="AT1450" s="151">
        <f>SUM(AT1445:AW1449)</f>
        <v>0</v>
      </c>
      <c r="AU1450" s="152"/>
      <c r="AV1450" s="152"/>
      <c r="AW1450" s="153"/>
      <c r="AX1450" s="87">
        <f>SUM(AX1445:AX1449)</f>
        <v>0</v>
      </c>
      <c r="AY1450" s="88">
        <f>IFERROR(AVERAGEIF(E1450:AV1450,"&lt;&gt;0",(E1450:AV1450)),)</f>
        <v>0</v>
      </c>
      <c r="AZ1450" s="46">
        <f>IFERROR(AX1450/BB1446,0)</f>
        <v>0</v>
      </c>
      <c r="BA1450" s="34"/>
      <c r="BB1450" s="34"/>
      <c r="BC1450" s="34"/>
      <c r="BD1450" s="76"/>
      <c r="BE1450" s="34"/>
      <c r="BF1450" s="34"/>
      <c r="BG1450" s="34"/>
      <c r="BH1450" s="34"/>
    </row>
    <row r="1451" spans="1:60" s="17" customFormat="1" ht="19.5" customHeight="1" thickBot="1" x14ac:dyDescent="0.4">
      <c r="A1451" s="42">
        <f>A1444</f>
        <v>45447</v>
      </c>
      <c r="B1451" s="38" t="str">
        <f>B1452</f>
        <v>BANT GİRİŞ</v>
      </c>
      <c r="C1451" s="39" t="s">
        <v>180</v>
      </c>
      <c r="D1451" s="69" t="s">
        <v>181</v>
      </c>
      <c r="E1451" s="48">
        <v>0.34375</v>
      </c>
      <c r="F1451" s="49">
        <v>0.35416666666666669</v>
      </c>
      <c r="G1451" s="49">
        <v>0.36458333333333331</v>
      </c>
      <c r="H1451" s="50">
        <v>0.375</v>
      </c>
      <c r="I1451" s="48">
        <v>0.38541666666666702</v>
      </c>
      <c r="J1451" s="49">
        <v>0.39583333333333298</v>
      </c>
      <c r="K1451" s="49">
        <v>0.40625</v>
      </c>
      <c r="L1451" s="50">
        <v>0.41666666666666702</v>
      </c>
      <c r="M1451" s="48">
        <v>0.4375</v>
      </c>
      <c r="N1451" s="49">
        <v>0.44791666666666702</v>
      </c>
      <c r="O1451" s="49">
        <v>0.45833333333333398</v>
      </c>
      <c r="P1451" s="50">
        <v>0.46875</v>
      </c>
      <c r="Q1451" s="48">
        <v>0.47916666666666702</v>
      </c>
      <c r="R1451" s="49">
        <v>0.48958333333333398</v>
      </c>
      <c r="S1451" s="49">
        <v>0.5</v>
      </c>
      <c r="T1451" s="50">
        <v>0.51041666666666696</v>
      </c>
      <c r="U1451" s="51">
        <v>0.52083333333333204</v>
      </c>
      <c r="V1451" s="48">
        <v>0.5625</v>
      </c>
      <c r="W1451" s="49">
        <v>0.57291666666666663</v>
      </c>
      <c r="X1451" s="49">
        <v>0.58333333333333304</v>
      </c>
      <c r="Y1451" s="50">
        <v>0.59375</v>
      </c>
      <c r="Z1451" s="48">
        <v>0.60416666666666696</v>
      </c>
      <c r="AA1451" s="49">
        <v>0.61458333333333304</v>
      </c>
      <c r="AB1451" s="49">
        <v>0.625</v>
      </c>
      <c r="AC1451" s="50">
        <v>0.63541666666666596</v>
      </c>
      <c r="AD1451" s="48">
        <v>0.65625</v>
      </c>
      <c r="AE1451" s="49">
        <v>0.66666666666666663</v>
      </c>
      <c r="AF1451" s="49">
        <v>0.67708333333333304</v>
      </c>
      <c r="AG1451" s="50">
        <v>0.6875</v>
      </c>
      <c r="AH1451" s="48">
        <v>0.69791666666666696</v>
      </c>
      <c r="AI1451" s="49">
        <v>0.70833333333333304</v>
      </c>
      <c r="AJ1451" s="49">
        <v>0.71875</v>
      </c>
      <c r="AK1451" s="50">
        <v>0.72916666666666696</v>
      </c>
      <c r="AL1451" s="48">
        <v>0.73958333333333404</v>
      </c>
      <c r="AM1451" s="49">
        <v>0.750000000000001</v>
      </c>
      <c r="AN1451" s="49">
        <v>0.76041666666666796</v>
      </c>
      <c r="AO1451" s="50">
        <v>0.77083333333333504</v>
      </c>
      <c r="AP1451" s="48">
        <v>0.781250000000002</v>
      </c>
      <c r="AQ1451" s="49">
        <v>0.79166666666666896</v>
      </c>
      <c r="AR1451" s="49">
        <v>0.80208333333333603</v>
      </c>
      <c r="AS1451" s="50">
        <v>0.812500000000003</v>
      </c>
      <c r="AT1451" s="48">
        <v>0.82291666666666996</v>
      </c>
      <c r="AU1451" s="49">
        <v>0.83333333333333703</v>
      </c>
      <c r="AV1451" s="49">
        <v>0.843750000000004</v>
      </c>
      <c r="AW1451" s="50">
        <v>0.85416666666666663</v>
      </c>
      <c r="AX1451" s="68" t="s">
        <v>260</v>
      </c>
      <c r="AY1451" s="28" t="s">
        <v>261</v>
      </c>
      <c r="AZ1451" s="29" t="s">
        <v>262</v>
      </c>
      <c r="BA1451" s="136" t="str">
        <f>B1452</f>
        <v>BANT GİRİŞ</v>
      </c>
      <c r="BB1451" s="137"/>
      <c r="BC1451" s="137"/>
      <c r="BD1451" s="137"/>
      <c r="BE1451" s="137"/>
      <c r="BF1451" s="137"/>
      <c r="BG1451" s="137"/>
      <c r="BH1451" s="138"/>
    </row>
    <row r="1452" spans="1:60" s="17" customFormat="1" ht="19.5" customHeight="1" thickBot="1" x14ac:dyDescent="0.4">
      <c r="A1452" s="41">
        <f t="shared" ref="A1452" si="1448">A1451</f>
        <v>45447</v>
      </c>
      <c r="B1452" s="37" t="str">
        <f>B1276</f>
        <v>BANT GİRİŞ</v>
      </c>
      <c r="C1452" s="65" t="str">
        <f>C1276</f>
        <v>XS</v>
      </c>
      <c r="D1452" s="70">
        <f>D1276</f>
        <v>120</v>
      </c>
      <c r="E1452" s="63"/>
      <c r="F1452" s="55"/>
      <c r="G1452" s="55"/>
      <c r="H1452" s="56"/>
      <c r="I1452" s="63"/>
      <c r="J1452" s="55"/>
      <c r="K1452" s="55"/>
      <c r="L1452" s="56"/>
      <c r="M1452" s="63"/>
      <c r="N1452" s="55"/>
      <c r="O1452" s="55"/>
      <c r="P1452" s="56"/>
      <c r="Q1452" s="63"/>
      <c r="R1452" s="55"/>
      <c r="S1452" s="55"/>
      <c r="T1452" s="55"/>
      <c r="U1452" s="56"/>
      <c r="V1452" s="63"/>
      <c r="W1452" s="55"/>
      <c r="X1452" s="55"/>
      <c r="Y1452" s="56"/>
      <c r="Z1452" s="63"/>
      <c r="AA1452" s="55"/>
      <c r="AB1452" s="55"/>
      <c r="AC1452" s="56"/>
      <c r="AD1452" s="63"/>
      <c r="AE1452" s="55"/>
      <c r="AF1452" s="55"/>
      <c r="AG1452" s="56"/>
      <c r="AH1452" s="63"/>
      <c r="AI1452" s="55"/>
      <c r="AJ1452" s="55"/>
      <c r="AK1452" s="56"/>
      <c r="AL1452" s="63"/>
      <c r="AM1452" s="55"/>
      <c r="AN1452" s="55"/>
      <c r="AO1452" s="56"/>
      <c r="AP1452" s="63"/>
      <c r="AQ1452" s="54"/>
      <c r="AR1452" s="55"/>
      <c r="AS1452" s="56"/>
      <c r="AT1452" s="53"/>
      <c r="AU1452" s="54"/>
      <c r="AV1452" s="55"/>
      <c r="AW1452" s="56"/>
      <c r="AX1452" s="33">
        <f>SUM(E1452:AW1452)</f>
        <v>0</v>
      </c>
      <c r="AY1452" s="31">
        <f>IFERROR(AVERAGEIF(E1452:AW1452,"&lt;&gt;0",(E1452:AW1452)),)</f>
        <v>0</v>
      </c>
      <c r="AZ1452" s="30">
        <f>IFERROR(AY1452/D1452,0)</f>
        <v>0</v>
      </c>
      <c r="BA1452" s="19"/>
      <c r="BB1452" s="19" t="str">
        <f t="shared" ref="BB1452" si="1449">BA1414</f>
        <v>XS</v>
      </c>
      <c r="BC1452" s="19" t="str">
        <f t="shared" ref="BC1452" si="1450">BB1414</f>
        <v>S</v>
      </c>
      <c r="BD1452" s="19" t="str">
        <f t="shared" ref="BD1452" si="1451">BC1414</f>
        <v>M</v>
      </c>
      <c r="BE1452" s="19" t="str">
        <f t="shared" ref="BE1452" si="1452">BD1414</f>
        <v>L</v>
      </c>
      <c r="BF1452" s="19" t="str">
        <f t="shared" ref="BF1452" si="1453">BE1414</f>
        <v>XL</v>
      </c>
      <c r="BG1452" s="19" t="str">
        <f t="shared" ref="BG1452" si="1454">BF1414</f>
        <v>XXL</v>
      </c>
      <c r="BH1452" s="19" t="s">
        <v>190</v>
      </c>
    </row>
    <row r="1453" spans="1:60" s="17" customFormat="1" ht="19.5" customHeight="1" thickBot="1" x14ac:dyDescent="0.4">
      <c r="A1453" s="41">
        <f t="shared" ref="A1453:B1453" si="1455">A1452</f>
        <v>45447</v>
      </c>
      <c r="B1453" s="37" t="str">
        <f t="shared" si="1455"/>
        <v>BANT GİRİŞ</v>
      </c>
      <c r="C1453" s="65" t="str">
        <f t="shared" ref="C1453:C1458" si="1456">C1277</f>
        <v>S</v>
      </c>
      <c r="D1453" s="67">
        <f t="shared" ref="D1453:D1458" si="1457">D1452</f>
        <v>120</v>
      </c>
      <c r="E1453" s="57"/>
      <c r="F1453" s="52"/>
      <c r="G1453" s="52"/>
      <c r="H1453" s="58"/>
      <c r="I1453" s="57"/>
      <c r="J1453" s="52"/>
      <c r="K1453" s="52"/>
      <c r="L1453" s="58"/>
      <c r="M1453" s="57"/>
      <c r="N1453" s="52"/>
      <c r="O1453" s="52"/>
      <c r="P1453" s="58"/>
      <c r="Q1453" s="57"/>
      <c r="R1453" s="52"/>
      <c r="S1453" s="52"/>
      <c r="T1453" s="52"/>
      <c r="U1453" s="58"/>
      <c r="V1453" s="57"/>
      <c r="W1453" s="52"/>
      <c r="X1453" s="52"/>
      <c r="Y1453" s="58"/>
      <c r="Z1453" s="57"/>
      <c r="AA1453" s="52"/>
      <c r="AB1453" s="52"/>
      <c r="AC1453" s="58"/>
      <c r="AD1453" s="57"/>
      <c r="AE1453" s="52"/>
      <c r="AF1453" s="52"/>
      <c r="AG1453" s="58"/>
      <c r="AH1453" s="57"/>
      <c r="AI1453" s="52"/>
      <c r="AJ1453" s="52"/>
      <c r="AK1453" s="58"/>
      <c r="AL1453" s="57"/>
      <c r="AM1453" s="52"/>
      <c r="AN1453" s="52"/>
      <c r="AO1453" s="58"/>
      <c r="AP1453" s="57"/>
      <c r="AQ1453" s="52"/>
      <c r="AR1453" s="52"/>
      <c r="AS1453" s="58"/>
      <c r="AT1453" s="57"/>
      <c r="AU1453" s="52"/>
      <c r="AV1453" s="52"/>
      <c r="AW1453" s="58"/>
      <c r="AX1453" s="33">
        <f t="shared" ref="AX1453:AX1458" si="1458">SUM(E1453:AW1453)</f>
        <v>0</v>
      </c>
      <c r="AY1453" s="31">
        <f t="shared" ref="AY1453:AY1458" si="1459">IFERROR(AVERAGEIF(E1453:AW1453,"&lt;&gt;0",(E1453:AW1453)),)</f>
        <v>0</v>
      </c>
      <c r="AZ1453" s="30">
        <f t="shared" ref="AZ1453:AZ1458" si="1460">IFERROR(AY1453/D1453,0)</f>
        <v>0</v>
      </c>
      <c r="BA1453" s="94" t="s">
        <v>192</v>
      </c>
      <c r="BB1453" s="96">
        <f>SUMIF(C1452:C1458,BB1452,AX1452:AX1458)+BB1277</f>
        <v>0</v>
      </c>
      <c r="BC1453" s="96">
        <f>SUMIF(C1452:C1458,BC1452,AX1452:AX1458)+BC1277</f>
        <v>0</v>
      </c>
      <c r="BD1453" s="96">
        <f>SUMIF(C1452:C1458,BD1452,AX1452:AX1458)+BD1277</f>
        <v>0</v>
      </c>
      <c r="BE1453" s="96">
        <f>SUMIF(C1452:C1458,BE1452,AX1452:AX1458)+BE1277</f>
        <v>0</v>
      </c>
      <c r="BF1453" s="96">
        <f>SUMIF(C1452:C1458,BF1452,AX1452:AX1458)+BF1277</f>
        <v>0</v>
      </c>
      <c r="BG1453" s="96"/>
      <c r="BH1453" s="99">
        <f>SUM(BB1453:BG1453)</f>
        <v>0</v>
      </c>
    </row>
    <row r="1454" spans="1:60" s="17" customFormat="1" ht="19.5" customHeight="1" thickBot="1" x14ac:dyDescent="0.4">
      <c r="A1454" s="41">
        <f t="shared" ref="A1454:B1454" si="1461">A1453</f>
        <v>45447</v>
      </c>
      <c r="B1454" s="37" t="str">
        <f t="shared" si="1461"/>
        <v>BANT GİRİŞ</v>
      </c>
      <c r="C1454" s="65" t="str">
        <f t="shared" si="1456"/>
        <v>M</v>
      </c>
      <c r="D1454" s="67">
        <f t="shared" si="1457"/>
        <v>120</v>
      </c>
      <c r="E1454" s="57"/>
      <c r="F1454" s="52"/>
      <c r="G1454" s="52"/>
      <c r="H1454" s="58"/>
      <c r="I1454" s="57"/>
      <c r="J1454" s="52"/>
      <c r="K1454" s="52"/>
      <c r="L1454" s="58"/>
      <c r="M1454" s="57"/>
      <c r="N1454" s="52"/>
      <c r="O1454" s="52"/>
      <c r="P1454" s="58"/>
      <c r="Q1454" s="57"/>
      <c r="R1454" s="52"/>
      <c r="S1454" s="52"/>
      <c r="T1454" s="52"/>
      <c r="U1454" s="58"/>
      <c r="V1454" s="57"/>
      <c r="W1454" s="52"/>
      <c r="X1454" s="52"/>
      <c r="Y1454" s="58"/>
      <c r="Z1454" s="57"/>
      <c r="AA1454" s="52"/>
      <c r="AB1454" s="52"/>
      <c r="AC1454" s="58"/>
      <c r="AD1454" s="57"/>
      <c r="AE1454" s="52"/>
      <c r="AF1454" s="52"/>
      <c r="AG1454" s="58"/>
      <c r="AH1454" s="57"/>
      <c r="AI1454" s="52"/>
      <c r="AJ1454" s="52"/>
      <c r="AK1454" s="58"/>
      <c r="AL1454" s="57"/>
      <c r="AM1454" s="52"/>
      <c r="AN1454" s="52"/>
      <c r="AO1454" s="58"/>
      <c r="AP1454" s="57"/>
      <c r="AQ1454" s="52"/>
      <c r="AR1454" s="52"/>
      <c r="AS1454" s="58"/>
      <c r="AT1454" s="57"/>
      <c r="AU1454" s="52"/>
      <c r="AV1454" s="52"/>
      <c r="AW1454" s="58"/>
      <c r="AX1454" s="33">
        <f t="shared" si="1458"/>
        <v>0</v>
      </c>
      <c r="AY1454" s="31">
        <f t="shared" si="1459"/>
        <v>0</v>
      </c>
      <c r="AZ1454" s="30">
        <f t="shared" si="1460"/>
        <v>0</v>
      </c>
      <c r="BA1454" s="94" t="s">
        <v>193</v>
      </c>
      <c r="BB1454" s="96">
        <f>BA1415-BB1453</f>
        <v>492</v>
      </c>
      <c r="BC1454" s="96">
        <f>BB1415-BC1453</f>
        <v>11438</v>
      </c>
      <c r="BD1454" s="96">
        <f>BC1415-BD1453</f>
        <v>13689</v>
      </c>
      <c r="BE1454" s="96">
        <f>BD1415-BE1453</f>
        <v>9760</v>
      </c>
      <c r="BF1454" s="96">
        <f>BE1415-BF1453</f>
        <v>4794</v>
      </c>
      <c r="BG1454" s="96"/>
      <c r="BH1454" s="96">
        <f>SUM(BB1454:BG1454)</f>
        <v>40173</v>
      </c>
    </row>
    <row r="1455" spans="1:60" s="17" customFormat="1" ht="19.5" customHeight="1" x14ac:dyDescent="0.35">
      <c r="A1455" s="41">
        <f t="shared" ref="A1455:B1456" si="1462">A1454</f>
        <v>45447</v>
      </c>
      <c r="B1455" s="37" t="str">
        <f t="shared" si="1462"/>
        <v>BANT GİRİŞ</v>
      </c>
      <c r="C1455" s="65" t="str">
        <f t="shared" si="1456"/>
        <v>L</v>
      </c>
      <c r="D1455" s="67">
        <f t="shared" si="1457"/>
        <v>120</v>
      </c>
      <c r="E1455" s="57"/>
      <c r="F1455" s="52"/>
      <c r="G1455" s="52"/>
      <c r="H1455" s="58"/>
      <c r="I1455" s="57"/>
      <c r="J1455" s="52"/>
      <c r="K1455" s="52"/>
      <c r="L1455" s="58"/>
      <c r="M1455" s="57"/>
      <c r="N1455" s="52"/>
      <c r="O1455" s="52"/>
      <c r="P1455" s="58"/>
      <c r="Q1455" s="57"/>
      <c r="R1455" s="52"/>
      <c r="S1455" s="52"/>
      <c r="T1455" s="52"/>
      <c r="U1455" s="58"/>
      <c r="V1455" s="57"/>
      <c r="W1455" s="52"/>
      <c r="X1455" s="52"/>
      <c r="Y1455" s="58"/>
      <c r="Z1455" s="57"/>
      <c r="AA1455" s="52"/>
      <c r="AB1455" s="52"/>
      <c r="AC1455" s="58"/>
      <c r="AD1455" s="57"/>
      <c r="AE1455" s="52"/>
      <c r="AF1455" s="52"/>
      <c r="AG1455" s="58"/>
      <c r="AH1455" s="57"/>
      <c r="AI1455" s="52"/>
      <c r="AJ1455" s="52"/>
      <c r="AK1455" s="58"/>
      <c r="AL1455" s="57"/>
      <c r="AM1455" s="52"/>
      <c r="AN1455" s="52"/>
      <c r="AO1455" s="58"/>
      <c r="AP1455" s="57"/>
      <c r="AQ1455" s="52"/>
      <c r="AR1455" s="52"/>
      <c r="AS1455" s="58"/>
      <c r="AT1455" s="57"/>
      <c r="AU1455" s="52"/>
      <c r="AV1455" s="52"/>
      <c r="AW1455" s="58"/>
      <c r="AX1455" s="33">
        <f t="shared" si="1458"/>
        <v>0</v>
      </c>
      <c r="AY1455" s="31">
        <f t="shared" si="1459"/>
        <v>0</v>
      </c>
      <c r="AZ1455" s="30">
        <f t="shared" si="1460"/>
        <v>0</v>
      </c>
      <c r="BA1455" s="34"/>
      <c r="BB1455" s="34"/>
      <c r="BC1455" s="34"/>
      <c r="BD1455" s="76"/>
      <c r="BE1455" s="34"/>
      <c r="BF1455" s="34"/>
      <c r="BG1455" s="34"/>
      <c r="BH1455" s="34"/>
    </row>
    <row r="1456" spans="1:60" s="17" customFormat="1" ht="19.5" customHeight="1" x14ac:dyDescent="0.35">
      <c r="A1456" s="41">
        <f>A1453</f>
        <v>45447</v>
      </c>
      <c r="B1456" s="37" t="str">
        <f t="shared" si="1462"/>
        <v>BANT GİRİŞ</v>
      </c>
      <c r="C1456" s="65" t="str">
        <f t="shared" si="1456"/>
        <v>XXL</v>
      </c>
      <c r="D1456" s="67">
        <f t="shared" si="1457"/>
        <v>120</v>
      </c>
      <c r="E1456" s="57"/>
      <c r="F1456" s="52"/>
      <c r="G1456" s="52"/>
      <c r="H1456" s="58"/>
      <c r="I1456" s="57"/>
      <c r="J1456" s="52"/>
      <c r="K1456" s="52"/>
      <c r="L1456" s="58"/>
      <c r="M1456" s="57"/>
      <c r="N1456" s="52"/>
      <c r="O1456" s="52"/>
      <c r="P1456" s="58"/>
      <c r="Q1456" s="57"/>
      <c r="R1456" s="52"/>
      <c r="S1456" s="52"/>
      <c r="T1456" s="52"/>
      <c r="U1456" s="58"/>
      <c r="V1456" s="57"/>
      <c r="W1456" s="52"/>
      <c r="X1456" s="52"/>
      <c r="Y1456" s="58"/>
      <c r="Z1456" s="57"/>
      <c r="AA1456" s="52"/>
      <c r="AB1456" s="52"/>
      <c r="AC1456" s="58"/>
      <c r="AD1456" s="57"/>
      <c r="AE1456" s="52"/>
      <c r="AF1456" s="52"/>
      <c r="AG1456" s="58"/>
      <c r="AH1456" s="57"/>
      <c r="AI1456" s="52"/>
      <c r="AJ1456" s="52"/>
      <c r="AK1456" s="58"/>
      <c r="AL1456" s="57"/>
      <c r="AM1456" s="52"/>
      <c r="AN1456" s="52"/>
      <c r="AO1456" s="58"/>
      <c r="AP1456" s="57"/>
      <c r="AQ1456" s="52"/>
      <c r="AR1456" s="52"/>
      <c r="AS1456" s="58"/>
      <c r="AT1456" s="57"/>
      <c r="AU1456" s="52"/>
      <c r="AV1456" s="52"/>
      <c r="AW1456" s="58"/>
      <c r="AX1456" s="33">
        <f t="shared" si="1458"/>
        <v>0</v>
      </c>
      <c r="AY1456" s="31">
        <f t="shared" si="1459"/>
        <v>0</v>
      </c>
      <c r="AZ1456" s="30">
        <f t="shared" si="1460"/>
        <v>0</v>
      </c>
      <c r="BA1456" s="34"/>
      <c r="BB1456" s="34"/>
      <c r="BC1456" s="34"/>
      <c r="BD1456" s="76"/>
      <c r="BE1456" s="34"/>
      <c r="BF1456" s="34"/>
      <c r="BG1456" s="34"/>
      <c r="BH1456" s="34"/>
    </row>
    <row r="1457" spans="1:60" s="17" customFormat="1" ht="19.5" customHeight="1" x14ac:dyDescent="0.35">
      <c r="A1457" s="41">
        <f t="shared" ref="A1457:B1457" si="1463">A1456</f>
        <v>45447</v>
      </c>
      <c r="B1457" s="37" t="str">
        <f t="shared" si="1463"/>
        <v>BANT GİRİŞ</v>
      </c>
      <c r="C1457" s="65">
        <f t="shared" si="1456"/>
        <v>0</v>
      </c>
      <c r="D1457" s="67">
        <f t="shared" si="1457"/>
        <v>120</v>
      </c>
      <c r="E1457" s="57"/>
      <c r="F1457" s="52"/>
      <c r="G1457" s="52"/>
      <c r="H1457" s="58"/>
      <c r="I1457" s="57"/>
      <c r="J1457" s="52"/>
      <c r="K1457" s="52"/>
      <c r="L1457" s="58"/>
      <c r="M1457" s="57"/>
      <c r="N1457" s="52"/>
      <c r="O1457" s="52"/>
      <c r="P1457" s="58"/>
      <c r="Q1457" s="57"/>
      <c r="R1457" s="52"/>
      <c r="S1457" s="52"/>
      <c r="T1457" s="52"/>
      <c r="U1457" s="58"/>
      <c r="V1457" s="57"/>
      <c r="W1457" s="52"/>
      <c r="X1457" s="52"/>
      <c r="Y1457" s="58"/>
      <c r="Z1457" s="57"/>
      <c r="AA1457" s="52"/>
      <c r="AB1457" s="52"/>
      <c r="AC1457" s="58"/>
      <c r="AD1457" s="57"/>
      <c r="AE1457" s="52"/>
      <c r="AF1457" s="52"/>
      <c r="AG1457" s="58"/>
      <c r="AH1457" s="57"/>
      <c r="AI1457" s="52"/>
      <c r="AJ1457" s="52"/>
      <c r="AK1457" s="58"/>
      <c r="AL1457" s="57"/>
      <c r="AM1457" s="52"/>
      <c r="AN1457" s="52"/>
      <c r="AO1457" s="58"/>
      <c r="AP1457" s="57"/>
      <c r="AQ1457" s="52"/>
      <c r="AR1457" s="52"/>
      <c r="AS1457" s="58"/>
      <c r="AT1457" s="57"/>
      <c r="AU1457" s="52"/>
      <c r="AV1457" s="52"/>
      <c r="AW1457" s="58"/>
      <c r="AX1457" s="33">
        <f t="shared" si="1458"/>
        <v>0</v>
      </c>
      <c r="AY1457" s="31">
        <f t="shared" si="1459"/>
        <v>0</v>
      </c>
      <c r="AZ1457" s="30">
        <f t="shared" si="1460"/>
        <v>0</v>
      </c>
      <c r="BA1457" s="34"/>
      <c r="BB1457" s="34"/>
      <c r="BC1457" s="34"/>
      <c r="BD1457" s="76"/>
      <c r="BE1457" s="34"/>
      <c r="BF1457" s="34"/>
      <c r="BG1457" s="34"/>
      <c r="BH1457" s="34"/>
    </row>
    <row r="1458" spans="1:60" s="17" customFormat="1" ht="19.5" customHeight="1" thickBot="1" x14ac:dyDescent="0.4">
      <c r="A1458" s="41">
        <f t="shared" ref="A1458:B1459" si="1464">A1457</f>
        <v>45447</v>
      </c>
      <c r="B1458" s="37" t="str">
        <f t="shared" si="1464"/>
        <v>BANT GİRİŞ</v>
      </c>
      <c r="C1458" s="65">
        <f t="shared" si="1456"/>
        <v>0</v>
      </c>
      <c r="D1458" s="67">
        <f t="shared" si="1457"/>
        <v>120</v>
      </c>
      <c r="E1458" s="59"/>
      <c r="F1458" s="60"/>
      <c r="G1458" s="61"/>
      <c r="H1458" s="62"/>
      <c r="I1458" s="59"/>
      <c r="J1458" s="60"/>
      <c r="K1458" s="61"/>
      <c r="L1458" s="62"/>
      <c r="M1458" s="59"/>
      <c r="N1458" s="60"/>
      <c r="O1458" s="61"/>
      <c r="P1458" s="62"/>
      <c r="Q1458" s="64"/>
      <c r="R1458" s="61"/>
      <c r="S1458" s="61"/>
      <c r="T1458" s="61"/>
      <c r="U1458" s="62"/>
      <c r="V1458" s="59"/>
      <c r="W1458" s="60"/>
      <c r="X1458" s="61"/>
      <c r="Y1458" s="62"/>
      <c r="Z1458" s="59"/>
      <c r="AA1458" s="60"/>
      <c r="AB1458" s="61"/>
      <c r="AC1458" s="62"/>
      <c r="AD1458" s="59"/>
      <c r="AE1458" s="60"/>
      <c r="AF1458" s="61"/>
      <c r="AG1458" s="62"/>
      <c r="AH1458" s="59"/>
      <c r="AI1458" s="60"/>
      <c r="AJ1458" s="61"/>
      <c r="AK1458" s="62"/>
      <c r="AL1458" s="59"/>
      <c r="AM1458" s="60"/>
      <c r="AN1458" s="61"/>
      <c r="AO1458" s="62"/>
      <c r="AP1458" s="59"/>
      <c r="AQ1458" s="60"/>
      <c r="AR1458" s="61"/>
      <c r="AS1458" s="62"/>
      <c r="AT1458" s="59"/>
      <c r="AU1458" s="60"/>
      <c r="AV1458" s="61"/>
      <c r="AW1458" s="62"/>
      <c r="AX1458" s="33">
        <f t="shared" si="1458"/>
        <v>0</v>
      </c>
      <c r="AY1458" s="31">
        <f t="shared" si="1459"/>
        <v>0</v>
      </c>
      <c r="AZ1458" s="30">
        <f t="shared" si="1460"/>
        <v>0</v>
      </c>
      <c r="BA1458" s="34"/>
      <c r="BB1458" s="34"/>
      <c r="BC1458" s="34"/>
      <c r="BD1458" s="76"/>
      <c r="BE1458" s="34"/>
      <c r="BF1458" s="34"/>
      <c r="BG1458" s="34"/>
      <c r="BH1458" s="34"/>
    </row>
    <row r="1459" spans="1:60" s="17" customFormat="1" ht="19.5" customHeight="1" thickBot="1" x14ac:dyDescent="0.45">
      <c r="A1459" s="41">
        <f t="shared" si="1464"/>
        <v>45447</v>
      </c>
      <c r="B1459" s="139" t="str">
        <f>B1452</f>
        <v>BANT GİRİŞ</v>
      </c>
      <c r="C1459" s="140"/>
      <c r="D1459" s="40">
        <f>C1414/8</f>
        <v>500</v>
      </c>
      <c r="E1459" s="147">
        <f>SUM(E1452:H1458)</f>
        <v>0</v>
      </c>
      <c r="F1459" s="148"/>
      <c r="G1459" s="148"/>
      <c r="H1459" s="149"/>
      <c r="I1459" s="147">
        <f>SUM(I1452:L1458)</f>
        <v>0</v>
      </c>
      <c r="J1459" s="148"/>
      <c r="K1459" s="148"/>
      <c r="L1459" s="149"/>
      <c r="M1459" s="147">
        <f>SUM(M1452:P1458)</f>
        <v>0</v>
      </c>
      <c r="N1459" s="148"/>
      <c r="O1459" s="148"/>
      <c r="P1459" s="149"/>
      <c r="Q1459" s="147">
        <f>SUM(Q1452:U1458)</f>
        <v>0</v>
      </c>
      <c r="R1459" s="148"/>
      <c r="S1459" s="148"/>
      <c r="T1459" s="148"/>
      <c r="U1459" s="149"/>
      <c r="V1459" s="147">
        <f>SUM(V1452:Y1458)</f>
        <v>0</v>
      </c>
      <c r="W1459" s="148"/>
      <c r="X1459" s="148"/>
      <c r="Y1459" s="149"/>
      <c r="Z1459" s="147">
        <f>SUM(Z1452:AC1458)</f>
        <v>0</v>
      </c>
      <c r="AA1459" s="148"/>
      <c r="AB1459" s="148"/>
      <c r="AC1459" s="149"/>
      <c r="AD1459" s="147">
        <f>SUM(AD1452:AG1458)</f>
        <v>0</v>
      </c>
      <c r="AE1459" s="148"/>
      <c r="AF1459" s="148"/>
      <c r="AG1459" s="149"/>
      <c r="AH1459" s="147">
        <f>SUM(AH1452:AK1458)</f>
        <v>0</v>
      </c>
      <c r="AI1459" s="148"/>
      <c r="AJ1459" s="148"/>
      <c r="AK1459" s="149"/>
      <c r="AL1459" s="147">
        <f>SUM(AL1452:AO1458)</f>
        <v>0</v>
      </c>
      <c r="AM1459" s="148"/>
      <c r="AN1459" s="148"/>
      <c r="AO1459" s="149"/>
      <c r="AP1459" s="147">
        <f>SUM(AP1452:AS1458)</f>
        <v>0</v>
      </c>
      <c r="AQ1459" s="148"/>
      <c r="AR1459" s="148"/>
      <c r="AS1459" s="149"/>
      <c r="AT1459" s="147">
        <f>SUM(AT1452:AW1458)</f>
        <v>0</v>
      </c>
      <c r="AU1459" s="148"/>
      <c r="AV1459" s="148"/>
      <c r="AW1459" s="149"/>
      <c r="AX1459" s="87">
        <f>SUM(AX1452:AX1458)</f>
        <v>0</v>
      </c>
      <c r="AY1459" s="88">
        <f>IFERROR(AVERAGEIF(E1459:AV1459,"&lt;&gt;0",(E1459:AV1459)),)</f>
        <v>0</v>
      </c>
      <c r="AZ1459" s="46">
        <f>IFERROR(AX1459/BB1453,0)</f>
        <v>0</v>
      </c>
      <c r="BA1459" s="34"/>
      <c r="BB1459" s="34"/>
      <c r="BC1459" s="34"/>
      <c r="BD1459" s="76"/>
      <c r="BE1459" s="34"/>
      <c r="BF1459" s="34"/>
      <c r="BG1459" s="34"/>
      <c r="BH1459" s="34"/>
    </row>
    <row r="1460" spans="1:60" s="17" customFormat="1" ht="19.5" customHeight="1" thickBot="1" x14ac:dyDescent="0.4">
      <c r="A1460" s="42">
        <f>A1451</f>
        <v>45447</v>
      </c>
      <c r="B1460" s="38" t="str">
        <f>B1461</f>
        <v>Omuz Çatma</v>
      </c>
      <c r="C1460" s="39" t="s">
        <v>180</v>
      </c>
      <c r="D1460" s="69" t="s">
        <v>181</v>
      </c>
      <c r="E1460" s="48">
        <v>0.34375</v>
      </c>
      <c r="F1460" s="49">
        <v>0.35416666666666669</v>
      </c>
      <c r="G1460" s="49">
        <v>0.36458333333333331</v>
      </c>
      <c r="H1460" s="50">
        <v>0.375</v>
      </c>
      <c r="I1460" s="48">
        <v>0.38541666666666702</v>
      </c>
      <c r="J1460" s="49">
        <v>0.39583333333333298</v>
      </c>
      <c r="K1460" s="49">
        <v>0.40625</v>
      </c>
      <c r="L1460" s="50">
        <v>0.41666666666666702</v>
      </c>
      <c r="M1460" s="48">
        <v>0.4375</v>
      </c>
      <c r="N1460" s="49">
        <v>0.44791666666666702</v>
      </c>
      <c r="O1460" s="49">
        <v>0.45833333333333398</v>
      </c>
      <c r="P1460" s="50">
        <v>0.46875</v>
      </c>
      <c r="Q1460" s="48">
        <v>0.47916666666666702</v>
      </c>
      <c r="R1460" s="49">
        <v>0.48958333333333398</v>
      </c>
      <c r="S1460" s="49">
        <v>0.5</v>
      </c>
      <c r="T1460" s="50">
        <v>0.51041666666666696</v>
      </c>
      <c r="U1460" s="51">
        <v>0.52083333333333204</v>
      </c>
      <c r="V1460" s="48">
        <v>0.5625</v>
      </c>
      <c r="W1460" s="49">
        <v>0.57291666666666663</v>
      </c>
      <c r="X1460" s="49">
        <v>0.58333333333333304</v>
      </c>
      <c r="Y1460" s="50">
        <v>0.59375</v>
      </c>
      <c r="Z1460" s="48">
        <v>0.60416666666666696</v>
      </c>
      <c r="AA1460" s="49">
        <v>0.61458333333333304</v>
      </c>
      <c r="AB1460" s="49">
        <v>0.625</v>
      </c>
      <c r="AC1460" s="50">
        <v>0.63541666666666596</v>
      </c>
      <c r="AD1460" s="48">
        <v>0.65625</v>
      </c>
      <c r="AE1460" s="49">
        <v>0.66666666666666663</v>
      </c>
      <c r="AF1460" s="49">
        <v>0.67708333333333304</v>
      </c>
      <c r="AG1460" s="50">
        <v>0.6875</v>
      </c>
      <c r="AH1460" s="48">
        <v>0.69791666666666696</v>
      </c>
      <c r="AI1460" s="49">
        <v>0.70833333333333304</v>
      </c>
      <c r="AJ1460" s="49">
        <v>0.71875</v>
      </c>
      <c r="AK1460" s="50">
        <v>0.72916666666666696</v>
      </c>
      <c r="AL1460" s="48">
        <v>0.73958333333333404</v>
      </c>
      <c r="AM1460" s="49">
        <v>0.750000000000001</v>
      </c>
      <c r="AN1460" s="49">
        <v>0.76041666666666796</v>
      </c>
      <c r="AO1460" s="50">
        <v>0.77083333333333504</v>
      </c>
      <c r="AP1460" s="48">
        <v>0.781250000000002</v>
      </c>
      <c r="AQ1460" s="49">
        <v>0.79166666666666896</v>
      </c>
      <c r="AR1460" s="49">
        <v>0.80208333333333603</v>
      </c>
      <c r="AS1460" s="50">
        <v>0.812500000000003</v>
      </c>
      <c r="AT1460" s="48">
        <v>0.82291666666666996</v>
      </c>
      <c r="AU1460" s="49">
        <v>0.83333333333333703</v>
      </c>
      <c r="AV1460" s="49">
        <v>0.843750000000004</v>
      </c>
      <c r="AW1460" s="50">
        <v>0.85416666666666663</v>
      </c>
      <c r="AX1460" s="68" t="s">
        <v>260</v>
      </c>
      <c r="AY1460" s="28" t="s">
        <v>261</v>
      </c>
      <c r="AZ1460" s="29" t="s">
        <v>262</v>
      </c>
      <c r="BA1460" s="136" t="str">
        <f>B1461</f>
        <v>Omuz Çatma</v>
      </c>
      <c r="BB1460" s="137"/>
      <c r="BC1460" s="137"/>
      <c r="BD1460" s="137"/>
      <c r="BE1460" s="137"/>
      <c r="BF1460" s="137"/>
      <c r="BG1460" s="137"/>
      <c r="BH1460" s="138"/>
    </row>
    <row r="1461" spans="1:60" s="17" customFormat="1" ht="19.5" customHeight="1" thickBot="1" x14ac:dyDescent="0.4">
      <c r="A1461" s="41">
        <f t="shared" ref="A1461" si="1465">A1460</f>
        <v>45447</v>
      </c>
      <c r="B1461" s="37" t="str">
        <f>B1285</f>
        <v>Omuz Çatma</v>
      </c>
      <c r="C1461" s="65" t="str">
        <f>C1285</f>
        <v>SELDA TAŞ</v>
      </c>
      <c r="D1461" s="70">
        <f>D1285</f>
        <v>60</v>
      </c>
      <c r="E1461" s="63"/>
      <c r="F1461" s="55"/>
      <c r="G1461" s="55"/>
      <c r="H1461" s="56"/>
      <c r="I1461" s="63"/>
      <c r="J1461" s="55"/>
      <c r="K1461" s="55"/>
      <c r="L1461" s="56"/>
      <c r="M1461" s="63"/>
      <c r="N1461" s="55"/>
      <c r="O1461" s="55"/>
      <c r="P1461" s="56"/>
      <c r="Q1461" s="63"/>
      <c r="R1461" s="55"/>
      <c r="S1461" s="55"/>
      <c r="T1461" s="55"/>
      <c r="U1461" s="56"/>
      <c r="V1461" s="63"/>
      <c r="W1461" s="55"/>
      <c r="X1461" s="55"/>
      <c r="Y1461" s="56"/>
      <c r="Z1461" s="63"/>
      <c r="AA1461" s="55"/>
      <c r="AB1461" s="55"/>
      <c r="AC1461" s="56"/>
      <c r="AD1461" s="63"/>
      <c r="AE1461" s="55"/>
      <c r="AF1461" s="55"/>
      <c r="AG1461" s="56"/>
      <c r="AH1461" s="63"/>
      <c r="AI1461" s="55"/>
      <c r="AJ1461" s="55"/>
      <c r="AK1461" s="56"/>
      <c r="AL1461" s="63"/>
      <c r="AM1461" s="55"/>
      <c r="AN1461" s="55"/>
      <c r="AO1461" s="56"/>
      <c r="AP1461" s="63"/>
      <c r="AQ1461" s="54"/>
      <c r="AR1461" s="55"/>
      <c r="AS1461" s="56"/>
      <c r="AT1461" s="53"/>
      <c r="AU1461" s="54"/>
      <c r="AV1461" s="55"/>
      <c r="AW1461" s="56"/>
      <c r="AX1461" s="33">
        <f>SUM(E1461:AW1461)</f>
        <v>0</v>
      </c>
      <c r="AY1461" s="31">
        <f>IFERROR(AVERAGEIF(E1461:AW1461,"&lt;&gt;0",(E1461:AW1461)),)</f>
        <v>0</v>
      </c>
      <c r="AZ1461" s="30">
        <f>IFERROR(AY1461/D1461,0)</f>
        <v>0</v>
      </c>
      <c r="BA1461" s="103" t="s">
        <v>182</v>
      </c>
      <c r="BB1461" s="100" t="s">
        <v>183</v>
      </c>
      <c r="BC1461" s="100" t="s">
        <v>184</v>
      </c>
      <c r="BD1461" s="101" t="s">
        <v>185</v>
      </c>
      <c r="BE1461" s="100" t="s">
        <v>186</v>
      </c>
      <c r="BF1461" s="102" t="s">
        <v>187</v>
      </c>
      <c r="BG1461" s="100" t="s">
        <v>188</v>
      </c>
      <c r="BH1461" s="102" t="s">
        <v>189</v>
      </c>
    </row>
    <row r="1462" spans="1:60" s="17" customFormat="1" ht="19.5" customHeight="1" thickBot="1" x14ac:dyDescent="0.4">
      <c r="A1462" s="41">
        <f t="shared" ref="A1462:B1462" si="1466">A1461</f>
        <v>45447</v>
      </c>
      <c r="B1462" s="37" t="str">
        <f t="shared" si="1466"/>
        <v>Omuz Çatma</v>
      </c>
      <c r="C1462" s="65" t="str">
        <f t="shared" ref="C1462:C1467" si="1467">C1286</f>
        <v>FATMA BALCI</v>
      </c>
      <c r="D1462" s="67">
        <f t="shared" ref="D1462:D1467" si="1468">D1461</f>
        <v>60</v>
      </c>
      <c r="E1462" s="57"/>
      <c r="F1462" s="52"/>
      <c r="G1462" s="52"/>
      <c r="H1462" s="58"/>
      <c r="I1462" s="57"/>
      <c r="J1462" s="52"/>
      <c r="K1462" s="52"/>
      <c r="L1462" s="58"/>
      <c r="M1462" s="57"/>
      <c r="N1462" s="52"/>
      <c r="O1462" s="52"/>
      <c r="P1462" s="58"/>
      <c r="Q1462" s="57"/>
      <c r="R1462" s="52"/>
      <c r="S1462" s="52"/>
      <c r="T1462" s="52"/>
      <c r="U1462" s="58"/>
      <c r="V1462" s="57"/>
      <c r="W1462" s="52"/>
      <c r="X1462" s="52"/>
      <c r="Y1462" s="58"/>
      <c r="Z1462" s="57"/>
      <c r="AA1462" s="52"/>
      <c r="AB1462" s="52"/>
      <c r="AC1462" s="58"/>
      <c r="AD1462" s="57"/>
      <c r="AE1462" s="52"/>
      <c r="AF1462" s="52"/>
      <c r="AG1462" s="58"/>
      <c r="AH1462" s="57"/>
      <c r="AI1462" s="52"/>
      <c r="AJ1462" s="52"/>
      <c r="AK1462" s="58"/>
      <c r="AL1462" s="57"/>
      <c r="AM1462" s="52"/>
      <c r="AN1462" s="52"/>
      <c r="AO1462" s="58"/>
      <c r="AP1462" s="57"/>
      <c r="AQ1462" s="52"/>
      <c r="AR1462" s="52"/>
      <c r="AS1462" s="58"/>
      <c r="AT1462" s="57"/>
      <c r="AU1462" s="52"/>
      <c r="AV1462" s="52"/>
      <c r="AW1462" s="58"/>
      <c r="AX1462" s="33">
        <f t="shared" ref="AX1462:AX1467" si="1469">SUM(E1462:AW1462)</f>
        <v>0</v>
      </c>
      <c r="AY1462" s="31">
        <f t="shared" ref="AY1462:AY1467" si="1470">IFERROR(AVERAGEIF(E1462:AW1462,"&lt;&gt;0",(E1462:AW1462)),)</f>
        <v>0</v>
      </c>
      <c r="AZ1462" s="30">
        <f t="shared" ref="AZ1462:AZ1467" si="1471">IFERROR(AY1462/D1462,0)</f>
        <v>0</v>
      </c>
      <c r="BA1462" s="94">
        <f>AX1468+BA1286</f>
        <v>19000</v>
      </c>
      <c r="BB1462" s="95">
        <f>(D1468*8)</f>
        <v>4000</v>
      </c>
      <c r="BC1462" s="96">
        <f>C1413-BA1462</f>
        <v>23311</v>
      </c>
      <c r="BD1462" s="96">
        <f>BH1453-BA1462</f>
        <v>-19000</v>
      </c>
      <c r="BE1462" s="97">
        <f>IFERROR(BC1462/E1468,0)</f>
        <v>0</v>
      </c>
      <c r="BF1462" s="98">
        <f>IFERROR(BE1462/9,0)</f>
        <v>0</v>
      </c>
      <c r="BG1462" s="97">
        <f>IFERROR(BC1462/AY1468,0)</f>
        <v>0</v>
      </c>
      <c r="BH1462" s="97">
        <f>IFERROR(BG1462/9,0)</f>
        <v>0</v>
      </c>
    </row>
    <row r="1463" spans="1:60" s="17" customFormat="1" ht="19.5" customHeight="1" x14ac:dyDescent="0.35">
      <c r="A1463" s="41">
        <f t="shared" ref="A1463:B1463" si="1472">A1462</f>
        <v>45447</v>
      </c>
      <c r="B1463" s="37" t="str">
        <f t="shared" si="1472"/>
        <v>Omuz Çatma</v>
      </c>
      <c r="C1463" s="65" t="str">
        <f t="shared" si="1467"/>
        <v>AYŞE ALTUN</v>
      </c>
      <c r="D1463" s="67">
        <f t="shared" si="1468"/>
        <v>60</v>
      </c>
      <c r="E1463" s="57"/>
      <c r="F1463" s="52"/>
      <c r="G1463" s="52"/>
      <c r="H1463" s="58"/>
      <c r="I1463" s="57"/>
      <c r="J1463" s="52"/>
      <c r="K1463" s="52"/>
      <c r="L1463" s="58"/>
      <c r="M1463" s="57"/>
      <c r="N1463" s="52"/>
      <c r="O1463" s="52"/>
      <c r="P1463" s="58"/>
      <c r="Q1463" s="57"/>
      <c r="R1463" s="52"/>
      <c r="S1463" s="52"/>
      <c r="T1463" s="52"/>
      <c r="U1463" s="58"/>
      <c r="V1463" s="57"/>
      <c r="W1463" s="52"/>
      <c r="X1463" s="52"/>
      <c r="Y1463" s="58"/>
      <c r="Z1463" s="57"/>
      <c r="AA1463" s="52"/>
      <c r="AB1463" s="52"/>
      <c r="AC1463" s="58"/>
      <c r="AD1463" s="57"/>
      <c r="AE1463" s="52"/>
      <c r="AF1463" s="52"/>
      <c r="AG1463" s="58"/>
      <c r="AH1463" s="57"/>
      <c r="AI1463" s="52"/>
      <c r="AJ1463" s="52"/>
      <c r="AK1463" s="58"/>
      <c r="AL1463" s="57"/>
      <c r="AM1463" s="52"/>
      <c r="AN1463" s="52"/>
      <c r="AO1463" s="58"/>
      <c r="AP1463" s="57"/>
      <c r="AQ1463" s="52"/>
      <c r="AR1463" s="52"/>
      <c r="AS1463" s="58"/>
      <c r="AT1463" s="57"/>
      <c r="AU1463" s="52"/>
      <c r="AV1463" s="52"/>
      <c r="AW1463" s="58"/>
      <c r="AX1463" s="33">
        <f t="shared" si="1469"/>
        <v>0</v>
      </c>
      <c r="AY1463" s="31">
        <f t="shared" si="1470"/>
        <v>0</v>
      </c>
      <c r="AZ1463" s="30">
        <f t="shared" si="1471"/>
        <v>0</v>
      </c>
      <c r="BA1463" s="34"/>
      <c r="BB1463" s="34"/>
      <c r="BC1463" s="34"/>
      <c r="BD1463" s="76"/>
      <c r="BE1463" s="34"/>
      <c r="BF1463" s="34"/>
      <c r="BG1463" s="34"/>
      <c r="BH1463" s="34"/>
    </row>
    <row r="1464" spans="1:60" s="17" customFormat="1" ht="19.5" customHeight="1" x14ac:dyDescent="0.35">
      <c r="A1464" s="41">
        <f t="shared" ref="A1464:B1467" si="1473">A1463</f>
        <v>45447</v>
      </c>
      <c r="B1464" s="37" t="str">
        <f t="shared" si="1473"/>
        <v>Omuz Çatma</v>
      </c>
      <c r="C1464" s="65" t="str">
        <f t="shared" si="1467"/>
        <v>EMİNE GAPAYLAR</v>
      </c>
      <c r="D1464" s="67">
        <f t="shared" si="1468"/>
        <v>60</v>
      </c>
      <c r="E1464" s="57"/>
      <c r="F1464" s="52"/>
      <c r="G1464" s="52"/>
      <c r="H1464" s="58"/>
      <c r="I1464" s="57"/>
      <c r="J1464" s="52"/>
      <c r="K1464" s="52"/>
      <c r="L1464" s="58"/>
      <c r="M1464" s="57"/>
      <c r="N1464" s="52"/>
      <c r="O1464" s="52"/>
      <c r="P1464" s="58"/>
      <c r="Q1464" s="57"/>
      <c r="R1464" s="52"/>
      <c r="S1464" s="52"/>
      <c r="T1464" s="52"/>
      <c r="U1464" s="58"/>
      <c r="V1464" s="57"/>
      <c r="W1464" s="52"/>
      <c r="X1464" s="52"/>
      <c r="Y1464" s="58"/>
      <c r="Z1464" s="57"/>
      <c r="AA1464" s="52"/>
      <c r="AB1464" s="52"/>
      <c r="AC1464" s="58"/>
      <c r="AD1464" s="57"/>
      <c r="AE1464" s="52"/>
      <c r="AF1464" s="52"/>
      <c r="AG1464" s="58"/>
      <c r="AH1464" s="57"/>
      <c r="AI1464" s="52"/>
      <c r="AJ1464" s="52"/>
      <c r="AK1464" s="58"/>
      <c r="AL1464" s="57"/>
      <c r="AM1464" s="52"/>
      <c r="AN1464" s="52"/>
      <c r="AO1464" s="58"/>
      <c r="AP1464" s="57"/>
      <c r="AQ1464" s="52"/>
      <c r="AR1464" s="52"/>
      <c r="AS1464" s="58"/>
      <c r="AT1464" s="57"/>
      <c r="AU1464" s="52"/>
      <c r="AV1464" s="52"/>
      <c r="AW1464" s="58"/>
      <c r="AX1464" s="33">
        <f t="shared" si="1469"/>
        <v>0</v>
      </c>
      <c r="AY1464" s="31">
        <f t="shared" si="1470"/>
        <v>0</v>
      </c>
      <c r="AZ1464" s="30">
        <f t="shared" si="1471"/>
        <v>0</v>
      </c>
      <c r="BA1464" s="34"/>
      <c r="BB1464" s="34"/>
      <c r="BC1464" s="34"/>
      <c r="BD1464" s="76"/>
      <c r="BE1464" s="34"/>
      <c r="BF1464" s="34"/>
      <c r="BG1464" s="34"/>
      <c r="BH1464" s="34"/>
    </row>
    <row r="1465" spans="1:60" s="17" customFormat="1" ht="19.5" customHeight="1" x14ac:dyDescent="0.35">
      <c r="A1465" s="41">
        <f>A1462</f>
        <v>45447</v>
      </c>
      <c r="B1465" s="37" t="str">
        <f t="shared" si="1473"/>
        <v>Omuz Çatma</v>
      </c>
      <c r="C1465" s="65">
        <f t="shared" si="1467"/>
        <v>0</v>
      </c>
      <c r="D1465" s="67">
        <f t="shared" si="1468"/>
        <v>60</v>
      </c>
      <c r="E1465" s="57"/>
      <c r="F1465" s="52"/>
      <c r="G1465" s="52"/>
      <c r="H1465" s="58"/>
      <c r="I1465" s="57"/>
      <c r="J1465" s="52"/>
      <c r="K1465" s="52"/>
      <c r="L1465" s="58"/>
      <c r="M1465" s="57"/>
      <c r="N1465" s="52"/>
      <c r="O1465" s="52"/>
      <c r="P1465" s="58"/>
      <c r="Q1465" s="57"/>
      <c r="R1465" s="52"/>
      <c r="S1465" s="52"/>
      <c r="T1465" s="52"/>
      <c r="U1465" s="58"/>
      <c r="V1465" s="57"/>
      <c r="W1465" s="52"/>
      <c r="X1465" s="52"/>
      <c r="Y1465" s="58"/>
      <c r="Z1465" s="57"/>
      <c r="AA1465" s="52"/>
      <c r="AB1465" s="52"/>
      <c r="AC1465" s="58"/>
      <c r="AD1465" s="57"/>
      <c r="AE1465" s="52"/>
      <c r="AF1465" s="52"/>
      <c r="AG1465" s="58"/>
      <c r="AH1465" s="57"/>
      <c r="AI1465" s="52"/>
      <c r="AJ1465" s="52"/>
      <c r="AK1465" s="58"/>
      <c r="AL1465" s="57"/>
      <c r="AM1465" s="52"/>
      <c r="AN1465" s="52"/>
      <c r="AO1465" s="58"/>
      <c r="AP1465" s="57"/>
      <c r="AQ1465" s="52"/>
      <c r="AR1465" s="52"/>
      <c r="AS1465" s="58"/>
      <c r="AT1465" s="57"/>
      <c r="AU1465" s="52"/>
      <c r="AV1465" s="52"/>
      <c r="AW1465" s="58"/>
      <c r="AX1465" s="33">
        <f t="shared" si="1469"/>
        <v>0</v>
      </c>
      <c r="AY1465" s="31">
        <f t="shared" si="1470"/>
        <v>0</v>
      </c>
      <c r="AZ1465" s="30">
        <f t="shared" si="1471"/>
        <v>0</v>
      </c>
      <c r="BA1465" s="34"/>
      <c r="BB1465" s="34"/>
      <c r="BC1465" s="34"/>
      <c r="BD1465" s="76"/>
      <c r="BE1465" s="34"/>
      <c r="BF1465" s="34"/>
      <c r="BG1465" s="34"/>
      <c r="BH1465" s="34"/>
    </row>
    <row r="1466" spans="1:60" s="17" customFormat="1" ht="19.5" customHeight="1" x14ac:dyDescent="0.35">
      <c r="A1466" s="41">
        <f>A1465</f>
        <v>45447</v>
      </c>
      <c r="B1466" s="37" t="str">
        <f t="shared" si="1473"/>
        <v>Omuz Çatma</v>
      </c>
      <c r="C1466" s="65">
        <f t="shared" si="1467"/>
        <v>0</v>
      </c>
      <c r="D1466" s="67">
        <f t="shared" si="1468"/>
        <v>60</v>
      </c>
      <c r="E1466" s="57"/>
      <c r="F1466" s="52"/>
      <c r="G1466" s="52"/>
      <c r="H1466" s="58"/>
      <c r="I1466" s="57"/>
      <c r="J1466" s="52"/>
      <c r="K1466" s="52"/>
      <c r="L1466" s="58"/>
      <c r="M1466" s="57"/>
      <c r="N1466" s="52"/>
      <c r="O1466" s="52"/>
      <c r="P1466" s="58"/>
      <c r="Q1466" s="57"/>
      <c r="R1466" s="52"/>
      <c r="S1466" s="52"/>
      <c r="T1466" s="52"/>
      <c r="U1466" s="58"/>
      <c r="V1466" s="57"/>
      <c r="W1466" s="52"/>
      <c r="X1466" s="52"/>
      <c r="Y1466" s="58"/>
      <c r="Z1466" s="57"/>
      <c r="AA1466" s="52"/>
      <c r="AB1466" s="52"/>
      <c r="AC1466" s="58"/>
      <c r="AD1466" s="57"/>
      <c r="AE1466" s="52"/>
      <c r="AF1466" s="52"/>
      <c r="AG1466" s="58"/>
      <c r="AH1466" s="57"/>
      <c r="AI1466" s="52"/>
      <c r="AJ1466" s="52"/>
      <c r="AK1466" s="58"/>
      <c r="AL1466" s="57"/>
      <c r="AM1466" s="52"/>
      <c r="AN1466" s="52"/>
      <c r="AO1466" s="58"/>
      <c r="AP1466" s="57"/>
      <c r="AQ1466" s="52"/>
      <c r="AR1466" s="52"/>
      <c r="AS1466" s="58"/>
      <c r="AT1466" s="57"/>
      <c r="AU1466" s="52"/>
      <c r="AV1466" s="52"/>
      <c r="AW1466" s="58"/>
      <c r="AX1466" s="33">
        <f t="shared" si="1469"/>
        <v>0</v>
      </c>
      <c r="AY1466" s="31">
        <f t="shared" si="1470"/>
        <v>0</v>
      </c>
      <c r="AZ1466" s="30">
        <f t="shared" si="1471"/>
        <v>0</v>
      </c>
      <c r="BA1466" s="34"/>
      <c r="BB1466" s="34"/>
      <c r="BC1466" s="34"/>
      <c r="BD1466" s="76"/>
      <c r="BE1466" s="34"/>
      <c r="BF1466" s="34"/>
      <c r="BG1466" s="34"/>
      <c r="BH1466" s="34"/>
    </row>
    <row r="1467" spans="1:60" s="17" customFormat="1" ht="19.5" customHeight="1" thickBot="1" x14ac:dyDescent="0.4">
      <c r="A1467" s="41">
        <f>A1466</f>
        <v>45447</v>
      </c>
      <c r="B1467" s="37" t="str">
        <f t="shared" si="1473"/>
        <v>Omuz Çatma</v>
      </c>
      <c r="C1467" s="65">
        <f t="shared" si="1467"/>
        <v>0</v>
      </c>
      <c r="D1467" s="67">
        <f t="shared" si="1468"/>
        <v>60</v>
      </c>
      <c r="E1467" s="59"/>
      <c r="F1467" s="60"/>
      <c r="G1467" s="61"/>
      <c r="H1467" s="62"/>
      <c r="I1467" s="59"/>
      <c r="J1467" s="60"/>
      <c r="K1467" s="61"/>
      <c r="L1467" s="62"/>
      <c r="M1467" s="59"/>
      <c r="N1467" s="60"/>
      <c r="O1467" s="61"/>
      <c r="P1467" s="62"/>
      <c r="Q1467" s="64"/>
      <c r="R1467" s="61"/>
      <c r="S1467" s="61"/>
      <c r="T1467" s="61"/>
      <c r="U1467" s="62"/>
      <c r="V1467" s="59"/>
      <c r="W1467" s="60"/>
      <c r="X1467" s="61"/>
      <c r="Y1467" s="62"/>
      <c r="Z1467" s="59"/>
      <c r="AA1467" s="60"/>
      <c r="AB1467" s="61"/>
      <c r="AC1467" s="62"/>
      <c r="AD1467" s="59"/>
      <c r="AE1467" s="60"/>
      <c r="AF1467" s="61"/>
      <c r="AG1467" s="62"/>
      <c r="AH1467" s="59"/>
      <c r="AI1467" s="60"/>
      <c r="AJ1467" s="61"/>
      <c r="AK1467" s="62"/>
      <c r="AL1467" s="59"/>
      <c r="AM1467" s="60"/>
      <c r="AN1467" s="61"/>
      <c r="AO1467" s="62"/>
      <c r="AP1467" s="59"/>
      <c r="AQ1467" s="60"/>
      <c r="AR1467" s="61"/>
      <c r="AS1467" s="62"/>
      <c r="AT1467" s="59"/>
      <c r="AU1467" s="60"/>
      <c r="AV1467" s="61"/>
      <c r="AW1467" s="62"/>
      <c r="AX1467" s="33">
        <f t="shared" si="1469"/>
        <v>0</v>
      </c>
      <c r="AY1467" s="31">
        <f t="shared" si="1470"/>
        <v>0</v>
      </c>
      <c r="AZ1467" s="30">
        <f t="shared" si="1471"/>
        <v>0</v>
      </c>
      <c r="BA1467" s="34"/>
      <c r="BB1467" s="34"/>
      <c r="BC1467" s="34"/>
      <c r="BD1467" s="76"/>
      <c r="BE1467" s="34"/>
      <c r="BF1467" s="34"/>
      <c r="BG1467" s="34"/>
      <c r="BH1467" s="34"/>
    </row>
    <row r="1468" spans="1:60" s="17" customFormat="1" ht="19.5" customHeight="1" thickBot="1" x14ac:dyDescent="0.45">
      <c r="A1468" s="41">
        <f>A1467</f>
        <v>45447</v>
      </c>
      <c r="B1468" s="139" t="str">
        <f>B1461</f>
        <v>Omuz Çatma</v>
      </c>
      <c r="C1468" s="140"/>
      <c r="D1468" s="40">
        <f>C1414/8</f>
        <v>500</v>
      </c>
      <c r="E1468" s="147">
        <f>SUM(E1461:H1467)</f>
        <v>0</v>
      </c>
      <c r="F1468" s="148"/>
      <c r="G1468" s="148"/>
      <c r="H1468" s="149"/>
      <c r="I1468" s="147">
        <f>SUM(I1461:L1467)</f>
        <v>0</v>
      </c>
      <c r="J1468" s="148"/>
      <c r="K1468" s="148"/>
      <c r="L1468" s="149"/>
      <c r="M1468" s="147">
        <f>SUM(M1461:P1467)</f>
        <v>0</v>
      </c>
      <c r="N1468" s="148"/>
      <c r="O1468" s="148"/>
      <c r="P1468" s="149"/>
      <c r="Q1468" s="147">
        <f>SUM(Q1461:U1467)</f>
        <v>0</v>
      </c>
      <c r="R1468" s="148"/>
      <c r="S1468" s="148"/>
      <c r="T1468" s="148"/>
      <c r="U1468" s="149"/>
      <c r="V1468" s="147">
        <f>SUM(V1461:Y1467)</f>
        <v>0</v>
      </c>
      <c r="W1468" s="148"/>
      <c r="X1468" s="148"/>
      <c r="Y1468" s="149"/>
      <c r="Z1468" s="147">
        <f>SUM(Z1461:AC1467)</f>
        <v>0</v>
      </c>
      <c r="AA1468" s="148"/>
      <c r="AB1468" s="148"/>
      <c r="AC1468" s="149"/>
      <c r="AD1468" s="147">
        <f>SUM(AD1461:AG1467)</f>
        <v>0</v>
      </c>
      <c r="AE1468" s="148"/>
      <c r="AF1468" s="148"/>
      <c r="AG1468" s="149"/>
      <c r="AH1468" s="147">
        <f>SUM(AH1461:AK1467)</f>
        <v>0</v>
      </c>
      <c r="AI1468" s="148"/>
      <c r="AJ1468" s="148"/>
      <c r="AK1468" s="149"/>
      <c r="AL1468" s="147">
        <f>SUM(AL1461:AO1467)</f>
        <v>0</v>
      </c>
      <c r="AM1468" s="148"/>
      <c r="AN1468" s="148"/>
      <c r="AO1468" s="149"/>
      <c r="AP1468" s="147">
        <f>SUM(AP1461:AS1467)</f>
        <v>0</v>
      </c>
      <c r="AQ1468" s="148"/>
      <c r="AR1468" s="148"/>
      <c r="AS1468" s="149"/>
      <c r="AT1468" s="147">
        <f>SUM(AT1461:AW1467)</f>
        <v>0</v>
      </c>
      <c r="AU1468" s="148"/>
      <c r="AV1468" s="148"/>
      <c r="AW1468" s="149"/>
      <c r="AX1468" s="87">
        <f>SUM(AX1461:AX1467)</f>
        <v>0</v>
      </c>
      <c r="AY1468" s="88">
        <f>IFERROR(AVERAGEIF(E1468:AV1468,"&lt;&gt;0",(E1468:AV1468)),)</f>
        <v>0</v>
      </c>
      <c r="AZ1468" s="46">
        <f>IFERROR(AX1468/BB1462,0)</f>
        <v>0</v>
      </c>
      <c r="BA1468" s="34"/>
      <c r="BB1468" s="34"/>
      <c r="BC1468" s="34"/>
      <c r="BD1468" s="76"/>
      <c r="BE1468" s="34"/>
      <c r="BF1468" s="34"/>
      <c r="BG1468" s="34"/>
      <c r="BH1468" s="34"/>
    </row>
    <row r="1469" spans="1:60" s="17" customFormat="1" ht="19.5" customHeight="1" thickBot="1" x14ac:dyDescent="0.4">
      <c r="A1469" s="42">
        <f>A1460</f>
        <v>45447</v>
      </c>
      <c r="B1469" s="38" t="str">
        <f>B1470</f>
        <v>Yaka Takma</v>
      </c>
      <c r="C1469" s="39" t="s">
        <v>180</v>
      </c>
      <c r="D1469" s="69" t="s">
        <v>181</v>
      </c>
      <c r="E1469" s="48">
        <v>0.34375</v>
      </c>
      <c r="F1469" s="49">
        <v>0.35416666666666669</v>
      </c>
      <c r="G1469" s="49">
        <v>0.36458333333333331</v>
      </c>
      <c r="H1469" s="50">
        <v>0.375</v>
      </c>
      <c r="I1469" s="48">
        <v>0.38541666666666702</v>
      </c>
      <c r="J1469" s="49">
        <v>0.39583333333333298</v>
      </c>
      <c r="K1469" s="49">
        <v>0.40625</v>
      </c>
      <c r="L1469" s="50">
        <v>0.41666666666666702</v>
      </c>
      <c r="M1469" s="48">
        <v>0.4375</v>
      </c>
      <c r="N1469" s="49">
        <v>0.44791666666666702</v>
      </c>
      <c r="O1469" s="49">
        <v>0.45833333333333398</v>
      </c>
      <c r="P1469" s="50">
        <v>0.46875</v>
      </c>
      <c r="Q1469" s="48">
        <v>0.47916666666666702</v>
      </c>
      <c r="R1469" s="49">
        <v>0.48958333333333398</v>
      </c>
      <c r="S1469" s="49">
        <v>0.5</v>
      </c>
      <c r="T1469" s="50">
        <v>0.51041666666666696</v>
      </c>
      <c r="U1469" s="51">
        <v>0.52083333333333204</v>
      </c>
      <c r="V1469" s="48">
        <v>0.5625</v>
      </c>
      <c r="W1469" s="49">
        <v>0.57291666666666663</v>
      </c>
      <c r="X1469" s="49">
        <v>0.58333333333333304</v>
      </c>
      <c r="Y1469" s="50">
        <v>0.59375</v>
      </c>
      <c r="Z1469" s="48">
        <v>0.60416666666666696</v>
      </c>
      <c r="AA1469" s="49">
        <v>0.61458333333333304</v>
      </c>
      <c r="AB1469" s="49">
        <v>0.625</v>
      </c>
      <c r="AC1469" s="50">
        <v>0.63541666666666596</v>
      </c>
      <c r="AD1469" s="48">
        <v>0.65625</v>
      </c>
      <c r="AE1469" s="49">
        <v>0.66666666666666663</v>
      </c>
      <c r="AF1469" s="49">
        <v>0.67708333333333304</v>
      </c>
      <c r="AG1469" s="50">
        <v>0.6875</v>
      </c>
      <c r="AH1469" s="48">
        <v>0.69791666666666696</v>
      </c>
      <c r="AI1469" s="49">
        <v>0.70833333333333304</v>
      </c>
      <c r="AJ1469" s="49">
        <v>0.71875</v>
      </c>
      <c r="AK1469" s="50">
        <v>0.72916666666666696</v>
      </c>
      <c r="AL1469" s="48">
        <v>0.73958333333333404</v>
      </c>
      <c r="AM1469" s="49">
        <v>0.750000000000001</v>
      </c>
      <c r="AN1469" s="49">
        <v>0.76041666666666796</v>
      </c>
      <c r="AO1469" s="50">
        <v>0.77083333333333504</v>
      </c>
      <c r="AP1469" s="48">
        <v>0.781250000000002</v>
      </c>
      <c r="AQ1469" s="49">
        <v>0.79166666666666896</v>
      </c>
      <c r="AR1469" s="49">
        <v>0.80208333333333603</v>
      </c>
      <c r="AS1469" s="50">
        <v>0.812500000000003</v>
      </c>
      <c r="AT1469" s="48">
        <v>0.82291666666666996</v>
      </c>
      <c r="AU1469" s="49">
        <v>0.83333333333333703</v>
      </c>
      <c r="AV1469" s="49">
        <v>0.843750000000004</v>
      </c>
      <c r="AW1469" s="50">
        <v>0.85416666666666663</v>
      </c>
      <c r="AX1469" s="68" t="s">
        <v>260</v>
      </c>
      <c r="AY1469" s="28" t="s">
        <v>261</v>
      </c>
      <c r="AZ1469" s="29" t="s">
        <v>262</v>
      </c>
      <c r="BA1469" s="136" t="str">
        <f>B1470</f>
        <v>Yaka Takma</v>
      </c>
      <c r="BB1469" s="137"/>
      <c r="BC1469" s="137"/>
      <c r="BD1469" s="137"/>
      <c r="BE1469" s="137"/>
      <c r="BF1469" s="137"/>
      <c r="BG1469" s="137"/>
      <c r="BH1469" s="138"/>
    </row>
    <row r="1470" spans="1:60" s="17" customFormat="1" ht="19.5" customHeight="1" thickBot="1" x14ac:dyDescent="0.4">
      <c r="A1470" s="41">
        <f>A1469</f>
        <v>45447</v>
      </c>
      <c r="B1470" s="37" t="str">
        <f>B1294</f>
        <v>Yaka Takma</v>
      </c>
      <c r="C1470" s="65" t="str">
        <f>C1294</f>
        <v>FATMA KIZILTAN</v>
      </c>
      <c r="D1470" s="70">
        <f>D1294</f>
        <v>70</v>
      </c>
      <c r="E1470" s="53"/>
      <c r="F1470" s="54"/>
      <c r="G1470" s="55"/>
      <c r="H1470" s="56"/>
      <c r="I1470" s="53"/>
      <c r="J1470" s="54"/>
      <c r="K1470" s="55"/>
      <c r="L1470" s="56"/>
      <c r="M1470" s="53"/>
      <c r="N1470" s="54"/>
      <c r="O1470" s="55"/>
      <c r="P1470" s="56"/>
      <c r="Q1470" s="63"/>
      <c r="R1470" s="55"/>
      <c r="S1470" s="55"/>
      <c r="T1470" s="55"/>
      <c r="U1470" s="56"/>
      <c r="V1470" s="53"/>
      <c r="W1470" s="54"/>
      <c r="X1470" s="55"/>
      <c r="Y1470" s="56"/>
      <c r="Z1470" s="53"/>
      <c r="AA1470" s="54"/>
      <c r="AB1470" s="55"/>
      <c r="AC1470" s="56"/>
      <c r="AD1470" s="53"/>
      <c r="AE1470" s="54"/>
      <c r="AF1470" s="55"/>
      <c r="AG1470" s="56"/>
      <c r="AH1470" s="53"/>
      <c r="AI1470" s="54"/>
      <c r="AJ1470" s="55"/>
      <c r="AK1470" s="56"/>
      <c r="AL1470" s="53"/>
      <c r="AM1470" s="54"/>
      <c r="AN1470" s="55"/>
      <c r="AO1470" s="56"/>
      <c r="AP1470" s="53"/>
      <c r="AQ1470" s="54"/>
      <c r="AR1470" s="55"/>
      <c r="AS1470" s="56"/>
      <c r="AT1470" s="53"/>
      <c r="AU1470" s="54"/>
      <c r="AV1470" s="55"/>
      <c r="AW1470" s="56"/>
      <c r="AX1470" s="33">
        <f>SUM(E1470:AW1470)</f>
        <v>0</v>
      </c>
      <c r="AY1470" s="31">
        <f>IFERROR(AVERAGEIF(E1470:AW1470,"&lt;&gt;0",(E1470:AW1470)),)</f>
        <v>0</v>
      </c>
      <c r="AZ1470" s="30">
        <f>IFERROR(AY1470/D1470,0)</f>
        <v>0</v>
      </c>
      <c r="BA1470" s="103" t="s">
        <v>182</v>
      </c>
      <c r="BB1470" s="100" t="s">
        <v>183</v>
      </c>
      <c r="BC1470" s="100" t="s">
        <v>184</v>
      </c>
      <c r="BD1470" s="101" t="s">
        <v>185</v>
      </c>
      <c r="BE1470" s="100" t="s">
        <v>186</v>
      </c>
      <c r="BF1470" s="102" t="s">
        <v>187</v>
      </c>
      <c r="BG1470" s="100" t="s">
        <v>188</v>
      </c>
      <c r="BH1470" s="102" t="s">
        <v>189</v>
      </c>
    </row>
    <row r="1471" spans="1:60" s="17" customFormat="1" ht="19.5" customHeight="1" thickBot="1" x14ac:dyDescent="0.4">
      <c r="A1471" s="41">
        <f>A1470</f>
        <v>45447</v>
      </c>
      <c r="B1471" s="37" t="str">
        <f t="shared" ref="B1471:B1476" si="1474">B1470</f>
        <v>Yaka Takma</v>
      </c>
      <c r="C1471" s="65" t="str">
        <f t="shared" ref="C1471:C1476" si="1475">C1295</f>
        <v>AYŞENUR YETER</v>
      </c>
      <c r="D1471" s="67">
        <f t="shared" ref="D1471:D1476" si="1476">D1470</f>
        <v>70</v>
      </c>
      <c r="E1471" s="57"/>
      <c r="F1471" s="52"/>
      <c r="G1471" s="52"/>
      <c r="H1471" s="58"/>
      <c r="I1471" s="57"/>
      <c r="J1471" s="52"/>
      <c r="K1471" s="52"/>
      <c r="L1471" s="58"/>
      <c r="M1471" s="57"/>
      <c r="N1471" s="52"/>
      <c r="O1471" s="52"/>
      <c r="P1471" s="58"/>
      <c r="Q1471" s="57"/>
      <c r="R1471" s="52"/>
      <c r="S1471" s="52"/>
      <c r="T1471" s="52"/>
      <c r="U1471" s="58"/>
      <c r="V1471" s="57"/>
      <c r="W1471" s="52"/>
      <c r="X1471" s="52"/>
      <c r="Y1471" s="58"/>
      <c r="Z1471" s="57"/>
      <c r="AA1471" s="52"/>
      <c r="AB1471" s="52"/>
      <c r="AC1471" s="58"/>
      <c r="AD1471" s="57"/>
      <c r="AE1471" s="52"/>
      <c r="AF1471" s="52"/>
      <c r="AG1471" s="58"/>
      <c r="AH1471" s="57"/>
      <c r="AI1471" s="52"/>
      <c r="AJ1471" s="52"/>
      <c r="AK1471" s="58"/>
      <c r="AL1471" s="57"/>
      <c r="AM1471" s="52"/>
      <c r="AN1471" s="52"/>
      <c r="AO1471" s="58"/>
      <c r="AP1471" s="57"/>
      <c r="AQ1471" s="52"/>
      <c r="AR1471" s="52"/>
      <c r="AS1471" s="58"/>
      <c r="AT1471" s="57"/>
      <c r="AU1471" s="52"/>
      <c r="AV1471" s="52"/>
      <c r="AW1471" s="58"/>
      <c r="AX1471" s="33">
        <f t="shared" ref="AX1471:AX1476" si="1477">SUM(E1471:AW1471)</f>
        <v>0</v>
      </c>
      <c r="AY1471" s="31">
        <f t="shared" ref="AY1471:AY1476" si="1478">IFERROR(AVERAGEIF(E1471:AW1471,"&lt;&gt;0",(E1471:AW1471)),)</f>
        <v>0</v>
      </c>
      <c r="AZ1471" s="30">
        <f t="shared" ref="AZ1471:AZ1476" si="1479">IFERROR(AY1471/D1471,0)</f>
        <v>0</v>
      </c>
      <c r="BA1471" s="94">
        <f>AX1477+BA1295</f>
        <v>18484</v>
      </c>
      <c r="BB1471" s="95">
        <f>(D1477*8)</f>
        <v>4000</v>
      </c>
      <c r="BC1471" s="96">
        <f>C1413-BA1471</f>
        <v>23827</v>
      </c>
      <c r="BD1471" s="96">
        <f>BA1462-BA1471</f>
        <v>516</v>
      </c>
      <c r="BE1471" s="97">
        <f>IFERROR(BC1471/E1477,0)</f>
        <v>0</v>
      </c>
      <c r="BF1471" s="98">
        <f>IFERROR(BE1471/9,0)</f>
        <v>0</v>
      </c>
      <c r="BG1471" s="97">
        <f>IFERROR(BC1471/AY1477,0)</f>
        <v>0</v>
      </c>
      <c r="BH1471" s="97">
        <f>IFERROR(BG1471/9,0)</f>
        <v>0</v>
      </c>
    </row>
    <row r="1472" spans="1:60" s="17" customFormat="1" ht="19.5" customHeight="1" x14ac:dyDescent="0.35">
      <c r="A1472" s="41">
        <f>A1471</f>
        <v>45447</v>
      </c>
      <c r="B1472" s="37" t="str">
        <f t="shared" si="1474"/>
        <v>Yaka Takma</v>
      </c>
      <c r="C1472" s="65">
        <f t="shared" si="1475"/>
        <v>0</v>
      </c>
      <c r="D1472" s="67">
        <f t="shared" si="1476"/>
        <v>70</v>
      </c>
      <c r="E1472" s="57"/>
      <c r="F1472" s="52"/>
      <c r="G1472" s="52"/>
      <c r="H1472" s="58"/>
      <c r="I1472" s="57"/>
      <c r="J1472" s="52"/>
      <c r="K1472" s="52"/>
      <c r="L1472" s="58"/>
      <c r="M1472" s="57"/>
      <c r="N1472" s="52"/>
      <c r="O1472" s="52"/>
      <c r="P1472" s="58"/>
      <c r="Q1472" s="57"/>
      <c r="R1472" s="52"/>
      <c r="S1472" s="52"/>
      <c r="T1472" s="52"/>
      <c r="U1472" s="58"/>
      <c r="V1472" s="57"/>
      <c r="W1472" s="52"/>
      <c r="X1472" s="52"/>
      <c r="Y1472" s="58"/>
      <c r="Z1472" s="57"/>
      <c r="AA1472" s="52"/>
      <c r="AB1472" s="52"/>
      <c r="AC1472" s="58"/>
      <c r="AD1472" s="57"/>
      <c r="AE1472" s="52"/>
      <c r="AF1472" s="52"/>
      <c r="AG1472" s="58"/>
      <c r="AH1472" s="57"/>
      <c r="AI1472" s="52"/>
      <c r="AJ1472" s="52"/>
      <c r="AK1472" s="58"/>
      <c r="AL1472" s="57"/>
      <c r="AM1472" s="52"/>
      <c r="AN1472" s="52"/>
      <c r="AO1472" s="58"/>
      <c r="AP1472" s="57"/>
      <c r="AQ1472" s="52"/>
      <c r="AR1472" s="52"/>
      <c r="AS1472" s="58"/>
      <c r="AT1472" s="57"/>
      <c r="AU1472" s="52"/>
      <c r="AV1472" s="52"/>
      <c r="AW1472" s="58"/>
      <c r="AX1472" s="33">
        <f t="shared" si="1477"/>
        <v>0</v>
      </c>
      <c r="AY1472" s="31">
        <f t="shared" si="1478"/>
        <v>0</v>
      </c>
      <c r="AZ1472" s="30">
        <f t="shared" si="1479"/>
        <v>0</v>
      </c>
      <c r="BA1472" s="34"/>
      <c r="BB1472" s="34"/>
      <c r="BC1472" s="34"/>
      <c r="BD1472" s="76"/>
      <c r="BE1472" s="34"/>
      <c r="BF1472" s="34"/>
      <c r="BG1472" s="34"/>
      <c r="BH1472" s="34"/>
    </row>
    <row r="1473" spans="1:60" s="17" customFormat="1" ht="19.5" customHeight="1" x14ac:dyDescent="0.35">
      <c r="A1473" s="41">
        <f>A1472</f>
        <v>45447</v>
      </c>
      <c r="B1473" s="37" t="str">
        <f t="shared" si="1474"/>
        <v>Yaka Takma</v>
      </c>
      <c r="C1473" s="65">
        <f t="shared" si="1475"/>
        <v>0</v>
      </c>
      <c r="D1473" s="67">
        <f t="shared" si="1476"/>
        <v>70</v>
      </c>
      <c r="E1473" s="57"/>
      <c r="F1473" s="52"/>
      <c r="G1473" s="52"/>
      <c r="H1473" s="58"/>
      <c r="I1473" s="57"/>
      <c r="J1473" s="52"/>
      <c r="K1473" s="52"/>
      <c r="L1473" s="58"/>
      <c r="M1473" s="57"/>
      <c r="N1473" s="52"/>
      <c r="O1473" s="52"/>
      <c r="P1473" s="58"/>
      <c r="Q1473" s="57"/>
      <c r="R1473" s="52"/>
      <c r="S1473" s="52"/>
      <c r="T1473" s="52"/>
      <c r="U1473" s="58"/>
      <c r="V1473" s="57"/>
      <c r="W1473" s="52"/>
      <c r="X1473" s="52"/>
      <c r="Y1473" s="58"/>
      <c r="Z1473" s="57"/>
      <c r="AA1473" s="52"/>
      <c r="AB1473" s="52"/>
      <c r="AC1473" s="58"/>
      <c r="AD1473" s="57"/>
      <c r="AE1473" s="52"/>
      <c r="AF1473" s="52"/>
      <c r="AG1473" s="58"/>
      <c r="AH1473" s="57"/>
      <c r="AI1473" s="52"/>
      <c r="AJ1473" s="52"/>
      <c r="AK1473" s="58"/>
      <c r="AL1473" s="57"/>
      <c r="AM1473" s="52"/>
      <c r="AN1473" s="52"/>
      <c r="AO1473" s="58"/>
      <c r="AP1473" s="57"/>
      <c r="AQ1473" s="52"/>
      <c r="AR1473" s="52"/>
      <c r="AS1473" s="58"/>
      <c r="AT1473" s="57"/>
      <c r="AU1473" s="52"/>
      <c r="AV1473" s="52"/>
      <c r="AW1473" s="58"/>
      <c r="AX1473" s="33">
        <f t="shared" si="1477"/>
        <v>0</v>
      </c>
      <c r="AY1473" s="31">
        <f t="shared" si="1478"/>
        <v>0</v>
      </c>
      <c r="AZ1473" s="30">
        <f t="shared" si="1479"/>
        <v>0</v>
      </c>
      <c r="BA1473" s="34"/>
      <c r="BB1473" s="34"/>
      <c r="BC1473" s="34"/>
      <c r="BD1473" s="76"/>
      <c r="BE1473" s="34"/>
      <c r="BF1473" s="34"/>
      <c r="BG1473" s="34"/>
      <c r="BH1473" s="34"/>
    </row>
    <row r="1474" spans="1:60" s="17" customFormat="1" ht="19.5" customHeight="1" x14ac:dyDescent="0.35">
      <c r="A1474" s="41">
        <f>A1471</f>
        <v>45447</v>
      </c>
      <c r="B1474" s="37" t="str">
        <f t="shared" si="1474"/>
        <v>Yaka Takma</v>
      </c>
      <c r="C1474" s="65">
        <f t="shared" si="1475"/>
        <v>0</v>
      </c>
      <c r="D1474" s="67">
        <f t="shared" si="1476"/>
        <v>70</v>
      </c>
      <c r="E1474" s="57"/>
      <c r="F1474" s="52"/>
      <c r="G1474" s="52"/>
      <c r="H1474" s="58"/>
      <c r="I1474" s="57"/>
      <c r="J1474" s="52"/>
      <c r="K1474" s="52"/>
      <c r="L1474" s="58"/>
      <c r="M1474" s="57"/>
      <c r="N1474" s="52"/>
      <c r="O1474" s="52"/>
      <c r="P1474" s="58"/>
      <c r="Q1474" s="57"/>
      <c r="R1474" s="52"/>
      <c r="S1474" s="52"/>
      <c r="T1474" s="52"/>
      <c r="U1474" s="58"/>
      <c r="V1474" s="57"/>
      <c r="W1474" s="52"/>
      <c r="X1474" s="52"/>
      <c r="Y1474" s="58"/>
      <c r="Z1474" s="57"/>
      <c r="AA1474" s="52"/>
      <c r="AB1474" s="52"/>
      <c r="AC1474" s="58"/>
      <c r="AD1474" s="57"/>
      <c r="AE1474" s="52"/>
      <c r="AF1474" s="52"/>
      <c r="AG1474" s="58"/>
      <c r="AH1474" s="57"/>
      <c r="AI1474" s="52"/>
      <c r="AJ1474" s="52"/>
      <c r="AK1474" s="58"/>
      <c r="AL1474" s="57"/>
      <c r="AM1474" s="52"/>
      <c r="AN1474" s="52"/>
      <c r="AO1474" s="58"/>
      <c r="AP1474" s="57"/>
      <c r="AQ1474" s="52"/>
      <c r="AR1474" s="52"/>
      <c r="AS1474" s="58"/>
      <c r="AT1474" s="57"/>
      <c r="AU1474" s="52"/>
      <c r="AV1474" s="52"/>
      <c r="AW1474" s="58"/>
      <c r="AX1474" s="33">
        <f t="shared" si="1477"/>
        <v>0</v>
      </c>
      <c r="AY1474" s="31">
        <f t="shared" si="1478"/>
        <v>0</v>
      </c>
      <c r="AZ1474" s="30">
        <f t="shared" si="1479"/>
        <v>0</v>
      </c>
      <c r="BA1474" s="34"/>
      <c r="BB1474" s="34"/>
      <c r="BC1474" s="34"/>
      <c r="BD1474" s="76"/>
      <c r="BE1474" s="34"/>
      <c r="BF1474" s="34"/>
      <c r="BG1474" s="34"/>
      <c r="BH1474" s="34"/>
    </row>
    <row r="1475" spans="1:60" s="17" customFormat="1" ht="19.5" customHeight="1" x14ac:dyDescent="0.35">
      <c r="A1475" s="41">
        <f t="shared" ref="A1475:A1479" si="1480">A1474</f>
        <v>45447</v>
      </c>
      <c r="B1475" s="37" t="str">
        <f t="shared" si="1474"/>
        <v>Yaka Takma</v>
      </c>
      <c r="C1475" s="65">
        <f t="shared" si="1475"/>
        <v>0</v>
      </c>
      <c r="D1475" s="67">
        <f t="shared" si="1476"/>
        <v>70</v>
      </c>
      <c r="E1475" s="57"/>
      <c r="F1475" s="52"/>
      <c r="G1475" s="52"/>
      <c r="H1475" s="58"/>
      <c r="I1475" s="57"/>
      <c r="J1475" s="52"/>
      <c r="K1475" s="52"/>
      <c r="L1475" s="58"/>
      <c r="M1475" s="57"/>
      <c r="N1475" s="52"/>
      <c r="O1475" s="52"/>
      <c r="P1475" s="58"/>
      <c r="Q1475" s="57"/>
      <c r="R1475" s="52"/>
      <c r="S1475" s="52"/>
      <c r="T1475" s="52"/>
      <c r="U1475" s="58"/>
      <c r="V1475" s="57"/>
      <c r="W1475" s="52"/>
      <c r="X1475" s="52"/>
      <c r="Y1475" s="58"/>
      <c r="Z1475" s="57"/>
      <c r="AA1475" s="52"/>
      <c r="AB1475" s="52"/>
      <c r="AC1475" s="58"/>
      <c r="AD1475" s="57"/>
      <c r="AE1475" s="52"/>
      <c r="AF1475" s="52"/>
      <c r="AG1475" s="58"/>
      <c r="AH1475" s="57"/>
      <c r="AI1475" s="52"/>
      <c r="AJ1475" s="52"/>
      <c r="AK1475" s="58"/>
      <c r="AL1475" s="57"/>
      <c r="AM1475" s="52"/>
      <c r="AN1475" s="52"/>
      <c r="AO1475" s="58"/>
      <c r="AP1475" s="57"/>
      <c r="AQ1475" s="52"/>
      <c r="AR1475" s="52"/>
      <c r="AS1475" s="58"/>
      <c r="AT1475" s="57"/>
      <c r="AU1475" s="52"/>
      <c r="AV1475" s="52"/>
      <c r="AW1475" s="58"/>
      <c r="AX1475" s="33">
        <f t="shared" si="1477"/>
        <v>0</v>
      </c>
      <c r="AY1475" s="31">
        <f t="shared" si="1478"/>
        <v>0</v>
      </c>
      <c r="AZ1475" s="30">
        <f t="shared" si="1479"/>
        <v>0</v>
      </c>
      <c r="BA1475" s="34"/>
      <c r="BB1475" s="34"/>
      <c r="BC1475" s="34"/>
      <c r="BD1475" s="76"/>
      <c r="BE1475" s="34"/>
      <c r="BF1475" s="34"/>
      <c r="BG1475" s="34"/>
      <c r="BH1475" s="34"/>
    </row>
    <row r="1476" spans="1:60" s="17" customFormat="1" ht="19.5" customHeight="1" thickBot="1" x14ac:dyDescent="0.4">
      <c r="A1476" s="41">
        <f t="shared" si="1480"/>
        <v>45447</v>
      </c>
      <c r="B1476" s="37" t="str">
        <f t="shared" si="1474"/>
        <v>Yaka Takma</v>
      </c>
      <c r="C1476" s="65">
        <f t="shared" si="1475"/>
        <v>0</v>
      </c>
      <c r="D1476" s="67">
        <f t="shared" si="1476"/>
        <v>70</v>
      </c>
      <c r="E1476" s="59"/>
      <c r="F1476" s="60"/>
      <c r="G1476" s="61"/>
      <c r="H1476" s="62"/>
      <c r="I1476" s="59"/>
      <c r="J1476" s="60"/>
      <c r="K1476" s="61"/>
      <c r="L1476" s="62"/>
      <c r="M1476" s="59"/>
      <c r="N1476" s="60"/>
      <c r="O1476" s="61"/>
      <c r="P1476" s="62"/>
      <c r="Q1476" s="64"/>
      <c r="R1476" s="61"/>
      <c r="S1476" s="61"/>
      <c r="T1476" s="61"/>
      <c r="U1476" s="62"/>
      <c r="V1476" s="59"/>
      <c r="W1476" s="60"/>
      <c r="X1476" s="61"/>
      <c r="Y1476" s="62"/>
      <c r="Z1476" s="59"/>
      <c r="AA1476" s="60"/>
      <c r="AB1476" s="61"/>
      <c r="AC1476" s="62"/>
      <c r="AD1476" s="59"/>
      <c r="AE1476" s="60"/>
      <c r="AF1476" s="61"/>
      <c r="AG1476" s="62"/>
      <c r="AH1476" s="59"/>
      <c r="AI1476" s="60"/>
      <c r="AJ1476" s="61"/>
      <c r="AK1476" s="62"/>
      <c r="AL1476" s="59"/>
      <c r="AM1476" s="60"/>
      <c r="AN1476" s="61"/>
      <c r="AO1476" s="62"/>
      <c r="AP1476" s="59"/>
      <c r="AQ1476" s="60"/>
      <c r="AR1476" s="61"/>
      <c r="AS1476" s="62"/>
      <c r="AT1476" s="59"/>
      <c r="AU1476" s="60"/>
      <c r="AV1476" s="61"/>
      <c r="AW1476" s="62"/>
      <c r="AX1476" s="33">
        <f t="shared" si="1477"/>
        <v>0</v>
      </c>
      <c r="AY1476" s="31">
        <f t="shared" si="1478"/>
        <v>0</v>
      </c>
      <c r="AZ1476" s="30">
        <f t="shared" si="1479"/>
        <v>0</v>
      </c>
      <c r="BA1476" s="34"/>
      <c r="BB1476" s="34"/>
      <c r="BC1476" s="34"/>
      <c r="BD1476" s="76"/>
      <c r="BE1476" s="34"/>
      <c r="BF1476" s="34"/>
      <c r="BG1476" s="34"/>
      <c r="BH1476" s="34"/>
    </row>
    <row r="1477" spans="1:60" s="17" customFormat="1" ht="19.5" customHeight="1" thickBot="1" x14ac:dyDescent="0.45">
      <c r="A1477" s="41">
        <f t="shared" si="1480"/>
        <v>45447</v>
      </c>
      <c r="B1477" s="139" t="str">
        <f>B1470</f>
        <v>Yaka Takma</v>
      </c>
      <c r="C1477" s="140"/>
      <c r="D1477" s="40">
        <f>C1414/8</f>
        <v>500</v>
      </c>
      <c r="E1477" s="147">
        <f>SUM(E1470:H1476)</f>
        <v>0</v>
      </c>
      <c r="F1477" s="148"/>
      <c r="G1477" s="148"/>
      <c r="H1477" s="149"/>
      <c r="I1477" s="147">
        <f>SUM(I1470:L1476)</f>
        <v>0</v>
      </c>
      <c r="J1477" s="148"/>
      <c r="K1477" s="148"/>
      <c r="L1477" s="149"/>
      <c r="M1477" s="147">
        <f>SUM(M1470:P1476)</f>
        <v>0</v>
      </c>
      <c r="N1477" s="148"/>
      <c r="O1477" s="148"/>
      <c r="P1477" s="149"/>
      <c r="Q1477" s="147">
        <f>SUM(Q1470:U1476)</f>
        <v>0</v>
      </c>
      <c r="R1477" s="148"/>
      <c r="S1477" s="148"/>
      <c r="T1477" s="148"/>
      <c r="U1477" s="149"/>
      <c r="V1477" s="147">
        <f>SUM(V1470:Y1476)</f>
        <v>0</v>
      </c>
      <c r="W1477" s="148"/>
      <c r="X1477" s="148"/>
      <c r="Y1477" s="149"/>
      <c r="Z1477" s="147">
        <f>SUM(Z1470:AC1476)</f>
        <v>0</v>
      </c>
      <c r="AA1477" s="148"/>
      <c r="AB1477" s="148"/>
      <c r="AC1477" s="149"/>
      <c r="AD1477" s="147">
        <f>SUM(AD1470:AG1476)</f>
        <v>0</v>
      </c>
      <c r="AE1477" s="148"/>
      <c r="AF1477" s="148"/>
      <c r="AG1477" s="149"/>
      <c r="AH1477" s="147">
        <f>SUM(AH1470:AK1476)</f>
        <v>0</v>
      </c>
      <c r="AI1477" s="148"/>
      <c r="AJ1477" s="148"/>
      <c r="AK1477" s="149"/>
      <c r="AL1477" s="147">
        <f>SUM(AL1470:AO1476)</f>
        <v>0</v>
      </c>
      <c r="AM1477" s="148"/>
      <c r="AN1477" s="148"/>
      <c r="AO1477" s="149"/>
      <c r="AP1477" s="147">
        <f>SUM(AP1470:AS1476)</f>
        <v>0</v>
      </c>
      <c r="AQ1477" s="148"/>
      <c r="AR1477" s="148"/>
      <c r="AS1477" s="149"/>
      <c r="AT1477" s="147">
        <f>SUM(AT1470:AW1476)</f>
        <v>0</v>
      </c>
      <c r="AU1477" s="148"/>
      <c r="AV1477" s="148"/>
      <c r="AW1477" s="149"/>
      <c r="AX1477" s="87">
        <f>SUM(AX1470:AX1476)</f>
        <v>0</v>
      </c>
      <c r="AY1477" s="88">
        <f>IFERROR(AVERAGEIF(E1477:AV1477,"&lt;&gt;0",(E1477:AV1477)),)</f>
        <v>0</v>
      </c>
      <c r="AZ1477" s="46">
        <f>IFERROR(AX1477/BB1471,0)</f>
        <v>0</v>
      </c>
      <c r="BA1477" s="34"/>
      <c r="BB1477" s="34"/>
      <c r="BC1477" s="34"/>
      <c r="BD1477" s="76"/>
      <c r="BE1477" s="34"/>
      <c r="BF1477" s="34"/>
      <c r="BG1477" s="34"/>
      <c r="BH1477" s="34"/>
    </row>
    <row r="1478" spans="1:60" s="17" customFormat="1" ht="19.5" customHeight="1" thickBot="1" x14ac:dyDescent="0.4">
      <c r="A1478" s="42">
        <f t="shared" si="1480"/>
        <v>45447</v>
      </c>
      <c r="B1478" s="38" t="str">
        <f>B1479</f>
        <v>Ense Biye</v>
      </c>
      <c r="C1478" s="39" t="s">
        <v>180</v>
      </c>
      <c r="D1478" s="69" t="s">
        <v>181</v>
      </c>
      <c r="E1478" s="48">
        <v>0.34375</v>
      </c>
      <c r="F1478" s="49">
        <v>0.35416666666666669</v>
      </c>
      <c r="G1478" s="49">
        <v>0.36458333333333331</v>
      </c>
      <c r="H1478" s="50">
        <v>0.375</v>
      </c>
      <c r="I1478" s="48">
        <v>0.38541666666666702</v>
      </c>
      <c r="J1478" s="49">
        <v>0.39583333333333298</v>
      </c>
      <c r="K1478" s="49">
        <v>0.40625</v>
      </c>
      <c r="L1478" s="50">
        <v>0.41666666666666702</v>
      </c>
      <c r="M1478" s="48">
        <v>0.4375</v>
      </c>
      <c r="N1478" s="49">
        <v>0.44791666666666702</v>
      </c>
      <c r="O1478" s="49">
        <v>0.45833333333333398</v>
      </c>
      <c r="P1478" s="50">
        <v>0.46875</v>
      </c>
      <c r="Q1478" s="48">
        <v>0.47916666666666702</v>
      </c>
      <c r="R1478" s="49">
        <v>0.48958333333333398</v>
      </c>
      <c r="S1478" s="49">
        <v>0.5</v>
      </c>
      <c r="T1478" s="50">
        <v>0.51041666666666696</v>
      </c>
      <c r="U1478" s="51">
        <v>0.52083333333333204</v>
      </c>
      <c r="V1478" s="48">
        <v>0.5625</v>
      </c>
      <c r="W1478" s="49">
        <v>0.57291666666666663</v>
      </c>
      <c r="X1478" s="49">
        <v>0.58333333333333304</v>
      </c>
      <c r="Y1478" s="50">
        <v>0.59375</v>
      </c>
      <c r="Z1478" s="48">
        <v>0.60416666666666696</v>
      </c>
      <c r="AA1478" s="49">
        <v>0.61458333333333304</v>
      </c>
      <c r="AB1478" s="49">
        <v>0.625</v>
      </c>
      <c r="AC1478" s="50">
        <v>0.63541666666666596</v>
      </c>
      <c r="AD1478" s="48">
        <v>0.65625</v>
      </c>
      <c r="AE1478" s="49">
        <v>0.66666666666666663</v>
      </c>
      <c r="AF1478" s="49">
        <v>0.67708333333333304</v>
      </c>
      <c r="AG1478" s="50">
        <v>0.6875</v>
      </c>
      <c r="AH1478" s="48">
        <v>0.69791666666666696</v>
      </c>
      <c r="AI1478" s="49">
        <v>0.70833333333333304</v>
      </c>
      <c r="AJ1478" s="49">
        <v>0.71875</v>
      </c>
      <c r="AK1478" s="50">
        <v>0.72916666666666696</v>
      </c>
      <c r="AL1478" s="48">
        <v>0.73958333333333404</v>
      </c>
      <c r="AM1478" s="49">
        <v>0.750000000000001</v>
      </c>
      <c r="AN1478" s="49">
        <v>0.76041666666666796</v>
      </c>
      <c r="AO1478" s="50">
        <v>0.77083333333333504</v>
      </c>
      <c r="AP1478" s="48">
        <v>0.781250000000002</v>
      </c>
      <c r="AQ1478" s="49">
        <v>0.79166666666666896</v>
      </c>
      <c r="AR1478" s="49">
        <v>0.80208333333333603</v>
      </c>
      <c r="AS1478" s="50">
        <v>0.812500000000003</v>
      </c>
      <c r="AT1478" s="48">
        <v>0.82291666666666996</v>
      </c>
      <c r="AU1478" s="49">
        <v>0.83333333333333703</v>
      </c>
      <c r="AV1478" s="49">
        <v>0.843750000000004</v>
      </c>
      <c r="AW1478" s="50">
        <v>0.85416666666666663</v>
      </c>
      <c r="AX1478" s="68" t="s">
        <v>260</v>
      </c>
      <c r="AY1478" s="28" t="s">
        <v>261</v>
      </c>
      <c r="AZ1478" s="29" t="s">
        <v>262</v>
      </c>
      <c r="BA1478" s="136" t="str">
        <f>B1479</f>
        <v>Ense Biye</v>
      </c>
      <c r="BB1478" s="137"/>
      <c r="BC1478" s="137"/>
      <c r="BD1478" s="137"/>
      <c r="BE1478" s="137"/>
      <c r="BF1478" s="137"/>
      <c r="BG1478" s="137"/>
      <c r="BH1478" s="138"/>
    </row>
    <row r="1479" spans="1:60" s="17" customFormat="1" ht="19.5" customHeight="1" thickBot="1" x14ac:dyDescent="0.4">
      <c r="A1479" s="41">
        <f t="shared" si="1480"/>
        <v>45447</v>
      </c>
      <c r="B1479" s="37" t="str">
        <f>B1303</f>
        <v>Ense Biye</v>
      </c>
      <c r="C1479" s="65" t="str">
        <f>C1303</f>
        <v>ŞEFİKA KESKİN</v>
      </c>
      <c r="D1479" s="70">
        <f>D1303</f>
        <v>100</v>
      </c>
      <c r="E1479" s="63"/>
      <c r="F1479" s="55"/>
      <c r="G1479" s="55"/>
      <c r="H1479" s="56"/>
      <c r="I1479" s="63"/>
      <c r="J1479" s="55"/>
      <c r="K1479" s="55"/>
      <c r="L1479" s="56"/>
      <c r="M1479" s="63"/>
      <c r="N1479" s="55"/>
      <c r="O1479" s="55"/>
      <c r="P1479" s="56"/>
      <c r="Q1479" s="63"/>
      <c r="R1479" s="55"/>
      <c r="S1479" s="55"/>
      <c r="T1479" s="55"/>
      <c r="U1479" s="56"/>
      <c r="V1479" s="63"/>
      <c r="W1479" s="55"/>
      <c r="X1479" s="55"/>
      <c r="Y1479" s="56"/>
      <c r="Z1479" s="63"/>
      <c r="AA1479" s="55"/>
      <c r="AB1479" s="55"/>
      <c r="AC1479" s="56"/>
      <c r="AD1479" s="63"/>
      <c r="AE1479" s="55"/>
      <c r="AF1479" s="55"/>
      <c r="AG1479" s="56"/>
      <c r="AH1479" s="63"/>
      <c r="AI1479" s="55"/>
      <c r="AJ1479" s="55"/>
      <c r="AK1479" s="56"/>
      <c r="AL1479" s="63"/>
      <c r="AM1479" s="55"/>
      <c r="AN1479" s="55"/>
      <c r="AO1479" s="56"/>
      <c r="AP1479" s="53"/>
      <c r="AQ1479" s="54"/>
      <c r="AR1479" s="55"/>
      <c r="AS1479" s="56"/>
      <c r="AT1479" s="53"/>
      <c r="AU1479" s="54"/>
      <c r="AV1479" s="55"/>
      <c r="AW1479" s="56"/>
      <c r="AX1479" s="33">
        <f>SUM(E1479:AW1479)</f>
        <v>0</v>
      </c>
      <c r="AY1479" s="31">
        <f>IFERROR(AVERAGEIF(E1479:AW1479,"&lt;&gt;0",(E1479:AW1479)),)</f>
        <v>0</v>
      </c>
      <c r="AZ1479" s="30">
        <f>IFERROR(AY1479/D1479,0)</f>
        <v>0</v>
      </c>
      <c r="BA1479" s="103" t="s">
        <v>182</v>
      </c>
      <c r="BB1479" s="100" t="s">
        <v>183</v>
      </c>
      <c r="BC1479" s="100" t="s">
        <v>184</v>
      </c>
      <c r="BD1479" s="101" t="s">
        <v>185</v>
      </c>
      <c r="BE1479" s="100" t="s">
        <v>186</v>
      </c>
      <c r="BF1479" s="102" t="s">
        <v>187</v>
      </c>
      <c r="BG1479" s="100" t="s">
        <v>188</v>
      </c>
      <c r="BH1479" s="102" t="s">
        <v>189</v>
      </c>
    </row>
    <row r="1480" spans="1:60" s="17" customFormat="1" ht="19.5" customHeight="1" thickBot="1" x14ac:dyDescent="0.4">
      <c r="A1480" s="41">
        <f t="shared" ref="A1480:B1480" si="1481">A1479</f>
        <v>45447</v>
      </c>
      <c r="B1480" s="37" t="str">
        <f t="shared" si="1481"/>
        <v>Ense Biye</v>
      </c>
      <c r="C1480" s="65" t="str">
        <f t="shared" ref="C1480:C1485" si="1482">C1304</f>
        <v>FADİME SAATÇİ</v>
      </c>
      <c r="D1480" s="67">
        <f t="shared" ref="D1480:D1485" si="1483">D1479</f>
        <v>100</v>
      </c>
      <c r="E1480" s="57"/>
      <c r="F1480" s="52"/>
      <c r="G1480" s="52"/>
      <c r="H1480" s="58"/>
      <c r="I1480" s="57"/>
      <c r="J1480" s="52"/>
      <c r="K1480" s="52"/>
      <c r="L1480" s="58"/>
      <c r="M1480" s="57"/>
      <c r="N1480" s="52"/>
      <c r="O1480" s="52"/>
      <c r="P1480" s="58"/>
      <c r="Q1480" s="57"/>
      <c r="R1480" s="52"/>
      <c r="S1480" s="52"/>
      <c r="T1480" s="52"/>
      <c r="U1480" s="58"/>
      <c r="V1480" s="57"/>
      <c r="W1480" s="52"/>
      <c r="X1480" s="52"/>
      <c r="Y1480" s="58"/>
      <c r="Z1480" s="57"/>
      <c r="AA1480" s="52"/>
      <c r="AB1480" s="52"/>
      <c r="AC1480" s="58"/>
      <c r="AD1480" s="57"/>
      <c r="AE1480" s="52"/>
      <c r="AF1480" s="52"/>
      <c r="AG1480" s="58"/>
      <c r="AH1480" s="57"/>
      <c r="AI1480" s="52"/>
      <c r="AJ1480" s="52"/>
      <c r="AK1480" s="58"/>
      <c r="AL1480" s="57"/>
      <c r="AM1480" s="52"/>
      <c r="AN1480" s="52"/>
      <c r="AO1480" s="58"/>
      <c r="AP1480" s="57"/>
      <c r="AQ1480" s="52"/>
      <c r="AR1480" s="52"/>
      <c r="AS1480" s="58"/>
      <c r="AT1480" s="57"/>
      <c r="AU1480" s="52"/>
      <c r="AV1480" s="52"/>
      <c r="AW1480" s="58"/>
      <c r="AX1480" s="33">
        <f t="shared" ref="AX1480:AX1485" si="1484">SUM(E1480:AW1480)</f>
        <v>0</v>
      </c>
      <c r="AY1480" s="31">
        <f t="shared" ref="AY1480:AY1485" si="1485">IFERROR(AVERAGEIF(E1480:AW1480,"&lt;&gt;0",(E1480:AW1480)),)</f>
        <v>0</v>
      </c>
      <c r="AZ1480" s="30">
        <f t="shared" ref="AZ1480:AZ1485" si="1486">IFERROR(AY1480/D1480,0)</f>
        <v>0</v>
      </c>
      <c r="BA1480" s="94">
        <f>AX1486+BA1304</f>
        <v>18177</v>
      </c>
      <c r="BB1480" s="95">
        <f>(D1486*8)</f>
        <v>4000</v>
      </c>
      <c r="BC1480" s="96">
        <f>C1413-BA1480</f>
        <v>24134</v>
      </c>
      <c r="BD1480" s="96">
        <f>BA1471-BA1480</f>
        <v>307</v>
      </c>
      <c r="BE1480" s="97">
        <f>IFERROR(BC1480/E1486,0)</f>
        <v>0</v>
      </c>
      <c r="BF1480" s="98">
        <f>IFERROR(BE1480/9,0)</f>
        <v>0</v>
      </c>
      <c r="BG1480" s="97">
        <f>IFERROR(BC1480/AY1486,0)</f>
        <v>0</v>
      </c>
      <c r="BH1480" s="97">
        <f>IFERROR(BG1480/9,0)</f>
        <v>0</v>
      </c>
    </row>
    <row r="1481" spans="1:60" s="17" customFormat="1" ht="19.5" customHeight="1" x14ac:dyDescent="0.35">
      <c r="A1481" s="41">
        <f t="shared" ref="A1481:B1481" si="1487">A1480</f>
        <v>45447</v>
      </c>
      <c r="B1481" s="37" t="str">
        <f t="shared" si="1487"/>
        <v>Ense Biye</v>
      </c>
      <c r="C1481" s="65" t="str">
        <f t="shared" si="1482"/>
        <v>HAZİME AVCİ</v>
      </c>
      <c r="D1481" s="67">
        <f t="shared" si="1483"/>
        <v>100</v>
      </c>
      <c r="E1481" s="57"/>
      <c r="F1481" s="52"/>
      <c r="G1481" s="52"/>
      <c r="H1481" s="58"/>
      <c r="I1481" s="57"/>
      <c r="J1481" s="52"/>
      <c r="K1481" s="52"/>
      <c r="L1481" s="58"/>
      <c r="M1481" s="57"/>
      <c r="N1481" s="52"/>
      <c r="O1481" s="52"/>
      <c r="P1481" s="58"/>
      <c r="Q1481" s="57"/>
      <c r="R1481" s="52"/>
      <c r="S1481" s="52"/>
      <c r="T1481" s="52"/>
      <c r="U1481" s="58"/>
      <c r="V1481" s="57"/>
      <c r="W1481" s="52"/>
      <c r="X1481" s="52"/>
      <c r="Y1481" s="58"/>
      <c r="Z1481" s="57"/>
      <c r="AA1481" s="52"/>
      <c r="AB1481" s="52"/>
      <c r="AC1481" s="58"/>
      <c r="AD1481" s="57"/>
      <c r="AE1481" s="52"/>
      <c r="AF1481" s="52"/>
      <c r="AG1481" s="58"/>
      <c r="AH1481" s="57"/>
      <c r="AI1481" s="52"/>
      <c r="AJ1481" s="52"/>
      <c r="AK1481" s="58"/>
      <c r="AL1481" s="57"/>
      <c r="AM1481" s="52"/>
      <c r="AN1481" s="52"/>
      <c r="AO1481" s="58"/>
      <c r="AP1481" s="57"/>
      <c r="AQ1481" s="52"/>
      <c r="AR1481" s="52"/>
      <c r="AS1481" s="58"/>
      <c r="AT1481" s="57"/>
      <c r="AU1481" s="52"/>
      <c r="AV1481" s="52"/>
      <c r="AW1481" s="58"/>
      <c r="AX1481" s="33">
        <f t="shared" si="1484"/>
        <v>0</v>
      </c>
      <c r="AY1481" s="31">
        <f t="shared" si="1485"/>
        <v>0</v>
      </c>
      <c r="AZ1481" s="30">
        <f t="shared" si="1486"/>
        <v>0</v>
      </c>
      <c r="BA1481" s="34"/>
      <c r="BB1481" s="34"/>
      <c r="BC1481" s="34"/>
      <c r="BD1481" s="76"/>
      <c r="BE1481" s="34"/>
      <c r="BF1481" s="34"/>
      <c r="BG1481" s="34"/>
      <c r="BH1481" s="34"/>
    </row>
    <row r="1482" spans="1:60" s="17" customFormat="1" ht="19.5" customHeight="1" x14ac:dyDescent="0.35">
      <c r="A1482" s="41">
        <f t="shared" ref="A1482:B1485" si="1488">A1481</f>
        <v>45447</v>
      </c>
      <c r="B1482" s="37" t="str">
        <f t="shared" si="1488"/>
        <v>Ense Biye</v>
      </c>
      <c r="C1482" s="65">
        <f t="shared" si="1482"/>
        <v>0</v>
      </c>
      <c r="D1482" s="67">
        <f t="shared" si="1483"/>
        <v>100</v>
      </c>
      <c r="E1482" s="57"/>
      <c r="F1482" s="52"/>
      <c r="G1482" s="52"/>
      <c r="H1482" s="58"/>
      <c r="I1482" s="57"/>
      <c r="J1482" s="52"/>
      <c r="K1482" s="52"/>
      <c r="L1482" s="58"/>
      <c r="M1482" s="57"/>
      <c r="N1482" s="52"/>
      <c r="O1482" s="52"/>
      <c r="P1482" s="58"/>
      <c r="Q1482" s="57"/>
      <c r="R1482" s="52"/>
      <c r="S1482" s="52"/>
      <c r="T1482" s="52"/>
      <c r="U1482" s="58"/>
      <c r="V1482" s="57"/>
      <c r="W1482" s="52"/>
      <c r="X1482" s="52"/>
      <c r="Y1482" s="58"/>
      <c r="Z1482" s="57"/>
      <c r="AA1482" s="52"/>
      <c r="AB1482" s="52"/>
      <c r="AC1482" s="58"/>
      <c r="AD1482" s="57"/>
      <c r="AE1482" s="52"/>
      <c r="AF1482" s="52"/>
      <c r="AG1482" s="58"/>
      <c r="AH1482" s="57"/>
      <c r="AI1482" s="52"/>
      <c r="AJ1482" s="52"/>
      <c r="AK1482" s="58"/>
      <c r="AL1482" s="57"/>
      <c r="AM1482" s="52"/>
      <c r="AN1482" s="52"/>
      <c r="AO1482" s="58"/>
      <c r="AP1482" s="57"/>
      <c r="AQ1482" s="52"/>
      <c r="AR1482" s="52"/>
      <c r="AS1482" s="58"/>
      <c r="AT1482" s="57"/>
      <c r="AU1482" s="52"/>
      <c r="AV1482" s="52"/>
      <c r="AW1482" s="58"/>
      <c r="AX1482" s="33">
        <f t="shared" si="1484"/>
        <v>0</v>
      </c>
      <c r="AY1482" s="31">
        <f t="shared" si="1485"/>
        <v>0</v>
      </c>
      <c r="AZ1482" s="30">
        <f t="shared" si="1486"/>
        <v>0</v>
      </c>
      <c r="BA1482" s="34"/>
      <c r="BB1482" s="34"/>
      <c r="BC1482" s="34"/>
      <c r="BD1482" s="76"/>
      <c r="BE1482" s="34"/>
      <c r="BF1482" s="34"/>
      <c r="BG1482" s="34"/>
      <c r="BH1482" s="34"/>
    </row>
    <row r="1483" spans="1:60" s="17" customFormat="1" ht="19.5" customHeight="1" x14ac:dyDescent="0.35">
      <c r="A1483" s="41">
        <f>A1480</f>
        <v>45447</v>
      </c>
      <c r="B1483" s="37" t="str">
        <f t="shared" si="1488"/>
        <v>Ense Biye</v>
      </c>
      <c r="C1483" s="65">
        <f t="shared" si="1482"/>
        <v>0</v>
      </c>
      <c r="D1483" s="67">
        <f t="shared" si="1483"/>
        <v>100</v>
      </c>
      <c r="E1483" s="57"/>
      <c r="F1483" s="52"/>
      <c r="G1483" s="52"/>
      <c r="H1483" s="58"/>
      <c r="I1483" s="57"/>
      <c r="J1483" s="52"/>
      <c r="K1483" s="52"/>
      <c r="L1483" s="58"/>
      <c r="M1483" s="57"/>
      <c r="N1483" s="52"/>
      <c r="O1483" s="52"/>
      <c r="P1483" s="58"/>
      <c r="Q1483" s="57"/>
      <c r="R1483" s="52"/>
      <c r="S1483" s="52"/>
      <c r="T1483" s="52"/>
      <c r="U1483" s="58"/>
      <c r="V1483" s="57"/>
      <c r="W1483" s="52"/>
      <c r="X1483" s="52"/>
      <c r="Y1483" s="58"/>
      <c r="Z1483" s="57"/>
      <c r="AA1483" s="52"/>
      <c r="AB1483" s="52"/>
      <c r="AC1483" s="58"/>
      <c r="AD1483" s="57"/>
      <c r="AE1483" s="52"/>
      <c r="AF1483" s="52"/>
      <c r="AG1483" s="58"/>
      <c r="AH1483" s="57"/>
      <c r="AI1483" s="52"/>
      <c r="AJ1483" s="52"/>
      <c r="AK1483" s="58"/>
      <c r="AL1483" s="57"/>
      <c r="AM1483" s="52"/>
      <c r="AN1483" s="52"/>
      <c r="AO1483" s="58"/>
      <c r="AP1483" s="57"/>
      <c r="AQ1483" s="52"/>
      <c r="AR1483" s="52"/>
      <c r="AS1483" s="58"/>
      <c r="AT1483" s="57"/>
      <c r="AU1483" s="52"/>
      <c r="AV1483" s="52"/>
      <c r="AW1483" s="58"/>
      <c r="AX1483" s="33">
        <f t="shared" si="1484"/>
        <v>0</v>
      </c>
      <c r="AY1483" s="31">
        <f t="shared" si="1485"/>
        <v>0</v>
      </c>
      <c r="AZ1483" s="30">
        <f t="shared" si="1486"/>
        <v>0</v>
      </c>
      <c r="BA1483" s="34"/>
      <c r="BB1483" s="34"/>
      <c r="BC1483" s="34"/>
      <c r="BD1483" s="76"/>
      <c r="BE1483" s="34"/>
      <c r="BF1483" s="34"/>
      <c r="BG1483" s="34"/>
      <c r="BH1483" s="34"/>
    </row>
    <row r="1484" spans="1:60" s="17" customFormat="1" ht="19.5" customHeight="1" x14ac:dyDescent="0.35">
      <c r="A1484" s="41">
        <f>A1483</f>
        <v>45447</v>
      </c>
      <c r="B1484" s="37" t="str">
        <f t="shared" si="1488"/>
        <v>Ense Biye</v>
      </c>
      <c r="C1484" s="65">
        <f t="shared" si="1482"/>
        <v>0</v>
      </c>
      <c r="D1484" s="67">
        <f t="shared" si="1483"/>
        <v>100</v>
      </c>
      <c r="E1484" s="57"/>
      <c r="F1484" s="52"/>
      <c r="G1484" s="52"/>
      <c r="H1484" s="58"/>
      <c r="I1484" s="57"/>
      <c r="J1484" s="52"/>
      <c r="K1484" s="52"/>
      <c r="L1484" s="58"/>
      <c r="M1484" s="57"/>
      <c r="N1484" s="52"/>
      <c r="O1484" s="52"/>
      <c r="P1484" s="58"/>
      <c r="Q1484" s="57"/>
      <c r="R1484" s="52"/>
      <c r="S1484" s="52"/>
      <c r="T1484" s="52"/>
      <c r="U1484" s="58"/>
      <c r="V1484" s="57"/>
      <c r="W1484" s="52"/>
      <c r="X1484" s="52"/>
      <c r="Y1484" s="58"/>
      <c r="Z1484" s="57"/>
      <c r="AA1484" s="52"/>
      <c r="AB1484" s="52"/>
      <c r="AC1484" s="58"/>
      <c r="AD1484" s="57"/>
      <c r="AE1484" s="52"/>
      <c r="AF1484" s="52"/>
      <c r="AG1484" s="58"/>
      <c r="AH1484" s="57"/>
      <c r="AI1484" s="52"/>
      <c r="AJ1484" s="52"/>
      <c r="AK1484" s="58"/>
      <c r="AL1484" s="57"/>
      <c r="AM1484" s="52"/>
      <c r="AN1484" s="52"/>
      <c r="AO1484" s="58"/>
      <c r="AP1484" s="57"/>
      <c r="AQ1484" s="52"/>
      <c r="AR1484" s="52"/>
      <c r="AS1484" s="58"/>
      <c r="AT1484" s="57"/>
      <c r="AU1484" s="52"/>
      <c r="AV1484" s="52"/>
      <c r="AW1484" s="58"/>
      <c r="AX1484" s="33">
        <f t="shared" si="1484"/>
        <v>0</v>
      </c>
      <c r="AY1484" s="31">
        <f t="shared" si="1485"/>
        <v>0</v>
      </c>
      <c r="AZ1484" s="30">
        <f t="shared" si="1486"/>
        <v>0</v>
      </c>
      <c r="BA1484" s="34"/>
      <c r="BB1484" s="34"/>
      <c r="BC1484" s="34"/>
      <c r="BD1484" s="76"/>
      <c r="BE1484" s="34"/>
      <c r="BF1484" s="34"/>
      <c r="BG1484" s="34"/>
      <c r="BH1484" s="34"/>
    </row>
    <row r="1485" spans="1:60" s="17" customFormat="1" ht="19.5" customHeight="1" thickBot="1" x14ac:dyDescent="0.4">
      <c r="A1485" s="41">
        <f>A1484</f>
        <v>45447</v>
      </c>
      <c r="B1485" s="37" t="str">
        <f t="shared" si="1488"/>
        <v>Ense Biye</v>
      </c>
      <c r="C1485" s="65">
        <f t="shared" si="1482"/>
        <v>0</v>
      </c>
      <c r="D1485" s="67">
        <f t="shared" si="1483"/>
        <v>100</v>
      </c>
      <c r="E1485" s="59"/>
      <c r="F1485" s="60"/>
      <c r="G1485" s="61"/>
      <c r="H1485" s="62"/>
      <c r="I1485" s="59"/>
      <c r="J1485" s="60"/>
      <c r="K1485" s="61"/>
      <c r="L1485" s="62"/>
      <c r="M1485" s="59"/>
      <c r="N1485" s="60"/>
      <c r="O1485" s="61"/>
      <c r="P1485" s="62"/>
      <c r="Q1485" s="64"/>
      <c r="R1485" s="61"/>
      <c r="S1485" s="61"/>
      <c r="T1485" s="61"/>
      <c r="U1485" s="62"/>
      <c r="V1485" s="59"/>
      <c r="W1485" s="60"/>
      <c r="X1485" s="61"/>
      <c r="Y1485" s="62"/>
      <c r="Z1485" s="59"/>
      <c r="AA1485" s="60"/>
      <c r="AB1485" s="61"/>
      <c r="AC1485" s="62"/>
      <c r="AD1485" s="59"/>
      <c r="AE1485" s="60"/>
      <c r="AF1485" s="61"/>
      <c r="AG1485" s="62"/>
      <c r="AH1485" s="59"/>
      <c r="AI1485" s="60"/>
      <c r="AJ1485" s="61"/>
      <c r="AK1485" s="62"/>
      <c r="AL1485" s="59"/>
      <c r="AM1485" s="60"/>
      <c r="AN1485" s="61"/>
      <c r="AO1485" s="62"/>
      <c r="AP1485" s="59"/>
      <c r="AQ1485" s="60"/>
      <c r="AR1485" s="61"/>
      <c r="AS1485" s="62"/>
      <c r="AT1485" s="59"/>
      <c r="AU1485" s="60"/>
      <c r="AV1485" s="61"/>
      <c r="AW1485" s="62"/>
      <c r="AX1485" s="33">
        <f t="shared" si="1484"/>
        <v>0</v>
      </c>
      <c r="AY1485" s="31">
        <f t="shared" si="1485"/>
        <v>0</v>
      </c>
      <c r="AZ1485" s="30">
        <f t="shared" si="1486"/>
        <v>0</v>
      </c>
      <c r="BA1485" s="34"/>
      <c r="BB1485" s="34"/>
      <c r="BC1485" s="34"/>
      <c r="BD1485" s="76"/>
      <c r="BE1485" s="34"/>
      <c r="BF1485" s="34"/>
      <c r="BG1485" s="34"/>
      <c r="BH1485" s="34"/>
    </row>
    <row r="1486" spans="1:60" s="17" customFormat="1" ht="19.5" customHeight="1" thickBot="1" x14ac:dyDescent="0.45">
      <c r="A1486" s="41">
        <f>A1485</f>
        <v>45447</v>
      </c>
      <c r="B1486" s="139" t="str">
        <f>B1479</f>
        <v>Ense Biye</v>
      </c>
      <c r="C1486" s="140"/>
      <c r="D1486" s="40">
        <f>C1414/8</f>
        <v>500</v>
      </c>
      <c r="E1486" s="147">
        <f>SUM(E1479:H1485)</f>
        <v>0</v>
      </c>
      <c r="F1486" s="148"/>
      <c r="G1486" s="148"/>
      <c r="H1486" s="149"/>
      <c r="I1486" s="147">
        <f>SUM(I1479:L1485)</f>
        <v>0</v>
      </c>
      <c r="J1486" s="148"/>
      <c r="K1486" s="148"/>
      <c r="L1486" s="149"/>
      <c r="M1486" s="147">
        <f>SUM(M1479:P1485)</f>
        <v>0</v>
      </c>
      <c r="N1486" s="148"/>
      <c r="O1486" s="148"/>
      <c r="P1486" s="149"/>
      <c r="Q1486" s="147">
        <f>SUM(Q1479:U1485)</f>
        <v>0</v>
      </c>
      <c r="R1486" s="148"/>
      <c r="S1486" s="148"/>
      <c r="T1486" s="148"/>
      <c r="U1486" s="149"/>
      <c r="V1486" s="147">
        <f>SUM(V1479:Y1485)</f>
        <v>0</v>
      </c>
      <c r="W1486" s="148"/>
      <c r="X1486" s="148"/>
      <c r="Y1486" s="149"/>
      <c r="Z1486" s="147">
        <f>SUM(Z1479:AC1485)</f>
        <v>0</v>
      </c>
      <c r="AA1486" s="148"/>
      <c r="AB1486" s="148"/>
      <c r="AC1486" s="149"/>
      <c r="AD1486" s="147">
        <f>SUM(AD1479:AG1485)</f>
        <v>0</v>
      </c>
      <c r="AE1486" s="148"/>
      <c r="AF1486" s="148"/>
      <c r="AG1486" s="149"/>
      <c r="AH1486" s="147">
        <f>SUM(AH1479:AK1485)</f>
        <v>0</v>
      </c>
      <c r="AI1486" s="148"/>
      <c r="AJ1486" s="148"/>
      <c r="AK1486" s="149"/>
      <c r="AL1486" s="147">
        <f>SUM(AL1479:AO1485)</f>
        <v>0</v>
      </c>
      <c r="AM1486" s="148"/>
      <c r="AN1486" s="148"/>
      <c r="AO1486" s="149"/>
      <c r="AP1486" s="147">
        <f>SUM(AP1479:AS1485)</f>
        <v>0</v>
      </c>
      <c r="AQ1486" s="148"/>
      <c r="AR1486" s="148"/>
      <c r="AS1486" s="149"/>
      <c r="AT1486" s="147">
        <f>SUM(AT1479:AW1485)</f>
        <v>0</v>
      </c>
      <c r="AU1486" s="148"/>
      <c r="AV1486" s="148"/>
      <c r="AW1486" s="149"/>
      <c r="AX1486" s="87">
        <f>SUM(AX1479:AX1485)</f>
        <v>0</v>
      </c>
      <c r="AY1486" s="88">
        <f>IFERROR(AVERAGEIF(E1486:AV1486,"&lt;&gt;0",(E1486:AV1486)),)</f>
        <v>0</v>
      </c>
      <c r="AZ1486" s="46">
        <f>IFERROR(AX1486/BB1480,0)</f>
        <v>0</v>
      </c>
      <c r="BA1486" s="34"/>
      <c r="BB1486" s="34"/>
      <c r="BC1486" s="34"/>
      <c r="BD1486" s="76"/>
      <c r="BE1486" s="34"/>
      <c r="BF1486" s="34"/>
      <c r="BG1486" s="34"/>
      <c r="BH1486" s="34"/>
    </row>
    <row r="1487" spans="1:60" s="17" customFormat="1" ht="19.5" customHeight="1" thickBot="1" x14ac:dyDescent="0.4">
      <c r="A1487" s="42">
        <f>A1477</f>
        <v>45447</v>
      </c>
      <c r="B1487" s="38" t="str">
        <f>B1488</f>
        <v>Yaka Basma 1 Et.(Beden)</v>
      </c>
      <c r="C1487" s="39" t="s">
        <v>180</v>
      </c>
      <c r="D1487" s="69" t="s">
        <v>181</v>
      </c>
      <c r="E1487" s="48">
        <v>0.34375</v>
      </c>
      <c r="F1487" s="49">
        <v>0.35416666666666669</v>
      </c>
      <c r="G1487" s="49">
        <v>0.36458333333333331</v>
      </c>
      <c r="H1487" s="50">
        <v>0.375</v>
      </c>
      <c r="I1487" s="48">
        <v>0.38541666666666702</v>
      </c>
      <c r="J1487" s="49">
        <v>0.39583333333333298</v>
      </c>
      <c r="K1487" s="49">
        <v>0.40625</v>
      </c>
      <c r="L1487" s="50">
        <v>0.41666666666666702</v>
      </c>
      <c r="M1487" s="48">
        <v>0.4375</v>
      </c>
      <c r="N1487" s="49">
        <v>0.44791666666666702</v>
      </c>
      <c r="O1487" s="49">
        <v>0.45833333333333398</v>
      </c>
      <c r="P1487" s="50">
        <v>0.46875</v>
      </c>
      <c r="Q1487" s="48">
        <v>0.47916666666666702</v>
      </c>
      <c r="R1487" s="49">
        <v>0.48958333333333398</v>
      </c>
      <c r="S1487" s="49">
        <v>0.5</v>
      </c>
      <c r="T1487" s="50">
        <v>0.51041666666666696</v>
      </c>
      <c r="U1487" s="51">
        <v>0.52083333333333204</v>
      </c>
      <c r="V1487" s="48">
        <v>0.5625</v>
      </c>
      <c r="W1487" s="49">
        <v>0.57291666666666663</v>
      </c>
      <c r="X1487" s="49">
        <v>0.58333333333333304</v>
      </c>
      <c r="Y1487" s="50">
        <v>0.59375</v>
      </c>
      <c r="Z1487" s="48">
        <v>0.60416666666666696</v>
      </c>
      <c r="AA1487" s="49">
        <v>0.61458333333333304</v>
      </c>
      <c r="AB1487" s="49">
        <v>0.625</v>
      </c>
      <c r="AC1487" s="50">
        <v>0.63541666666666596</v>
      </c>
      <c r="AD1487" s="48">
        <v>0.65625</v>
      </c>
      <c r="AE1487" s="49">
        <v>0.66666666666666663</v>
      </c>
      <c r="AF1487" s="49">
        <v>0.67708333333333304</v>
      </c>
      <c r="AG1487" s="50">
        <v>0.6875</v>
      </c>
      <c r="AH1487" s="48">
        <v>0.69791666666666696</v>
      </c>
      <c r="AI1487" s="49">
        <v>0.70833333333333304</v>
      </c>
      <c r="AJ1487" s="49">
        <v>0.71875</v>
      </c>
      <c r="AK1487" s="50">
        <v>0.72916666666666696</v>
      </c>
      <c r="AL1487" s="48">
        <v>0.73958333333333404</v>
      </c>
      <c r="AM1487" s="49">
        <v>0.750000000000001</v>
      </c>
      <c r="AN1487" s="49">
        <v>0.76041666666666796</v>
      </c>
      <c r="AO1487" s="50">
        <v>0.77083333333333504</v>
      </c>
      <c r="AP1487" s="48">
        <v>0.781250000000002</v>
      </c>
      <c r="AQ1487" s="49">
        <v>0.79166666666666896</v>
      </c>
      <c r="AR1487" s="49">
        <v>0.80208333333333603</v>
      </c>
      <c r="AS1487" s="50">
        <v>0.812500000000003</v>
      </c>
      <c r="AT1487" s="48">
        <v>0.82291666666666996</v>
      </c>
      <c r="AU1487" s="49">
        <v>0.83333333333333703</v>
      </c>
      <c r="AV1487" s="49">
        <v>0.843750000000004</v>
      </c>
      <c r="AW1487" s="50">
        <v>0.85416666666666663</v>
      </c>
      <c r="AX1487" s="68" t="s">
        <v>260</v>
      </c>
      <c r="AY1487" s="28" t="s">
        <v>261</v>
      </c>
      <c r="AZ1487" s="29" t="s">
        <v>262</v>
      </c>
      <c r="BA1487" s="136" t="str">
        <f>B1488</f>
        <v>Yaka Basma 1 Et.(Beden)</v>
      </c>
      <c r="BB1487" s="137"/>
      <c r="BC1487" s="137"/>
      <c r="BD1487" s="137"/>
      <c r="BE1487" s="137"/>
      <c r="BF1487" s="137"/>
      <c r="BG1487" s="137"/>
      <c r="BH1487" s="138"/>
    </row>
    <row r="1488" spans="1:60" s="17" customFormat="1" ht="19.5" customHeight="1" thickBot="1" x14ac:dyDescent="0.4">
      <c r="A1488" s="41">
        <f t="shared" ref="A1488" si="1489">A1487</f>
        <v>45447</v>
      </c>
      <c r="B1488" s="37" t="str">
        <f>B1312</f>
        <v>Yaka Basma 1 Et.(Beden)</v>
      </c>
      <c r="C1488" s="65" t="str">
        <f>C1312</f>
        <v>NESRİN ALTUNSÖZ</v>
      </c>
      <c r="D1488" s="70">
        <f>D1312</f>
        <v>60</v>
      </c>
      <c r="E1488" s="63"/>
      <c r="F1488" s="55"/>
      <c r="G1488" s="55"/>
      <c r="H1488" s="56"/>
      <c r="I1488" s="63"/>
      <c r="J1488" s="55"/>
      <c r="K1488" s="55"/>
      <c r="L1488" s="56"/>
      <c r="M1488" s="63"/>
      <c r="N1488" s="55"/>
      <c r="O1488" s="55"/>
      <c r="P1488" s="56"/>
      <c r="Q1488" s="63"/>
      <c r="R1488" s="55"/>
      <c r="S1488" s="55"/>
      <c r="T1488" s="55"/>
      <c r="U1488" s="56"/>
      <c r="V1488" s="63"/>
      <c r="W1488" s="55"/>
      <c r="X1488" s="55"/>
      <c r="Y1488" s="56"/>
      <c r="Z1488" s="63"/>
      <c r="AA1488" s="55"/>
      <c r="AB1488" s="55"/>
      <c r="AC1488" s="56"/>
      <c r="AD1488" s="63"/>
      <c r="AE1488" s="55"/>
      <c r="AF1488" s="55"/>
      <c r="AG1488" s="56"/>
      <c r="AH1488" s="63"/>
      <c r="AI1488" s="55"/>
      <c r="AJ1488" s="55"/>
      <c r="AK1488" s="56"/>
      <c r="AL1488" s="63"/>
      <c r="AM1488" s="55"/>
      <c r="AN1488" s="55"/>
      <c r="AO1488" s="56"/>
      <c r="AP1488" s="63"/>
      <c r="AQ1488" s="55"/>
      <c r="AR1488" s="55"/>
      <c r="AS1488" s="56"/>
      <c r="AT1488" s="53"/>
      <c r="AU1488" s="54"/>
      <c r="AV1488" s="55"/>
      <c r="AW1488" s="56"/>
      <c r="AX1488" s="33">
        <f>SUM(E1488:AW1488)</f>
        <v>0</v>
      </c>
      <c r="AY1488" s="31">
        <f>IFERROR(AVERAGEIF(E1488:AW1488,"&lt;&gt;0",(E1488:AW1488)),)</f>
        <v>0</v>
      </c>
      <c r="AZ1488" s="30">
        <f>IFERROR(AY1488/D1488,0)</f>
        <v>0</v>
      </c>
      <c r="BA1488" s="103" t="s">
        <v>182</v>
      </c>
      <c r="BB1488" s="100" t="s">
        <v>183</v>
      </c>
      <c r="BC1488" s="100" t="s">
        <v>184</v>
      </c>
      <c r="BD1488" s="101" t="s">
        <v>185</v>
      </c>
      <c r="BE1488" s="100" t="s">
        <v>186</v>
      </c>
      <c r="BF1488" s="102" t="s">
        <v>187</v>
      </c>
      <c r="BG1488" s="100" t="s">
        <v>188</v>
      </c>
      <c r="BH1488" s="102" t="s">
        <v>189</v>
      </c>
    </row>
    <row r="1489" spans="1:60" s="17" customFormat="1" ht="19.5" customHeight="1" thickBot="1" x14ac:dyDescent="0.4">
      <c r="A1489" s="41">
        <f t="shared" ref="A1489:B1489" si="1490">A1488</f>
        <v>45447</v>
      </c>
      <c r="B1489" s="37" t="str">
        <f t="shared" si="1490"/>
        <v>Yaka Basma 1 Et.(Beden)</v>
      </c>
      <c r="C1489" s="65" t="str">
        <f t="shared" ref="C1489:C1494" si="1491">C1313</f>
        <v>SERPİL ÇİMEN</v>
      </c>
      <c r="D1489" s="67">
        <f t="shared" ref="D1489:D1494" si="1492">D1488</f>
        <v>60</v>
      </c>
      <c r="E1489" s="57"/>
      <c r="F1489" s="52"/>
      <c r="G1489" s="52"/>
      <c r="H1489" s="58"/>
      <c r="I1489" s="57"/>
      <c r="J1489" s="52"/>
      <c r="K1489" s="52"/>
      <c r="L1489" s="58"/>
      <c r="M1489" s="57"/>
      <c r="N1489" s="52"/>
      <c r="O1489" s="52"/>
      <c r="P1489" s="58"/>
      <c r="Q1489" s="57"/>
      <c r="R1489" s="52"/>
      <c r="S1489" s="52"/>
      <c r="T1489" s="52"/>
      <c r="U1489" s="58"/>
      <c r="V1489" s="57"/>
      <c r="W1489" s="52"/>
      <c r="X1489" s="52"/>
      <c r="Y1489" s="58"/>
      <c r="Z1489" s="57"/>
      <c r="AA1489" s="52"/>
      <c r="AB1489" s="52"/>
      <c r="AC1489" s="58"/>
      <c r="AD1489" s="57"/>
      <c r="AE1489" s="52"/>
      <c r="AF1489" s="52"/>
      <c r="AG1489" s="58"/>
      <c r="AH1489" s="57"/>
      <c r="AI1489" s="52"/>
      <c r="AJ1489" s="52"/>
      <c r="AK1489" s="58"/>
      <c r="AL1489" s="57"/>
      <c r="AM1489" s="52"/>
      <c r="AN1489" s="52"/>
      <c r="AO1489" s="58"/>
      <c r="AP1489" s="57"/>
      <c r="AQ1489" s="52"/>
      <c r="AR1489" s="52"/>
      <c r="AS1489" s="58"/>
      <c r="AT1489" s="57"/>
      <c r="AU1489" s="52"/>
      <c r="AV1489" s="52"/>
      <c r="AW1489" s="58"/>
      <c r="AX1489" s="33">
        <f t="shared" ref="AX1489:AX1494" si="1493">SUM(E1489:AW1489)</f>
        <v>0</v>
      </c>
      <c r="AY1489" s="31">
        <f t="shared" ref="AY1489:AY1494" si="1494">IFERROR(AVERAGEIF(E1489:AW1489,"&lt;&gt;0",(E1489:AW1489)),)</f>
        <v>0</v>
      </c>
      <c r="AZ1489" s="30">
        <f t="shared" ref="AZ1489:AZ1494" si="1495">IFERROR(AY1489/D1489,0)</f>
        <v>0</v>
      </c>
      <c r="BA1489" s="94">
        <f>AX1495+BA1313</f>
        <v>18053</v>
      </c>
      <c r="BB1489" s="95">
        <f>(D1495*8)</f>
        <v>4000</v>
      </c>
      <c r="BC1489" s="96">
        <f>C1413-BA1489</f>
        <v>24258</v>
      </c>
      <c r="BD1489" s="96">
        <f>BA1480-BA1489</f>
        <v>124</v>
      </c>
      <c r="BE1489" s="97">
        <f>IFERROR(BC1489/E1495,0)</f>
        <v>0</v>
      </c>
      <c r="BF1489" s="98">
        <f>IFERROR(BE1489/9,0)</f>
        <v>0</v>
      </c>
      <c r="BG1489" s="97">
        <f>IFERROR(BC1489/AY1495,0)</f>
        <v>0</v>
      </c>
      <c r="BH1489" s="97">
        <f>IFERROR(BG1489/9,0)</f>
        <v>0</v>
      </c>
    </row>
    <row r="1490" spans="1:60" s="17" customFormat="1" ht="19.5" customHeight="1" x14ac:dyDescent="0.35">
      <c r="A1490" s="41">
        <f t="shared" ref="A1490:B1490" si="1496">A1489</f>
        <v>45447</v>
      </c>
      <c r="B1490" s="37" t="str">
        <f t="shared" si="1496"/>
        <v>Yaka Basma 1 Et.(Beden)</v>
      </c>
      <c r="C1490" s="65" t="str">
        <f t="shared" si="1491"/>
        <v>ŞEFİKA KESKİN</v>
      </c>
      <c r="D1490" s="67">
        <f t="shared" si="1492"/>
        <v>60</v>
      </c>
      <c r="E1490" s="57"/>
      <c r="F1490" s="52"/>
      <c r="G1490" s="52"/>
      <c r="H1490" s="58"/>
      <c r="I1490" s="57"/>
      <c r="J1490" s="52"/>
      <c r="K1490" s="52"/>
      <c r="L1490" s="58"/>
      <c r="M1490" s="57"/>
      <c r="N1490" s="52"/>
      <c r="O1490" s="52"/>
      <c r="P1490" s="58"/>
      <c r="Q1490" s="57"/>
      <c r="R1490" s="52"/>
      <c r="S1490" s="52"/>
      <c r="T1490" s="52"/>
      <c r="U1490" s="58"/>
      <c r="V1490" s="57"/>
      <c r="W1490" s="52"/>
      <c r="X1490" s="52"/>
      <c r="Y1490" s="58"/>
      <c r="Z1490" s="57"/>
      <c r="AA1490" s="52"/>
      <c r="AB1490" s="52"/>
      <c r="AC1490" s="58"/>
      <c r="AD1490" s="57"/>
      <c r="AE1490" s="52"/>
      <c r="AF1490" s="52"/>
      <c r="AG1490" s="58"/>
      <c r="AH1490" s="57"/>
      <c r="AI1490" s="52"/>
      <c r="AJ1490" s="52"/>
      <c r="AK1490" s="58"/>
      <c r="AL1490" s="57"/>
      <c r="AM1490" s="52"/>
      <c r="AN1490" s="52"/>
      <c r="AO1490" s="58"/>
      <c r="AP1490" s="57"/>
      <c r="AQ1490" s="52"/>
      <c r="AR1490" s="52"/>
      <c r="AS1490" s="58"/>
      <c r="AT1490" s="57"/>
      <c r="AU1490" s="52"/>
      <c r="AV1490" s="52"/>
      <c r="AW1490" s="58"/>
      <c r="AX1490" s="33">
        <f t="shared" si="1493"/>
        <v>0</v>
      </c>
      <c r="AY1490" s="31">
        <f t="shared" si="1494"/>
        <v>0</v>
      </c>
      <c r="AZ1490" s="30">
        <f t="shared" si="1495"/>
        <v>0</v>
      </c>
      <c r="BA1490" s="34"/>
      <c r="BB1490" s="34"/>
      <c r="BC1490" s="34"/>
      <c r="BD1490" s="76"/>
      <c r="BE1490" s="34"/>
      <c r="BF1490" s="34"/>
      <c r="BG1490" s="34"/>
      <c r="BH1490" s="34"/>
    </row>
    <row r="1491" spans="1:60" s="17" customFormat="1" ht="19.5" customHeight="1" x14ac:dyDescent="0.35">
      <c r="A1491" s="41">
        <f t="shared" ref="A1491:B1492" si="1497">A1490</f>
        <v>45447</v>
      </c>
      <c r="B1491" s="37" t="str">
        <f t="shared" si="1497"/>
        <v>Yaka Basma 1 Et.(Beden)</v>
      </c>
      <c r="C1491" s="65">
        <f t="shared" si="1491"/>
        <v>0</v>
      </c>
      <c r="D1491" s="67">
        <f t="shared" si="1492"/>
        <v>60</v>
      </c>
      <c r="E1491" s="57"/>
      <c r="F1491" s="52"/>
      <c r="G1491" s="52"/>
      <c r="H1491" s="58"/>
      <c r="I1491" s="57"/>
      <c r="J1491" s="52"/>
      <c r="K1491" s="52"/>
      <c r="L1491" s="58"/>
      <c r="M1491" s="57"/>
      <c r="N1491" s="52"/>
      <c r="O1491" s="52"/>
      <c r="P1491" s="58"/>
      <c r="Q1491" s="57"/>
      <c r="R1491" s="52"/>
      <c r="S1491" s="52"/>
      <c r="T1491" s="52"/>
      <c r="U1491" s="58"/>
      <c r="V1491" s="57"/>
      <c r="W1491" s="52"/>
      <c r="X1491" s="52"/>
      <c r="Y1491" s="58"/>
      <c r="Z1491" s="57"/>
      <c r="AA1491" s="52"/>
      <c r="AB1491" s="52"/>
      <c r="AC1491" s="58"/>
      <c r="AD1491" s="57"/>
      <c r="AE1491" s="52"/>
      <c r="AF1491" s="52"/>
      <c r="AG1491" s="58"/>
      <c r="AH1491" s="57"/>
      <c r="AI1491" s="52"/>
      <c r="AJ1491" s="52"/>
      <c r="AK1491" s="58"/>
      <c r="AL1491" s="57"/>
      <c r="AM1491" s="52"/>
      <c r="AN1491" s="52"/>
      <c r="AO1491" s="58"/>
      <c r="AP1491" s="57"/>
      <c r="AQ1491" s="52"/>
      <c r="AR1491" s="52"/>
      <c r="AS1491" s="58"/>
      <c r="AT1491" s="57"/>
      <c r="AU1491" s="52"/>
      <c r="AV1491" s="52"/>
      <c r="AW1491" s="58"/>
      <c r="AX1491" s="33">
        <f t="shared" si="1493"/>
        <v>0</v>
      </c>
      <c r="AY1491" s="31">
        <f t="shared" si="1494"/>
        <v>0</v>
      </c>
      <c r="AZ1491" s="30">
        <f t="shared" si="1495"/>
        <v>0</v>
      </c>
      <c r="BA1491" s="34"/>
      <c r="BB1491" s="34"/>
      <c r="BC1491" s="34"/>
      <c r="BD1491" s="76"/>
      <c r="BE1491" s="34"/>
      <c r="BF1491" s="34"/>
      <c r="BG1491" s="34"/>
      <c r="BH1491" s="34"/>
    </row>
    <row r="1492" spans="1:60" s="17" customFormat="1" ht="19.5" customHeight="1" x14ac:dyDescent="0.35">
      <c r="A1492" s="41">
        <f>A1489</f>
        <v>45447</v>
      </c>
      <c r="B1492" s="37" t="str">
        <f t="shared" si="1497"/>
        <v>Yaka Basma 1 Et.(Beden)</v>
      </c>
      <c r="C1492" s="65">
        <f t="shared" si="1491"/>
        <v>0</v>
      </c>
      <c r="D1492" s="67">
        <f t="shared" si="1492"/>
        <v>60</v>
      </c>
      <c r="E1492" s="57"/>
      <c r="F1492" s="52"/>
      <c r="G1492" s="52"/>
      <c r="H1492" s="58"/>
      <c r="I1492" s="57"/>
      <c r="J1492" s="52"/>
      <c r="K1492" s="52"/>
      <c r="L1492" s="58"/>
      <c r="M1492" s="57"/>
      <c r="N1492" s="52"/>
      <c r="O1492" s="52"/>
      <c r="P1492" s="58"/>
      <c r="Q1492" s="57"/>
      <c r="R1492" s="52"/>
      <c r="S1492" s="52"/>
      <c r="T1492" s="52"/>
      <c r="U1492" s="58"/>
      <c r="V1492" s="57"/>
      <c r="W1492" s="52"/>
      <c r="X1492" s="52"/>
      <c r="Y1492" s="58"/>
      <c r="Z1492" s="57"/>
      <c r="AA1492" s="52"/>
      <c r="AB1492" s="52"/>
      <c r="AC1492" s="58"/>
      <c r="AD1492" s="57"/>
      <c r="AE1492" s="52"/>
      <c r="AF1492" s="52"/>
      <c r="AG1492" s="58"/>
      <c r="AH1492" s="57"/>
      <c r="AI1492" s="52"/>
      <c r="AJ1492" s="52"/>
      <c r="AK1492" s="58"/>
      <c r="AL1492" s="57"/>
      <c r="AM1492" s="52"/>
      <c r="AN1492" s="52"/>
      <c r="AO1492" s="58"/>
      <c r="AP1492" s="57"/>
      <c r="AQ1492" s="52"/>
      <c r="AR1492" s="52"/>
      <c r="AS1492" s="58"/>
      <c r="AT1492" s="57"/>
      <c r="AU1492" s="52"/>
      <c r="AV1492" s="52"/>
      <c r="AW1492" s="58"/>
      <c r="AX1492" s="33">
        <f t="shared" si="1493"/>
        <v>0</v>
      </c>
      <c r="AY1492" s="31">
        <f t="shared" si="1494"/>
        <v>0</v>
      </c>
      <c r="AZ1492" s="30">
        <f t="shared" si="1495"/>
        <v>0</v>
      </c>
      <c r="BA1492" s="34"/>
      <c r="BB1492" s="34"/>
      <c r="BC1492" s="34"/>
      <c r="BD1492" s="76"/>
      <c r="BE1492" s="34"/>
      <c r="BF1492" s="34"/>
      <c r="BG1492" s="34"/>
      <c r="BH1492" s="34"/>
    </row>
    <row r="1493" spans="1:60" s="17" customFormat="1" ht="19.5" customHeight="1" x14ac:dyDescent="0.35">
      <c r="A1493" s="41">
        <f t="shared" ref="A1493:B1493" si="1498">A1492</f>
        <v>45447</v>
      </c>
      <c r="B1493" s="37" t="str">
        <f t="shared" si="1498"/>
        <v>Yaka Basma 1 Et.(Beden)</v>
      </c>
      <c r="C1493" s="65">
        <f t="shared" si="1491"/>
        <v>0</v>
      </c>
      <c r="D1493" s="67">
        <f t="shared" si="1492"/>
        <v>60</v>
      </c>
      <c r="E1493" s="57"/>
      <c r="F1493" s="52"/>
      <c r="G1493" s="52"/>
      <c r="H1493" s="58"/>
      <c r="I1493" s="57"/>
      <c r="J1493" s="52"/>
      <c r="K1493" s="52"/>
      <c r="L1493" s="58"/>
      <c r="M1493" s="57"/>
      <c r="N1493" s="52"/>
      <c r="O1493" s="52"/>
      <c r="P1493" s="58"/>
      <c r="Q1493" s="57"/>
      <c r="R1493" s="52"/>
      <c r="S1493" s="52"/>
      <c r="T1493" s="52"/>
      <c r="U1493" s="58"/>
      <c r="V1493" s="57"/>
      <c r="W1493" s="52"/>
      <c r="X1493" s="52"/>
      <c r="Y1493" s="58"/>
      <c r="Z1493" s="57"/>
      <c r="AA1493" s="52"/>
      <c r="AB1493" s="52"/>
      <c r="AC1493" s="58"/>
      <c r="AD1493" s="57"/>
      <c r="AE1493" s="52"/>
      <c r="AF1493" s="52"/>
      <c r="AG1493" s="58"/>
      <c r="AH1493" s="57"/>
      <c r="AI1493" s="52"/>
      <c r="AJ1493" s="52"/>
      <c r="AK1493" s="58"/>
      <c r="AL1493" s="57"/>
      <c r="AM1493" s="52"/>
      <c r="AN1493" s="52"/>
      <c r="AO1493" s="58"/>
      <c r="AP1493" s="57"/>
      <c r="AQ1493" s="52"/>
      <c r="AR1493" s="52"/>
      <c r="AS1493" s="58"/>
      <c r="AT1493" s="57"/>
      <c r="AU1493" s="52"/>
      <c r="AV1493" s="52"/>
      <c r="AW1493" s="58"/>
      <c r="AX1493" s="33">
        <f t="shared" si="1493"/>
        <v>0</v>
      </c>
      <c r="AY1493" s="31">
        <f t="shared" si="1494"/>
        <v>0</v>
      </c>
      <c r="AZ1493" s="30">
        <f t="shared" si="1495"/>
        <v>0</v>
      </c>
      <c r="BA1493" s="34"/>
      <c r="BB1493" s="34"/>
      <c r="BC1493" s="34"/>
      <c r="BD1493" s="76"/>
      <c r="BE1493" s="34"/>
      <c r="BF1493" s="34"/>
      <c r="BG1493" s="34"/>
      <c r="BH1493" s="34"/>
    </row>
    <row r="1494" spans="1:60" s="17" customFormat="1" ht="19.5" customHeight="1" thickBot="1" x14ac:dyDescent="0.4">
      <c r="A1494" s="41">
        <f t="shared" ref="A1494:B1495" si="1499">A1493</f>
        <v>45447</v>
      </c>
      <c r="B1494" s="37" t="str">
        <f t="shared" si="1499"/>
        <v>Yaka Basma 1 Et.(Beden)</v>
      </c>
      <c r="C1494" s="65">
        <f t="shared" si="1491"/>
        <v>0</v>
      </c>
      <c r="D1494" s="67">
        <f t="shared" si="1492"/>
        <v>60</v>
      </c>
      <c r="E1494" s="59"/>
      <c r="F1494" s="60"/>
      <c r="G1494" s="61"/>
      <c r="H1494" s="62"/>
      <c r="I1494" s="59"/>
      <c r="J1494" s="60"/>
      <c r="K1494" s="61"/>
      <c r="L1494" s="62"/>
      <c r="M1494" s="59"/>
      <c r="N1494" s="60"/>
      <c r="O1494" s="61"/>
      <c r="P1494" s="62"/>
      <c r="Q1494" s="64"/>
      <c r="R1494" s="61"/>
      <c r="S1494" s="61"/>
      <c r="T1494" s="61"/>
      <c r="U1494" s="62"/>
      <c r="V1494" s="59"/>
      <c r="W1494" s="60"/>
      <c r="X1494" s="61"/>
      <c r="Y1494" s="62"/>
      <c r="Z1494" s="59"/>
      <c r="AA1494" s="60"/>
      <c r="AB1494" s="61"/>
      <c r="AC1494" s="62"/>
      <c r="AD1494" s="59"/>
      <c r="AE1494" s="60"/>
      <c r="AF1494" s="61"/>
      <c r="AG1494" s="62"/>
      <c r="AH1494" s="59"/>
      <c r="AI1494" s="60"/>
      <c r="AJ1494" s="61"/>
      <c r="AK1494" s="62"/>
      <c r="AL1494" s="59"/>
      <c r="AM1494" s="60"/>
      <c r="AN1494" s="61"/>
      <c r="AO1494" s="62"/>
      <c r="AP1494" s="59"/>
      <c r="AQ1494" s="60"/>
      <c r="AR1494" s="61"/>
      <c r="AS1494" s="62"/>
      <c r="AT1494" s="59"/>
      <c r="AU1494" s="60"/>
      <c r="AV1494" s="61"/>
      <c r="AW1494" s="62"/>
      <c r="AX1494" s="33">
        <f t="shared" si="1493"/>
        <v>0</v>
      </c>
      <c r="AY1494" s="31">
        <f t="shared" si="1494"/>
        <v>0</v>
      </c>
      <c r="AZ1494" s="30">
        <f t="shared" si="1495"/>
        <v>0</v>
      </c>
      <c r="BA1494" s="34"/>
      <c r="BB1494" s="34"/>
      <c r="BC1494" s="34"/>
      <c r="BD1494" s="76"/>
      <c r="BE1494" s="34"/>
      <c r="BF1494" s="34"/>
      <c r="BG1494" s="34"/>
      <c r="BH1494" s="34"/>
    </row>
    <row r="1495" spans="1:60" s="17" customFormat="1" ht="19.5" customHeight="1" thickBot="1" x14ac:dyDescent="0.45">
      <c r="A1495" s="41">
        <f t="shared" si="1499"/>
        <v>45447</v>
      </c>
      <c r="B1495" s="139" t="str">
        <f>B1488</f>
        <v>Yaka Basma 1 Et.(Beden)</v>
      </c>
      <c r="C1495" s="140"/>
      <c r="D1495" s="40">
        <f>C1414/8</f>
        <v>500</v>
      </c>
      <c r="E1495" s="147">
        <f>SUM(E1488:H1494)</f>
        <v>0</v>
      </c>
      <c r="F1495" s="148"/>
      <c r="G1495" s="148"/>
      <c r="H1495" s="149"/>
      <c r="I1495" s="147">
        <f>SUM(I1488:L1494)</f>
        <v>0</v>
      </c>
      <c r="J1495" s="148"/>
      <c r="K1495" s="148"/>
      <c r="L1495" s="149"/>
      <c r="M1495" s="147">
        <f>SUM(M1488:P1494)</f>
        <v>0</v>
      </c>
      <c r="N1495" s="148"/>
      <c r="O1495" s="148"/>
      <c r="P1495" s="149"/>
      <c r="Q1495" s="147">
        <f>SUM(Q1488:U1494)</f>
        <v>0</v>
      </c>
      <c r="R1495" s="148"/>
      <c r="S1495" s="148"/>
      <c r="T1495" s="148"/>
      <c r="U1495" s="149"/>
      <c r="V1495" s="147">
        <f>SUM(V1488:Y1494)</f>
        <v>0</v>
      </c>
      <c r="W1495" s="148"/>
      <c r="X1495" s="148"/>
      <c r="Y1495" s="149"/>
      <c r="Z1495" s="147">
        <f>SUM(Z1488:AC1494)</f>
        <v>0</v>
      </c>
      <c r="AA1495" s="148"/>
      <c r="AB1495" s="148"/>
      <c r="AC1495" s="149"/>
      <c r="AD1495" s="147">
        <f>SUM(AD1488:AG1494)</f>
        <v>0</v>
      </c>
      <c r="AE1495" s="148"/>
      <c r="AF1495" s="148"/>
      <c r="AG1495" s="149"/>
      <c r="AH1495" s="147">
        <f>SUM(AH1488:AK1494)</f>
        <v>0</v>
      </c>
      <c r="AI1495" s="148"/>
      <c r="AJ1495" s="148"/>
      <c r="AK1495" s="149"/>
      <c r="AL1495" s="147">
        <f>SUM(AL1488:AO1494)</f>
        <v>0</v>
      </c>
      <c r="AM1495" s="148"/>
      <c r="AN1495" s="148"/>
      <c r="AO1495" s="149"/>
      <c r="AP1495" s="147">
        <f>SUM(AP1488:AS1494)</f>
        <v>0</v>
      </c>
      <c r="AQ1495" s="148"/>
      <c r="AR1495" s="148"/>
      <c r="AS1495" s="149"/>
      <c r="AT1495" s="147">
        <f>SUM(AT1488:AW1494)</f>
        <v>0</v>
      </c>
      <c r="AU1495" s="148"/>
      <c r="AV1495" s="148"/>
      <c r="AW1495" s="149"/>
      <c r="AX1495" s="87">
        <f>SUM(AX1488:AX1494)</f>
        <v>0</v>
      </c>
      <c r="AY1495" s="88">
        <f>IFERROR(AVERAGEIF(E1495:AV1495,"&lt;&gt;0",(E1495:AV1495)),)</f>
        <v>0</v>
      </c>
      <c r="AZ1495" s="46">
        <f>IFERROR(AX1495/BB1489,0)</f>
        <v>0</v>
      </c>
      <c r="BA1495" s="34"/>
      <c r="BB1495" s="34"/>
      <c r="BC1495" s="34"/>
      <c r="BD1495" s="76"/>
      <c r="BE1495" s="34"/>
      <c r="BF1495" s="34"/>
      <c r="BG1495" s="34"/>
      <c r="BH1495" s="34"/>
    </row>
    <row r="1496" spans="1:60" s="17" customFormat="1" ht="19.5" customHeight="1" thickBot="1" x14ac:dyDescent="0.4">
      <c r="A1496" s="42">
        <f>A1487</f>
        <v>45447</v>
      </c>
      <c r="B1496" s="38" t="str">
        <f>B1497</f>
        <v>Yaka Çıma</v>
      </c>
      <c r="C1496" s="39" t="s">
        <v>180</v>
      </c>
      <c r="D1496" s="69" t="s">
        <v>181</v>
      </c>
      <c r="E1496" s="48">
        <v>0.34375</v>
      </c>
      <c r="F1496" s="49">
        <v>0.35416666666666669</v>
      </c>
      <c r="G1496" s="49">
        <v>0.36458333333333331</v>
      </c>
      <c r="H1496" s="50">
        <v>0.375</v>
      </c>
      <c r="I1496" s="48">
        <v>0.38541666666666702</v>
      </c>
      <c r="J1496" s="49">
        <v>0.39583333333333298</v>
      </c>
      <c r="K1496" s="49">
        <v>0.40625</v>
      </c>
      <c r="L1496" s="50">
        <v>0.41666666666666702</v>
      </c>
      <c r="M1496" s="48">
        <v>0.4375</v>
      </c>
      <c r="N1496" s="49">
        <v>0.44791666666666702</v>
      </c>
      <c r="O1496" s="49">
        <v>0.45833333333333398</v>
      </c>
      <c r="P1496" s="50">
        <v>0.46875</v>
      </c>
      <c r="Q1496" s="48">
        <v>0.47916666666666702</v>
      </c>
      <c r="R1496" s="49">
        <v>0.48958333333333398</v>
      </c>
      <c r="S1496" s="49">
        <v>0.5</v>
      </c>
      <c r="T1496" s="50">
        <v>0.51041666666666696</v>
      </c>
      <c r="U1496" s="51">
        <v>0.52083333333333204</v>
      </c>
      <c r="V1496" s="48">
        <v>0.5625</v>
      </c>
      <c r="W1496" s="49">
        <v>0.57291666666666663</v>
      </c>
      <c r="X1496" s="49">
        <v>0.58333333333333304</v>
      </c>
      <c r="Y1496" s="50">
        <v>0.59375</v>
      </c>
      <c r="Z1496" s="48">
        <v>0.60416666666666696</v>
      </c>
      <c r="AA1496" s="49">
        <v>0.61458333333333304</v>
      </c>
      <c r="AB1496" s="49">
        <v>0.625</v>
      </c>
      <c r="AC1496" s="50">
        <v>0.63541666666666596</v>
      </c>
      <c r="AD1496" s="48">
        <v>0.65625</v>
      </c>
      <c r="AE1496" s="49">
        <v>0.66666666666666663</v>
      </c>
      <c r="AF1496" s="49">
        <v>0.67708333333333304</v>
      </c>
      <c r="AG1496" s="50">
        <v>0.6875</v>
      </c>
      <c r="AH1496" s="48">
        <v>0.69791666666666696</v>
      </c>
      <c r="AI1496" s="49">
        <v>0.70833333333333304</v>
      </c>
      <c r="AJ1496" s="49">
        <v>0.71875</v>
      </c>
      <c r="AK1496" s="50">
        <v>0.72916666666666696</v>
      </c>
      <c r="AL1496" s="48">
        <v>0.73958333333333404</v>
      </c>
      <c r="AM1496" s="49">
        <v>0.750000000000001</v>
      </c>
      <c r="AN1496" s="49">
        <v>0.76041666666666796</v>
      </c>
      <c r="AO1496" s="50">
        <v>0.77083333333333504</v>
      </c>
      <c r="AP1496" s="48">
        <v>0.781250000000002</v>
      </c>
      <c r="AQ1496" s="49">
        <v>0.79166666666666896</v>
      </c>
      <c r="AR1496" s="49">
        <v>0.80208333333333603</v>
      </c>
      <c r="AS1496" s="50">
        <v>0.812500000000003</v>
      </c>
      <c r="AT1496" s="48">
        <v>0.82291666666666996</v>
      </c>
      <c r="AU1496" s="49">
        <v>0.83333333333333703</v>
      </c>
      <c r="AV1496" s="49">
        <v>0.843750000000004</v>
      </c>
      <c r="AW1496" s="50">
        <v>0.85416666666666663</v>
      </c>
      <c r="AX1496" s="68" t="s">
        <v>260</v>
      </c>
      <c r="AY1496" s="28" t="s">
        <v>261</v>
      </c>
      <c r="AZ1496" s="29" t="s">
        <v>262</v>
      </c>
      <c r="BA1496" s="136" t="str">
        <f>B1497</f>
        <v>Yaka Çıma</v>
      </c>
      <c r="BB1496" s="137"/>
      <c r="BC1496" s="137"/>
      <c r="BD1496" s="137"/>
      <c r="BE1496" s="137"/>
      <c r="BF1496" s="137"/>
      <c r="BG1496" s="137"/>
      <c r="BH1496" s="138"/>
    </row>
    <row r="1497" spans="1:60" s="17" customFormat="1" ht="19.5" customHeight="1" thickBot="1" x14ac:dyDescent="0.4">
      <c r="A1497" s="41">
        <f t="shared" ref="A1497" si="1500">A1496</f>
        <v>45447</v>
      </c>
      <c r="B1497" s="37" t="str">
        <f>B1321</f>
        <v>Yaka Çıma</v>
      </c>
      <c r="C1497" s="65" t="str">
        <f>C1321</f>
        <v>KADER ÖNLÜ</v>
      </c>
      <c r="D1497" s="70">
        <f>D1321</f>
        <v>120</v>
      </c>
      <c r="E1497" s="63"/>
      <c r="F1497" s="55"/>
      <c r="G1497" s="55"/>
      <c r="H1497" s="56"/>
      <c r="I1497" s="63"/>
      <c r="J1497" s="55"/>
      <c r="K1497" s="55"/>
      <c r="L1497" s="56"/>
      <c r="M1497" s="63"/>
      <c r="N1497" s="55"/>
      <c r="O1497" s="55"/>
      <c r="P1497" s="56"/>
      <c r="Q1497" s="63"/>
      <c r="R1497" s="55"/>
      <c r="S1497" s="55"/>
      <c r="T1497" s="55"/>
      <c r="U1497" s="56"/>
      <c r="V1497" s="63"/>
      <c r="W1497" s="55"/>
      <c r="X1497" s="55"/>
      <c r="Y1497" s="56"/>
      <c r="Z1497" s="63"/>
      <c r="AA1497" s="55"/>
      <c r="AB1497" s="55"/>
      <c r="AC1497" s="56"/>
      <c r="AD1497" s="63"/>
      <c r="AE1497" s="55"/>
      <c r="AF1497" s="55"/>
      <c r="AG1497" s="56"/>
      <c r="AH1497" s="63"/>
      <c r="AI1497" s="55"/>
      <c r="AJ1497" s="55"/>
      <c r="AK1497" s="56"/>
      <c r="AL1497" s="63"/>
      <c r="AM1497" s="55"/>
      <c r="AN1497" s="55"/>
      <c r="AO1497" s="56"/>
      <c r="AP1497" s="63"/>
      <c r="AQ1497" s="55"/>
      <c r="AR1497" s="55"/>
      <c r="AS1497" s="56"/>
      <c r="AT1497" s="53"/>
      <c r="AU1497" s="54"/>
      <c r="AV1497" s="55"/>
      <c r="AW1497" s="56"/>
      <c r="AX1497" s="33">
        <f>SUM(E1497:AW1497)</f>
        <v>0</v>
      </c>
      <c r="AY1497" s="31">
        <f>IFERROR(AVERAGEIF(E1497:AW1497,"&lt;&gt;0",(E1497:AW1497)),)</f>
        <v>0</v>
      </c>
      <c r="AZ1497" s="30">
        <f>IFERROR(AY1497/D1497,0)</f>
        <v>0</v>
      </c>
      <c r="BA1497" s="103" t="s">
        <v>182</v>
      </c>
      <c r="BB1497" s="100" t="s">
        <v>183</v>
      </c>
      <c r="BC1497" s="100" t="s">
        <v>184</v>
      </c>
      <c r="BD1497" s="101" t="s">
        <v>185</v>
      </c>
      <c r="BE1497" s="100" t="s">
        <v>186</v>
      </c>
      <c r="BF1497" s="102" t="s">
        <v>187</v>
      </c>
      <c r="BG1497" s="100" t="s">
        <v>188</v>
      </c>
      <c r="BH1497" s="102" t="s">
        <v>189</v>
      </c>
    </row>
    <row r="1498" spans="1:60" s="17" customFormat="1" ht="19.5" customHeight="1" thickBot="1" x14ac:dyDescent="0.4">
      <c r="A1498" s="41">
        <f t="shared" ref="A1498:B1498" si="1501">A1497</f>
        <v>45447</v>
      </c>
      <c r="B1498" s="37" t="str">
        <f t="shared" si="1501"/>
        <v>Yaka Çıma</v>
      </c>
      <c r="C1498" s="65" t="str">
        <f t="shared" ref="C1498:C1503" si="1502">C1322</f>
        <v>FADİME SAATÇİ</v>
      </c>
      <c r="D1498" s="67">
        <f t="shared" ref="D1498:D1503" si="1503">D1497</f>
        <v>120</v>
      </c>
      <c r="E1498" s="57"/>
      <c r="F1498" s="52"/>
      <c r="G1498" s="52"/>
      <c r="H1498" s="58"/>
      <c r="I1498" s="57"/>
      <c r="J1498" s="52"/>
      <c r="K1498" s="52"/>
      <c r="L1498" s="58"/>
      <c r="M1498" s="57"/>
      <c r="N1498" s="52"/>
      <c r="O1498" s="52"/>
      <c r="P1498" s="58"/>
      <c r="Q1498" s="57"/>
      <c r="R1498" s="52"/>
      <c r="S1498" s="52"/>
      <c r="T1498" s="52"/>
      <c r="U1498" s="58"/>
      <c r="V1498" s="57"/>
      <c r="W1498" s="52"/>
      <c r="X1498" s="52"/>
      <c r="Y1498" s="58"/>
      <c r="Z1498" s="57"/>
      <c r="AA1498" s="52"/>
      <c r="AB1498" s="52"/>
      <c r="AC1498" s="58"/>
      <c r="AD1498" s="57"/>
      <c r="AE1498" s="52"/>
      <c r="AF1498" s="52"/>
      <c r="AG1498" s="58"/>
      <c r="AH1498" s="57"/>
      <c r="AI1498" s="52"/>
      <c r="AJ1498" s="52"/>
      <c r="AK1498" s="58"/>
      <c r="AL1498" s="57"/>
      <c r="AM1498" s="52"/>
      <c r="AN1498" s="52"/>
      <c r="AO1498" s="58"/>
      <c r="AP1498" s="57"/>
      <c r="AQ1498" s="52"/>
      <c r="AR1498" s="52"/>
      <c r="AS1498" s="58"/>
      <c r="AT1498" s="57"/>
      <c r="AU1498" s="52"/>
      <c r="AV1498" s="52"/>
      <c r="AW1498" s="58"/>
      <c r="AX1498" s="33">
        <f t="shared" ref="AX1498:AX1503" si="1504">SUM(E1498:AW1498)</f>
        <v>0</v>
      </c>
      <c r="AY1498" s="31">
        <f t="shared" ref="AY1498:AY1503" si="1505">IFERROR(AVERAGEIF(E1498:AW1498,"&lt;&gt;0",(E1498:AW1498)),)</f>
        <v>0</v>
      </c>
      <c r="AZ1498" s="30">
        <f t="shared" ref="AZ1498:AZ1503" si="1506">IFERROR(AY1498/D1498,0)</f>
        <v>0</v>
      </c>
      <c r="BA1498" s="94">
        <f>AX1504+BA1322</f>
        <v>17551</v>
      </c>
      <c r="BB1498" s="95">
        <f>(D1504*8)</f>
        <v>4000</v>
      </c>
      <c r="BC1498" s="96">
        <f>C1413-BA1498</f>
        <v>24760</v>
      </c>
      <c r="BD1498" s="96">
        <f>BA1489-BA1498</f>
        <v>502</v>
      </c>
      <c r="BE1498" s="97">
        <f>IFERROR(BC1498/E1504,0)</f>
        <v>0</v>
      </c>
      <c r="BF1498" s="98">
        <f>IFERROR(BE1498/9,0)</f>
        <v>0</v>
      </c>
      <c r="BG1498" s="97">
        <f>IFERROR(BC1498/AY1504,0)</f>
        <v>0</v>
      </c>
      <c r="BH1498" s="97">
        <f>IFERROR(BG1498/9,0)</f>
        <v>0</v>
      </c>
    </row>
    <row r="1499" spans="1:60" s="17" customFormat="1" ht="19.5" customHeight="1" x14ac:dyDescent="0.35">
      <c r="A1499" s="41">
        <f t="shared" ref="A1499:B1499" si="1507">A1498</f>
        <v>45447</v>
      </c>
      <c r="B1499" s="37" t="str">
        <f t="shared" si="1507"/>
        <v>Yaka Çıma</v>
      </c>
      <c r="C1499" s="65">
        <f t="shared" si="1502"/>
        <v>0</v>
      </c>
      <c r="D1499" s="67">
        <f t="shared" si="1503"/>
        <v>120</v>
      </c>
      <c r="E1499" s="57"/>
      <c r="F1499" s="52"/>
      <c r="G1499" s="52"/>
      <c r="H1499" s="58"/>
      <c r="I1499" s="57"/>
      <c r="J1499" s="52"/>
      <c r="K1499" s="52"/>
      <c r="L1499" s="58"/>
      <c r="M1499" s="57"/>
      <c r="N1499" s="52"/>
      <c r="O1499" s="52"/>
      <c r="P1499" s="58"/>
      <c r="Q1499" s="57"/>
      <c r="R1499" s="52"/>
      <c r="S1499" s="52"/>
      <c r="T1499" s="52"/>
      <c r="U1499" s="58"/>
      <c r="V1499" s="57"/>
      <c r="W1499" s="52"/>
      <c r="X1499" s="52"/>
      <c r="Y1499" s="58"/>
      <c r="Z1499" s="57"/>
      <c r="AA1499" s="52"/>
      <c r="AB1499" s="52"/>
      <c r="AC1499" s="58"/>
      <c r="AD1499" s="57"/>
      <c r="AE1499" s="52"/>
      <c r="AF1499" s="52"/>
      <c r="AG1499" s="58"/>
      <c r="AH1499" s="57"/>
      <c r="AI1499" s="52"/>
      <c r="AJ1499" s="52"/>
      <c r="AK1499" s="58"/>
      <c r="AL1499" s="57"/>
      <c r="AM1499" s="52"/>
      <c r="AN1499" s="52"/>
      <c r="AO1499" s="58"/>
      <c r="AP1499" s="57"/>
      <c r="AQ1499" s="52"/>
      <c r="AR1499" s="52"/>
      <c r="AS1499" s="58"/>
      <c r="AT1499" s="57"/>
      <c r="AU1499" s="52"/>
      <c r="AV1499" s="52"/>
      <c r="AW1499" s="58"/>
      <c r="AX1499" s="33">
        <f t="shared" si="1504"/>
        <v>0</v>
      </c>
      <c r="AY1499" s="31">
        <f t="shared" si="1505"/>
        <v>0</v>
      </c>
      <c r="AZ1499" s="30">
        <f t="shared" si="1506"/>
        <v>0</v>
      </c>
      <c r="BA1499" s="34"/>
      <c r="BB1499" s="34"/>
      <c r="BC1499" s="34"/>
      <c r="BD1499" s="76"/>
      <c r="BE1499" s="34"/>
      <c r="BF1499" s="34"/>
      <c r="BG1499" s="34"/>
      <c r="BH1499" s="34"/>
    </row>
    <row r="1500" spans="1:60" s="17" customFormat="1" ht="19.5" customHeight="1" x14ac:dyDescent="0.35">
      <c r="A1500" s="41">
        <f t="shared" ref="A1500:B1501" si="1508">A1499</f>
        <v>45447</v>
      </c>
      <c r="B1500" s="37" t="str">
        <f t="shared" si="1508"/>
        <v>Yaka Çıma</v>
      </c>
      <c r="C1500" s="65">
        <f t="shared" si="1502"/>
        <v>0</v>
      </c>
      <c r="D1500" s="67">
        <f t="shared" si="1503"/>
        <v>120</v>
      </c>
      <c r="E1500" s="57"/>
      <c r="F1500" s="52"/>
      <c r="G1500" s="52"/>
      <c r="H1500" s="58"/>
      <c r="I1500" s="57"/>
      <c r="J1500" s="52"/>
      <c r="K1500" s="52"/>
      <c r="L1500" s="58"/>
      <c r="M1500" s="57"/>
      <c r="N1500" s="52"/>
      <c r="O1500" s="52"/>
      <c r="P1500" s="58"/>
      <c r="Q1500" s="57"/>
      <c r="R1500" s="52"/>
      <c r="S1500" s="52"/>
      <c r="T1500" s="52"/>
      <c r="U1500" s="58"/>
      <c r="V1500" s="57"/>
      <c r="W1500" s="52"/>
      <c r="X1500" s="52"/>
      <c r="Y1500" s="58"/>
      <c r="Z1500" s="57"/>
      <c r="AA1500" s="52"/>
      <c r="AB1500" s="52"/>
      <c r="AC1500" s="58"/>
      <c r="AD1500" s="57"/>
      <c r="AE1500" s="52"/>
      <c r="AF1500" s="52"/>
      <c r="AG1500" s="58"/>
      <c r="AH1500" s="57"/>
      <c r="AI1500" s="52"/>
      <c r="AJ1500" s="52"/>
      <c r="AK1500" s="58"/>
      <c r="AL1500" s="57"/>
      <c r="AM1500" s="52"/>
      <c r="AN1500" s="52"/>
      <c r="AO1500" s="58"/>
      <c r="AP1500" s="57"/>
      <c r="AQ1500" s="52"/>
      <c r="AR1500" s="52"/>
      <c r="AS1500" s="58"/>
      <c r="AT1500" s="57"/>
      <c r="AU1500" s="52"/>
      <c r="AV1500" s="52"/>
      <c r="AW1500" s="58"/>
      <c r="AX1500" s="33">
        <f t="shared" si="1504"/>
        <v>0</v>
      </c>
      <c r="AY1500" s="31">
        <f t="shared" si="1505"/>
        <v>0</v>
      </c>
      <c r="AZ1500" s="30">
        <f t="shared" si="1506"/>
        <v>0</v>
      </c>
      <c r="BA1500" s="34"/>
      <c r="BB1500" s="34"/>
      <c r="BC1500" s="34"/>
      <c r="BD1500" s="76"/>
      <c r="BE1500" s="34"/>
      <c r="BF1500" s="34"/>
      <c r="BG1500" s="34"/>
      <c r="BH1500" s="34"/>
    </row>
    <row r="1501" spans="1:60" s="17" customFormat="1" ht="19.5" customHeight="1" x14ac:dyDescent="0.35">
      <c r="A1501" s="41">
        <f>A1498</f>
        <v>45447</v>
      </c>
      <c r="B1501" s="37" t="str">
        <f t="shared" si="1508"/>
        <v>Yaka Çıma</v>
      </c>
      <c r="C1501" s="65">
        <f t="shared" si="1502"/>
        <v>0</v>
      </c>
      <c r="D1501" s="67">
        <f t="shared" si="1503"/>
        <v>120</v>
      </c>
      <c r="E1501" s="57"/>
      <c r="F1501" s="52"/>
      <c r="G1501" s="52"/>
      <c r="H1501" s="58"/>
      <c r="I1501" s="57"/>
      <c r="J1501" s="52"/>
      <c r="K1501" s="52"/>
      <c r="L1501" s="58"/>
      <c r="M1501" s="57"/>
      <c r="N1501" s="52"/>
      <c r="O1501" s="52"/>
      <c r="P1501" s="58"/>
      <c r="Q1501" s="57"/>
      <c r="R1501" s="52"/>
      <c r="S1501" s="52"/>
      <c r="T1501" s="52"/>
      <c r="U1501" s="58"/>
      <c r="V1501" s="57"/>
      <c r="W1501" s="52"/>
      <c r="X1501" s="52"/>
      <c r="Y1501" s="58"/>
      <c r="Z1501" s="57"/>
      <c r="AA1501" s="52"/>
      <c r="AB1501" s="52"/>
      <c r="AC1501" s="58"/>
      <c r="AD1501" s="57"/>
      <c r="AE1501" s="52"/>
      <c r="AF1501" s="52"/>
      <c r="AG1501" s="58"/>
      <c r="AH1501" s="57"/>
      <c r="AI1501" s="52"/>
      <c r="AJ1501" s="52"/>
      <c r="AK1501" s="58"/>
      <c r="AL1501" s="57"/>
      <c r="AM1501" s="52"/>
      <c r="AN1501" s="52"/>
      <c r="AO1501" s="58"/>
      <c r="AP1501" s="57"/>
      <c r="AQ1501" s="52"/>
      <c r="AR1501" s="52"/>
      <c r="AS1501" s="58"/>
      <c r="AT1501" s="57"/>
      <c r="AU1501" s="52"/>
      <c r="AV1501" s="52"/>
      <c r="AW1501" s="58"/>
      <c r="AX1501" s="33">
        <f t="shared" si="1504"/>
        <v>0</v>
      </c>
      <c r="AY1501" s="31">
        <f t="shared" si="1505"/>
        <v>0</v>
      </c>
      <c r="AZ1501" s="30">
        <f t="shared" si="1506"/>
        <v>0</v>
      </c>
      <c r="BA1501" s="34"/>
      <c r="BB1501" s="34"/>
      <c r="BC1501" s="34"/>
      <c r="BD1501" s="76"/>
      <c r="BE1501" s="34"/>
      <c r="BF1501" s="34"/>
      <c r="BG1501" s="34"/>
      <c r="BH1501" s="34"/>
    </row>
    <row r="1502" spans="1:60" s="17" customFormat="1" ht="19.5" customHeight="1" x14ac:dyDescent="0.35">
      <c r="A1502" s="41">
        <f t="shared" ref="A1502:B1502" si="1509">A1501</f>
        <v>45447</v>
      </c>
      <c r="B1502" s="37" t="str">
        <f t="shared" si="1509"/>
        <v>Yaka Çıma</v>
      </c>
      <c r="C1502" s="65">
        <f t="shared" si="1502"/>
        <v>0</v>
      </c>
      <c r="D1502" s="67">
        <f t="shared" si="1503"/>
        <v>120</v>
      </c>
      <c r="E1502" s="57"/>
      <c r="F1502" s="52"/>
      <c r="G1502" s="52"/>
      <c r="H1502" s="58"/>
      <c r="I1502" s="57"/>
      <c r="J1502" s="52"/>
      <c r="K1502" s="52"/>
      <c r="L1502" s="58"/>
      <c r="M1502" s="57"/>
      <c r="N1502" s="52"/>
      <c r="O1502" s="52"/>
      <c r="P1502" s="58"/>
      <c r="Q1502" s="57"/>
      <c r="R1502" s="52"/>
      <c r="S1502" s="52"/>
      <c r="T1502" s="52"/>
      <c r="U1502" s="58"/>
      <c r="V1502" s="57"/>
      <c r="W1502" s="52"/>
      <c r="X1502" s="52"/>
      <c r="Y1502" s="58"/>
      <c r="Z1502" s="57"/>
      <c r="AA1502" s="52"/>
      <c r="AB1502" s="52"/>
      <c r="AC1502" s="58"/>
      <c r="AD1502" s="57"/>
      <c r="AE1502" s="52"/>
      <c r="AF1502" s="52"/>
      <c r="AG1502" s="58"/>
      <c r="AH1502" s="57"/>
      <c r="AI1502" s="52"/>
      <c r="AJ1502" s="52"/>
      <c r="AK1502" s="58"/>
      <c r="AL1502" s="57"/>
      <c r="AM1502" s="52"/>
      <c r="AN1502" s="52"/>
      <c r="AO1502" s="58"/>
      <c r="AP1502" s="57"/>
      <c r="AQ1502" s="52"/>
      <c r="AR1502" s="52"/>
      <c r="AS1502" s="58"/>
      <c r="AT1502" s="57"/>
      <c r="AU1502" s="52"/>
      <c r="AV1502" s="52"/>
      <c r="AW1502" s="58"/>
      <c r="AX1502" s="33">
        <f t="shared" si="1504"/>
        <v>0</v>
      </c>
      <c r="AY1502" s="31">
        <f t="shared" si="1505"/>
        <v>0</v>
      </c>
      <c r="AZ1502" s="30">
        <f t="shared" si="1506"/>
        <v>0</v>
      </c>
      <c r="BA1502" s="34"/>
      <c r="BB1502" s="34"/>
      <c r="BC1502" s="34"/>
      <c r="BD1502" s="76"/>
      <c r="BE1502" s="34"/>
      <c r="BF1502" s="34"/>
      <c r="BG1502" s="34"/>
      <c r="BH1502" s="34"/>
    </row>
    <row r="1503" spans="1:60" s="17" customFormat="1" ht="19.5" customHeight="1" thickBot="1" x14ac:dyDescent="0.4">
      <c r="A1503" s="41">
        <f t="shared" ref="A1503:B1504" si="1510">A1502</f>
        <v>45447</v>
      </c>
      <c r="B1503" s="37" t="str">
        <f t="shared" si="1510"/>
        <v>Yaka Çıma</v>
      </c>
      <c r="C1503" s="65">
        <f t="shared" si="1502"/>
        <v>0</v>
      </c>
      <c r="D1503" s="67">
        <f t="shared" si="1503"/>
        <v>120</v>
      </c>
      <c r="E1503" s="59"/>
      <c r="F1503" s="60"/>
      <c r="G1503" s="61"/>
      <c r="H1503" s="62"/>
      <c r="I1503" s="59"/>
      <c r="J1503" s="60"/>
      <c r="K1503" s="61"/>
      <c r="L1503" s="62"/>
      <c r="M1503" s="59"/>
      <c r="N1503" s="60"/>
      <c r="O1503" s="61"/>
      <c r="P1503" s="62"/>
      <c r="Q1503" s="64"/>
      <c r="R1503" s="61"/>
      <c r="S1503" s="61"/>
      <c r="T1503" s="61"/>
      <c r="U1503" s="62"/>
      <c r="V1503" s="59"/>
      <c r="W1503" s="60"/>
      <c r="X1503" s="61"/>
      <c r="Y1503" s="62"/>
      <c r="Z1503" s="59"/>
      <c r="AA1503" s="60"/>
      <c r="AB1503" s="61"/>
      <c r="AC1503" s="62"/>
      <c r="AD1503" s="59"/>
      <c r="AE1503" s="60"/>
      <c r="AF1503" s="61"/>
      <c r="AG1503" s="62"/>
      <c r="AH1503" s="59"/>
      <c r="AI1503" s="60"/>
      <c r="AJ1503" s="61"/>
      <c r="AK1503" s="62"/>
      <c r="AL1503" s="59"/>
      <c r="AM1503" s="60"/>
      <c r="AN1503" s="61"/>
      <c r="AO1503" s="62"/>
      <c r="AP1503" s="59"/>
      <c r="AQ1503" s="60"/>
      <c r="AR1503" s="61"/>
      <c r="AS1503" s="62"/>
      <c r="AT1503" s="59"/>
      <c r="AU1503" s="60"/>
      <c r="AV1503" s="61"/>
      <c r="AW1503" s="62"/>
      <c r="AX1503" s="33">
        <f t="shared" si="1504"/>
        <v>0</v>
      </c>
      <c r="AY1503" s="31">
        <f t="shared" si="1505"/>
        <v>0</v>
      </c>
      <c r="AZ1503" s="30">
        <f t="shared" si="1506"/>
        <v>0</v>
      </c>
      <c r="BA1503" s="34"/>
      <c r="BB1503" s="34"/>
      <c r="BC1503" s="34"/>
      <c r="BD1503" s="76"/>
      <c r="BE1503" s="34"/>
      <c r="BF1503" s="34"/>
      <c r="BG1503" s="34"/>
      <c r="BH1503" s="34"/>
    </row>
    <row r="1504" spans="1:60" s="17" customFormat="1" ht="19.5" customHeight="1" thickBot="1" x14ac:dyDescent="0.45">
      <c r="A1504" s="41">
        <f t="shared" si="1510"/>
        <v>45447</v>
      </c>
      <c r="B1504" s="139" t="str">
        <f>B1497</f>
        <v>Yaka Çıma</v>
      </c>
      <c r="C1504" s="140"/>
      <c r="D1504" s="40">
        <f>C1414/8</f>
        <v>500</v>
      </c>
      <c r="E1504" s="147">
        <f>SUM(E1497:H1503)</f>
        <v>0</v>
      </c>
      <c r="F1504" s="148"/>
      <c r="G1504" s="148"/>
      <c r="H1504" s="149"/>
      <c r="I1504" s="147">
        <f>SUM(I1497:L1503)</f>
        <v>0</v>
      </c>
      <c r="J1504" s="148"/>
      <c r="K1504" s="148"/>
      <c r="L1504" s="149"/>
      <c r="M1504" s="147">
        <f>SUM(M1497:P1503)</f>
        <v>0</v>
      </c>
      <c r="N1504" s="148"/>
      <c r="O1504" s="148"/>
      <c r="P1504" s="149"/>
      <c r="Q1504" s="147">
        <f>SUM(Q1497:U1503)</f>
        <v>0</v>
      </c>
      <c r="R1504" s="148"/>
      <c r="S1504" s="148"/>
      <c r="T1504" s="148"/>
      <c r="U1504" s="149"/>
      <c r="V1504" s="147">
        <f>SUM(V1497:Y1503)</f>
        <v>0</v>
      </c>
      <c r="W1504" s="148"/>
      <c r="X1504" s="148"/>
      <c r="Y1504" s="149"/>
      <c r="Z1504" s="147">
        <f>SUM(Z1497:AC1503)</f>
        <v>0</v>
      </c>
      <c r="AA1504" s="148"/>
      <c r="AB1504" s="148"/>
      <c r="AC1504" s="149"/>
      <c r="AD1504" s="147">
        <f>SUM(AD1497:AG1503)</f>
        <v>0</v>
      </c>
      <c r="AE1504" s="148"/>
      <c r="AF1504" s="148"/>
      <c r="AG1504" s="149"/>
      <c r="AH1504" s="147">
        <f>SUM(AH1497:AK1503)</f>
        <v>0</v>
      </c>
      <c r="AI1504" s="148"/>
      <c r="AJ1504" s="148"/>
      <c r="AK1504" s="149"/>
      <c r="AL1504" s="147">
        <f>SUM(AL1497:AO1503)</f>
        <v>0</v>
      </c>
      <c r="AM1504" s="148"/>
      <c r="AN1504" s="148"/>
      <c r="AO1504" s="149"/>
      <c r="AP1504" s="147">
        <f>SUM(AP1497:AS1503)</f>
        <v>0</v>
      </c>
      <c r="AQ1504" s="148"/>
      <c r="AR1504" s="148"/>
      <c r="AS1504" s="149"/>
      <c r="AT1504" s="147">
        <f>SUM(AT1497:AW1503)</f>
        <v>0</v>
      </c>
      <c r="AU1504" s="148"/>
      <c r="AV1504" s="148"/>
      <c r="AW1504" s="149"/>
      <c r="AX1504" s="87">
        <f>SUM(AX1497:AX1503)</f>
        <v>0</v>
      </c>
      <c r="AY1504" s="88">
        <f>IFERROR(AVERAGEIF(E1504:AV1504,"&lt;&gt;0",(E1504:AV1504)),)</f>
        <v>0</v>
      </c>
      <c r="AZ1504" s="46">
        <f>IFERROR(AX1504/BB1498,0)</f>
        <v>0</v>
      </c>
      <c r="BA1504" s="34"/>
      <c r="BB1504" s="34"/>
      <c r="BC1504" s="34"/>
      <c r="BD1504" s="76"/>
      <c r="BE1504" s="34"/>
      <c r="BF1504" s="34"/>
      <c r="BG1504" s="34"/>
      <c r="BH1504" s="34"/>
    </row>
    <row r="1505" spans="1:60" s="17" customFormat="1" ht="19.5" customHeight="1" thickBot="1" x14ac:dyDescent="0.4">
      <c r="A1505" s="42">
        <f>A1487</f>
        <v>45447</v>
      </c>
      <c r="B1505" s="38" t="str">
        <f>B1506</f>
        <v>Kol Takma</v>
      </c>
      <c r="C1505" s="39" t="s">
        <v>180</v>
      </c>
      <c r="D1505" s="69" t="s">
        <v>181</v>
      </c>
      <c r="E1505" s="48">
        <v>0.34375</v>
      </c>
      <c r="F1505" s="49">
        <v>0.35416666666666669</v>
      </c>
      <c r="G1505" s="49">
        <v>0.36458333333333331</v>
      </c>
      <c r="H1505" s="50">
        <v>0.375</v>
      </c>
      <c r="I1505" s="48">
        <v>0.38541666666666702</v>
      </c>
      <c r="J1505" s="49">
        <v>0.39583333333333298</v>
      </c>
      <c r="K1505" s="49">
        <v>0.40625</v>
      </c>
      <c r="L1505" s="50">
        <v>0.41666666666666702</v>
      </c>
      <c r="M1505" s="48">
        <v>0.4375</v>
      </c>
      <c r="N1505" s="49">
        <v>0.44791666666666702</v>
      </c>
      <c r="O1505" s="49">
        <v>0.45833333333333398</v>
      </c>
      <c r="P1505" s="50">
        <v>0.46875</v>
      </c>
      <c r="Q1505" s="48">
        <v>0.47916666666666702</v>
      </c>
      <c r="R1505" s="49">
        <v>0.48958333333333398</v>
      </c>
      <c r="S1505" s="49">
        <v>0.5</v>
      </c>
      <c r="T1505" s="50">
        <v>0.51041666666666696</v>
      </c>
      <c r="U1505" s="51">
        <v>0.52083333333333204</v>
      </c>
      <c r="V1505" s="48">
        <v>0.5625</v>
      </c>
      <c r="W1505" s="49">
        <v>0.57291666666666663</v>
      </c>
      <c r="X1505" s="49">
        <v>0.58333333333333304</v>
      </c>
      <c r="Y1505" s="50">
        <v>0.59375</v>
      </c>
      <c r="Z1505" s="48">
        <v>0.60416666666666696</v>
      </c>
      <c r="AA1505" s="49">
        <v>0.61458333333333304</v>
      </c>
      <c r="AB1505" s="49">
        <v>0.625</v>
      </c>
      <c r="AC1505" s="50">
        <v>0.63541666666666596</v>
      </c>
      <c r="AD1505" s="48">
        <v>0.65625</v>
      </c>
      <c r="AE1505" s="49">
        <v>0.66666666666666663</v>
      </c>
      <c r="AF1505" s="49">
        <v>0.67708333333333304</v>
      </c>
      <c r="AG1505" s="50">
        <v>0.6875</v>
      </c>
      <c r="AH1505" s="48">
        <v>0.69791666666666696</v>
      </c>
      <c r="AI1505" s="49">
        <v>0.70833333333333304</v>
      </c>
      <c r="AJ1505" s="49">
        <v>0.71875</v>
      </c>
      <c r="AK1505" s="50">
        <v>0.72916666666666696</v>
      </c>
      <c r="AL1505" s="48">
        <v>0.73958333333333404</v>
      </c>
      <c r="AM1505" s="49">
        <v>0.750000000000001</v>
      </c>
      <c r="AN1505" s="49">
        <v>0.76041666666666796</v>
      </c>
      <c r="AO1505" s="50">
        <v>0.77083333333333504</v>
      </c>
      <c r="AP1505" s="48">
        <v>0.781250000000002</v>
      </c>
      <c r="AQ1505" s="49">
        <v>0.79166666666666896</v>
      </c>
      <c r="AR1505" s="49">
        <v>0.80208333333333603</v>
      </c>
      <c r="AS1505" s="50">
        <v>0.812500000000003</v>
      </c>
      <c r="AT1505" s="48">
        <v>0.82291666666666996</v>
      </c>
      <c r="AU1505" s="49">
        <v>0.83333333333333703</v>
      </c>
      <c r="AV1505" s="49">
        <v>0.843750000000004</v>
      </c>
      <c r="AW1505" s="50">
        <v>0.85416666666666663</v>
      </c>
      <c r="AX1505" s="68" t="s">
        <v>260</v>
      </c>
      <c r="AY1505" s="28" t="s">
        <v>261</v>
      </c>
      <c r="AZ1505" s="29" t="s">
        <v>262</v>
      </c>
      <c r="BA1505" s="136" t="str">
        <f>B1506</f>
        <v>Kol Takma</v>
      </c>
      <c r="BB1505" s="137"/>
      <c r="BC1505" s="137"/>
      <c r="BD1505" s="137"/>
      <c r="BE1505" s="137"/>
      <c r="BF1505" s="137"/>
      <c r="BG1505" s="137"/>
      <c r="BH1505" s="138"/>
    </row>
    <row r="1506" spans="1:60" s="17" customFormat="1" ht="19.5" customHeight="1" thickBot="1" x14ac:dyDescent="0.4">
      <c r="A1506" s="41">
        <f t="shared" ref="A1506" si="1511">A1505</f>
        <v>45447</v>
      </c>
      <c r="B1506" s="37" t="str">
        <f>B1330</f>
        <v>Kol Takma</v>
      </c>
      <c r="C1506" s="65" t="str">
        <f>C1330</f>
        <v>EBRU CANSU</v>
      </c>
      <c r="D1506" s="70">
        <f>D1330</f>
        <v>35</v>
      </c>
      <c r="E1506" s="63"/>
      <c r="F1506" s="55"/>
      <c r="G1506" s="55"/>
      <c r="H1506" s="56"/>
      <c r="I1506" s="63"/>
      <c r="J1506" s="55"/>
      <c r="K1506" s="55"/>
      <c r="L1506" s="56"/>
      <c r="M1506" s="63"/>
      <c r="N1506" s="55"/>
      <c r="O1506" s="55"/>
      <c r="P1506" s="56"/>
      <c r="Q1506" s="63"/>
      <c r="R1506" s="55"/>
      <c r="S1506" s="55"/>
      <c r="T1506" s="55"/>
      <c r="U1506" s="56"/>
      <c r="V1506" s="63"/>
      <c r="W1506" s="55"/>
      <c r="X1506" s="55"/>
      <c r="Y1506" s="56"/>
      <c r="Z1506" s="63"/>
      <c r="AA1506" s="55"/>
      <c r="AB1506" s="55"/>
      <c r="AC1506" s="56"/>
      <c r="AD1506" s="63"/>
      <c r="AE1506" s="55"/>
      <c r="AF1506" s="55"/>
      <c r="AG1506" s="56"/>
      <c r="AH1506" s="63"/>
      <c r="AI1506" s="55"/>
      <c r="AJ1506" s="55"/>
      <c r="AK1506" s="56"/>
      <c r="AL1506" s="63"/>
      <c r="AM1506" s="55"/>
      <c r="AN1506" s="55"/>
      <c r="AO1506" s="56"/>
      <c r="AP1506" s="63"/>
      <c r="AQ1506" s="55"/>
      <c r="AR1506" s="55"/>
      <c r="AS1506" s="56"/>
      <c r="AT1506" s="53"/>
      <c r="AU1506" s="54"/>
      <c r="AV1506" s="55"/>
      <c r="AW1506" s="56"/>
      <c r="AX1506" s="33">
        <f>SUM(E1506:AW1506)</f>
        <v>0</v>
      </c>
      <c r="AY1506" s="31">
        <f>IFERROR(AVERAGEIF(E1506:AW1506,"&lt;&gt;0",(E1506:AW1506)),)</f>
        <v>0</v>
      </c>
      <c r="AZ1506" s="30">
        <f>IFERROR(AY1506/D1506,0)</f>
        <v>0</v>
      </c>
      <c r="BA1506" s="103" t="s">
        <v>182</v>
      </c>
      <c r="BB1506" s="100" t="s">
        <v>183</v>
      </c>
      <c r="BC1506" s="100" t="s">
        <v>184</v>
      </c>
      <c r="BD1506" s="101" t="s">
        <v>185</v>
      </c>
      <c r="BE1506" s="100" t="s">
        <v>186</v>
      </c>
      <c r="BF1506" s="102" t="s">
        <v>187</v>
      </c>
      <c r="BG1506" s="100" t="s">
        <v>188</v>
      </c>
      <c r="BH1506" s="102" t="s">
        <v>189</v>
      </c>
    </row>
    <row r="1507" spans="1:60" s="17" customFormat="1" ht="19.5" customHeight="1" thickBot="1" x14ac:dyDescent="0.4">
      <c r="A1507" s="41">
        <f t="shared" ref="A1507:B1507" si="1512">A1506</f>
        <v>45447</v>
      </c>
      <c r="B1507" s="37" t="str">
        <f t="shared" si="1512"/>
        <v>Kol Takma</v>
      </c>
      <c r="C1507" s="65" t="str">
        <f t="shared" ref="C1507:C1512" si="1513">C1331</f>
        <v>GÜLER SAĞCAN</v>
      </c>
      <c r="D1507" s="67">
        <f t="shared" ref="D1507:D1512" si="1514">D1506</f>
        <v>35</v>
      </c>
      <c r="E1507" s="57"/>
      <c r="F1507" s="52"/>
      <c r="G1507" s="52"/>
      <c r="H1507" s="58"/>
      <c r="I1507" s="57"/>
      <c r="J1507" s="52"/>
      <c r="K1507" s="52"/>
      <c r="L1507" s="58"/>
      <c r="M1507" s="57"/>
      <c r="N1507" s="52"/>
      <c r="O1507" s="52"/>
      <c r="P1507" s="58"/>
      <c r="Q1507" s="57"/>
      <c r="R1507" s="52"/>
      <c r="S1507" s="52"/>
      <c r="T1507" s="52"/>
      <c r="U1507" s="58"/>
      <c r="V1507" s="57"/>
      <c r="W1507" s="52"/>
      <c r="X1507" s="52"/>
      <c r="Y1507" s="58"/>
      <c r="Z1507" s="57"/>
      <c r="AA1507" s="52"/>
      <c r="AB1507" s="52"/>
      <c r="AC1507" s="58"/>
      <c r="AD1507" s="57"/>
      <c r="AE1507" s="52"/>
      <c r="AF1507" s="52"/>
      <c r="AG1507" s="58"/>
      <c r="AH1507" s="57"/>
      <c r="AI1507" s="52"/>
      <c r="AJ1507" s="52"/>
      <c r="AK1507" s="58"/>
      <c r="AL1507" s="57"/>
      <c r="AM1507" s="52"/>
      <c r="AN1507" s="52"/>
      <c r="AO1507" s="58"/>
      <c r="AP1507" s="57"/>
      <c r="AQ1507" s="52"/>
      <c r="AR1507" s="52"/>
      <c r="AS1507" s="58"/>
      <c r="AT1507" s="57"/>
      <c r="AU1507" s="52"/>
      <c r="AV1507" s="52"/>
      <c r="AW1507" s="58"/>
      <c r="AX1507" s="33">
        <f t="shared" ref="AX1507:AX1512" si="1515">SUM(E1507:AW1507)</f>
        <v>0</v>
      </c>
      <c r="AY1507" s="31">
        <f t="shared" ref="AY1507:AY1512" si="1516">IFERROR(AVERAGEIF(E1507:AW1507,"&lt;&gt;0",(E1507:AW1507)),)</f>
        <v>0</v>
      </c>
      <c r="AZ1507" s="30">
        <f t="shared" ref="AZ1507:AZ1512" si="1517">IFERROR(AY1507/D1507,0)</f>
        <v>0</v>
      </c>
      <c r="BA1507" s="94">
        <f>AX1513+BA1331</f>
        <v>16475</v>
      </c>
      <c r="BB1507" s="95">
        <f>(D1513*8)</f>
        <v>4000</v>
      </c>
      <c r="BC1507" s="96">
        <f>C1413-BA1507</f>
        <v>25836</v>
      </c>
      <c r="BD1507" s="96">
        <f>BA1498-BA1507</f>
        <v>1076</v>
      </c>
      <c r="BE1507" s="97">
        <f>IFERROR(BC1507/E1513,0)</f>
        <v>0</v>
      </c>
      <c r="BF1507" s="98">
        <f>IFERROR(BE1507/9,0)</f>
        <v>0</v>
      </c>
      <c r="BG1507" s="97">
        <f>IFERROR(BC1507/AY1513,0)</f>
        <v>0</v>
      </c>
      <c r="BH1507" s="97">
        <f>IFERROR(BG1507/9,0)</f>
        <v>0</v>
      </c>
    </row>
    <row r="1508" spans="1:60" s="17" customFormat="1" ht="19.5" customHeight="1" x14ac:dyDescent="0.35">
      <c r="A1508" s="41">
        <f t="shared" ref="A1508:B1508" si="1518">A1507</f>
        <v>45447</v>
      </c>
      <c r="B1508" s="37" t="str">
        <f t="shared" si="1518"/>
        <v>Kol Takma</v>
      </c>
      <c r="C1508" s="65" t="str">
        <f t="shared" si="1513"/>
        <v>ÖZLEM KAHRAMAN</v>
      </c>
      <c r="D1508" s="67">
        <f t="shared" si="1514"/>
        <v>35</v>
      </c>
      <c r="E1508" s="57"/>
      <c r="F1508" s="52"/>
      <c r="G1508" s="52"/>
      <c r="H1508" s="58"/>
      <c r="I1508" s="57"/>
      <c r="J1508" s="52"/>
      <c r="K1508" s="52"/>
      <c r="L1508" s="58"/>
      <c r="M1508" s="57"/>
      <c r="N1508" s="52"/>
      <c r="O1508" s="52"/>
      <c r="P1508" s="58"/>
      <c r="Q1508" s="57"/>
      <c r="R1508" s="52"/>
      <c r="S1508" s="52"/>
      <c r="T1508" s="52"/>
      <c r="U1508" s="58"/>
      <c r="V1508" s="57"/>
      <c r="W1508" s="52"/>
      <c r="X1508" s="52"/>
      <c r="Y1508" s="58"/>
      <c r="Z1508" s="57"/>
      <c r="AA1508" s="52"/>
      <c r="AB1508" s="52"/>
      <c r="AC1508" s="58"/>
      <c r="AD1508" s="57"/>
      <c r="AE1508" s="52"/>
      <c r="AF1508" s="52"/>
      <c r="AG1508" s="58"/>
      <c r="AH1508" s="57"/>
      <c r="AI1508" s="52"/>
      <c r="AJ1508" s="52"/>
      <c r="AK1508" s="58"/>
      <c r="AL1508" s="57"/>
      <c r="AM1508" s="52"/>
      <c r="AN1508" s="52"/>
      <c r="AO1508" s="58"/>
      <c r="AP1508" s="57"/>
      <c r="AQ1508" s="52"/>
      <c r="AR1508" s="52"/>
      <c r="AS1508" s="58"/>
      <c r="AT1508" s="57"/>
      <c r="AU1508" s="52"/>
      <c r="AV1508" s="52"/>
      <c r="AW1508" s="58"/>
      <c r="AX1508" s="33">
        <f t="shared" si="1515"/>
        <v>0</v>
      </c>
      <c r="AY1508" s="31">
        <f t="shared" si="1516"/>
        <v>0</v>
      </c>
      <c r="AZ1508" s="30">
        <f t="shared" si="1517"/>
        <v>0</v>
      </c>
      <c r="BA1508" s="34"/>
      <c r="BB1508" s="34"/>
      <c r="BC1508" s="34"/>
      <c r="BD1508" s="76"/>
      <c r="BE1508" s="34"/>
      <c r="BF1508" s="34"/>
      <c r="BG1508" s="34"/>
      <c r="BH1508" s="34"/>
    </row>
    <row r="1509" spans="1:60" s="17" customFormat="1" ht="19.5" customHeight="1" x14ac:dyDescent="0.35">
      <c r="A1509" s="41">
        <f t="shared" ref="A1509:B1510" si="1519">A1508</f>
        <v>45447</v>
      </c>
      <c r="B1509" s="37" t="str">
        <f t="shared" si="1519"/>
        <v>Kol Takma</v>
      </c>
      <c r="C1509" s="65" t="str">
        <f t="shared" si="1513"/>
        <v>HATİCE ÖZDİL</v>
      </c>
      <c r="D1509" s="67">
        <f t="shared" si="1514"/>
        <v>35</v>
      </c>
      <c r="E1509" s="57"/>
      <c r="F1509" s="52"/>
      <c r="G1509" s="52"/>
      <c r="H1509" s="58"/>
      <c r="I1509" s="57"/>
      <c r="J1509" s="52"/>
      <c r="K1509" s="52"/>
      <c r="L1509" s="58"/>
      <c r="M1509" s="57"/>
      <c r="N1509" s="52"/>
      <c r="O1509" s="52"/>
      <c r="P1509" s="58"/>
      <c r="Q1509" s="57"/>
      <c r="R1509" s="52"/>
      <c r="S1509" s="52"/>
      <c r="T1509" s="52"/>
      <c r="U1509" s="58"/>
      <c r="V1509" s="57"/>
      <c r="W1509" s="52"/>
      <c r="X1509" s="52"/>
      <c r="Y1509" s="58"/>
      <c r="Z1509" s="57"/>
      <c r="AA1509" s="52"/>
      <c r="AB1509" s="52"/>
      <c r="AC1509" s="58"/>
      <c r="AD1509" s="57"/>
      <c r="AE1509" s="52"/>
      <c r="AF1509" s="52"/>
      <c r="AG1509" s="58"/>
      <c r="AH1509" s="57"/>
      <c r="AI1509" s="52"/>
      <c r="AJ1509" s="52"/>
      <c r="AK1509" s="58"/>
      <c r="AL1509" s="57"/>
      <c r="AM1509" s="52"/>
      <c r="AN1509" s="52"/>
      <c r="AO1509" s="58"/>
      <c r="AP1509" s="57"/>
      <c r="AQ1509" s="52"/>
      <c r="AR1509" s="52"/>
      <c r="AS1509" s="58"/>
      <c r="AT1509" s="57"/>
      <c r="AU1509" s="52"/>
      <c r="AV1509" s="52"/>
      <c r="AW1509" s="58"/>
      <c r="AX1509" s="33">
        <f t="shared" si="1515"/>
        <v>0</v>
      </c>
      <c r="AY1509" s="31">
        <f t="shared" si="1516"/>
        <v>0</v>
      </c>
      <c r="AZ1509" s="30">
        <f t="shared" si="1517"/>
        <v>0</v>
      </c>
      <c r="BA1509" s="34"/>
      <c r="BB1509" s="34"/>
      <c r="BC1509" s="34"/>
      <c r="BD1509" s="76"/>
      <c r="BE1509" s="34"/>
      <c r="BF1509" s="34"/>
      <c r="BG1509" s="34"/>
      <c r="BH1509" s="34"/>
    </row>
    <row r="1510" spans="1:60" s="17" customFormat="1" ht="19.5" customHeight="1" x14ac:dyDescent="0.35">
      <c r="A1510" s="41">
        <f>A1507</f>
        <v>45447</v>
      </c>
      <c r="B1510" s="37" t="str">
        <f t="shared" si="1519"/>
        <v>Kol Takma</v>
      </c>
      <c r="C1510" s="65" t="str">
        <f t="shared" si="1513"/>
        <v>HAVA SUBAŞI</v>
      </c>
      <c r="D1510" s="67">
        <f t="shared" si="1514"/>
        <v>35</v>
      </c>
      <c r="E1510" s="57"/>
      <c r="F1510" s="52"/>
      <c r="G1510" s="52"/>
      <c r="H1510" s="58"/>
      <c r="I1510" s="57"/>
      <c r="J1510" s="52"/>
      <c r="K1510" s="52"/>
      <c r="L1510" s="58"/>
      <c r="M1510" s="57"/>
      <c r="N1510" s="52"/>
      <c r="O1510" s="52"/>
      <c r="P1510" s="58"/>
      <c r="Q1510" s="57"/>
      <c r="R1510" s="52"/>
      <c r="S1510" s="52"/>
      <c r="T1510" s="52"/>
      <c r="U1510" s="58"/>
      <c r="V1510" s="57"/>
      <c r="W1510" s="52"/>
      <c r="X1510" s="52"/>
      <c r="Y1510" s="58"/>
      <c r="Z1510" s="57"/>
      <c r="AA1510" s="52"/>
      <c r="AB1510" s="52"/>
      <c r="AC1510" s="58"/>
      <c r="AD1510" s="57"/>
      <c r="AE1510" s="52"/>
      <c r="AF1510" s="52"/>
      <c r="AG1510" s="58"/>
      <c r="AH1510" s="57"/>
      <c r="AI1510" s="52"/>
      <c r="AJ1510" s="52"/>
      <c r="AK1510" s="58"/>
      <c r="AL1510" s="57"/>
      <c r="AM1510" s="52"/>
      <c r="AN1510" s="52"/>
      <c r="AO1510" s="58"/>
      <c r="AP1510" s="57"/>
      <c r="AQ1510" s="52"/>
      <c r="AR1510" s="52"/>
      <c r="AS1510" s="58"/>
      <c r="AT1510" s="57"/>
      <c r="AU1510" s="52"/>
      <c r="AV1510" s="52"/>
      <c r="AW1510" s="58"/>
      <c r="AX1510" s="33">
        <f t="shared" si="1515"/>
        <v>0</v>
      </c>
      <c r="AY1510" s="31">
        <f t="shared" si="1516"/>
        <v>0</v>
      </c>
      <c r="AZ1510" s="30">
        <f t="shared" si="1517"/>
        <v>0</v>
      </c>
      <c r="BA1510" s="34"/>
      <c r="BB1510" s="34"/>
      <c r="BC1510" s="34"/>
      <c r="BD1510" s="76"/>
      <c r="BE1510" s="34"/>
      <c r="BF1510" s="34"/>
      <c r="BG1510" s="34"/>
      <c r="BH1510" s="34"/>
    </row>
    <row r="1511" spans="1:60" s="17" customFormat="1" ht="19.5" customHeight="1" x14ac:dyDescent="0.35">
      <c r="A1511" s="41">
        <f t="shared" ref="A1511:B1511" si="1520">A1510</f>
        <v>45447</v>
      </c>
      <c r="B1511" s="37" t="str">
        <f t="shared" si="1520"/>
        <v>Kol Takma</v>
      </c>
      <c r="C1511" s="65">
        <f t="shared" si="1513"/>
        <v>0</v>
      </c>
      <c r="D1511" s="67">
        <f t="shared" si="1514"/>
        <v>35</v>
      </c>
      <c r="E1511" s="57"/>
      <c r="F1511" s="52"/>
      <c r="G1511" s="52"/>
      <c r="H1511" s="58"/>
      <c r="I1511" s="57"/>
      <c r="J1511" s="52"/>
      <c r="K1511" s="52"/>
      <c r="L1511" s="58"/>
      <c r="M1511" s="57"/>
      <c r="N1511" s="52"/>
      <c r="O1511" s="52"/>
      <c r="P1511" s="58"/>
      <c r="Q1511" s="57"/>
      <c r="R1511" s="52"/>
      <c r="S1511" s="52"/>
      <c r="T1511" s="52"/>
      <c r="U1511" s="58"/>
      <c r="V1511" s="57"/>
      <c r="W1511" s="52"/>
      <c r="X1511" s="52"/>
      <c r="Y1511" s="58"/>
      <c r="Z1511" s="57"/>
      <c r="AA1511" s="52"/>
      <c r="AB1511" s="52"/>
      <c r="AC1511" s="58"/>
      <c r="AD1511" s="57"/>
      <c r="AE1511" s="52"/>
      <c r="AF1511" s="52"/>
      <c r="AG1511" s="58"/>
      <c r="AH1511" s="57"/>
      <c r="AI1511" s="52"/>
      <c r="AJ1511" s="52"/>
      <c r="AK1511" s="58"/>
      <c r="AL1511" s="57"/>
      <c r="AM1511" s="52"/>
      <c r="AN1511" s="52"/>
      <c r="AO1511" s="58"/>
      <c r="AP1511" s="57"/>
      <c r="AQ1511" s="52"/>
      <c r="AR1511" s="52"/>
      <c r="AS1511" s="58"/>
      <c r="AT1511" s="57"/>
      <c r="AU1511" s="52"/>
      <c r="AV1511" s="52"/>
      <c r="AW1511" s="58"/>
      <c r="AX1511" s="33">
        <f t="shared" si="1515"/>
        <v>0</v>
      </c>
      <c r="AY1511" s="31">
        <f t="shared" si="1516"/>
        <v>0</v>
      </c>
      <c r="AZ1511" s="30">
        <f t="shared" si="1517"/>
        <v>0</v>
      </c>
      <c r="BA1511" s="34"/>
      <c r="BB1511" s="34"/>
      <c r="BC1511" s="34"/>
      <c r="BD1511" s="76"/>
      <c r="BE1511" s="34"/>
      <c r="BF1511" s="34"/>
      <c r="BG1511" s="34"/>
      <c r="BH1511" s="34"/>
    </row>
    <row r="1512" spans="1:60" s="17" customFormat="1" ht="19.5" customHeight="1" thickBot="1" x14ac:dyDescent="0.4">
      <c r="A1512" s="41">
        <f t="shared" ref="A1512:B1513" si="1521">A1511</f>
        <v>45447</v>
      </c>
      <c r="B1512" s="37" t="str">
        <f t="shared" si="1521"/>
        <v>Kol Takma</v>
      </c>
      <c r="C1512" s="65">
        <f t="shared" si="1513"/>
        <v>0</v>
      </c>
      <c r="D1512" s="67">
        <f t="shared" si="1514"/>
        <v>35</v>
      </c>
      <c r="E1512" s="59"/>
      <c r="F1512" s="60"/>
      <c r="G1512" s="61"/>
      <c r="H1512" s="62"/>
      <c r="I1512" s="59"/>
      <c r="J1512" s="60"/>
      <c r="K1512" s="61"/>
      <c r="L1512" s="62"/>
      <c r="M1512" s="59"/>
      <c r="N1512" s="60"/>
      <c r="O1512" s="61"/>
      <c r="P1512" s="62"/>
      <c r="Q1512" s="64"/>
      <c r="R1512" s="61"/>
      <c r="S1512" s="61"/>
      <c r="T1512" s="61"/>
      <c r="U1512" s="62"/>
      <c r="V1512" s="59"/>
      <c r="W1512" s="60"/>
      <c r="X1512" s="61"/>
      <c r="Y1512" s="62"/>
      <c r="Z1512" s="59"/>
      <c r="AA1512" s="60"/>
      <c r="AB1512" s="61"/>
      <c r="AC1512" s="62"/>
      <c r="AD1512" s="59"/>
      <c r="AE1512" s="60"/>
      <c r="AF1512" s="61"/>
      <c r="AG1512" s="62"/>
      <c r="AH1512" s="59"/>
      <c r="AI1512" s="60"/>
      <c r="AJ1512" s="61"/>
      <c r="AK1512" s="62"/>
      <c r="AL1512" s="59"/>
      <c r="AM1512" s="60"/>
      <c r="AN1512" s="61"/>
      <c r="AO1512" s="62"/>
      <c r="AP1512" s="59"/>
      <c r="AQ1512" s="60"/>
      <c r="AR1512" s="61"/>
      <c r="AS1512" s="62"/>
      <c r="AT1512" s="59"/>
      <c r="AU1512" s="60"/>
      <c r="AV1512" s="61"/>
      <c r="AW1512" s="62"/>
      <c r="AX1512" s="33">
        <f t="shared" si="1515"/>
        <v>0</v>
      </c>
      <c r="AY1512" s="31">
        <f t="shared" si="1516"/>
        <v>0</v>
      </c>
      <c r="AZ1512" s="30">
        <f t="shared" si="1517"/>
        <v>0</v>
      </c>
      <c r="BA1512" s="34"/>
      <c r="BB1512" s="34"/>
      <c r="BC1512" s="34"/>
      <c r="BD1512" s="76"/>
      <c r="BE1512" s="34"/>
      <c r="BF1512" s="34"/>
      <c r="BG1512" s="34"/>
      <c r="BH1512" s="34"/>
    </row>
    <row r="1513" spans="1:60" s="17" customFormat="1" ht="19.5" customHeight="1" thickBot="1" x14ac:dyDescent="0.45">
      <c r="A1513" s="41">
        <f t="shared" si="1521"/>
        <v>45447</v>
      </c>
      <c r="B1513" s="139" t="str">
        <f>B1506</f>
        <v>Kol Takma</v>
      </c>
      <c r="C1513" s="140"/>
      <c r="D1513" s="40">
        <f>C1414/8</f>
        <v>500</v>
      </c>
      <c r="E1513" s="147">
        <f>SUM(E1506:H1512)</f>
        <v>0</v>
      </c>
      <c r="F1513" s="148"/>
      <c r="G1513" s="148"/>
      <c r="H1513" s="149"/>
      <c r="I1513" s="147">
        <f>SUM(I1506:L1512)</f>
        <v>0</v>
      </c>
      <c r="J1513" s="148"/>
      <c r="K1513" s="148"/>
      <c r="L1513" s="149"/>
      <c r="M1513" s="147">
        <f>SUM(M1506:P1512)</f>
        <v>0</v>
      </c>
      <c r="N1513" s="148"/>
      <c r="O1513" s="148"/>
      <c r="P1513" s="149"/>
      <c r="Q1513" s="147">
        <f>SUM(Q1506:U1512)</f>
        <v>0</v>
      </c>
      <c r="R1513" s="148"/>
      <c r="S1513" s="148"/>
      <c r="T1513" s="148"/>
      <c r="U1513" s="149"/>
      <c r="V1513" s="147">
        <f>SUM(V1506:Y1512)</f>
        <v>0</v>
      </c>
      <c r="W1513" s="148"/>
      <c r="X1513" s="148"/>
      <c r="Y1513" s="149"/>
      <c r="Z1513" s="147">
        <f>SUM(Z1506:AC1512)</f>
        <v>0</v>
      </c>
      <c r="AA1513" s="148"/>
      <c r="AB1513" s="148"/>
      <c r="AC1513" s="149"/>
      <c r="AD1513" s="147">
        <f>SUM(AD1506:AG1512)</f>
        <v>0</v>
      </c>
      <c r="AE1513" s="148"/>
      <c r="AF1513" s="148"/>
      <c r="AG1513" s="149"/>
      <c r="AH1513" s="147">
        <f>SUM(AH1506:AK1512)</f>
        <v>0</v>
      </c>
      <c r="AI1513" s="148"/>
      <c r="AJ1513" s="148"/>
      <c r="AK1513" s="149"/>
      <c r="AL1513" s="147">
        <f>SUM(AL1506:AO1512)</f>
        <v>0</v>
      </c>
      <c r="AM1513" s="148"/>
      <c r="AN1513" s="148"/>
      <c r="AO1513" s="149"/>
      <c r="AP1513" s="147">
        <f>SUM(AP1506:AS1512)</f>
        <v>0</v>
      </c>
      <c r="AQ1513" s="148"/>
      <c r="AR1513" s="148"/>
      <c r="AS1513" s="149"/>
      <c r="AT1513" s="147">
        <f>SUM(AT1506:AW1512)</f>
        <v>0</v>
      </c>
      <c r="AU1513" s="148"/>
      <c r="AV1513" s="148"/>
      <c r="AW1513" s="149"/>
      <c r="AX1513" s="87">
        <f>SUM(AX1506:AX1512)</f>
        <v>0</v>
      </c>
      <c r="AY1513" s="88">
        <f>IFERROR(AVERAGEIF(E1513:AV1513,"&lt;&gt;0",(E1513:AV1513)),)</f>
        <v>0</v>
      </c>
      <c r="AZ1513" s="46">
        <f>IFERROR(AX1513/BB1507,0)</f>
        <v>0</v>
      </c>
      <c r="BA1513" s="34"/>
      <c r="BB1513" s="34"/>
      <c r="BC1513" s="34"/>
      <c r="BD1513" s="76"/>
      <c r="BE1513" s="34"/>
      <c r="BF1513" s="34"/>
      <c r="BG1513" s="34"/>
      <c r="BH1513" s="34"/>
    </row>
    <row r="1514" spans="1:60" s="17" customFormat="1" ht="19.5" customHeight="1" thickBot="1" x14ac:dyDescent="0.4">
      <c r="A1514" s="42">
        <f>A1505</f>
        <v>45447</v>
      </c>
      <c r="B1514" s="38" t="str">
        <f>B1515</f>
        <v>Yan Kapama</v>
      </c>
      <c r="C1514" s="39" t="s">
        <v>180</v>
      </c>
      <c r="D1514" s="69" t="s">
        <v>181</v>
      </c>
      <c r="E1514" s="48">
        <v>0.34375</v>
      </c>
      <c r="F1514" s="49">
        <v>0.35416666666666669</v>
      </c>
      <c r="G1514" s="49">
        <v>0.36458333333333331</v>
      </c>
      <c r="H1514" s="50">
        <v>0.375</v>
      </c>
      <c r="I1514" s="48">
        <v>0.38541666666666702</v>
      </c>
      <c r="J1514" s="49">
        <v>0.39583333333333298</v>
      </c>
      <c r="K1514" s="49">
        <v>0.40625</v>
      </c>
      <c r="L1514" s="50">
        <v>0.41666666666666702</v>
      </c>
      <c r="M1514" s="48">
        <v>0.4375</v>
      </c>
      <c r="N1514" s="49">
        <v>0.44791666666666702</v>
      </c>
      <c r="O1514" s="49">
        <v>0.45833333333333398</v>
      </c>
      <c r="P1514" s="50">
        <v>0.46875</v>
      </c>
      <c r="Q1514" s="82">
        <v>0.47916666666666702</v>
      </c>
      <c r="R1514" s="83">
        <v>0.48958333333333398</v>
      </c>
      <c r="S1514" s="83">
        <v>0.5</v>
      </c>
      <c r="T1514" s="84">
        <v>0.51041666666666696</v>
      </c>
      <c r="U1514" s="85">
        <v>0.52083333333333204</v>
      </c>
      <c r="V1514" s="48">
        <v>0.5625</v>
      </c>
      <c r="W1514" s="49">
        <v>0.57291666666666663</v>
      </c>
      <c r="X1514" s="49">
        <v>0.58333333333333304</v>
      </c>
      <c r="Y1514" s="50">
        <v>0.59375</v>
      </c>
      <c r="Z1514" s="48">
        <v>0.60416666666666696</v>
      </c>
      <c r="AA1514" s="49">
        <v>0.61458333333333304</v>
      </c>
      <c r="AB1514" s="49">
        <v>0.625</v>
      </c>
      <c r="AC1514" s="50">
        <v>0.63541666666666596</v>
      </c>
      <c r="AD1514" s="48">
        <v>0.65625</v>
      </c>
      <c r="AE1514" s="49">
        <v>0.66666666666666663</v>
      </c>
      <c r="AF1514" s="49">
        <v>0.67708333333333304</v>
      </c>
      <c r="AG1514" s="50">
        <v>0.6875</v>
      </c>
      <c r="AH1514" s="48">
        <v>0.69791666666666696</v>
      </c>
      <c r="AI1514" s="49">
        <v>0.70833333333333304</v>
      </c>
      <c r="AJ1514" s="49">
        <v>0.71875</v>
      </c>
      <c r="AK1514" s="50">
        <v>0.72916666666666696</v>
      </c>
      <c r="AL1514" s="48">
        <v>0.73958333333333404</v>
      </c>
      <c r="AM1514" s="49">
        <v>0.750000000000001</v>
      </c>
      <c r="AN1514" s="49">
        <v>0.76041666666666796</v>
      </c>
      <c r="AO1514" s="50">
        <v>0.77083333333333504</v>
      </c>
      <c r="AP1514" s="48">
        <v>0.781250000000002</v>
      </c>
      <c r="AQ1514" s="49">
        <v>0.79166666666666896</v>
      </c>
      <c r="AR1514" s="49">
        <v>0.80208333333333603</v>
      </c>
      <c r="AS1514" s="50">
        <v>0.812500000000003</v>
      </c>
      <c r="AT1514" s="48">
        <v>0.82291666666666996</v>
      </c>
      <c r="AU1514" s="49">
        <v>0.83333333333333703</v>
      </c>
      <c r="AV1514" s="49">
        <v>0.843750000000004</v>
      </c>
      <c r="AW1514" s="50">
        <v>0.85416666666666663</v>
      </c>
      <c r="AX1514" s="68" t="s">
        <v>260</v>
      </c>
      <c r="AY1514" s="28" t="s">
        <v>261</v>
      </c>
      <c r="AZ1514" s="29" t="s">
        <v>262</v>
      </c>
      <c r="BA1514" s="136" t="str">
        <f>B1515</f>
        <v>Yan Kapama</v>
      </c>
      <c r="BB1514" s="137"/>
      <c r="BC1514" s="137"/>
      <c r="BD1514" s="137"/>
      <c r="BE1514" s="137"/>
      <c r="BF1514" s="137"/>
      <c r="BG1514" s="137"/>
      <c r="BH1514" s="138"/>
    </row>
    <row r="1515" spans="1:60" s="17" customFormat="1" ht="19.5" customHeight="1" thickBot="1" x14ac:dyDescent="0.4">
      <c r="A1515" s="41">
        <f t="shared" ref="A1515" si="1522">A1514</f>
        <v>45447</v>
      </c>
      <c r="B1515" s="37" t="str">
        <f>B1339</f>
        <v>Yan Kapama</v>
      </c>
      <c r="C1515" s="65" t="str">
        <f>C1339</f>
        <v>HAVA SUBAŞI</v>
      </c>
      <c r="D1515" s="70">
        <f>D1339</f>
        <v>40</v>
      </c>
      <c r="E1515" s="63"/>
      <c r="F1515" s="55"/>
      <c r="G1515" s="55"/>
      <c r="H1515" s="56"/>
      <c r="I1515" s="63"/>
      <c r="J1515" s="55"/>
      <c r="K1515" s="55"/>
      <c r="L1515" s="56"/>
      <c r="M1515" s="63"/>
      <c r="N1515" s="55"/>
      <c r="O1515" s="55"/>
      <c r="P1515" s="56"/>
      <c r="Q1515" s="63"/>
      <c r="R1515" s="55"/>
      <c r="S1515" s="55"/>
      <c r="T1515" s="55"/>
      <c r="U1515" s="56"/>
      <c r="V1515" s="63"/>
      <c r="W1515" s="55"/>
      <c r="X1515" s="55"/>
      <c r="Y1515" s="56"/>
      <c r="Z1515" s="63"/>
      <c r="AA1515" s="55"/>
      <c r="AB1515" s="55"/>
      <c r="AC1515" s="56"/>
      <c r="AD1515" s="63"/>
      <c r="AE1515" s="55"/>
      <c r="AF1515" s="55"/>
      <c r="AG1515" s="56"/>
      <c r="AH1515" s="63"/>
      <c r="AI1515" s="55"/>
      <c r="AJ1515" s="55"/>
      <c r="AK1515" s="56"/>
      <c r="AL1515" s="53"/>
      <c r="AM1515" s="54"/>
      <c r="AN1515" s="55"/>
      <c r="AO1515" s="56"/>
      <c r="AP1515" s="53"/>
      <c r="AQ1515" s="54"/>
      <c r="AR1515" s="55"/>
      <c r="AS1515" s="56"/>
      <c r="AT1515" s="53"/>
      <c r="AU1515" s="54"/>
      <c r="AV1515" s="55"/>
      <c r="AW1515" s="56"/>
      <c r="AX1515" s="33">
        <f>SUM(E1515:AW1515)</f>
        <v>0</v>
      </c>
      <c r="AY1515" s="31">
        <f>IFERROR(AVERAGEIF(E1515:AW1515,"&lt;&gt;0",(E1515:AW1515)),)</f>
        <v>0</v>
      </c>
      <c r="AZ1515" s="30">
        <f>IFERROR(AY1515/D1515,0)</f>
        <v>0</v>
      </c>
      <c r="BA1515" s="103" t="s">
        <v>182</v>
      </c>
      <c r="BB1515" s="100" t="s">
        <v>183</v>
      </c>
      <c r="BC1515" s="100" t="s">
        <v>184</v>
      </c>
      <c r="BD1515" s="101" t="s">
        <v>185</v>
      </c>
      <c r="BE1515" s="100" t="s">
        <v>186</v>
      </c>
      <c r="BF1515" s="102" t="s">
        <v>187</v>
      </c>
      <c r="BG1515" s="100" t="s">
        <v>188</v>
      </c>
      <c r="BH1515" s="102" t="s">
        <v>189</v>
      </c>
    </row>
    <row r="1516" spans="1:60" s="17" customFormat="1" ht="19.5" customHeight="1" thickBot="1" x14ac:dyDescent="0.4">
      <c r="A1516" s="41">
        <f t="shared" ref="A1516:B1516" si="1523">A1515</f>
        <v>45447</v>
      </c>
      <c r="B1516" s="37" t="str">
        <f t="shared" si="1523"/>
        <v>Yan Kapama</v>
      </c>
      <c r="C1516" s="65" t="str">
        <f t="shared" ref="C1516:C1521" si="1524">C1340</f>
        <v>EMİNE GAPAYLAR</v>
      </c>
      <c r="D1516" s="67">
        <f t="shared" ref="D1516:D1521" si="1525">D1515</f>
        <v>40</v>
      </c>
      <c r="E1516" s="57"/>
      <c r="F1516" s="52"/>
      <c r="G1516" s="52"/>
      <c r="H1516" s="58"/>
      <c r="I1516" s="57"/>
      <c r="J1516" s="52"/>
      <c r="K1516" s="52"/>
      <c r="L1516" s="58"/>
      <c r="M1516" s="57"/>
      <c r="N1516" s="52"/>
      <c r="O1516" s="52"/>
      <c r="P1516" s="58"/>
      <c r="Q1516" s="57"/>
      <c r="R1516" s="52"/>
      <c r="S1516" s="52"/>
      <c r="T1516" s="52"/>
      <c r="U1516" s="58"/>
      <c r="V1516" s="57"/>
      <c r="W1516" s="52"/>
      <c r="X1516" s="52"/>
      <c r="Y1516" s="58"/>
      <c r="Z1516" s="57"/>
      <c r="AA1516" s="52"/>
      <c r="AB1516" s="52"/>
      <c r="AC1516" s="58"/>
      <c r="AD1516" s="57"/>
      <c r="AE1516" s="52"/>
      <c r="AF1516" s="52"/>
      <c r="AG1516" s="58"/>
      <c r="AH1516" s="57"/>
      <c r="AI1516" s="52"/>
      <c r="AJ1516" s="52"/>
      <c r="AK1516" s="58"/>
      <c r="AL1516" s="57"/>
      <c r="AM1516" s="52"/>
      <c r="AN1516" s="52"/>
      <c r="AO1516" s="58"/>
      <c r="AP1516" s="57"/>
      <c r="AQ1516" s="52"/>
      <c r="AR1516" s="52"/>
      <c r="AS1516" s="58"/>
      <c r="AT1516" s="57"/>
      <c r="AU1516" s="52"/>
      <c r="AV1516" s="52"/>
      <c r="AW1516" s="58"/>
      <c r="AX1516" s="33">
        <f t="shared" ref="AX1516:AX1521" si="1526">SUM(E1516:AW1516)</f>
        <v>0</v>
      </c>
      <c r="AY1516" s="31">
        <f t="shared" ref="AY1516:AY1521" si="1527">IFERROR(AVERAGEIF(E1516:AW1516,"&lt;&gt;0",(E1516:AW1516)),)</f>
        <v>0</v>
      </c>
      <c r="AZ1516" s="30">
        <f t="shared" ref="AZ1516:AZ1521" si="1528">IFERROR(AY1516/D1516,0)</f>
        <v>0</v>
      </c>
      <c r="BA1516" s="94">
        <f>AX1522+BA1340</f>
        <v>17293</v>
      </c>
      <c r="BB1516" s="95">
        <f>(D1522*8)</f>
        <v>4000</v>
      </c>
      <c r="BC1516" s="96">
        <f>C1413-BA1516</f>
        <v>25018</v>
      </c>
      <c r="BD1516" s="96">
        <f>BA1507-BA1516</f>
        <v>-818</v>
      </c>
      <c r="BE1516" s="97">
        <f>IFERROR(BC1516/E1522,0)</f>
        <v>0</v>
      </c>
      <c r="BF1516" s="98">
        <f>IFERROR(BE1516/9,0)</f>
        <v>0</v>
      </c>
      <c r="BG1516" s="97">
        <f>IFERROR(BC1516/AY1522,0)</f>
        <v>0</v>
      </c>
      <c r="BH1516" s="97">
        <f>IFERROR(BG1516/9,0)</f>
        <v>0</v>
      </c>
    </row>
    <row r="1517" spans="1:60" s="17" customFormat="1" ht="19.5" customHeight="1" x14ac:dyDescent="0.35">
      <c r="A1517" s="41">
        <f t="shared" ref="A1517:B1517" si="1529">A1516</f>
        <v>45447</v>
      </c>
      <c r="B1517" s="37" t="str">
        <f t="shared" si="1529"/>
        <v>Yan Kapama</v>
      </c>
      <c r="C1517" s="65" t="str">
        <f t="shared" si="1524"/>
        <v>SEVGİ APALAK</v>
      </c>
      <c r="D1517" s="67">
        <f t="shared" si="1525"/>
        <v>40</v>
      </c>
      <c r="E1517" s="57"/>
      <c r="F1517" s="52"/>
      <c r="G1517" s="52"/>
      <c r="H1517" s="58"/>
      <c r="I1517" s="57"/>
      <c r="J1517" s="52"/>
      <c r="K1517" s="52"/>
      <c r="L1517" s="58"/>
      <c r="M1517" s="57"/>
      <c r="N1517" s="52"/>
      <c r="O1517" s="52"/>
      <c r="P1517" s="58"/>
      <c r="Q1517" s="57"/>
      <c r="R1517" s="52"/>
      <c r="S1517" s="52"/>
      <c r="T1517" s="52"/>
      <c r="U1517" s="58"/>
      <c r="V1517" s="57"/>
      <c r="W1517" s="52"/>
      <c r="X1517" s="52"/>
      <c r="Y1517" s="58"/>
      <c r="Z1517" s="57"/>
      <c r="AA1517" s="52"/>
      <c r="AB1517" s="52"/>
      <c r="AC1517" s="58"/>
      <c r="AD1517" s="57"/>
      <c r="AE1517" s="52"/>
      <c r="AF1517" s="52"/>
      <c r="AG1517" s="58"/>
      <c r="AH1517" s="57"/>
      <c r="AI1517" s="52"/>
      <c r="AJ1517" s="52"/>
      <c r="AK1517" s="58"/>
      <c r="AL1517" s="57"/>
      <c r="AM1517" s="52"/>
      <c r="AN1517" s="52"/>
      <c r="AO1517" s="58"/>
      <c r="AP1517" s="57"/>
      <c r="AQ1517" s="52"/>
      <c r="AR1517" s="52"/>
      <c r="AS1517" s="58"/>
      <c r="AT1517" s="57"/>
      <c r="AU1517" s="52"/>
      <c r="AV1517" s="52"/>
      <c r="AW1517" s="58"/>
      <c r="AX1517" s="33">
        <f t="shared" si="1526"/>
        <v>0</v>
      </c>
      <c r="AY1517" s="31">
        <f t="shared" si="1527"/>
        <v>0</v>
      </c>
      <c r="AZ1517" s="30">
        <f t="shared" si="1528"/>
        <v>0</v>
      </c>
      <c r="BA1517" s="34"/>
      <c r="BB1517" s="34"/>
      <c r="BC1517" s="34"/>
      <c r="BD1517" s="76"/>
      <c r="BE1517" s="34"/>
      <c r="BF1517" s="34"/>
      <c r="BG1517" s="34"/>
      <c r="BH1517" s="34"/>
    </row>
    <row r="1518" spans="1:60" s="17" customFormat="1" ht="19.5" customHeight="1" x14ac:dyDescent="0.35">
      <c r="A1518" s="41">
        <f t="shared" ref="A1518:B1521" si="1530">A1517</f>
        <v>45447</v>
      </c>
      <c r="B1518" s="37" t="str">
        <f t="shared" si="1530"/>
        <v>Yan Kapama</v>
      </c>
      <c r="C1518" s="65" t="str">
        <f t="shared" si="1524"/>
        <v>SONGÜL BARLAS</v>
      </c>
      <c r="D1518" s="67">
        <f t="shared" si="1525"/>
        <v>40</v>
      </c>
      <c r="E1518" s="57"/>
      <c r="F1518" s="52"/>
      <c r="G1518" s="52"/>
      <c r="H1518" s="58"/>
      <c r="I1518" s="57"/>
      <c r="J1518" s="52"/>
      <c r="K1518" s="52"/>
      <c r="L1518" s="58"/>
      <c r="M1518" s="57"/>
      <c r="N1518" s="52"/>
      <c r="O1518" s="52"/>
      <c r="P1518" s="58"/>
      <c r="Q1518" s="57"/>
      <c r="R1518" s="52"/>
      <c r="S1518" s="52"/>
      <c r="T1518" s="52"/>
      <c r="U1518" s="58"/>
      <c r="V1518" s="57"/>
      <c r="W1518" s="52"/>
      <c r="X1518" s="52"/>
      <c r="Y1518" s="58"/>
      <c r="Z1518" s="57"/>
      <c r="AA1518" s="52"/>
      <c r="AB1518" s="52"/>
      <c r="AC1518" s="58"/>
      <c r="AD1518" s="57"/>
      <c r="AE1518" s="52"/>
      <c r="AF1518" s="52"/>
      <c r="AG1518" s="58"/>
      <c r="AH1518" s="57"/>
      <c r="AI1518" s="52"/>
      <c r="AJ1518" s="52"/>
      <c r="AK1518" s="58"/>
      <c r="AL1518" s="57"/>
      <c r="AM1518" s="52"/>
      <c r="AN1518" s="52"/>
      <c r="AO1518" s="58"/>
      <c r="AP1518" s="57"/>
      <c r="AQ1518" s="52"/>
      <c r="AR1518" s="52"/>
      <c r="AS1518" s="58"/>
      <c r="AT1518" s="57"/>
      <c r="AU1518" s="52"/>
      <c r="AV1518" s="52"/>
      <c r="AW1518" s="58"/>
      <c r="AX1518" s="33">
        <f t="shared" si="1526"/>
        <v>0</v>
      </c>
      <c r="AY1518" s="31">
        <f t="shared" si="1527"/>
        <v>0</v>
      </c>
      <c r="AZ1518" s="30">
        <f t="shared" si="1528"/>
        <v>0</v>
      </c>
      <c r="BA1518" s="34"/>
      <c r="BB1518" s="34"/>
      <c r="BC1518" s="34"/>
      <c r="BD1518" s="76"/>
      <c r="BE1518" s="34"/>
      <c r="BF1518" s="34"/>
      <c r="BG1518" s="34"/>
      <c r="BH1518" s="34"/>
    </row>
    <row r="1519" spans="1:60" s="17" customFormat="1" ht="19.5" customHeight="1" x14ac:dyDescent="0.35">
      <c r="A1519" s="41">
        <f>A1516</f>
        <v>45447</v>
      </c>
      <c r="B1519" s="37" t="str">
        <f t="shared" si="1530"/>
        <v>Yan Kapama</v>
      </c>
      <c r="C1519" s="65" t="str">
        <f t="shared" si="1524"/>
        <v>EMİNE BAYRAM</v>
      </c>
      <c r="D1519" s="67">
        <f t="shared" si="1525"/>
        <v>40</v>
      </c>
      <c r="E1519" s="57"/>
      <c r="F1519" s="52"/>
      <c r="G1519" s="52"/>
      <c r="H1519" s="58"/>
      <c r="I1519" s="57"/>
      <c r="J1519" s="52"/>
      <c r="K1519" s="52"/>
      <c r="L1519" s="58"/>
      <c r="M1519" s="57"/>
      <c r="N1519" s="52"/>
      <c r="O1519" s="52"/>
      <c r="P1519" s="58"/>
      <c r="Q1519" s="57"/>
      <c r="R1519" s="52"/>
      <c r="S1519" s="52"/>
      <c r="T1519" s="52"/>
      <c r="U1519" s="58"/>
      <c r="V1519" s="57"/>
      <c r="W1519" s="52"/>
      <c r="X1519" s="52"/>
      <c r="Y1519" s="58"/>
      <c r="Z1519" s="57"/>
      <c r="AA1519" s="52"/>
      <c r="AB1519" s="52"/>
      <c r="AC1519" s="58"/>
      <c r="AD1519" s="57"/>
      <c r="AE1519" s="52"/>
      <c r="AF1519" s="52"/>
      <c r="AG1519" s="58"/>
      <c r="AH1519" s="57"/>
      <c r="AI1519" s="52"/>
      <c r="AJ1519" s="52"/>
      <c r="AK1519" s="58"/>
      <c r="AL1519" s="57"/>
      <c r="AM1519" s="52"/>
      <c r="AN1519" s="52"/>
      <c r="AO1519" s="58"/>
      <c r="AP1519" s="57"/>
      <c r="AQ1519" s="52"/>
      <c r="AR1519" s="52"/>
      <c r="AS1519" s="58"/>
      <c r="AT1519" s="57"/>
      <c r="AU1519" s="52"/>
      <c r="AV1519" s="52"/>
      <c r="AW1519" s="58"/>
      <c r="AX1519" s="33">
        <f t="shared" si="1526"/>
        <v>0</v>
      </c>
      <c r="AY1519" s="31">
        <f t="shared" si="1527"/>
        <v>0</v>
      </c>
      <c r="AZ1519" s="30">
        <f t="shared" si="1528"/>
        <v>0</v>
      </c>
      <c r="BA1519" s="34"/>
      <c r="BB1519" s="34"/>
      <c r="BC1519" s="34"/>
      <c r="BD1519" s="76"/>
      <c r="BE1519" s="34"/>
      <c r="BF1519" s="34"/>
      <c r="BG1519" s="34"/>
      <c r="BH1519" s="34"/>
    </row>
    <row r="1520" spans="1:60" s="17" customFormat="1" ht="19.5" customHeight="1" x14ac:dyDescent="0.35">
      <c r="A1520" s="41">
        <f>A1519</f>
        <v>45447</v>
      </c>
      <c r="B1520" s="37" t="str">
        <f t="shared" si="1530"/>
        <v>Yan Kapama</v>
      </c>
      <c r="C1520" s="65">
        <f t="shared" si="1524"/>
        <v>0</v>
      </c>
      <c r="D1520" s="67">
        <f t="shared" si="1525"/>
        <v>40</v>
      </c>
      <c r="E1520" s="57"/>
      <c r="F1520" s="52"/>
      <c r="G1520" s="52"/>
      <c r="H1520" s="58"/>
      <c r="I1520" s="57"/>
      <c r="J1520" s="52"/>
      <c r="K1520" s="52"/>
      <c r="L1520" s="58"/>
      <c r="M1520" s="57"/>
      <c r="N1520" s="52"/>
      <c r="O1520" s="52"/>
      <c r="P1520" s="78"/>
      <c r="Q1520" s="57"/>
      <c r="R1520" s="52"/>
      <c r="S1520" s="52"/>
      <c r="T1520" s="52"/>
      <c r="U1520" s="58"/>
      <c r="V1520" s="80"/>
      <c r="W1520" s="52"/>
      <c r="X1520" s="52"/>
      <c r="Y1520" s="58"/>
      <c r="Z1520" s="57"/>
      <c r="AA1520" s="52"/>
      <c r="AB1520" s="52"/>
      <c r="AC1520" s="58"/>
      <c r="AD1520" s="57"/>
      <c r="AE1520" s="52"/>
      <c r="AF1520" s="52"/>
      <c r="AG1520" s="58"/>
      <c r="AH1520" s="57"/>
      <c r="AI1520" s="52"/>
      <c r="AJ1520" s="52"/>
      <c r="AK1520" s="58"/>
      <c r="AL1520" s="57"/>
      <c r="AM1520" s="52"/>
      <c r="AN1520" s="52"/>
      <c r="AO1520" s="58"/>
      <c r="AP1520" s="57"/>
      <c r="AQ1520" s="52"/>
      <c r="AR1520" s="52"/>
      <c r="AS1520" s="58"/>
      <c r="AT1520" s="57"/>
      <c r="AU1520" s="52"/>
      <c r="AV1520" s="52"/>
      <c r="AW1520" s="58"/>
      <c r="AX1520" s="33">
        <f t="shared" si="1526"/>
        <v>0</v>
      </c>
      <c r="AY1520" s="31">
        <f t="shared" si="1527"/>
        <v>0</v>
      </c>
      <c r="AZ1520" s="30">
        <f t="shared" si="1528"/>
        <v>0</v>
      </c>
      <c r="BA1520" s="34"/>
      <c r="BB1520" s="34"/>
      <c r="BC1520" s="34"/>
      <c r="BD1520" s="76"/>
      <c r="BE1520" s="34"/>
      <c r="BF1520" s="34"/>
      <c r="BG1520" s="34"/>
      <c r="BH1520" s="34"/>
    </row>
    <row r="1521" spans="1:60" s="17" customFormat="1" ht="19.5" customHeight="1" thickBot="1" x14ac:dyDescent="0.4">
      <c r="A1521" s="41">
        <f>A1520</f>
        <v>45447</v>
      </c>
      <c r="B1521" s="37" t="str">
        <f t="shared" si="1530"/>
        <v>Yan Kapama</v>
      </c>
      <c r="C1521" s="65">
        <f t="shared" si="1524"/>
        <v>0</v>
      </c>
      <c r="D1521" s="67">
        <f t="shared" si="1525"/>
        <v>40</v>
      </c>
      <c r="E1521" s="59"/>
      <c r="F1521" s="60"/>
      <c r="G1521" s="61"/>
      <c r="H1521" s="62"/>
      <c r="I1521" s="59"/>
      <c r="J1521" s="60"/>
      <c r="K1521" s="61"/>
      <c r="L1521" s="62"/>
      <c r="M1521" s="59"/>
      <c r="N1521" s="60"/>
      <c r="O1521" s="61"/>
      <c r="P1521" s="79"/>
      <c r="Q1521" s="64"/>
      <c r="R1521" s="61"/>
      <c r="S1521" s="61"/>
      <c r="T1521" s="61"/>
      <c r="U1521" s="62"/>
      <c r="V1521" s="81"/>
      <c r="W1521" s="60"/>
      <c r="X1521" s="61"/>
      <c r="Y1521" s="62"/>
      <c r="Z1521" s="59"/>
      <c r="AA1521" s="60"/>
      <c r="AB1521" s="61"/>
      <c r="AC1521" s="62"/>
      <c r="AD1521" s="59"/>
      <c r="AE1521" s="60"/>
      <c r="AF1521" s="61"/>
      <c r="AG1521" s="62"/>
      <c r="AH1521" s="59"/>
      <c r="AI1521" s="60"/>
      <c r="AJ1521" s="61"/>
      <c r="AK1521" s="62"/>
      <c r="AL1521" s="59"/>
      <c r="AM1521" s="60"/>
      <c r="AN1521" s="61"/>
      <c r="AO1521" s="62"/>
      <c r="AP1521" s="59"/>
      <c r="AQ1521" s="60"/>
      <c r="AR1521" s="61"/>
      <c r="AS1521" s="62"/>
      <c r="AT1521" s="59"/>
      <c r="AU1521" s="60"/>
      <c r="AV1521" s="61"/>
      <c r="AW1521" s="62"/>
      <c r="AX1521" s="33">
        <f t="shared" si="1526"/>
        <v>0</v>
      </c>
      <c r="AY1521" s="31">
        <f t="shared" si="1527"/>
        <v>0</v>
      </c>
      <c r="AZ1521" s="30">
        <f t="shared" si="1528"/>
        <v>0</v>
      </c>
      <c r="BA1521" s="34"/>
      <c r="BB1521" s="34"/>
      <c r="BC1521" s="34"/>
      <c r="BD1521" s="76"/>
      <c r="BE1521" s="34"/>
      <c r="BF1521" s="34"/>
      <c r="BG1521" s="34"/>
      <c r="BH1521" s="34"/>
    </row>
    <row r="1522" spans="1:60" s="17" customFormat="1" ht="19.5" customHeight="1" thickBot="1" x14ac:dyDescent="0.45">
      <c r="A1522" s="41">
        <f>A1521</f>
        <v>45447</v>
      </c>
      <c r="B1522" s="139" t="str">
        <f>B1515</f>
        <v>Yan Kapama</v>
      </c>
      <c r="C1522" s="140"/>
      <c r="D1522" s="40">
        <f>C1414/8</f>
        <v>500</v>
      </c>
      <c r="E1522" s="147">
        <f>SUM(E1515:H1521)</f>
        <v>0</v>
      </c>
      <c r="F1522" s="148"/>
      <c r="G1522" s="148"/>
      <c r="H1522" s="149"/>
      <c r="I1522" s="147">
        <f>SUM(I1515:L1521)</f>
        <v>0</v>
      </c>
      <c r="J1522" s="148"/>
      <c r="K1522" s="148"/>
      <c r="L1522" s="149"/>
      <c r="M1522" s="147">
        <f>SUM(M1515:P1521)</f>
        <v>0</v>
      </c>
      <c r="N1522" s="148"/>
      <c r="O1522" s="148"/>
      <c r="P1522" s="149"/>
      <c r="Q1522" s="151">
        <f>SUM(Q1515:U1521)</f>
        <v>0</v>
      </c>
      <c r="R1522" s="152"/>
      <c r="S1522" s="152"/>
      <c r="T1522" s="152"/>
      <c r="U1522" s="153"/>
      <c r="V1522" s="147">
        <f>SUM(V1515:Y1521)</f>
        <v>0</v>
      </c>
      <c r="W1522" s="148"/>
      <c r="X1522" s="148"/>
      <c r="Y1522" s="149"/>
      <c r="Z1522" s="147">
        <f>SUM(Z1515:AC1521)</f>
        <v>0</v>
      </c>
      <c r="AA1522" s="148"/>
      <c r="AB1522" s="148"/>
      <c r="AC1522" s="149"/>
      <c r="AD1522" s="147">
        <f>SUM(AD1515:AG1521)</f>
        <v>0</v>
      </c>
      <c r="AE1522" s="148"/>
      <c r="AF1522" s="148"/>
      <c r="AG1522" s="149"/>
      <c r="AH1522" s="147">
        <f>SUM(AH1515:AK1521)</f>
        <v>0</v>
      </c>
      <c r="AI1522" s="148"/>
      <c r="AJ1522" s="148"/>
      <c r="AK1522" s="149"/>
      <c r="AL1522" s="147">
        <f>SUM(AL1515:AO1521)</f>
        <v>0</v>
      </c>
      <c r="AM1522" s="148"/>
      <c r="AN1522" s="148"/>
      <c r="AO1522" s="149"/>
      <c r="AP1522" s="147">
        <f>SUM(AP1515:AS1521)</f>
        <v>0</v>
      </c>
      <c r="AQ1522" s="148"/>
      <c r="AR1522" s="148"/>
      <c r="AS1522" s="149"/>
      <c r="AT1522" s="147">
        <f>SUM(AT1515:AW1521)</f>
        <v>0</v>
      </c>
      <c r="AU1522" s="148"/>
      <c r="AV1522" s="148"/>
      <c r="AW1522" s="149"/>
      <c r="AX1522" s="87">
        <f>SUM(AX1515:AX1521)</f>
        <v>0</v>
      </c>
      <c r="AY1522" s="88">
        <f>IFERROR(AVERAGEIF(E1522:AV1522,"&lt;&gt;0",(E1522:AV1522)),)</f>
        <v>0</v>
      </c>
      <c r="AZ1522" s="46">
        <f>IFERROR(AX1522/BB1516,0)</f>
        <v>0</v>
      </c>
      <c r="BA1522" s="34"/>
      <c r="BB1522" s="34"/>
      <c r="BC1522" s="34"/>
      <c r="BD1522" s="76"/>
      <c r="BE1522" s="34"/>
      <c r="BF1522" s="34"/>
      <c r="BG1522" s="34"/>
      <c r="BH1522" s="34"/>
    </row>
    <row r="1523" spans="1:60" s="17" customFormat="1" ht="19.5" customHeight="1" thickBot="1" x14ac:dyDescent="0.4">
      <c r="A1523" s="42">
        <f>A1514</f>
        <v>45447</v>
      </c>
      <c r="B1523" s="38" t="str">
        <f>B1524</f>
        <v>Yıkama Takma</v>
      </c>
      <c r="C1523" s="39" t="s">
        <v>180</v>
      </c>
      <c r="D1523" s="69" t="s">
        <v>181</v>
      </c>
      <c r="E1523" s="48">
        <v>0.34375</v>
      </c>
      <c r="F1523" s="49">
        <v>0.35416666666666669</v>
      </c>
      <c r="G1523" s="49">
        <v>0.36458333333333331</v>
      </c>
      <c r="H1523" s="50">
        <v>0.375</v>
      </c>
      <c r="I1523" s="48">
        <v>0.38541666666666702</v>
      </c>
      <c r="J1523" s="49">
        <v>0.39583333333333298</v>
      </c>
      <c r="K1523" s="49">
        <v>0.40625</v>
      </c>
      <c r="L1523" s="50">
        <v>0.41666666666666702</v>
      </c>
      <c r="M1523" s="48">
        <v>0.4375</v>
      </c>
      <c r="N1523" s="49">
        <v>0.44791666666666702</v>
      </c>
      <c r="O1523" s="49">
        <v>0.45833333333333398</v>
      </c>
      <c r="P1523" s="50">
        <v>0.46875</v>
      </c>
      <c r="Q1523" s="48">
        <v>0.47916666666666702</v>
      </c>
      <c r="R1523" s="49">
        <v>0.48958333333333398</v>
      </c>
      <c r="S1523" s="49">
        <v>0.5</v>
      </c>
      <c r="T1523" s="50">
        <v>0.51041666666666696</v>
      </c>
      <c r="U1523" s="51">
        <v>0.52083333333333204</v>
      </c>
      <c r="V1523" s="48">
        <v>0.5625</v>
      </c>
      <c r="W1523" s="49">
        <v>0.57291666666666663</v>
      </c>
      <c r="X1523" s="49">
        <v>0.58333333333333304</v>
      </c>
      <c r="Y1523" s="50">
        <v>0.59375</v>
      </c>
      <c r="Z1523" s="48">
        <v>0.60416666666666696</v>
      </c>
      <c r="AA1523" s="49">
        <v>0.61458333333333304</v>
      </c>
      <c r="AB1523" s="49">
        <v>0.625</v>
      </c>
      <c r="AC1523" s="50">
        <v>0.63541666666666596</v>
      </c>
      <c r="AD1523" s="48">
        <v>0.65625</v>
      </c>
      <c r="AE1523" s="49">
        <v>0.66666666666666663</v>
      </c>
      <c r="AF1523" s="49">
        <v>0.67708333333333304</v>
      </c>
      <c r="AG1523" s="50">
        <v>0.6875</v>
      </c>
      <c r="AH1523" s="48">
        <v>0.69791666666666696</v>
      </c>
      <c r="AI1523" s="49">
        <v>0.70833333333333304</v>
      </c>
      <c r="AJ1523" s="49">
        <v>0.71875</v>
      </c>
      <c r="AK1523" s="50">
        <v>0.72916666666666696</v>
      </c>
      <c r="AL1523" s="48">
        <v>0.73958333333333404</v>
      </c>
      <c r="AM1523" s="49">
        <v>0.750000000000001</v>
      </c>
      <c r="AN1523" s="49">
        <v>0.76041666666666796</v>
      </c>
      <c r="AO1523" s="50">
        <v>0.77083333333333504</v>
      </c>
      <c r="AP1523" s="48">
        <v>0.781250000000002</v>
      </c>
      <c r="AQ1523" s="49">
        <v>0.79166666666666896</v>
      </c>
      <c r="AR1523" s="49">
        <v>0.80208333333333603</v>
      </c>
      <c r="AS1523" s="50">
        <v>0.812500000000003</v>
      </c>
      <c r="AT1523" s="48">
        <v>0.82291666666666996</v>
      </c>
      <c r="AU1523" s="49">
        <v>0.83333333333333703</v>
      </c>
      <c r="AV1523" s="49">
        <v>0.843750000000004</v>
      </c>
      <c r="AW1523" s="50">
        <v>0.85416666666666663</v>
      </c>
      <c r="AX1523" s="68" t="s">
        <v>260</v>
      </c>
      <c r="AY1523" s="28" t="s">
        <v>261</v>
      </c>
      <c r="AZ1523" s="29" t="s">
        <v>262</v>
      </c>
      <c r="BA1523" s="136" t="str">
        <f>B1524</f>
        <v>Yıkama Takma</v>
      </c>
      <c r="BB1523" s="137"/>
      <c r="BC1523" s="137"/>
      <c r="BD1523" s="137"/>
      <c r="BE1523" s="137"/>
      <c r="BF1523" s="137"/>
      <c r="BG1523" s="137"/>
      <c r="BH1523" s="138"/>
    </row>
    <row r="1524" spans="1:60" s="17" customFormat="1" ht="19.5" customHeight="1" thickBot="1" x14ac:dyDescent="0.4">
      <c r="A1524" s="41">
        <f t="shared" ref="A1524" si="1531">A1523</f>
        <v>45447</v>
      </c>
      <c r="B1524" s="37" t="str">
        <f>B1348</f>
        <v>Yıkama Takma</v>
      </c>
      <c r="C1524" s="65" t="str">
        <f>C1348</f>
        <v>MEHMET SAĞ</v>
      </c>
      <c r="D1524" s="70">
        <f>D1348</f>
        <v>125</v>
      </c>
      <c r="E1524" s="63"/>
      <c r="F1524" s="55"/>
      <c r="G1524" s="55"/>
      <c r="H1524" s="56"/>
      <c r="I1524" s="63"/>
      <c r="J1524" s="55"/>
      <c r="K1524" s="55"/>
      <c r="L1524" s="56"/>
      <c r="M1524" s="63"/>
      <c r="N1524" s="55"/>
      <c r="O1524" s="55"/>
      <c r="P1524" s="56"/>
      <c r="Q1524" s="63"/>
      <c r="R1524" s="55"/>
      <c r="S1524" s="55"/>
      <c r="T1524" s="55"/>
      <c r="U1524" s="56"/>
      <c r="V1524" s="63"/>
      <c r="W1524" s="55"/>
      <c r="X1524" s="55"/>
      <c r="Y1524" s="56"/>
      <c r="Z1524" s="63"/>
      <c r="AA1524" s="55"/>
      <c r="AB1524" s="55"/>
      <c r="AC1524" s="56"/>
      <c r="AD1524" s="63"/>
      <c r="AE1524" s="55"/>
      <c r="AF1524" s="55"/>
      <c r="AG1524" s="56"/>
      <c r="AH1524" s="63"/>
      <c r="AI1524" s="55"/>
      <c r="AJ1524" s="55"/>
      <c r="AK1524" s="56"/>
      <c r="AL1524" s="63"/>
      <c r="AM1524" s="55"/>
      <c r="AN1524" s="55"/>
      <c r="AO1524" s="56"/>
      <c r="AP1524" s="63"/>
      <c r="AQ1524" s="55"/>
      <c r="AR1524" s="55"/>
      <c r="AS1524" s="56"/>
      <c r="AT1524" s="53"/>
      <c r="AU1524" s="54"/>
      <c r="AV1524" s="55"/>
      <c r="AW1524" s="56"/>
      <c r="AX1524" s="33">
        <f>SUM(E1524:AW1524)</f>
        <v>0</v>
      </c>
      <c r="AY1524" s="31">
        <f>IFERROR(AVERAGEIF(E1524:AW1524,"&lt;&gt;0",(E1524:AW1524)),)</f>
        <v>0</v>
      </c>
      <c r="AZ1524" s="30">
        <f>IFERROR(AY1524/D1524,0)</f>
        <v>0</v>
      </c>
      <c r="BA1524" s="103" t="s">
        <v>182</v>
      </c>
      <c r="BB1524" s="100" t="s">
        <v>183</v>
      </c>
      <c r="BC1524" s="100" t="s">
        <v>184</v>
      </c>
      <c r="BD1524" s="101" t="s">
        <v>185</v>
      </c>
      <c r="BE1524" s="100" t="s">
        <v>186</v>
      </c>
      <c r="BF1524" s="102" t="s">
        <v>187</v>
      </c>
      <c r="BG1524" s="100" t="s">
        <v>188</v>
      </c>
      <c r="BH1524" s="102" t="s">
        <v>189</v>
      </c>
    </row>
    <row r="1525" spans="1:60" s="17" customFormat="1" ht="19.5" customHeight="1" thickBot="1" x14ac:dyDescent="0.4">
      <c r="A1525" s="41">
        <f t="shared" ref="A1525:B1525" si="1532">A1524</f>
        <v>45447</v>
      </c>
      <c r="B1525" s="37" t="str">
        <f t="shared" si="1532"/>
        <v>Yıkama Takma</v>
      </c>
      <c r="C1525" s="65">
        <f t="shared" ref="C1525:C1530" si="1533">C1349</f>
        <v>0</v>
      </c>
      <c r="D1525" s="67">
        <f t="shared" ref="D1525:D1530" si="1534">D1524</f>
        <v>125</v>
      </c>
      <c r="E1525" s="57"/>
      <c r="F1525" s="52"/>
      <c r="G1525" s="52"/>
      <c r="H1525" s="58"/>
      <c r="I1525" s="57"/>
      <c r="J1525" s="52"/>
      <c r="K1525" s="52"/>
      <c r="L1525" s="58"/>
      <c r="M1525" s="57"/>
      <c r="N1525" s="52"/>
      <c r="O1525" s="52"/>
      <c r="P1525" s="58"/>
      <c r="Q1525" s="57"/>
      <c r="R1525" s="52"/>
      <c r="S1525" s="52"/>
      <c r="T1525" s="52"/>
      <c r="U1525" s="58"/>
      <c r="V1525" s="57"/>
      <c r="W1525" s="52"/>
      <c r="X1525" s="52"/>
      <c r="Y1525" s="58"/>
      <c r="Z1525" s="57"/>
      <c r="AA1525" s="52"/>
      <c r="AB1525" s="52"/>
      <c r="AC1525" s="58"/>
      <c r="AD1525" s="57"/>
      <c r="AE1525" s="52"/>
      <c r="AF1525" s="52"/>
      <c r="AG1525" s="58"/>
      <c r="AH1525" s="57"/>
      <c r="AI1525" s="52"/>
      <c r="AJ1525" s="52"/>
      <c r="AK1525" s="58"/>
      <c r="AL1525" s="57"/>
      <c r="AM1525" s="52"/>
      <c r="AN1525" s="52"/>
      <c r="AO1525" s="58"/>
      <c r="AP1525" s="57"/>
      <c r="AQ1525" s="52"/>
      <c r="AR1525" s="52"/>
      <c r="AS1525" s="58"/>
      <c r="AT1525" s="57"/>
      <c r="AU1525" s="52"/>
      <c r="AV1525" s="52"/>
      <c r="AW1525" s="58"/>
      <c r="AX1525" s="33">
        <f t="shared" ref="AX1525:AX1530" si="1535">SUM(E1525:AW1525)</f>
        <v>0</v>
      </c>
      <c r="AY1525" s="31">
        <f t="shared" ref="AY1525:AY1530" si="1536">IFERROR(AVERAGEIF(E1525:AW1525,"&lt;&gt;0",(E1525:AW1525)),)</f>
        <v>0</v>
      </c>
      <c r="AZ1525" s="30">
        <f t="shared" ref="AZ1525:AZ1530" si="1537">IFERROR(AY1525/D1525,0)</f>
        <v>0</v>
      </c>
      <c r="BA1525" s="94">
        <f>AX1531+BA1349</f>
        <v>15950</v>
      </c>
      <c r="BB1525" s="95">
        <f>(D1531*8)</f>
        <v>4000</v>
      </c>
      <c r="BC1525" s="96">
        <f>C1413-BA1525</f>
        <v>26361</v>
      </c>
      <c r="BD1525" s="96">
        <f>BA1516-BA1525</f>
        <v>1343</v>
      </c>
      <c r="BE1525" s="97">
        <f>IFERROR(BC1525/E1531,0)</f>
        <v>0</v>
      </c>
      <c r="BF1525" s="98">
        <f>IFERROR(BE1525/9,0)</f>
        <v>0</v>
      </c>
      <c r="BG1525" s="97">
        <f>IFERROR(BC1525/AY1531,0)</f>
        <v>0</v>
      </c>
      <c r="BH1525" s="97">
        <f>IFERROR(BG1525/9,0)</f>
        <v>0</v>
      </c>
    </row>
    <row r="1526" spans="1:60" s="17" customFormat="1" ht="19.5" customHeight="1" x14ac:dyDescent="0.35">
      <c r="A1526" s="41">
        <f t="shared" ref="A1526:B1526" si="1538">A1525</f>
        <v>45447</v>
      </c>
      <c r="B1526" s="37" t="str">
        <f t="shared" si="1538"/>
        <v>Yıkama Takma</v>
      </c>
      <c r="C1526" s="65">
        <f t="shared" si="1533"/>
        <v>0</v>
      </c>
      <c r="D1526" s="67">
        <f t="shared" si="1534"/>
        <v>125</v>
      </c>
      <c r="E1526" s="57"/>
      <c r="F1526" s="52"/>
      <c r="G1526" s="52"/>
      <c r="H1526" s="58"/>
      <c r="I1526" s="57"/>
      <c r="J1526" s="52"/>
      <c r="K1526" s="52"/>
      <c r="L1526" s="58"/>
      <c r="M1526" s="57"/>
      <c r="N1526" s="52"/>
      <c r="O1526" s="52"/>
      <c r="P1526" s="58"/>
      <c r="Q1526" s="57"/>
      <c r="R1526" s="52"/>
      <c r="S1526" s="52"/>
      <c r="T1526" s="52"/>
      <c r="U1526" s="58"/>
      <c r="V1526" s="57"/>
      <c r="W1526" s="52"/>
      <c r="X1526" s="52"/>
      <c r="Y1526" s="58"/>
      <c r="Z1526" s="57"/>
      <c r="AA1526" s="52"/>
      <c r="AB1526" s="52"/>
      <c r="AC1526" s="58"/>
      <c r="AD1526" s="57"/>
      <c r="AE1526" s="52"/>
      <c r="AF1526" s="52"/>
      <c r="AG1526" s="58"/>
      <c r="AH1526" s="57"/>
      <c r="AI1526" s="52"/>
      <c r="AJ1526" s="52"/>
      <c r="AK1526" s="58"/>
      <c r="AL1526" s="57"/>
      <c r="AM1526" s="52"/>
      <c r="AN1526" s="52"/>
      <c r="AO1526" s="58"/>
      <c r="AP1526" s="57"/>
      <c r="AQ1526" s="52"/>
      <c r="AR1526" s="52"/>
      <c r="AS1526" s="58"/>
      <c r="AT1526" s="57"/>
      <c r="AU1526" s="52"/>
      <c r="AV1526" s="52"/>
      <c r="AW1526" s="58"/>
      <c r="AX1526" s="33">
        <f t="shared" si="1535"/>
        <v>0</v>
      </c>
      <c r="AY1526" s="31">
        <f t="shared" si="1536"/>
        <v>0</v>
      </c>
      <c r="AZ1526" s="30">
        <f t="shared" si="1537"/>
        <v>0</v>
      </c>
      <c r="BA1526" s="34"/>
      <c r="BB1526" s="34"/>
      <c r="BC1526" s="34"/>
      <c r="BD1526" s="76"/>
      <c r="BE1526" s="34"/>
      <c r="BF1526" s="34"/>
      <c r="BG1526" s="34"/>
      <c r="BH1526" s="34"/>
    </row>
    <row r="1527" spans="1:60" s="17" customFormat="1" ht="19.5" customHeight="1" x14ac:dyDescent="0.35">
      <c r="A1527" s="41">
        <f t="shared" ref="A1527:B1528" si="1539">A1526</f>
        <v>45447</v>
      </c>
      <c r="B1527" s="37" t="str">
        <f t="shared" si="1539"/>
        <v>Yıkama Takma</v>
      </c>
      <c r="C1527" s="65">
        <f t="shared" si="1533"/>
        <v>0</v>
      </c>
      <c r="D1527" s="67">
        <f t="shared" si="1534"/>
        <v>125</v>
      </c>
      <c r="E1527" s="57"/>
      <c r="F1527" s="52"/>
      <c r="G1527" s="52"/>
      <c r="H1527" s="58"/>
      <c r="I1527" s="57"/>
      <c r="J1527" s="52"/>
      <c r="K1527" s="52"/>
      <c r="L1527" s="58"/>
      <c r="M1527" s="57"/>
      <c r="N1527" s="52"/>
      <c r="O1527" s="52"/>
      <c r="P1527" s="58"/>
      <c r="Q1527" s="57"/>
      <c r="R1527" s="52"/>
      <c r="S1527" s="52"/>
      <c r="T1527" s="52"/>
      <c r="U1527" s="58"/>
      <c r="V1527" s="57"/>
      <c r="W1527" s="52"/>
      <c r="X1527" s="52"/>
      <c r="Y1527" s="58"/>
      <c r="Z1527" s="57"/>
      <c r="AA1527" s="52"/>
      <c r="AB1527" s="52"/>
      <c r="AC1527" s="58"/>
      <c r="AD1527" s="57"/>
      <c r="AE1527" s="52"/>
      <c r="AF1527" s="52"/>
      <c r="AG1527" s="58"/>
      <c r="AH1527" s="57"/>
      <c r="AI1527" s="52"/>
      <c r="AJ1527" s="52"/>
      <c r="AK1527" s="58"/>
      <c r="AL1527" s="57"/>
      <c r="AM1527" s="52"/>
      <c r="AN1527" s="52"/>
      <c r="AO1527" s="58"/>
      <c r="AP1527" s="57"/>
      <c r="AQ1527" s="52"/>
      <c r="AR1527" s="52"/>
      <c r="AS1527" s="58"/>
      <c r="AT1527" s="57"/>
      <c r="AU1527" s="52"/>
      <c r="AV1527" s="52"/>
      <c r="AW1527" s="58"/>
      <c r="AX1527" s="33">
        <f t="shared" si="1535"/>
        <v>0</v>
      </c>
      <c r="AY1527" s="31">
        <f t="shared" si="1536"/>
        <v>0</v>
      </c>
      <c r="AZ1527" s="30">
        <f t="shared" si="1537"/>
        <v>0</v>
      </c>
      <c r="BA1527" s="34"/>
      <c r="BB1527" s="34"/>
      <c r="BC1527" s="34"/>
      <c r="BD1527" s="76"/>
      <c r="BE1527" s="34"/>
      <c r="BF1527" s="34"/>
      <c r="BG1527" s="34"/>
      <c r="BH1527" s="34"/>
    </row>
    <row r="1528" spans="1:60" s="17" customFormat="1" ht="19.5" customHeight="1" x14ac:dyDescent="0.35">
      <c r="A1528" s="41">
        <f>A1525</f>
        <v>45447</v>
      </c>
      <c r="B1528" s="37" t="str">
        <f t="shared" si="1539"/>
        <v>Yıkama Takma</v>
      </c>
      <c r="C1528" s="65">
        <f t="shared" si="1533"/>
        <v>0</v>
      </c>
      <c r="D1528" s="67">
        <f t="shared" si="1534"/>
        <v>125</v>
      </c>
      <c r="E1528" s="57"/>
      <c r="F1528" s="52"/>
      <c r="G1528" s="52"/>
      <c r="H1528" s="58"/>
      <c r="I1528" s="57"/>
      <c r="J1528" s="52"/>
      <c r="K1528" s="52"/>
      <c r="L1528" s="58"/>
      <c r="M1528" s="57"/>
      <c r="N1528" s="52"/>
      <c r="O1528" s="52"/>
      <c r="P1528" s="58"/>
      <c r="Q1528" s="57"/>
      <c r="R1528" s="52"/>
      <c r="S1528" s="52"/>
      <c r="T1528" s="52"/>
      <c r="U1528" s="58"/>
      <c r="V1528" s="57"/>
      <c r="W1528" s="52"/>
      <c r="X1528" s="52"/>
      <c r="Y1528" s="58"/>
      <c r="Z1528" s="57"/>
      <c r="AA1528" s="52"/>
      <c r="AB1528" s="52"/>
      <c r="AC1528" s="58"/>
      <c r="AD1528" s="57"/>
      <c r="AE1528" s="52"/>
      <c r="AF1528" s="52"/>
      <c r="AG1528" s="58"/>
      <c r="AH1528" s="57"/>
      <c r="AI1528" s="52"/>
      <c r="AJ1528" s="52"/>
      <c r="AK1528" s="58"/>
      <c r="AL1528" s="57"/>
      <c r="AM1528" s="52"/>
      <c r="AN1528" s="52"/>
      <c r="AO1528" s="58"/>
      <c r="AP1528" s="57"/>
      <c r="AQ1528" s="52"/>
      <c r="AR1528" s="52"/>
      <c r="AS1528" s="58"/>
      <c r="AT1528" s="57"/>
      <c r="AU1528" s="52"/>
      <c r="AV1528" s="52"/>
      <c r="AW1528" s="58"/>
      <c r="AX1528" s="33">
        <f t="shared" si="1535"/>
        <v>0</v>
      </c>
      <c r="AY1528" s="31">
        <f t="shared" si="1536"/>
        <v>0</v>
      </c>
      <c r="AZ1528" s="30">
        <f t="shared" si="1537"/>
        <v>0</v>
      </c>
      <c r="BA1528" s="34"/>
      <c r="BB1528" s="34"/>
      <c r="BC1528" s="34"/>
      <c r="BD1528" s="76"/>
      <c r="BE1528" s="34"/>
      <c r="BF1528" s="34"/>
      <c r="BG1528" s="34"/>
      <c r="BH1528" s="34"/>
    </row>
    <row r="1529" spans="1:60" s="17" customFormat="1" ht="19.5" customHeight="1" x14ac:dyDescent="0.35">
      <c r="A1529" s="41">
        <f t="shared" ref="A1529:B1529" si="1540">A1528</f>
        <v>45447</v>
      </c>
      <c r="B1529" s="37" t="str">
        <f t="shared" si="1540"/>
        <v>Yıkama Takma</v>
      </c>
      <c r="C1529" s="65">
        <f t="shared" si="1533"/>
        <v>0</v>
      </c>
      <c r="D1529" s="67">
        <f t="shared" si="1534"/>
        <v>125</v>
      </c>
      <c r="E1529" s="57"/>
      <c r="F1529" s="52"/>
      <c r="G1529" s="52"/>
      <c r="H1529" s="58"/>
      <c r="I1529" s="57"/>
      <c r="J1529" s="52"/>
      <c r="K1529" s="52"/>
      <c r="L1529" s="58"/>
      <c r="M1529" s="57"/>
      <c r="N1529" s="52"/>
      <c r="O1529" s="52"/>
      <c r="P1529" s="58"/>
      <c r="Q1529" s="57"/>
      <c r="R1529" s="52"/>
      <c r="S1529" s="52"/>
      <c r="T1529" s="52"/>
      <c r="U1529" s="58"/>
      <c r="V1529" s="57"/>
      <c r="W1529" s="52"/>
      <c r="X1529" s="52"/>
      <c r="Y1529" s="58"/>
      <c r="Z1529" s="57"/>
      <c r="AA1529" s="52"/>
      <c r="AB1529" s="52"/>
      <c r="AC1529" s="58"/>
      <c r="AD1529" s="57"/>
      <c r="AE1529" s="52"/>
      <c r="AF1529" s="52"/>
      <c r="AG1529" s="58"/>
      <c r="AH1529" s="57"/>
      <c r="AI1529" s="52"/>
      <c r="AJ1529" s="52"/>
      <c r="AK1529" s="58"/>
      <c r="AL1529" s="57"/>
      <c r="AM1529" s="52"/>
      <c r="AN1529" s="52"/>
      <c r="AO1529" s="58"/>
      <c r="AP1529" s="57"/>
      <c r="AQ1529" s="52"/>
      <c r="AR1529" s="52"/>
      <c r="AS1529" s="58"/>
      <c r="AT1529" s="57"/>
      <c r="AU1529" s="52"/>
      <c r="AV1529" s="52"/>
      <c r="AW1529" s="58"/>
      <c r="AX1529" s="33">
        <f t="shared" si="1535"/>
        <v>0</v>
      </c>
      <c r="AY1529" s="31">
        <f t="shared" si="1536"/>
        <v>0</v>
      </c>
      <c r="AZ1529" s="30">
        <f t="shared" si="1537"/>
        <v>0</v>
      </c>
      <c r="BA1529" s="34"/>
      <c r="BB1529" s="34"/>
      <c r="BC1529" s="34"/>
      <c r="BD1529" s="76"/>
      <c r="BE1529" s="34"/>
      <c r="BF1529" s="34"/>
      <c r="BG1529" s="34"/>
      <c r="BH1529" s="34"/>
    </row>
    <row r="1530" spans="1:60" s="17" customFormat="1" ht="19.5" customHeight="1" thickBot="1" x14ac:dyDescent="0.4">
      <c r="A1530" s="41">
        <f t="shared" ref="A1530:B1531" si="1541">A1529</f>
        <v>45447</v>
      </c>
      <c r="B1530" s="37" t="str">
        <f t="shared" si="1541"/>
        <v>Yıkama Takma</v>
      </c>
      <c r="C1530" s="65">
        <f t="shared" si="1533"/>
        <v>0</v>
      </c>
      <c r="D1530" s="67">
        <f t="shared" si="1534"/>
        <v>125</v>
      </c>
      <c r="E1530" s="59"/>
      <c r="F1530" s="60"/>
      <c r="G1530" s="61"/>
      <c r="H1530" s="62"/>
      <c r="I1530" s="59"/>
      <c r="J1530" s="60"/>
      <c r="K1530" s="61"/>
      <c r="L1530" s="62"/>
      <c r="M1530" s="59"/>
      <c r="N1530" s="60"/>
      <c r="O1530" s="61"/>
      <c r="P1530" s="62"/>
      <c r="Q1530" s="64"/>
      <c r="R1530" s="61"/>
      <c r="S1530" s="61"/>
      <c r="T1530" s="61"/>
      <c r="U1530" s="62"/>
      <c r="V1530" s="59"/>
      <c r="W1530" s="60"/>
      <c r="X1530" s="61"/>
      <c r="Y1530" s="62"/>
      <c r="Z1530" s="59"/>
      <c r="AA1530" s="60"/>
      <c r="AB1530" s="61"/>
      <c r="AC1530" s="62"/>
      <c r="AD1530" s="59"/>
      <c r="AE1530" s="60"/>
      <c r="AF1530" s="61"/>
      <c r="AG1530" s="62"/>
      <c r="AH1530" s="59"/>
      <c r="AI1530" s="60"/>
      <c r="AJ1530" s="61"/>
      <c r="AK1530" s="62"/>
      <c r="AL1530" s="59"/>
      <c r="AM1530" s="60"/>
      <c r="AN1530" s="61"/>
      <c r="AO1530" s="62"/>
      <c r="AP1530" s="59"/>
      <c r="AQ1530" s="60"/>
      <c r="AR1530" s="61"/>
      <c r="AS1530" s="62"/>
      <c r="AT1530" s="59"/>
      <c r="AU1530" s="60"/>
      <c r="AV1530" s="61"/>
      <c r="AW1530" s="62"/>
      <c r="AX1530" s="33">
        <f t="shared" si="1535"/>
        <v>0</v>
      </c>
      <c r="AY1530" s="31">
        <f t="shared" si="1536"/>
        <v>0</v>
      </c>
      <c r="AZ1530" s="30">
        <f t="shared" si="1537"/>
        <v>0</v>
      </c>
      <c r="BA1530" s="34"/>
      <c r="BB1530" s="34"/>
      <c r="BC1530" s="34"/>
      <c r="BD1530" s="76"/>
      <c r="BE1530" s="34"/>
      <c r="BF1530" s="34"/>
      <c r="BG1530" s="34"/>
      <c r="BH1530" s="34"/>
    </row>
    <row r="1531" spans="1:60" s="17" customFormat="1" ht="19.5" customHeight="1" thickBot="1" x14ac:dyDescent="0.45">
      <c r="A1531" s="41">
        <f t="shared" si="1541"/>
        <v>45447</v>
      </c>
      <c r="B1531" s="139" t="str">
        <f>B1524</f>
        <v>Yıkama Takma</v>
      </c>
      <c r="C1531" s="140"/>
      <c r="D1531" s="40">
        <f>C1414/8</f>
        <v>500</v>
      </c>
      <c r="E1531" s="147">
        <f>SUM(E1524:H1530)</f>
        <v>0</v>
      </c>
      <c r="F1531" s="148"/>
      <c r="G1531" s="148"/>
      <c r="H1531" s="149"/>
      <c r="I1531" s="147">
        <f>SUM(I1524:L1530)</f>
        <v>0</v>
      </c>
      <c r="J1531" s="148"/>
      <c r="K1531" s="148"/>
      <c r="L1531" s="149"/>
      <c r="M1531" s="147">
        <f>SUM(M1524:P1530)</f>
        <v>0</v>
      </c>
      <c r="N1531" s="148"/>
      <c r="O1531" s="148"/>
      <c r="P1531" s="149"/>
      <c r="Q1531" s="147">
        <f>SUM(Q1524:U1530)</f>
        <v>0</v>
      </c>
      <c r="R1531" s="148"/>
      <c r="S1531" s="148"/>
      <c r="T1531" s="148"/>
      <c r="U1531" s="149"/>
      <c r="V1531" s="147">
        <f>SUM(V1524:Y1530)</f>
        <v>0</v>
      </c>
      <c r="W1531" s="148"/>
      <c r="X1531" s="148"/>
      <c r="Y1531" s="149"/>
      <c r="Z1531" s="147">
        <f>SUM(Z1524:AC1530)</f>
        <v>0</v>
      </c>
      <c r="AA1531" s="148"/>
      <c r="AB1531" s="148"/>
      <c r="AC1531" s="149"/>
      <c r="AD1531" s="147">
        <f>SUM(AD1524:AG1530)</f>
        <v>0</v>
      </c>
      <c r="AE1531" s="148"/>
      <c r="AF1531" s="148"/>
      <c r="AG1531" s="149"/>
      <c r="AH1531" s="147">
        <f>SUM(AH1524:AK1530)</f>
        <v>0</v>
      </c>
      <c r="AI1531" s="148"/>
      <c r="AJ1531" s="148"/>
      <c r="AK1531" s="149"/>
      <c r="AL1531" s="147">
        <f>SUM(AL1524:AO1530)</f>
        <v>0</v>
      </c>
      <c r="AM1531" s="148"/>
      <c r="AN1531" s="148"/>
      <c r="AO1531" s="149"/>
      <c r="AP1531" s="147">
        <f>SUM(AP1524:AS1530)</f>
        <v>0</v>
      </c>
      <c r="AQ1531" s="148"/>
      <c r="AR1531" s="148"/>
      <c r="AS1531" s="149"/>
      <c r="AT1531" s="147">
        <f>SUM(AT1524:AW1530)</f>
        <v>0</v>
      </c>
      <c r="AU1531" s="148"/>
      <c r="AV1531" s="148"/>
      <c r="AW1531" s="149"/>
      <c r="AX1531" s="87">
        <f>SUM(AX1524:AX1530)</f>
        <v>0</v>
      </c>
      <c r="AY1531" s="88">
        <f>IFERROR(AVERAGEIF(E1531:AV1531,"&lt;&gt;0",(E1531:AV1531)),)</f>
        <v>0</v>
      </c>
      <c r="AZ1531" s="46">
        <f>IFERROR(AX1531/BB1525,0)</f>
        <v>0</v>
      </c>
      <c r="BA1531" s="34"/>
      <c r="BB1531" s="34"/>
      <c r="BC1531" s="34"/>
      <c r="BD1531" s="76"/>
      <c r="BE1531" s="34"/>
      <c r="BF1531" s="34"/>
      <c r="BG1531" s="34"/>
      <c r="BH1531" s="34"/>
    </row>
    <row r="1532" spans="1:60" s="17" customFormat="1" ht="19.5" customHeight="1" thickBot="1" x14ac:dyDescent="0.4">
      <c r="A1532" s="42">
        <f>A1523</f>
        <v>45447</v>
      </c>
      <c r="B1532" s="38" t="str">
        <f>B1533</f>
        <v>Kol Reçme</v>
      </c>
      <c r="C1532" s="39" t="s">
        <v>180</v>
      </c>
      <c r="D1532" s="69" t="s">
        <v>181</v>
      </c>
      <c r="E1532" s="48">
        <v>0.34375</v>
      </c>
      <c r="F1532" s="49">
        <v>0.35416666666666669</v>
      </c>
      <c r="G1532" s="49">
        <v>0.36458333333333331</v>
      </c>
      <c r="H1532" s="50">
        <v>0.375</v>
      </c>
      <c r="I1532" s="48">
        <v>0.38541666666666702</v>
      </c>
      <c r="J1532" s="49">
        <v>0.39583333333333298</v>
      </c>
      <c r="K1532" s="49">
        <v>0.40625</v>
      </c>
      <c r="L1532" s="50">
        <v>0.41666666666666702</v>
      </c>
      <c r="M1532" s="48">
        <v>0.4375</v>
      </c>
      <c r="N1532" s="49">
        <v>0.44791666666666702</v>
      </c>
      <c r="O1532" s="49">
        <v>0.45833333333333398</v>
      </c>
      <c r="P1532" s="50">
        <v>0.46875</v>
      </c>
      <c r="Q1532" s="82">
        <v>0.47916666666666702</v>
      </c>
      <c r="R1532" s="83">
        <v>0.48958333333333398</v>
      </c>
      <c r="S1532" s="83">
        <v>0.5</v>
      </c>
      <c r="T1532" s="84">
        <v>0.51041666666666696</v>
      </c>
      <c r="U1532" s="85">
        <v>0.52083333333333204</v>
      </c>
      <c r="V1532" s="48">
        <v>0.5625</v>
      </c>
      <c r="W1532" s="49">
        <v>0.57291666666666663</v>
      </c>
      <c r="X1532" s="49">
        <v>0.58333333333333304</v>
      </c>
      <c r="Y1532" s="50">
        <v>0.59375</v>
      </c>
      <c r="Z1532" s="48">
        <v>0.60416666666666696</v>
      </c>
      <c r="AA1532" s="49">
        <v>0.61458333333333304</v>
      </c>
      <c r="AB1532" s="49">
        <v>0.625</v>
      </c>
      <c r="AC1532" s="50">
        <v>0.63541666666666596</v>
      </c>
      <c r="AD1532" s="48">
        <v>0.65625</v>
      </c>
      <c r="AE1532" s="49">
        <v>0.66666666666666663</v>
      </c>
      <c r="AF1532" s="49">
        <v>0.67708333333333304</v>
      </c>
      <c r="AG1532" s="50">
        <v>0.6875</v>
      </c>
      <c r="AH1532" s="48">
        <v>0.69791666666666696</v>
      </c>
      <c r="AI1532" s="49">
        <v>0.70833333333333304</v>
      </c>
      <c r="AJ1532" s="49">
        <v>0.71875</v>
      </c>
      <c r="AK1532" s="50">
        <v>0.72916666666666696</v>
      </c>
      <c r="AL1532" s="48">
        <v>0.73958333333333404</v>
      </c>
      <c r="AM1532" s="49">
        <v>0.750000000000001</v>
      </c>
      <c r="AN1532" s="49">
        <v>0.76041666666666796</v>
      </c>
      <c r="AO1532" s="50">
        <v>0.77083333333333504</v>
      </c>
      <c r="AP1532" s="48">
        <v>0.781250000000002</v>
      </c>
      <c r="AQ1532" s="49">
        <v>0.79166666666666896</v>
      </c>
      <c r="AR1532" s="49">
        <v>0.80208333333333603</v>
      </c>
      <c r="AS1532" s="50">
        <v>0.812500000000003</v>
      </c>
      <c r="AT1532" s="48">
        <v>0.82291666666666996</v>
      </c>
      <c r="AU1532" s="49">
        <v>0.83333333333333703</v>
      </c>
      <c r="AV1532" s="49">
        <v>0.843750000000004</v>
      </c>
      <c r="AW1532" s="50">
        <v>0.85416666666666663</v>
      </c>
      <c r="AX1532" s="68" t="s">
        <v>260</v>
      </c>
      <c r="AY1532" s="28" t="s">
        <v>261</v>
      </c>
      <c r="AZ1532" s="29" t="s">
        <v>262</v>
      </c>
      <c r="BA1532" s="136" t="str">
        <f>B1533</f>
        <v>Kol Reçme</v>
      </c>
      <c r="BB1532" s="137"/>
      <c r="BC1532" s="137"/>
      <c r="BD1532" s="137"/>
      <c r="BE1532" s="137"/>
      <c r="BF1532" s="137"/>
      <c r="BG1532" s="137"/>
      <c r="BH1532" s="138"/>
    </row>
    <row r="1533" spans="1:60" s="17" customFormat="1" ht="19.5" customHeight="1" thickBot="1" x14ac:dyDescent="0.4">
      <c r="A1533" s="41">
        <f t="shared" ref="A1533" si="1542">A1532</f>
        <v>45447</v>
      </c>
      <c r="B1533" s="37" t="str">
        <f>B1357</f>
        <v>Kol Reçme</v>
      </c>
      <c r="C1533" s="65" t="str">
        <f>C1357</f>
        <v>LEYLA ERDOĞAN</v>
      </c>
      <c r="D1533" s="70">
        <f>D1357</f>
        <v>60</v>
      </c>
      <c r="E1533" s="63"/>
      <c r="F1533" s="55"/>
      <c r="G1533" s="55"/>
      <c r="H1533" s="56"/>
      <c r="I1533" s="63"/>
      <c r="J1533" s="55"/>
      <c r="K1533" s="55"/>
      <c r="L1533" s="56"/>
      <c r="M1533" s="63"/>
      <c r="N1533" s="55"/>
      <c r="O1533" s="55"/>
      <c r="P1533" s="56"/>
      <c r="Q1533" s="63"/>
      <c r="R1533" s="55"/>
      <c r="S1533" s="55"/>
      <c r="T1533" s="55"/>
      <c r="U1533" s="56"/>
      <c r="V1533" s="63"/>
      <c r="W1533" s="55"/>
      <c r="X1533" s="55"/>
      <c r="Y1533" s="56"/>
      <c r="Z1533" s="63"/>
      <c r="AA1533" s="55"/>
      <c r="AB1533" s="55"/>
      <c r="AC1533" s="56"/>
      <c r="AD1533" s="63"/>
      <c r="AE1533" s="55"/>
      <c r="AF1533" s="55"/>
      <c r="AG1533" s="56"/>
      <c r="AH1533" s="63"/>
      <c r="AI1533" s="55"/>
      <c r="AJ1533" s="55"/>
      <c r="AK1533" s="56"/>
      <c r="AL1533" s="53"/>
      <c r="AM1533" s="54"/>
      <c r="AN1533" s="55"/>
      <c r="AO1533" s="56"/>
      <c r="AP1533" s="53"/>
      <c r="AQ1533" s="54"/>
      <c r="AR1533" s="55"/>
      <c r="AS1533" s="56"/>
      <c r="AT1533" s="53"/>
      <c r="AU1533" s="54"/>
      <c r="AV1533" s="55"/>
      <c r="AW1533" s="56"/>
      <c r="AX1533" s="33">
        <f>SUM(E1533:AW1533)</f>
        <v>0</v>
      </c>
      <c r="AY1533" s="31">
        <f>IFERROR(AVERAGEIF(E1533:AW1533,"&lt;&gt;0",(E1533:AW1533)),)</f>
        <v>0</v>
      </c>
      <c r="AZ1533" s="30">
        <f>IFERROR(AY1533/D1533,0)</f>
        <v>0</v>
      </c>
      <c r="BA1533" s="103" t="s">
        <v>182</v>
      </c>
      <c r="BB1533" s="100" t="s">
        <v>183</v>
      </c>
      <c r="BC1533" s="100" t="s">
        <v>184</v>
      </c>
      <c r="BD1533" s="101" t="s">
        <v>185</v>
      </c>
      <c r="BE1533" s="100" t="s">
        <v>186</v>
      </c>
      <c r="BF1533" s="102" t="s">
        <v>187</v>
      </c>
      <c r="BG1533" s="100" t="s">
        <v>188</v>
      </c>
      <c r="BH1533" s="102" t="s">
        <v>189</v>
      </c>
    </row>
    <row r="1534" spans="1:60" s="17" customFormat="1" ht="19.5" customHeight="1" thickBot="1" x14ac:dyDescent="0.4">
      <c r="A1534" s="41">
        <f t="shared" ref="A1534:B1534" si="1543">A1533</f>
        <v>45447</v>
      </c>
      <c r="B1534" s="37" t="str">
        <f t="shared" si="1543"/>
        <v>Kol Reçme</v>
      </c>
      <c r="C1534" s="65" t="str">
        <f t="shared" ref="C1534:C1539" si="1544">C1358</f>
        <v>SEMA GEZGİNCİ</v>
      </c>
      <c r="D1534" s="67">
        <f t="shared" ref="D1534:D1539" si="1545">D1533</f>
        <v>60</v>
      </c>
      <c r="E1534" s="57"/>
      <c r="F1534" s="52"/>
      <c r="G1534" s="52"/>
      <c r="H1534" s="58"/>
      <c r="I1534" s="57"/>
      <c r="J1534" s="52"/>
      <c r="K1534" s="52"/>
      <c r="L1534" s="58"/>
      <c r="M1534" s="57"/>
      <c r="N1534" s="52"/>
      <c r="O1534" s="52"/>
      <c r="P1534" s="58"/>
      <c r="Q1534" s="57"/>
      <c r="R1534" s="52"/>
      <c r="S1534" s="52"/>
      <c r="T1534" s="52"/>
      <c r="U1534" s="58"/>
      <c r="V1534" s="57"/>
      <c r="W1534" s="52"/>
      <c r="X1534" s="52"/>
      <c r="Y1534" s="58"/>
      <c r="Z1534" s="57"/>
      <c r="AA1534" s="52"/>
      <c r="AB1534" s="52"/>
      <c r="AC1534" s="58"/>
      <c r="AD1534" s="57"/>
      <c r="AE1534" s="52"/>
      <c r="AF1534" s="52"/>
      <c r="AG1534" s="58"/>
      <c r="AH1534" s="57"/>
      <c r="AI1534" s="52"/>
      <c r="AJ1534" s="52"/>
      <c r="AK1534" s="58"/>
      <c r="AL1534" s="57"/>
      <c r="AM1534" s="52"/>
      <c r="AN1534" s="52"/>
      <c r="AO1534" s="58"/>
      <c r="AP1534" s="57"/>
      <c r="AQ1534" s="52"/>
      <c r="AR1534" s="52"/>
      <c r="AS1534" s="58"/>
      <c r="AT1534" s="57"/>
      <c r="AU1534" s="52"/>
      <c r="AV1534" s="52"/>
      <c r="AW1534" s="58"/>
      <c r="AX1534" s="33">
        <f t="shared" ref="AX1534:AX1539" si="1546">SUM(E1534:AW1534)</f>
        <v>0</v>
      </c>
      <c r="AY1534" s="31">
        <f t="shared" ref="AY1534:AY1539" si="1547">IFERROR(AVERAGEIF(E1534:AW1534,"&lt;&gt;0",(E1534:AW1534)),)</f>
        <v>0</v>
      </c>
      <c r="AZ1534" s="30">
        <f t="shared" ref="AZ1534:AZ1539" si="1548">IFERROR(AY1534/D1534,0)</f>
        <v>0</v>
      </c>
      <c r="BA1534" s="94">
        <f>AX1540+BA1358</f>
        <v>15828</v>
      </c>
      <c r="BB1534" s="95">
        <f>(D1540*8)</f>
        <v>4000</v>
      </c>
      <c r="BC1534" s="96">
        <f>C1413-BA1534</f>
        <v>26483</v>
      </c>
      <c r="BD1534" s="96">
        <f>BA1525-BA1534</f>
        <v>122</v>
      </c>
      <c r="BE1534" s="97">
        <f>IFERROR(BC1534/E1540,0)</f>
        <v>0</v>
      </c>
      <c r="BF1534" s="98">
        <f>IFERROR(BE1534/9,0)</f>
        <v>0</v>
      </c>
      <c r="BG1534" s="97">
        <f>IFERROR(BC1534/AY1540,0)</f>
        <v>0</v>
      </c>
      <c r="BH1534" s="97">
        <f>IFERROR(BG1534/9,0)</f>
        <v>0</v>
      </c>
    </row>
    <row r="1535" spans="1:60" s="17" customFormat="1" ht="19.5" customHeight="1" x14ac:dyDescent="0.35">
      <c r="A1535" s="41">
        <f t="shared" ref="A1535:B1535" si="1549">A1534</f>
        <v>45447</v>
      </c>
      <c r="B1535" s="37" t="str">
        <f t="shared" si="1549"/>
        <v>Kol Reçme</v>
      </c>
      <c r="C1535" s="65" t="str">
        <f t="shared" si="1544"/>
        <v>BEYZANUR ERTÜRK</v>
      </c>
      <c r="D1535" s="67">
        <f t="shared" si="1545"/>
        <v>60</v>
      </c>
      <c r="E1535" s="57"/>
      <c r="F1535" s="52"/>
      <c r="G1535" s="52"/>
      <c r="H1535" s="58"/>
      <c r="I1535" s="57"/>
      <c r="J1535" s="52"/>
      <c r="K1535" s="52"/>
      <c r="L1535" s="58"/>
      <c r="M1535" s="57"/>
      <c r="N1535" s="52"/>
      <c r="O1535" s="52"/>
      <c r="P1535" s="58"/>
      <c r="Q1535" s="57"/>
      <c r="R1535" s="52"/>
      <c r="S1535" s="52"/>
      <c r="T1535" s="52"/>
      <c r="U1535" s="58"/>
      <c r="V1535" s="57"/>
      <c r="W1535" s="52"/>
      <c r="X1535" s="52"/>
      <c r="Y1535" s="58"/>
      <c r="Z1535" s="57"/>
      <c r="AA1535" s="52"/>
      <c r="AB1535" s="52"/>
      <c r="AC1535" s="58"/>
      <c r="AD1535" s="57"/>
      <c r="AE1535" s="52"/>
      <c r="AF1535" s="52"/>
      <c r="AG1535" s="58"/>
      <c r="AH1535" s="57"/>
      <c r="AI1535" s="52"/>
      <c r="AJ1535" s="52"/>
      <c r="AK1535" s="58"/>
      <c r="AL1535" s="57"/>
      <c r="AM1535" s="52"/>
      <c r="AN1535" s="52"/>
      <c r="AO1535" s="58"/>
      <c r="AP1535" s="57"/>
      <c r="AQ1535" s="52"/>
      <c r="AR1535" s="52"/>
      <c r="AS1535" s="58"/>
      <c r="AT1535" s="57"/>
      <c r="AU1535" s="52"/>
      <c r="AV1535" s="52"/>
      <c r="AW1535" s="58"/>
      <c r="AX1535" s="33">
        <f t="shared" si="1546"/>
        <v>0</v>
      </c>
      <c r="AY1535" s="31">
        <f t="shared" si="1547"/>
        <v>0</v>
      </c>
      <c r="AZ1535" s="30">
        <f t="shared" si="1548"/>
        <v>0</v>
      </c>
      <c r="BA1535" s="34"/>
      <c r="BB1535" s="34"/>
      <c r="BC1535" s="34"/>
      <c r="BD1535" s="76"/>
      <c r="BE1535" s="34"/>
      <c r="BF1535" s="34"/>
      <c r="BG1535" s="34"/>
      <c r="BH1535" s="34"/>
    </row>
    <row r="1536" spans="1:60" s="17" customFormat="1" ht="19.5" customHeight="1" x14ac:dyDescent="0.35">
      <c r="A1536" s="41">
        <f t="shared" ref="A1536:B1537" si="1550">A1535</f>
        <v>45447</v>
      </c>
      <c r="B1536" s="37" t="str">
        <f t="shared" si="1550"/>
        <v>Kol Reçme</v>
      </c>
      <c r="C1536" s="65" t="str">
        <f t="shared" si="1544"/>
        <v>SEVİNÇ KUNDAKÇI</v>
      </c>
      <c r="D1536" s="67">
        <f t="shared" si="1545"/>
        <v>60</v>
      </c>
      <c r="E1536" s="57"/>
      <c r="F1536" s="52"/>
      <c r="G1536" s="52"/>
      <c r="H1536" s="58"/>
      <c r="I1536" s="57"/>
      <c r="J1536" s="52"/>
      <c r="K1536" s="52"/>
      <c r="L1536" s="58"/>
      <c r="M1536" s="57"/>
      <c r="N1536" s="52"/>
      <c r="O1536" s="52"/>
      <c r="P1536" s="58"/>
      <c r="Q1536" s="57"/>
      <c r="R1536" s="52"/>
      <c r="S1536" s="52"/>
      <c r="T1536" s="52"/>
      <c r="U1536" s="58"/>
      <c r="V1536" s="57"/>
      <c r="W1536" s="52"/>
      <c r="X1536" s="52"/>
      <c r="Y1536" s="58"/>
      <c r="Z1536" s="57"/>
      <c r="AA1536" s="52"/>
      <c r="AB1536" s="52"/>
      <c r="AC1536" s="58"/>
      <c r="AD1536" s="57"/>
      <c r="AE1536" s="52"/>
      <c r="AF1536" s="52"/>
      <c r="AG1536" s="58"/>
      <c r="AH1536" s="57"/>
      <c r="AI1536" s="52"/>
      <c r="AJ1536" s="52"/>
      <c r="AK1536" s="58"/>
      <c r="AL1536" s="57"/>
      <c r="AM1536" s="52"/>
      <c r="AN1536" s="52"/>
      <c r="AO1536" s="58"/>
      <c r="AP1536" s="57"/>
      <c r="AQ1536" s="52"/>
      <c r="AR1536" s="52"/>
      <c r="AS1536" s="58"/>
      <c r="AT1536" s="57"/>
      <c r="AU1536" s="52"/>
      <c r="AV1536" s="52"/>
      <c r="AW1536" s="58"/>
      <c r="AX1536" s="33">
        <f t="shared" si="1546"/>
        <v>0</v>
      </c>
      <c r="AY1536" s="31">
        <f t="shared" si="1547"/>
        <v>0</v>
      </c>
      <c r="AZ1536" s="30">
        <f t="shared" si="1548"/>
        <v>0</v>
      </c>
      <c r="BA1536" s="34"/>
      <c r="BB1536" s="34"/>
      <c r="BC1536" s="34"/>
      <c r="BD1536" s="76"/>
      <c r="BE1536" s="34"/>
      <c r="BF1536" s="34"/>
      <c r="BG1536" s="34"/>
      <c r="BH1536" s="34"/>
    </row>
    <row r="1537" spans="1:60" s="17" customFormat="1" ht="19.5" customHeight="1" x14ac:dyDescent="0.35">
      <c r="A1537" s="41">
        <f>A1534</f>
        <v>45447</v>
      </c>
      <c r="B1537" s="37" t="str">
        <f t="shared" si="1550"/>
        <v>Kol Reçme</v>
      </c>
      <c r="C1537" s="65">
        <f t="shared" si="1544"/>
        <v>0</v>
      </c>
      <c r="D1537" s="67">
        <f t="shared" si="1545"/>
        <v>60</v>
      </c>
      <c r="E1537" s="57"/>
      <c r="F1537" s="52"/>
      <c r="G1537" s="52"/>
      <c r="H1537" s="58"/>
      <c r="I1537" s="57"/>
      <c r="J1537" s="52"/>
      <c r="K1537" s="52"/>
      <c r="L1537" s="58"/>
      <c r="M1537" s="57"/>
      <c r="N1537" s="52"/>
      <c r="O1537" s="52"/>
      <c r="P1537" s="58"/>
      <c r="Q1537" s="57"/>
      <c r="R1537" s="52"/>
      <c r="S1537" s="52"/>
      <c r="T1537" s="52"/>
      <c r="U1537" s="58"/>
      <c r="V1537" s="57"/>
      <c r="W1537" s="52"/>
      <c r="X1537" s="52"/>
      <c r="Y1537" s="58"/>
      <c r="Z1537" s="57"/>
      <c r="AA1537" s="52"/>
      <c r="AB1537" s="52"/>
      <c r="AC1537" s="58"/>
      <c r="AD1537" s="57"/>
      <c r="AE1537" s="52"/>
      <c r="AF1537" s="52"/>
      <c r="AG1537" s="58"/>
      <c r="AH1537" s="57"/>
      <c r="AI1537" s="52"/>
      <c r="AJ1537" s="52"/>
      <c r="AK1537" s="58"/>
      <c r="AL1537" s="57"/>
      <c r="AM1537" s="52"/>
      <c r="AN1537" s="52"/>
      <c r="AO1537" s="58"/>
      <c r="AP1537" s="57"/>
      <c r="AQ1537" s="52"/>
      <c r="AR1537" s="52"/>
      <c r="AS1537" s="58"/>
      <c r="AT1537" s="57"/>
      <c r="AU1537" s="52"/>
      <c r="AV1537" s="52"/>
      <c r="AW1537" s="58"/>
      <c r="AX1537" s="33">
        <f t="shared" si="1546"/>
        <v>0</v>
      </c>
      <c r="AY1537" s="31">
        <f t="shared" si="1547"/>
        <v>0</v>
      </c>
      <c r="AZ1537" s="30">
        <f t="shared" si="1548"/>
        <v>0</v>
      </c>
      <c r="BA1537" s="34"/>
      <c r="BB1537" s="34"/>
      <c r="BC1537" s="34"/>
      <c r="BD1537" s="76"/>
      <c r="BE1537" s="34"/>
      <c r="BF1537" s="34"/>
      <c r="BG1537" s="34"/>
      <c r="BH1537" s="34"/>
    </row>
    <row r="1538" spans="1:60" s="17" customFormat="1" ht="19.5" customHeight="1" x14ac:dyDescent="0.35">
      <c r="A1538" s="41">
        <f t="shared" ref="A1538:B1538" si="1551">A1537</f>
        <v>45447</v>
      </c>
      <c r="B1538" s="37" t="str">
        <f t="shared" si="1551"/>
        <v>Kol Reçme</v>
      </c>
      <c r="C1538" s="65">
        <f t="shared" si="1544"/>
        <v>0</v>
      </c>
      <c r="D1538" s="67">
        <f t="shared" si="1545"/>
        <v>60</v>
      </c>
      <c r="E1538" s="57"/>
      <c r="F1538" s="52"/>
      <c r="G1538" s="52"/>
      <c r="H1538" s="58"/>
      <c r="I1538" s="57"/>
      <c r="J1538" s="52"/>
      <c r="K1538" s="52"/>
      <c r="L1538" s="58"/>
      <c r="M1538" s="57"/>
      <c r="N1538" s="52"/>
      <c r="O1538" s="52"/>
      <c r="P1538" s="78"/>
      <c r="Q1538" s="57"/>
      <c r="R1538" s="52"/>
      <c r="S1538" s="52"/>
      <c r="T1538" s="52"/>
      <c r="U1538" s="58"/>
      <c r="V1538" s="80"/>
      <c r="W1538" s="52"/>
      <c r="X1538" s="52"/>
      <c r="Y1538" s="58"/>
      <c r="Z1538" s="57"/>
      <c r="AA1538" s="52"/>
      <c r="AB1538" s="52"/>
      <c r="AC1538" s="58"/>
      <c r="AD1538" s="57"/>
      <c r="AE1538" s="52"/>
      <c r="AF1538" s="52"/>
      <c r="AG1538" s="58"/>
      <c r="AH1538" s="57"/>
      <c r="AI1538" s="52"/>
      <c r="AJ1538" s="52"/>
      <c r="AK1538" s="58"/>
      <c r="AL1538" s="57"/>
      <c r="AM1538" s="52"/>
      <c r="AN1538" s="52"/>
      <c r="AO1538" s="58"/>
      <c r="AP1538" s="57"/>
      <c r="AQ1538" s="52"/>
      <c r="AR1538" s="52"/>
      <c r="AS1538" s="58"/>
      <c r="AT1538" s="57"/>
      <c r="AU1538" s="52"/>
      <c r="AV1538" s="52"/>
      <c r="AW1538" s="58"/>
      <c r="AX1538" s="33">
        <f t="shared" si="1546"/>
        <v>0</v>
      </c>
      <c r="AY1538" s="31">
        <f t="shared" si="1547"/>
        <v>0</v>
      </c>
      <c r="AZ1538" s="30">
        <f t="shared" si="1548"/>
        <v>0</v>
      </c>
      <c r="BA1538" s="34"/>
      <c r="BB1538" s="34"/>
      <c r="BC1538" s="34"/>
      <c r="BD1538" s="76"/>
      <c r="BE1538" s="34"/>
      <c r="BF1538" s="34"/>
      <c r="BG1538" s="34"/>
      <c r="BH1538" s="34"/>
    </row>
    <row r="1539" spans="1:60" s="17" customFormat="1" ht="19.5" customHeight="1" thickBot="1" x14ac:dyDescent="0.4">
      <c r="A1539" s="41">
        <f t="shared" ref="A1539:B1540" si="1552">A1538</f>
        <v>45447</v>
      </c>
      <c r="B1539" s="37" t="str">
        <f t="shared" si="1552"/>
        <v>Kol Reçme</v>
      </c>
      <c r="C1539" s="65">
        <f t="shared" si="1544"/>
        <v>0</v>
      </c>
      <c r="D1539" s="67">
        <f t="shared" si="1545"/>
        <v>60</v>
      </c>
      <c r="E1539" s="59"/>
      <c r="F1539" s="60"/>
      <c r="G1539" s="61"/>
      <c r="H1539" s="62"/>
      <c r="I1539" s="59"/>
      <c r="J1539" s="60"/>
      <c r="K1539" s="61"/>
      <c r="L1539" s="62"/>
      <c r="M1539" s="59"/>
      <c r="N1539" s="60"/>
      <c r="O1539" s="61"/>
      <c r="P1539" s="79"/>
      <c r="Q1539" s="64"/>
      <c r="R1539" s="61"/>
      <c r="S1539" s="61"/>
      <c r="T1539" s="61"/>
      <c r="U1539" s="62"/>
      <c r="V1539" s="81"/>
      <c r="W1539" s="60"/>
      <c r="X1539" s="61"/>
      <c r="Y1539" s="62"/>
      <c r="Z1539" s="59"/>
      <c r="AA1539" s="60"/>
      <c r="AB1539" s="61"/>
      <c r="AC1539" s="62"/>
      <c r="AD1539" s="59"/>
      <c r="AE1539" s="60"/>
      <c r="AF1539" s="61"/>
      <c r="AG1539" s="62"/>
      <c r="AH1539" s="59"/>
      <c r="AI1539" s="60"/>
      <c r="AJ1539" s="61"/>
      <c r="AK1539" s="62"/>
      <c r="AL1539" s="59"/>
      <c r="AM1539" s="60"/>
      <c r="AN1539" s="61"/>
      <c r="AO1539" s="62"/>
      <c r="AP1539" s="59"/>
      <c r="AQ1539" s="60"/>
      <c r="AR1539" s="61"/>
      <c r="AS1539" s="62"/>
      <c r="AT1539" s="59"/>
      <c r="AU1539" s="60"/>
      <c r="AV1539" s="61"/>
      <c r="AW1539" s="62"/>
      <c r="AX1539" s="33">
        <f t="shared" si="1546"/>
        <v>0</v>
      </c>
      <c r="AY1539" s="31">
        <f t="shared" si="1547"/>
        <v>0</v>
      </c>
      <c r="AZ1539" s="30">
        <f t="shared" si="1548"/>
        <v>0</v>
      </c>
      <c r="BA1539" s="34"/>
      <c r="BB1539" s="34"/>
      <c r="BC1539" s="34"/>
      <c r="BD1539" s="76"/>
      <c r="BE1539" s="34"/>
      <c r="BF1539" s="34"/>
      <c r="BG1539" s="34"/>
      <c r="BH1539" s="34"/>
    </row>
    <row r="1540" spans="1:60" s="17" customFormat="1" ht="19.5" customHeight="1" thickBot="1" x14ac:dyDescent="0.45">
      <c r="A1540" s="41">
        <f t="shared" si="1552"/>
        <v>45447</v>
      </c>
      <c r="B1540" s="139" t="str">
        <f>B1533</f>
        <v>Kol Reçme</v>
      </c>
      <c r="C1540" s="140"/>
      <c r="D1540" s="40">
        <f>C1414/8</f>
        <v>500</v>
      </c>
      <c r="E1540" s="147">
        <f>SUM(E1533:H1539)</f>
        <v>0</v>
      </c>
      <c r="F1540" s="148"/>
      <c r="G1540" s="148"/>
      <c r="H1540" s="149"/>
      <c r="I1540" s="147">
        <f>SUM(I1533:L1539)</f>
        <v>0</v>
      </c>
      <c r="J1540" s="148"/>
      <c r="K1540" s="148"/>
      <c r="L1540" s="149"/>
      <c r="M1540" s="147">
        <f>SUM(M1533:P1539)</f>
        <v>0</v>
      </c>
      <c r="N1540" s="148"/>
      <c r="O1540" s="148"/>
      <c r="P1540" s="149"/>
      <c r="Q1540" s="151">
        <f>SUM(Q1533:U1539)</f>
        <v>0</v>
      </c>
      <c r="R1540" s="152"/>
      <c r="S1540" s="152"/>
      <c r="T1540" s="152"/>
      <c r="U1540" s="153"/>
      <c r="V1540" s="147">
        <f>SUM(V1533:Y1539)</f>
        <v>0</v>
      </c>
      <c r="W1540" s="148"/>
      <c r="X1540" s="148"/>
      <c r="Y1540" s="149"/>
      <c r="Z1540" s="147">
        <f>SUM(Z1533:AC1539)</f>
        <v>0</v>
      </c>
      <c r="AA1540" s="148"/>
      <c r="AB1540" s="148"/>
      <c r="AC1540" s="149"/>
      <c r="AD1540" s="147">
        <f>SUM(AD1533:AG1539)</f>
        <v>0</v>
      </c>
      <c r="AE1540" s="148"/>
      <c r="AF1540" s="148"/>
      <c r="AG1540" s="149"/>
      <c r="AH1540" s="147">
        <f>SUM(AH1533:AK1539)</f>
        <v>0</v>
      </c>
      <c r="AI1540" s="148"/>
      <c r="AJ1540" s="148"/>
      <c r="AK1540" s="149"/>
      <c r="AL1540" s="147">
        <f>SUM(AL1533:AO1539)</f>
        <v>0</v>
      </c>
      <c r="AM1540" s="148"/>
      <c r="AN1540" s="148"/>
      <c r="AO1540" s="149"/>
      <c r="AP1540" s="147">
        <f>SUM(AP1533:AS1539)</f>
        <v>0</v>
      </c>
      <c r="AQ1540" s="148"/>
      <c r="AR1540" s="148"/>
      <c r="AS1540" s="149"/>
      <c r="AT1540" s="147">
        <f>SUM(AT1533:AW1539)</f>
        <v>0</v>
      </c>
      <c r="AU1540" s="148"/>
      <c r="AV1540" s="148"/>
      <c r="AW1540" s="149"/>
      <c r="AX1540" s="87">
        <f>SUM(AX1533:AX1539)</f>
        <v>0</v>
      </c>
      <c r="AY1540" s="88">
        <f>IFERROR(AVERAGEIF(E1540:AV1540,"&lt;&gt;0",(E1540:AV1540)),)</f>
        <v>0</v>
      </c>
      <c r="AZ1540" s="46">
        <f>IFERROR(AX1540/BB1534,0)</f>
        <v>0</v>
      </c>
      <c r="BA1540" s="34"/>
      <c r="BB1540" s="34"/>
      <c r="BC1540" s="34"/>
      <c r="BD1540" s="76"/>
      <c r="BE1540" s="34"/>
      <c r="BF1540" s="34"/>
      <c r="BG1540" s="34"/>
      <c r="BH1540" s="34"/>
    </row>
    <row r="1541" spans="1:60" s="17" customFormat="1" ht="19.5" customHeight="1" thickBot="1" x14ac:dyDescent="0.4">
      <c r="A1541" s="42">
        <f>A1532</f>
        <v>45447</v>
      </c>
      <c r="B1541" s="38" t="str">
        <f>B1542</f>
        <v>Etek Reçme</v>
      </c>
      <c r="C1541" s="39" t="s">
        <v>180</v>
      </c>
      <c r="D1541" s="69" t="s">
        <v>181</v>
      </c>
      <c r="E1541" s="48">
        <v>0.34375</v>
      </c>
      <c r="F1541" s="49">
        <v>0.35416666666666669</v>
      </c>
      <c r="G1541" s="49">
        <v>0.36458333333333331</v>
      </c>
      <c r="H1541" s="50">
        <v>0.375</v>
      </c>
      <c r="I1541" s="48">
        <v>0.38541666666666702</v>
      </c>
      <c r="J1541" s="49">
        <v>0.39583333333333298</v>
      </c>
      <c r="K1541" s="49">
        <v>0.40625</v>
      </c>
      <c r="L1541" s="50">
        <v>0.41666666666666702</v>
      </c>
      <c r="M1541" s="48">
        <v>0.4375</v>
      </c>
      <c r="N1541" s="49">
        <v>0.44791666666666702</v>
      </c>
      <c r="O1541" s="49">
        <v>0.45833333333333398</v>
      </c>
      <c r="P1541" s="50">
        <v>0.46875</v>
      </c>
      <c r="Q1541" s="82">
        <v>0.47916666666666702</v>
      </c>
      <c r="R1541" s="83">
        <v>0.48958333333333398</v>
      </c>
      <c r="S1541" s="83">
        <v>0.5</v>
      </c>
      <c r="T1541" s="84">
        <v>0.51041666666666696</v>
      </c>
      <c r="U1541" s="85">
        <v>0.52083333333333204</v>
      </c>
      <c r="V1541" s="48">
        <v>0.5625</v>
      </c>
      <c r="W1541" s="49">
        <v>0.57291666666666663</v>
      </c>
      <c r="X1541" s="49">
        <v>0.58333333333333304</v>
      </c>
      <c r="Y1541" s="50">
        <v>0.59375</v>
      </c>
      <c r="Z1541" s="48">
        <v>0.60416666666666696</v>
      </c>
      <c r="AA1541" s="49">
        <v>0.61458333333333304</v>
      </c>
      <c r="AB1541" s="49">
        <v>0.625</v>
      </c>
      <c r="AC1541" s="50">
        <v>0.63541666666666596</v>
      </c>
      <c r="AD1541" s="48">
        <v>0.65625</v>
      </c>
      <c r="AE1541" s="49">
        <v>0.66666666666666663</v>
      </c>
      <c r="AF1541" s="49">
        <v>0.67708333333333304</v>
      </c>
      <c r="AG1541" s="50">
        <v>0.6875</v>
      </c>
      <c r="AH1541" s="48">
        <v>0.69791666666666696</v>
      </c>
      <c r="AI1541" s="49">
        <v>0.70833333333333304</v>
      </c>
      <c r="AJ1541" s="49">
        <v>0.71875</v>
      </c>
      <c r="AK1541" s="50">
        <v>0.72916666666666696</v>
      </c>
      <c r="AL1541" s="48">
        <v>0.73958333333333404</v>
      </c>
      <c r="AM1541" s="49">
        <v>0.750000000000001</v>
      </c>
      <c r="AN1541" s="49">
        <v>0.76041666666666796</v>
      </c>
      <c r="AO1541" s="50">
        <v>0.77083333333333504</v>
      </c>
      <c r="AP1541" s="48">
        <v>0.781250000000002</v>
      </c>
      <c r="AQ1541" s="49">
        <v>0.79166666666666896</v>
      </c>
      <c r="AR1541" s="49">
        <v>0.80208333333333603</v>
      </c>
      <c r="AS1541" s="50">
        <v>0.812500000000003</v>
      </c>
      <c r="AT1541" s="48">
        <v>0.82291666666666996</v>
      </c>
      <c r="AU1541" s="49">
        <v>0.83333333333333703</v>
      </c>
      <c r="AV1541" s="49">
        <v>0.843750000000004</v>
      </c>
      <c r="AW1541" s="50">
        <v>0.85416666666666663</v>
      </c>
      <c r="AX1541" s="68" t="s">
        <v>260</v>
      </c>
      <c r="AY1541" s="28" t="s">
        <v>261</v>
      </c>
      <c r="AZ1541" s="29" t="s">
        <v>262</v>
      </c>
      <c r="BA1541" s="136" t="str">
        <f>B1542</f>
        <v>Etek Reçme</v>
      </c>
      <c r="BB1541" s="137"/>
      <c r="BC1541" s="137"/>
      <c r="BD1541" s="137"/>
      <c r="BE1541" s="137"/>
      <c r="BF1541" s="137"/>
      <c r="BG1541" s="137"/>
      <c r="BH1541" s="138"/>
    </row>
    <row r="1542" spans="1:60" s="17" customFormat="1" ht="19.5" customHeight="1" thickBot="1" x14ac:dyDescent="0.4">
      <c r="A1542" s="41">
        <f t="shared" ref="A1542" si="1553">A1541</f>
        <v>45447</v>
      </c>
      <c r="B1542" s="37" t="str">
        <f>B1366</f>
        <v>Etek Reçme</v>
      </c>
      <c r="C1542" s="65" t="str">
        <f>C1366</f>
        <v>BEGÜM DURMAZ</v>
      </c>
      <c r="D1542" s="70">
        <f>D1366</f>
        <v>120</v>
      </c>
      <c r="E1542" s="63"/>
      <c r="F1542" s="55"/>
      <c r="G1542" s="55"/>
      <c r="H1542" s="56"/>
      <c r="I1542" s="63"/>
      <c r="J1542" s="55"/>
      <c r="K1542" s="55"/>
      <c r="L1542" s="56"/>
      <c r="M1542" s="63"/>
      <c r="N1542" s="55"/>
      <c r="O1542" s="55"/>
      <c r="P1542" s="56"/>
      <c r="Q1542" s="63"/>
      <c r="R1542" s="55"/>
      <c r="S1542" s="55"/>
      <c r="T1542" s="55"/>
      <c r="U1542" s="56"/>
      <c r="V1542" s="63"/>
      <c r="W1542" s="55"/>
      <c r="X1542" s="55"/>
      <c r="Y1542" s="56"/>
      <c r="Z1542" s="63"/>
      <c r="AA1542" s="55"/>
      <c r="AB1542" s="55"/>
      <c r="AC1542" s="56"/>
      <c r="AD1542" s="63"/>
      <c r="AE1542" s="55"/>
      <c r="AF1542" s="55"/>
      <c r="AG1542" s="56"/>
      <c r="AH1542" s="63"/>
      <c r="AI1542" s="55"/>
      <c r="AJ1542" s="55"/>
      <c r="AK1542" s="56"/>
      <c r="AL1542" s="53"/>
      <c r="AM1542" s="54"/>
      <c r="AN1542" s="55"/>
      <c r="AO1542" s="56"/>
      <c r="AP1542" s="53"/>
      <c r="AQ1542" s="54"/>
      <c r="AR1542" s="55"/>
      <c r="AS1542" s="56"/>
      <c r="AT1542" s="53"/>
      <c r="AU1542" s="54"/>
      <c r="AV1542" s="55"/>
      <c r="AW1542" s="56"/>
      <c r="AX1542" s="33">
        <f>SUM(E1542:AW1542)</f>
        <v>0</v>
      </c>
      <c r="AY1542" s="31">
        <f>IFERROR(AVERAGEIF(E1542:AW1542,"&lt;&gt;0",(E1542:AW1542)),)</f>
        <v>0</v>
      </c>
      <c r="AZ1542" s="30">
        <f>IFERROR(AY1542/D1542,0)</f>
        <v>0</v>
      </c>
      <c r="BA1542" s="103" t="s">
        <v>182</v>
      </c>
      <c r="BB1542" s="100" t="s">
        <v>183</v>
      </c>
      <c r="BC1542" s="100" t="s">
        <v>184</v>
      </c>
      <c r="BD1542" s="101" t="s">
        <v>185</v>
      </c>
      <c r="BE1542" s="100" t="s">
        <v>186</v>
      </c>
      <c r="BF1542" s="102" t="s">
        <v>187</v>
      </c>
      <c r="BG1542" s="100" t="s">
        <v>188</v>
      </c>
      <c r="BH1542" s="102" t="s">
        <v>189</v>
      </c>
    </row>
    <row r="1543" spans="1:60" s="17" customFormat="1" ht="19.5" customHeight="1" thickBot="1" x14ac:dyDescent="0.4">
      <c r="A1543" s="41">
        <f t="shared" ref="A1543:B1543" si="1554">A1542</f>
        <v>45447</v>
      </c>
      <c r="B1543" s="37" t="str">
        <f t="shared" si="1554"/>
        <v>Etek Reçme</v>
      </c>
      <c r="C1543" s="65">
        <f t="shared" ref="C1543:C1548" si="1555">C1367</f>
        <v>0</v>
      </c>
      <c r="D1543" s="67">
        <f t="shared" ref="D1543:D1548" si="1556">D1542</f>
        <v>120</v>
      </c>
      <c r="E1543" s="57"/>
      <c r="F1543" s="52"/>
      <c r="G1543" s="52"/>
      <c r="H1543" s="58"/>
      <c r="I1543" s="57"/>
      <c r="J1543" s="52"/>
      <c r="K1543" s="52"/>
      <c r="L1543" s="58"/>
      <c r="M1543" s="57"/>
      <c r="N1543" s="52"/>
      <c r="O1543" s="52"/>
      <c r="P1543" s="58"/>
      <c r="Q1543" s="57"/>
      <c r="R1543" s="52"/>
      <c r="S1543" s="52"/>
      <c r="T1543" s="52"/>
      <c r="U1543" s="58"/>
      <c r="V1543" s="57"/>
      <c r="W1543" s="52"/>
      <c r="X1543" s="52"/>
      <c r="Y1543" s="58"/>
      <c r="Z1543" s="57"/>
      <c r="AA1543" s="52"/>
      <c r="AB1543" s="52"/>
      <c r="AC1543" s="58"/>
      <c r="AD1543" s="57"/>
      <c r="AE1543" s="52"/>
      <c r="AF1543" s="52"/>
      <c r="AG1543" s="58"/>
      <c r="AH1543" s="57"/>
      <c r="AI1543" s="52"/>
      <c r="AJ1543" s="52"/>
      <c r="AK1543" s="58"/>
      <c r="AL1543" s="57"/>
      <c r="AM1543" s="52"/>
      <c r="AN1543" s="52"/>
      <c r="AO1543" s="58"/>
      <c r="AP1543" s="57"/>
      <c r="AQ1543" s="52"/>
      <c r="AR1543" s="52"/>
      <c r="AS1543" s="58"/>
      <c r="AT1543" s="57"/>
      <c r="AU1543" s="52"/>
      <c r="AV1543" s="52"/>
      <c r="AW1543" s="58"/>
      <c r="AX1543" s="33">
        <f t="shared" ref="AX1543:AX1548" si="1557">SUM(E1543:AW1543)</f>
        <v>0</v>
      </c>
      <c r="AY1543" s="31">
        <f t="shared" ref="AY1543:AY1548" si="1558">IFERROR(AVERAGEIF(E1543:AW1543,"&lt;&gt;0",(E1543:AW1543)),)</f>
        <v>0</v>
      </c>
      <c r="AZ1543" s="30">
        <f t="shared" ref="AZ1543:AZ1548" si="1559">IFERROR(AY1543/D1543,0)</f>
        <v>0</v>
      </c>
      <c r="BA1543" s="94">
        <f>AX1549+BA1367</f>
        <v>15508</v>
      </c>
      <c r="BB1543" s="95">
        <f>(D1549*8)</f>
        <v>4000</v>
      </c>
      <c r="BC1543" s="96">
        <f>C1413-BA1543</f>
        <v>26803</v>
      </c>
      <c r="BD1543" s="96">
        <f>BA1534-BA1543</f>
        <v>320</v>
      </c>
      <c r="BE1543" s="97">
        <f>IFERROR(BC1543/E1549,0)</f>
        <v>0</v>
      </c>
      <c r="BF1543" s="98">
        <f>IFERROR(BE1543/9,0)</f>
        <v>0</v>
      </c>
      <c r="BG1543" s="97">
        <f>IFERROR(BC1543/AY1549,0)</f>
        <v>0</v>
      </c>
      <c r="BH1543" s="97">
        <f>IFERROR(BG1543/9,0)</f>
        <v>0</v>
      </c>
    </row>
    <row r="1544" spans="1:60" s="17" customFormat="1" ht="19.5" customHeight="1" x14ac:dyDescent="0.35">
      <c r="A1544" s="41">
        <f t="shared" ref="A1544:B1544" si="1560">A1543</f>
        <v>45447</v>
      </c>
      <c r="B1544" s="37" t="str">
        <f t="shared" si="1560"/>
        <v>Etek Reçme</v>
      </c>
      <c r="C1544" s="65">
        <f t="shared" si="1555"/>
        <v>0</v>
      </c>
      <c r="D1544" s="67">
        <f t="shared" si="1556"/>
        <v>120</v>
      </c>
      <c r="E1544" s="57"/>
      <c r="F1544" s="52"/>
      <c r="G1544" s="52"/>
      <c r="H1544" s="58"/>
      <c r="I1544" s="57"/>
      <c r="J1544" s="52"/>
      <c r="K1544" s="52"/>
      <c r="L1544" s="58"/>
      <c r="M1544" s="57"/>
      <c r="N1544" s="52"/>
      <c r="O1544" s="52"/>
      <c r="P1544" s="58"/>
      <c r="Q1544" s="57"/>
      <c r="R1544" s="52"/>
      <c r="S1544" s="52"/>
      <c r="T1544" s="52"/>
      <c r="U1544" s="58"/>
      <c r="V1544" s="57"/>
      <c r="W1544" s="52"/>
      <c r="X1544" s="52"/>
      <c r="Y1544" s="58"/>
      <c r="Z1544" s="57"/>
      <c r="AA1544" s="52"/>
      <c r="AB1544" s="52"/>
      <c r="AC1544" s="58"/>
      <c r="AD1544" s="57"/>
      <c r="AE1544" s="52"/>
      <c r="AF1544" s="52"/>
      <c r="AG1544" s="58"/>
      <c r="AH1544" s="57"/>
      <c r="AI1544" s="52"/>
      <c r="AJ1544" s="52"/>
      <c r="AK1544" s="58"/>
      <c r="AL1544" s="57"/>
      <c r="AM1544" s="52"/>
      <c r="AN1544" s="52"/>
      <c r="AO1544" s="58"/>
      <c r="AP1544" s="57"/>
      <c r="AQ1544" s="52"/>
      <c r="AR1544" s="52"/>
      <c r="AS1544" s="58"/>
      <c r="AT1544" s="57"/>
      <c r="AU1544" s="52"/>
      <c r="AV1544" s="52"/>
      <c r="AW1544" s="58"/>
      <c r="AX1544" s="33">
        <f t="shared" si="1557"/>
        <v>0</v>
      </c>
      <c r="AY1544" s="31">
        <f t="shared" si="1558"/>
        <v>0</v>
      </c>
      <c r="AZ1544" s="30">
        <f t="shared" si="1559"/>
        <v>0</v>
      </c>
      <c r="BA1544" s="34"/>
      <c r="BB1544" s="34"/>
      <c r="BC1544" s="34"/>
      <c r="BD1544" s="76"/>
      <c r="BE1544" s="34"/>
      <c r="BF1544" s="34"/>
      <c r="BG1544" s="34"/>
      <c r="BH1544" s="34"/>
    </row>
    <row r="1545" spans="1:60" s="17" customFormat="1" ht="19.5" customHeight="1" x14ac:dyDescent="0.35">
      <c r="A1545" s="41">
        <f t="shared" ref="A1545:B1546" si="1561">A1544</f>
        <v>45447</v>
      </c>
      <c r="B1545" s="37" t="str">
        <f t="shared" si="1561"/>
        <v>Etek Reçme</v>
      </c>
      <c r="C1545" s="65">
        <f t="shared" si="1555"/>
        <v>0</v>
      </c>
      <c r="D1545" s="67">
        <f t="shared" si="1556"/>
        <v>120</v>
      </c>
      <c r="E1545" s="57"/>
      <c r="F1545" s="52"/>
      <c r="G1545" s="52"/>
      <c r="H1545" s="58"/>
      <c r="I1545" s="57"/>
      <c r="J1545" s="52"/>
      <c r="K1545" s="52"/>
      <c r="L1545" s="58"/>
      <c r="M1545" s="57"/>
      <c r="N1545" s="52"/>
      <c r="O1545" s="52"/>
      <c r="P1545" s="58"/>
      <c r="Q1545" s="57"/>
      <c r="R1545" s="52"/>
      <c r="S1545" s="52"/>
      <c r="T1545" s="52"/>
      <c r="U1545" s="58"/>
      <c r="V1545" s="57"/>
      <c r="W1545" s="52"/>
      <c r="X1545" s="52"/>
      <c r="Y1545" s="58"/>
      <c r="Z1545" s="57"/>
      <c r="AA1545" s="52"/>
      <c r="AB1545" s="52"/>
      <c r="AC1545" s="58"/>
      <c r="AD1545" s="57"/>
      <c r="AE1545" s="52"/>
      <c r="AF1545" s="52"/>
      <c r="AG1545" s="58"/>
      <c r="AH1545" s="57"/>
      <c r="AI1545" s="52"/>
      <c r="AJ1545" s="52"/>
      <c r="AK1545" s="58"/>
      <c r="AL1545" s="57"/>
      <c r="AM1545" s="52"/>
      <c r="AN1545" s="52"/>
      <c r="AO1545" s="58"/>
      <c r="AP1545" s="57"/>
      <c r="AQ1545" s="52"/>
      <c r="AR1545" s="52"/>
      <c r="AS1545" s="58"/>
      <c r="AT1545" s="57"/>
      <c r="AU1545" s="52"/>
      <c r="AV1545" s="52"/>
      <c r="AW1545" s="58"/>
      <c r="AX1545" s="33">
        <f t="shared" si="1557"/>
        <v>0</v>
      </c>
      <c r="AY1545" s="31">
        <f t="shared" si="1558"/>
        <v>0</v>
      </c>
      <c r="AZ1545" s="30">
        <f t="shared" si="1559"/>
        <v>0</v>
      </c>
      <c r="BA1545" s="34"/>
      <c r="BB1545" s="34"/>
      <c r="BC1545" s="34"/>
      <c r="BD1545" s="76"/>
      <c r="BE1545" s="34"/>
      <c r="BF1545" s="34"/>
      <c r="BG1545" s="34"/>
      <c r="BH1545" s="34"/>
    </row>
    <row r="1546" spans="1:60" s="17" customFormat="1" ht="19.5" customHeight="1" x14ac:dyDescent="0.35">
      <c r="A1546" s="41">
        <f>A1543</f>
        <v>45447</v>
      </c>
      <c r="B1546" s="37" t="str">
        <f t="shared" si="1561"/>
        <v>Etek Reçme</v>
      </c>
      <c r="C1546" s="65">
        <f t="shared" si="1555"/>
        <v>0</v>
      </c>
      <c r="D1546" s="67">
        <f t="shared" si="1556"/>
        <v>120</v>
      </c>
      <c r="E1546" s="57"/>
      <c r="F1546" s="52"/>
      <c r="G1546" s="52"/>
      <c r="H1546" s="58"/>
      <c r="I1546" s="57"/>
      <c r="J1546" s="52"/>
      <c r="K1546" s="52"/>
      <c r="L1546" s="58"/>
      <c r="M1546" s="57"/>
      <c r="N1546" s="52"/>
      <c r="O1546" s="52"/>
      <c r="P1546" s="58"/>
      <c r="Q1546" s="57"/>
      <c r="R1546" s="52"/>
      <c r="S1546" s="52"/>
      <c r="T1546" s="52"/>
      <c r="U1546" s="58"/>
      <c r="V1546" s="57"/>
      <c r="W1546" s="52"/>
      <c r="X1546" s="52"/>
      <c r="Y1546" s="58"/>
      <c r="Z1546" s="57"/>
      <c r="AA1546" s="52"/>
      <c r="AB1546" s="52"/>
      <c r="AC1546" s="58"/>
      <c r="AD1546" s="57"/>
      <c r="AE1546" s="52"/>
      <c r="AF1546" s="52"/>
      <c r="AG1546" s="58"/>
      <c r="AH1546" s="57"/>
      <c r="AI1546" s="52"/>
      <c r="AJ1546" s="52"/>
      <c r="AK1546" s="58"/>
      <c r="AL1546" s="57"/>
      <c r="AM1546" s="52"/>
      <c r="AN1546" s="52"/>
      <c r="AO1546" s="58"/>
      <c r="AP1546" s="57"/>
      <c r="AQ1546" s="52"/>
      <c r="AR1546" s="52"/>
      <c r="AS1546" s="58"/>
      <c r="AT1546" s="57"/>
      <c r="AU1546" s="52"/>
      <c r="AV1546" s="52"/>
      <c r="AW1546" s="58"/>
      <c r="AX1546" s="33">
        <f t="shared" si="1557"/>
        <v>0</v>
      </c>
      <c r="AY1546" s="31">
        <f t="shared" si="1558"/>
        <v>0</v>
      </c>
      <c r="AZ1546" s="30">
        <f t="shared" si="1559"/>
        <v>0</v>
      </c>
      <c r="BA1546" s="34"/>
      <c r="BB1546" s="34"/>
      <c r="BC1546" s="34"/>
      <c r="BD1546" s="76"/>
      <c r="BE1546" s="34"/>
      <c r="BF1546" s="34"/>
      <c r="BG1546" s="34"/>
      <c r="BH1546" s="34"/>
    </row>
    <row r="1547" spans="1:60" s="17" customFormat="1" ht="19.5" customHeight="1" x14ac:dyDescent="0.35">
      <c r="A1547" s="41">
        <f t="shared" ref="A1547:B1547" si="1562">A1546</f>
        <v>45447</v>
      </c>
      <c r="B1547" s="37" t="str">
        <f t="shared" si="1562"/>
        <v>Etek Reçme</v>
      </c>
      <c r="C1547" s="65">
        <f t="shared" si="1555"/>
        <v>0</v>
      </c>
      <c r="D1547" s="67">
        <f t="shared" si="1556"/>
        <v>120</v>
      </c>
      <c r="E1547" s="57"/>
      <c r="F1547" s="52"/>
      <c r="G1547" s="52"/>
      <c r="H1547" s="58"/>
      <c r="I1547" s="57"/>
      <c r="J1547" s="52"/>
      <c r="K1547" s="52"/>
      <c r="L1547" s="58"/>
      <c r="M1547" s="57"/>
      <c r="N1547" s="52"/>
      <c r="O1547" s="52"/>
      <c r="P1547" s="78"/>
      <c r="Q1547" s="57"/>
      <c r="R1547" s="52"/>
      <c r="S1547" s="52"/>
      <c r="T1547" s="52"/>
      <c r="U1547" s="58"/>
      <c r="V1547" s="80"/>
      <c r="W1547" s="52"/>
      <c r="X1547" s="52"/>
      <c r="Y1547" s="58"/>
      <c r="Z1547" s="57"/>
      <c r="AA1547" s="52"/>
      <c r="AB1547" s="52"/>
      <c r="AC1547" s="58"/>
      <c r="AD1547" s="57"/>
      <c r="AE1547" s="52"/>
      <c r="AF1547" s="52"/>
      <c r="AG1547" s="58"/>
      <c r="AH1547" s="57"/>
      <c r="AI1547" s="52"/>
      <c r="AJ1547" s="52"/>
      <c r="AK1547" s="58"/>
      <c r="AL1547" s="57"/>
      <c r="AM1547" s="52"/>
      <c r="AN1547" s="52"/>
      <c r="AO1547" s="58"/>
      <c r="AP1547" s="57"/>
      <c r="AQ1547" s="52"/>
      <c r="AR1547" s="52"/>
      <c r="AS1547" s="58"/>
      <c r="AT1547" s="57"/>
      <c r="AU1547" s="52"/>
      <c r="AV1547" s="52"/>
      <c r="AW1547" s="58"/>
      <c r="AX1547" s="33">
        <f t="shared" si="1557"/>
        <v>0</v>
      </c>
      <c r="AY1547" s="31">
        <f t="shared" si="1558"/>
        <v>0</v>
      </c>
      <c r="AZ1547" s="30">
        <f t="shared" si="1559"/>
        <v>0</v>
      </c>
      <c r="BA1547" s="34"/>
      <c r="BB1547" s="34"/>
      <c r="BC1547" s="34"/>
      <c r="BD1547" s="76"/>
      <c r="BE1547" s="34"/>
      <c r="BF1547" s="34"/>
      <c r="BG1547" s="34"/>
      <c r="BH1547" s="34"/>
    </row>
    <row r="1548" spans="1:60" s="17" customFormat="1" ht="19.5" customHeight="1" thickBot="1" x14ac:dyDescent="0.4">
      <c r="A1548" s="41">
        <f t="shared" ref="A1548:B1549" si="1563">A1547</f>
        <v>45447</v>
      </c>
      <c r="B1548" s="37" t="str">
        <f t="shared" si="1563"/>
        <v>Etek Reçme</v>
      </c>
      <c r="C1548" s="65">
        <f t="shared" si="1555"/>
        <v>0</v>
      </c>
      <c r="D1548" s="67">
        <f t="shared" si="1556"/>
        <v>120</v>
      </c>
      <c r="E1548" s="59"/>
      <c r="F1548" s="60"/>
      <c r="G1548" s="61"/>
      <c r="H1548" s="62"/>
      <c r="I1548" s="59"/>
      <c r="J1548" s="60"/>
      <c r="K1548" s="61"/>
      <c r="L1548" s="62"/>
      <c r="M1548" s="59"/>
      <c r="N1548" s="60"/>
      <c r="O1548" s="61"/>
      <c r="P1548" s="79"/>
      <c r="Q1548" s="64"/>
      <c r="R1548" s="61"/>
      <c r="S1548" s="61"/>
      <c r="T1548" s="61"/>
      <c r="U1548" s="62"/>
      <c r="V1548" s="81"/>
      <c r="W1548" s="60"/>
      <c r="X1548" s="61"/>
      <c r="Y1548" s="62"/>
      <c r="Z1548" s="59"/>
      <c r="AA1548" s="60"/>
      <c r="AB1548" s="61"/>
      <c r="AC1548" s="62"/>
      <c r="AD1548" s="59"/>
      <c r="AE1548" s="60"/>
      <c r="AF1548" s="61"/>
      <c r="AG1548" s="62"/>
      <c r="AH1548" s="59"/>
      <c r="AI1548" s="60"/>
      <c r="AJ1548" s="61"/>
      <c r="AK1548" s="62"/>
      <c r="AL1548" s="59"/>
      <c r="AM1548" s="60"/>
      <c r="AN1548" s="61"/>
      <c r="AO1548" s="62"/>
      <c r="AP1548" s="59"/>
      <c r="AQ1548" s="60"/>
      <c r="AR1548" s="61"/>
      <c r="AS1548" s="62"/>
      <c r="AT1548" s="59"/>
      <c r="AU1548" s="60"/>
      <c r="AV1548" s="61"/>
      <c r="AW1548" s="62"/>
      <c r="AX1548" s="33">
        <f t="shared" si="1557"/>
        <v>0</v>
      </c>
      <c r="AY1548" s="31">
        <f t="shared" si="1558"/>
        <v>0</v>
      </c>
      <c r="AZ1548" s="30">
        <f t="shared" si="1559"/>
        <v>0</v>
      </c>
      <c r="BA1548" s="34"/>
      <c r="BB1548" s="34"/>
      <c r="BC1548" s="34"/>
      <c r="BD1548" s="76"/>
      <c r="BE1548" s="34"/>
      <c r="BF1548" s="34"/>
      <c r="BG1548" s="34"/>
      <c r="BH1548" s="34"/>
    </row>
    <row r="1549" spans="1:60" s="17" customFormat="1" ht="19.5" customHeight="1" thickBot="1" x14ac:dyDescent="0.45">
      <c r="A1549" s="41">
        <f t="shared" si="1563"/>
        <v>45447</v>
      </c>
      <c r="B1549" s="139" t="str">
        <f>B1542</f>
        <v>Etek Reçme</v>
      </c>
      <c r="C1549" s="140"/>
      <c r="D1549" s="40">
        <f>C1414/8</f>
        <v>500</v>
      </c>
      <c r="E1549" s="147">
        <f>SUM(E1542:H1548)</f>
        <v>0</v>
      </c>
      <c r="F1549" s="148"/>
      <c r="G1549" s="148"/>
      <c r="H1549" s="149"/>
      <c r="I1549" s="147">
        <f>SUM(I1542:L1548)</f>
        <v>0</v>
      </c>
      <c r="J1549" s="148"/>
      <c r="K1549" s="148"/>
      <c r="L1549" s="149"/>
      <c r="M1549" s="147">
        <f>SUM(M1542:P1548)</f>
        <v>0</v>
      </c>
      <c r="N1549" s="148"/>
      <c r="O1549" s="148"/>
      <c r="P1549" s="149"/>
      <c r="Q1549" s="151">
        <f>SUM(Q1542:U1548)</f>
        <v>0</v>
      </c>
      <c r="R1549" s="152"/>
      <c r="S1549" s="152"/>
      <c r="T1549" s="152"/>
      <c r="U1549" s="153"/>
      <c r="V1549" s="147">
        <f>SUM(V1542:Y1548)</f>
        <v>0</v>
      </c>
      <c r="W1549" s="148"/>
      <c r="X1549" s="148"/>
      <c r="Y1549" s="149"/>
      <c r="Z1549" s="147">
        <f>SUM(Z1542:AC1548)</f>
        <v>0</v>
      </c>
      <c r="AA1549" s="148"/>
      <c r="AB1549" s="148"/>
      <c r="AC1549" s="149"/>
      <c r="AD1549" s="147">
        <f>SUM(AD1542:AG1548)</f>
        <v>0</v>
      </c>
      <c r="AE1549" s="148"/>
      <c r="AF1549" s="148"/>
      <c r="AG1549" s="149"/>
      <c r="AH1549" s="147">
        <f>SUM(AH1542:AK1548)</f>
        <v>0</v>
      </c>
      <c r="AI1549" s="148"/>
      <c r="AJ1549" s="148"/>
      <c r="AK1549" s="149"/>
      <c r="AL1549" s="147">
        <f>SUM(AL1542:AO1548)</f>
        <v>0</v>
      </c>
      <c r="AM1549" s="148"/>
      <c r="AN1549" s="148"/>
      <c r="AO1549" s="149"/>
      <c r="AP1549" s="147">
        <f>SUM(AP1542:AS1548)</f>
        <v>0</v>
      </c>
      <c r="AQ1549" s="148"/>
      <c r="AR1549" s="148"/>
      <c r="AS1549" s="149"/>
      <c r="AT1549" s="147">
        <f>SUM(AT1542:AW1548)</f>
        <v>0</v>
      </c>
      <c r="AU1549" s="148"/>
      <c r="AV1549" s="148"/>
      <c r="AW1549" s="149"/>
      <c r="AX1549" s="87">
        <f>SUM(AX1542:AX1548)</f>
        <v>0</v>
      </c>
      <c r="AY1549" s="88">
        <f>IFERROR(AVERAGEIF(E1549:AV1549,"&lt;&gt;0",(E1549:AV1549)),)</f>
        <v>0</v>
      </c>
      <c r="AZ1549" s="46">
        <f>IFERROR(AX1549/BB1543,0)</f>
        <v>0</v>
      </c>
      <c r="BA1549" s="34"/>
      <c r="BB1549" s="34"/>
      <c r="BC1549" s="34"/>
      <c r="BD1549" s="76"/>
      <c r="BE1549" s="34"/>
      <c r="BF1549" s="34"/>
      <c r="BG1549" s="34"/>
      <c r="BH1549" s="34"/>
    </row>
    <row r="1550" spans="1:60" s="17" customFormat="1" ht="19.5" customHeight="1" thickBot="1" x14ac:dyDescent="0.4">
      <c r="A1550" s="42">
        <f>A1514</f>
        <v>45447</v>
      </c>
      <c r="B1550" s="38" t="str">
        <f>B1551</f>
        <v>Çevirme</v>
      </c>
      <c r="C1550" s="39" t="s">
        <v>180</v>
      </c>
      <c r="D1550" s="69" t="s">
        <v>181</v>
      </c>
      <c r="E1550" s="48">
        <v>0.34375</v>
      </c>
      <c r="F1550" s="49">
        <v>0.35416666666666669</v>
      </c>
      <c r="G1550" s="49">
        <v>0.36458333333333331</v>
      </c>
      <c r="H1550" s="50">
        <v>0.375</v>
      </c>
      <c r="I1550" s="48">
        <v>0.38541666666666702</v>
      </c>
      <c r="J1550" s="49">
        <v>0.39583333333333298</v>
      </c>
      <c r="K1550" s="49">
        <v>0.40625</v>
      </c>
      <c r="L1550" s="50">
        <v>0.41666666666666702</v>
      </c>
      <c r="M1550" s="48">
        <v>0.4375</v>
      </c>
      <c r="N1550" s="49">
        <v>0.44791666666666702</v>
      </c>
      <c r="O1550" s="49">
        <v>0.45833333333333398</v>
      </c>
      <c r="P1550" s="50">
        <v>0.46875</v>
      </c>
      <c r="Q1550" s="48">
        <v>0.47916666666666702</v>
      </c>
      <c r="R1550" s="49">
        <v>0.48958333333333398</v>
      </c>
      <c r="S1550" s="49">
        <v>0.5</v>
      </c>
      <c r="T1550" s="50">
        <v>0.51041666666666696</v>
      </c>
      <c r="U1550" s="51">
        <v>0.52083333333333204</v>
      </c>
      <c r="V1550" s="48">
        <v>0.5625</v>
      </c>
      <c r="W1550" s="49">
        <v>0.57291666666666663</v>
      </c>
      <c r="X1550" s="49">
        <v>0.58333333333333304</v>
      </c>
      <c r="Y1550" s="50">
        <v>0.59375</v>
      </c>
      <c r="Z1550" s="48">
        <v>0.60416666666666696</v>
      </c>
      <c r="AA1550" s="49">
        <v>0.61458333333333304</v>
      </c>
      <c r="AB1550" s="49">
        <v>0.625</v>
      </c>
      <c r="AC1550" s="50">
        <v>0.63541666666666596</v>
      </c>
      <c r="AD1550" s="48">
        <v>0.65625</v>
      </c>
      <c r="AE1550" s="49">
        <v>0.66666666666666663</v>
      </c>
      <c r="AF1550" s="49">
        <v>0.67708333333333304</v>
      </c>
      <c r="AG1550" s="50">
        <v>0.6875</v>
      </c>
      <c r="AH1550" s="48">
        <v>0.69791666666666696</v>
      </c>
      <c r="AI1550" s="49">
        <v>0.70833333333333304</v>
      </c>
      <c r="AJ1550" s="49">
        <v>0.71875</v>
      </c>
      <c r="AK1550" s="50">
        <v>0.72916666666666696</v>
      </c>
      <c r="AL1550" s="48">
        <v>0.73958333333333404</v>
      </c>
      <c r="AM1550" s="49">
        <v>0.750000000000001</v>
      </c>
      <c r="AN1550" s="49">
        <v>0.76041666666666796</v>
      </c>
      <c r="AO1550" s="50">
        <v>0.77083333333333504</v>
      </c>
      <c r="AP1550" s="48">
        <v>0.781250000000002</v>
      </c>
      <c r="AQ1550" s="49">
        <v>0.79166666666666896</v>
      </c>
      <c r="AR1550" s="49">
        <v>0.80208333333333603</v>
      </c>
      <c r="AS1550" s="50">
        <v>0.812500000000003</v>
      </c>
      <c r="AT1550" s="48">
        <v>0.82291666666666996</v>
      </c>
      <c r="AU1550" s="49">
        <v>0.83333333333333703</v>
      </c>
      <c r="AV1550" s="49">
        <v>0.843750000000004</v>
      </c>
      <c r="AW1550" s="50">
        <v>0.85416666666666663</v>
      </c>
      <c r="AX1550" s="68" t="s">
        <v>260</v>
      </c>
      <c r="AY1550" s="28" t="s">
        <v>261</v>
      </c>
      <c r="AZ1550" s="29" t="s">
        <v>262</v>
      </c>
      <c r="BA1550" s="136" t="str">
        <f>B1551</f>
        <v>Çevirme</v>
      </c>
      <c r="BB1550" s="137"/>
      <c r="BC1550" s="137"/>
      <c r="BD1550" s="137"/>
      <c r="BE1550" s="137"/>
      <c r="BF1550" s="137"/>
      <c r="BG1550" s="137"/>
      <c r="BH1550" s="138"/>
    </row>
    <row r="1551" spans="1:60" s="17" customFormat="1" ht="19.5" customHeight="1" thickBot="1" x14ac:dyDescent="0.4">
      <c r="A1551" s="41">
        <f t="shared" ref="A1551" si="1564">A1550</f>
        <v>45447</v>
      </c>
      <c r="B1551" s="37" t="str">
        <f>B1375</f>
        <v>Çevirme</v>
      </c>
      <c r="C1551" s="65" t="str">
        <f>C1375</f>
        <v>SEZER BOZKURT</v>
      </c>
      <c r="D1551" s="70">
        <f>D1339</f>
        <v>40</v>
      </c>
      <c r="E1551" s="63"/>
      <c r="F1551" s="55"/>
      <c r="G1551" s="55"/>
      <c r="H1551" s="56"/>
      <c r="I1551" s="63"/>
      <c r="J1551" s="55"/>
      <c r="K1551" s="55"/>
      <c r="L1551" s="56"/>
      <c r="M1551" s="63"/>
      <c r="N1551" s="55"/>
      <c r="O1551" s="55"/>
      <c r="P1551" s="56"/>
      <c r="Q1551" s="63"/>
      <c r="R1551" s="55"/>
      <c r="S1551" s="55"/>
      <c r="T1551" s="55"/>
      <c r="U1551" s="56"/>
      <c r="V1551" s="63"/>
      <c r="W1551" s="55"/>
      <c r="X1551" s="55"/>
      <c r="Y1551" s="56"/>
      <c r="Z1551" s="63"/>
      <c r="AA1551" s="55"/>
      <c r="AB1551" s="55"/>
      <c r="AC1551" s="56"/>
      <c r="AD1551" s="63"/>
      <c r="AE1551" s="55"/>
      <c r="AF1551" s="55"/>
      <c r="AG1551" s="56"/>
      <c r="AH1551" s="63"/>
      <c r="AI1551" s="55"/>
      <c r="AJ1551" s="55"/>
      <c r="AK1551" s="56"/>
      <c r="AL1551" s="63"/>
      <c r="AM1551" s="55"/>
      <c r="AN1551" s="55"/>
      <c r="AO1551" s="56"/>
      <c r="AP1551" s="63"/>
      <c r="AQ1551" s="55"/>
      <c r="AR1551" s="55"/>
      <c r="AS1551" s="56"/>
      <c r="AT1551" s="53"/>
      <c r="AU1551" s="54"/>
      <c r="AV1551" s="55"/>
      <c r="AW1551" s="56"/>
      <c r="AX1551" s="33">
        <f>SUM(E1551:AW1551)</f>
        <v>0</v>
      </c>
      <c r="AY1551" s="31">
        <f>IFERROR(AVERAGEIF(E1551:AW1551,"&lt;&gt;0",(E1551:AW1551)),)</f>
        <v>0</v>
      </c>
      <c r="AZ1551" s="30">
        <f>IFERROR(AY1551/D1551,0)</f>
        <v>0</v>
      </c>
      <c r="BA1551" s="103" t="s">
        <v>182</v>
      </c>
      <c r="BB1551" s="100" t="s">
        <v>183</v>
      </c>
      <c r="BC1551" s="100" t="s">
        <v>184</v>
      </c>
      <c r="BD1551" s="101" t="s">
        <v>185</v>
      </c>
      <c r="BE1551" s="100" t="s">
        <v>186</v>
      </c>
      <c r="BF1551" s="102" t="s">
        <v>187</v>
      </c>
      <c r="BG1551" s="100" t="s">
        <v>188</v>
      </c>
      <c r="BH1551" s="102" t="s">
        <v>189</v>
      </c>
    </row>
    <row r="1552" spans="1:60" s="17" customFormat="1" ht="19.5" customHeight="1" thickBot="1" x14ac:dyDescent="0.4">
      <c r="A1552" s="41">
        <f t="shared" ref="A1552:B1552" si="1565">A1551</f>
        <v>45447</v>
      </c>
      <c r="B1552" s="37" t="str">
        <f t="shared" si="1565"/>
        <v>Çevirme</v>
      </c>
      <c r="C1552" s="65" t="str">
        <f t="shared" ref="C1552:C1557" si="1566">C1376</f>
        <v>SEMRA ARAZ</v>
      </c>
      <c r="D1552" s="67">
        <f t="shared" ref="D1552:D1557" si="1567">D1551</f>
        <v>40</v>
      </c>
      <c r="E1552" s="57"/>
      <c r="F1552" s="52"/>
      <c r="G1552" s="52"/>
      <c r="H1552" s="58"/>
      <c r="I1552" s="57"/>
      <c r="J1552" s="52"/>
      <c r="K1552" s="52"/>
      <c r="L1552" s="58"/>
      <c r="M1552" s="57"/>
      <c r="N1552" s="52"/>
      <c r="O1552" s="52"/>
      <c r="P1552" s="58"/>
      <c r="Q1552" s="57"/>
      <c r="R1552" s="52"/>
      <c r="S1552" s="52"/>
      <c r="T1552" s="52"/>
      <c r="U1552" s="58"/>
      <c r="V1552" s="57"/>
      <c r="W1552" s="52"/>
      <c r="X1552" s="52"/>
      <c r="Y1552" s="58"/>
      <c r="Z1552" s="57"/>
      <c r="AA1552" s="52"/>
      <c r="AB1552" s="52"/>
      <c r="AC1552" s="58"/>
      <c r="AD1552" s="57"/>
      <c r="AE1552" s="52"/>
      <c r="AF1552" s="52"/>
      <c r="AG1552" s="58"/>
      <c r="AH1552" s="57"/>
      <c r="AI1552" s="52"/>
      <c r="AJ1552" s="52"/>
      <c r="AK1552" s="58"/>
      <c r="AL1552" s="57"/>
      <c r="AM1552" s="52"/>
      <c r="AN1552" s="52"/>
      <c r="AO1552" s="58"/>
      <c r="AP1552" s="57"/>
      <c r="AQ1552" s="52"/>
      <c r="AR1552" s="52"/>
      <c r="AS1552" s="58"/>
      <c r="AT1552" s="57"/>
      <c r="AU1552" s="52"/>
      <c r="AV1552" s="52"/>
      <c r="AW1552" s="58"/>
      <c r="AX1552" s="33">
        <f t="shared" ref="AX1552:AX1557" si="1568">SUM(E1552:AW1552)</f>
        <v>0</v>
      </c>
      <c r="AY1552" s="31">
        <f t="shared" ref="AY1552:AY1557" si="1569">IFERROR(AVERAGEIF(E1552:AW1552,"&lt;&gt;0",(E1552:AW1552)),)</f>
        <v>0</v>
      </c>
      <c r="AZ1552" s="30">
        <f t="shared" ref="AZ1552:AZ1557" si="1570">IFERROR(AY1552/D1552,0)</f>
        <v>0</v>
      </c>
      <c r="BA1552" s="94">
        <f>AX1558+BA1376</f>
        <v>12121</v>
      </c>
      <c r="BB1552" s="95">
        <f>(D1558*8)</f>
        <v>4000</v>
      </c>
      <c r="BC1552" s="96">
        <f>C1413-BA1552</f>
        <v>30190</v>
      </c>
      <c r="BD1552" s="96">
        <f>BA1534-BA1552</f>
        <v>3707</v>
      </c>
      <c r="BE1552" s="97">
        <f>IFERROR(BC1552/E1558,0)</f>
        <v>0</v>
      </c>
      <c r="BF1552" s="98">
        <f>IFERROR(BE1552/9,0)</f>
        <v>0</v>
      </c>
      <c r="BG1552" s="97">
        <f>IFERROR(BC1552/AY1558,0)</f>
        <v>0</v>
      </c>
      <c r="BH1552" s="97">
        <f>IFERROR(BG1552/9,0)</f>
        <v>0</v>
      </c>
    </row>
    <row r="1553" spans="1:60" s="17" customFormat="1" ht="19.5" customHeight="1" x14ac:dyDescent="0.35">
      <c r="A1553" s="41">
        <f t="shared" ref="A1553:B1553" si="1571">A1552</f>
        <v>45447</v>
      </c>
      <c r="B1553" s="37" t="str">
        <f t="shared" si="1571"/>
        <v>Çevirme</v>
      </c>
      <c r="C1553" s="65" t="str">
        <f t="shared" si="1566"/>
        <v>NECLA KOÇ</v>
      </c>
      <c r="D1553" s="67">
        <f t="shared" si="1567"/>
        <v>40</v>
      </c>
      <c r="E1553" s="57"/>
      <c r="F1553" s="52"/>
      <c r="G1553" s="52"/>
      <c r="H1553" s="58"/>
      <c r="I1553" s="57"/>
      <c r="J1553" s="52"/>
      <c r="K1553" s="52"/>
      <c r="L1553" s="58"/>
      <c r="M1553" s="57"/>
      <c r="N1553" s="52"/>
      <c r="O1553" s="52"/>
      <c r="P1553" s="58"/>
      <c r="Q1553" s="57"/>
      <c r="R1553" s="52"/>
      <c r="S1553" s="52"/>
      <c r="T1553" s="52"/>
      <c r="U1553" s="58"/>
      <c r="V1553" s="57"/>
      <c r="W1553" s="52"/>
      <c r="X1553" s="52"/>
      <c r="Y1553" s="58"/>
      <c r="Z1553" s="57"/>
      <c r="AA1553" s="52"/>
      <c r="AB1553" s="52"/>
      <c r="AC1553" s="58"/>
      <c r="AD1553" s="57"/>
      <c r="AE1553" s="52"/>
      <c r="AF1553" s="52"/>
      <c r="AG1553" s="58"/>
      <c r="AH1553" s="57"/>
      <c r="AI1553" s="52"/>
      <c r="AJ1553" s="52"/>
      <c r="AK1553" s="58"/>
      <c r="AL1553" s="57"/>
      <c r="AM1553" s="52"/>
      <c r="AN1553" s="52"/>
      <c r="AO1553" s="58"/>
      <c r="AP1553" s="57"/>
      <c r="AQ1553" s="52"/>
      <c r="AR1553" s="52"/>
      <c r="AS1553" s="58"/>
      <c r="AT1553" s="57"/>
      <c r="AU1553" s="52"/>
      <c r="AV1553" s="52"/>
      <c r="AW1553" s="58"/>
      <c r="AX1553" s="33">
        <f t="shared" si="1568"/>
        <v>0</v>
      </c>
      <c r="AY1553" s="31">
        <f t="shared" si="1569"/>
        <v>0</v>
      </c>
      <c r="AZ1553" s="30">
        <f t="shared" si="1570"/>
        <v>0</v>
      </c>
      <c r="BA1553" s="34"/>
      <c r="BB1553" s="34"/>
      <c r="BC1553" s="34"/>
      <c r="BD1553" s="76"/>
      <c r="BE1553" s="34"/>
      <c r="BF1553" s="34"/>
      <c r="BG1553" s="34"/>
      <c r="BH1553" s="34"/>
    </row>
    <row r="1554" spans="1:60" s="17" customFormat="1" ht="19.5" customHeight="1" x14ac:dyDescent="0.35">
      <c r="A1554" s="41">
        <f t="shared" ref="A1554:B1555" si="1572">A1553</f>
        <v>45447</v>
      </c>
      <c r="B1554" s="37" t="str">
        <f t="shared" si="1572"/>
        <v>Çevirme</v>
      </c>
      <c r="C1554" s="65" t="str">
        <f t="shared" si="1566"/>
        <v>ARZU ÖZÇAĞLAYAN</v>
      </c>
      <c r="D1554" s="67">
        <f t="shared" si="1567"/>
        <v>40</v>
      </c>
      <c r="E1554" s="57"/>
      <c r="F1554" s="52"/>
      <c r="G1554" s="52"/>
      <c r="H1554" s="58"/>
      <c r="I1554" s="57"/>
      <c r="J1554" s="52"/>
      <c r="K1554" s="52"/>
      <c r="L1554" s="58"/>
      <c r="M1554" s="57"/>
      <c r="N1554" s="52"/>
      <c r="O1554" s="52"/>
      <c r="P1554" s="58"/>
      <c r="Q1554" s="57"/>
      <c r="R1554" s="52"/>
      <c r="S1554" s="52"/>
      <c r="T1554" s="52"/>
      <c r="U1554" s="58"/>
      <c r="V1554" s="57"/>
      <c r="W1554" s="52"/>
      <c r="X1554" s="52"/>
      <c r="Y1554" s="58"/>
      <c r="Z1554" s="57"/>
      <c r="AA1554" s="52"/>
      <c r="AB1554" s="52"/>
      <c r="AC1554" s="58"/>
      <c r="AD1554" s="57"/>
      <c r="AE1554" s="52"/>
      <c r="AF1554" s="52"/>
      <c r="AG1554" s="58"/>
      <c r="AH1554" s="57"/>
      <c r="AI1554" s="52"/>
      <c r="AJ1554" s="52"/>
      <c r="AK1554" s="58"/>
      <c r="AL1554" s="57"/>
      <c r="AM1554" s="52"/>
      <c r="AN1554" s="52"/>
      <c r="AO1554" s="58"/>
      <c r="AP1554" s="57"/>
      <c r="AQ1554" s="52"/>
      <c r="AR1554" s="52"/>
      <c r="AS1554" s="58"/>
      <c r="AT1554" s="57"/>
      <c r="AU1554" s="52"/>
      <c r="AV1554" s="52"/>
      <c r="AW1554" s="58"/>
      <c r="AX1554" s="33">
        <f t="shared" si="1568"/>
        <v>0</v>
      </c>
      <c r="AY1554" s="31">
        <f t="shared" si="1569"/>
        <v>0</v>
      </c>
      <c r="AZ1554" s="30">
        <f t="shared" si="1570"/>
        <v>0</v>
      </c>
      <c r="BA1554" s="34"/>
      <c r="BB1554" s="34"/>
      <c r="BC1554" s="34"/>
      <c r="BD1554" s="76"/>
      <c r="BE1554" s="34"/>
      <c r="BF1554" s="34"/>
      <c r="BG1554" s="34"/>
      <c r="BH1554" s="34"/>
    </row>
    <row r="1555" spans="1:60" s="17" customFormat="1" ht="19.5" customHeight="1" x14ac:dyDescent="0.35">
      <c r="A1555" s="41">
        <f>A1552</f>
        <v>45447</v>
      </c>
      <c r="B1555" s="37" t="str">
        <f t="shared" si="1572"/>
        <v>Çevirme</v>
      </c>
      <c r="C1555" s="65">
        <f t="shared" si="1566"/>
        <v>0</v>
      </c>
      <c r="D1555" s="67">
        <f t="shared" si="1567"/>
        <v>40</v>
      </c>
      <c r="E1555" s="57"/>
      <c r="F1555" s="52"/>
      <c r="G1555" s="52"/>
      <c r="H1555" s="58"/>
      <c r="I1555" s="57"/>
      <c r="J1555" s="52"/>
      <c r="K1555" s="52"/>
      <c r="L1555" s="58"/>
      <c r="M1555" s="57"/>
      <c r="N1555" s="52"/>
      <c r="O1555" s="52"/>
      <c r="P1555" s="58"/>
      <c r="Q1555" s="57"/>
      <c r="R1555" s="52"/>
      <c r="S1555" s="52"/>
      <c r="T1555" s="52"/>
      <c r="U1555" s="58"/>
      <c r="V1555" s="57"/>
      <c r="W1555" s="52"/>
      <c r="X1555" s="52"/>
      <c r="Y1555" s="58"/>
      <c r="Z1555" s="57"/>
      <c r="AA1555" s="52"/>
      <c r="AB1555" s="52"/>
      <c r="AC1555" s="58"/>
      <c r="AD1555" s="57"/>
      <c r="AE1555" s="52"/>
      <c r="AF1555" s="52"/>
      <c r="AG1555" s="58"/>
      <c r="AH1555" s="57"/>
      <c r="AI1555" s="52"/>
      <c r="AJ1555" s="52"/>
      <c r="AK1555" s="58"/>
      <c r="AL1555" s="57"/>
      <c r="AM1555" s="52"/>
      <c r="AN1555" s="52"/>
      <c r="AO1555" s="58"/>
      <c r="AP1555" s="57"/>
      <c r="AQ1555" s="52"/>
      <c r="AR1555" s="52"/>
      <c r="AS1555" s="58"/>
      <c r="AT1555" s="57"/>
      <c r="AU1555" s="52"/>
      <c r="AV1555" s="52"/>
      <c r="AW1555" s="58"/>
      <c r="AX1555" s="33">
        <f t="shared" si="1568"/>
        <v>0</v>
      </c>
      <c r="AY1555" s="31">
        <f t="shared" si="1569"/>
        <v>0</v>
      </c>
      <c r="AZ1555" s="30">
        <f t="shared" si="1570"/>
        <v>0</v>
      </c>
      <c r="BA1555" s="34"/>
      <c r="BB1555" s="34"/>
      <c r="BC1555" s="34"/>
      <c r="BD1555" s="76"/>
      <c r="BE1555" s="34"/>
      <c r="BF1555" s="34"/>
      <c r="BG1555" s="34"/>
      <c r="BH1555" s="34"/>
    </row>
    <row r="1556" spans="1:60" s="17" customFormat="1" ht="19.5" customHeight="1" x14ac:dyDescent="0.35">
      <c r="A1556" s="41">
        <f t="shared" ref="A1556:B1556" si="1573">A1555</f>
        <v>45447</v>
      </c>
      <c r="B1556" s="37" t="str">
        <f t="shared" si="1573"/>
        <v>Çevirme</v>
      </c>
      <c r="C1556" s="65">
        <f t="shared" si="1566"/>
        <v>0</v>
      </c>
      <c r="D1556" s="67">
        <f t="shared" si="1567"/>
        <v>40</v>
      </c>
      <c r="E1556" s="57"/>
      <c r="F1556" s="52"/>
      <c r="G1556" s="52"/>
      <c r="H1556" s="58"/>
      <c r="I1556" s="57"/>
      <c r="J1556" s="52"/>
      <c r="K1556" s="52"/>
      <c r="L1556" s="58"/>
      <c r="M1556" s="57"/>
      <c r="N1556" s="52"/>
      <c r="O1556" s="52"/>
      <c r="P1556" s="58"/>
      <c r="Q1556" s="57"/>
      <c r="R1556" s="52"/>
      <c r="S1556" s="52"/>
      <c r="T1556" s="52"/>
      <c r="U1556" s="58"/>
      <c r="V1556" s="57"/>
      <c r="W1556" s="52"/>
      <c r="X1556" s="52"/>
      <c r="Y1556" s="58"/>
      <c r="Z1556" s="57"/>
      <c r="AA1556" s="52"/>
      <c r="AB1556" s="52"/>
      <c r="AC1556" s="58"/>
      <c r="AD1556" s="57"/>
      <c r="AE1556" s="52"/>
      <c r="AF1556" s="52"/>
      <c r="AG1556" s="58"/>
      <c r="AH1556" s="57"/>
      <c r="AI1556" s="52"/>
      <c r="AJ1556" s="52"/>
      <c r="AK1556" s="58"/>
      <c r="AL1556" s="57"/>
      <c r="AM1556" s="52"/>
      <c r="AN1556" s="52"/>
      <c r="AO1556" s="58"/>
      <c r="AP1556" s="57"/>
      <c r="AQ1556" s="52"/>
      <c r="AR1556" s="52"/>
      <c r="AS1556" s="58"/>
      <c r="AT1556" s="57"/>
      <c r="AU1556" s="52"/>
      <c r="AV1556" s="52"/>
      <c r="AW1556" s="58"/>
      <c r="AX1556" s="33">
        <f t="shared" si="1568"/>
        <v>0</v>
      </c>
      <c r="AY1556" s="31">
        <f t="shared" si="1569"/>
        <v>0</v>
      </c>
      <c r="AZ1556" s="30">
        <f t="shared" si="1570"/>
        <v>0</v>
      </c>
      <c r="BA1556" s="34"/>
      <c r="BB1556" s="34"/>
      <c r="BC1556" s="34"/>
      <c r="BD1556" s="76"/>
      <c r="BE1556" s="34"/>
      <c r="BF1556" s="34"/>
      <c r="BG1556" s="34"/>
      <c r="BH1556" s="34"/>
    </row>
    <row r="1557" spans="1:60" s="17" customFormat="1" ht="19.5" customHeight="1" thickBot="1" x14ac:dyDescent="0.4">
      <c r="A1557" s="41">
        <f t="shared" ref="A1557:B1558" si="1574">A1556</f>
        <v>45447</v>
      </c>
      <c r="B1557" s="37" t="str">
        <f t="shared" si="1574"/>
        <v>Çevirme</v>
      </c>
      <c r="C1557" s="65">
        <f t="shared" si="1566"/>
        <v>0</v>
      </c>
      <c r="D1557" s="67">
        <f t="shared" si="1567"/>
        <v>40</v>
      </c>
      <c r="E1557" s="59"/>
      <c r="F1557" s="60"/>
      <c r="G1557" s="61"/>
      <c r="H1557" s="62"/>
      <c r="I1557" s="59"/>
      <c r="J1557" s="60"/>
      <c r="K1557" s="61"/>
      <c r="L1557" s="62"/>
      <c r="M1557" s="59"/>
      <c r="N1557" s="60"/>
      <c r="O1557" s="61"/>
      <c r="P1557" s="62"/>
      <c r="Q1557" s="64"/>
      <c r="R1557" s="61"/>
      <c r="S1557" s="61"/>
      <c r="T1557" s="61"/>
      <c r="U1557" s="62"/>
      <c r="V1557" s="59"/>
      <c r="W1557" s="60"/>
      <c r="X1557" s="61"/>
      <c r="Y1557" s="62"/>
      <c r="Z1557" s="59"/>
      <c r="AA1557" s="60"/>
      <c r="AB1557" s="61"/>
      <c r="AC1557" s="62"/>
      <c r="AD1557" s="59"/>
      <c r="AE1557" s="60"/>
      <c r="AF1557" s="61"/>
      <c r="AG1557" s="62"/>
      <c r="AH1557" s="59"/>
      <c r="AI1557" s="60"/>
      <c r="AJ1557" s="61"/>
      <c r="AK1557" s="62"/>
      <c r="AL1557" s="59"/>
      <c r="AM1557" s="60"/>
      <c r="AN1557" s="61"/>
      <c r="AO1557" s="62"/>
      <c r="AP1557" s="59"/>
      <c r="AQ1557" s="60"/>
      <c r="AR1557" s="61"/>
      <c r="AS1557" s="62"/>
      <c r="AT1557" s="59"/>
      <c r="AU1557" s="60"/>
      <c r="AV1557" s="61"/>
      <c r="AW1557" s="62"/>
      <c r="AX1557" s="33">
        <f t="shared" si="1568"/>
        <v>0</v>
      </c>
      <c r="AY1557" s="31">
        <f t="shared" si="1569"/>
        <v>0</v>
      </c>
      <c r="AZ1557" s="30">
        <f t="shared" si="1570"/>
        <v>0</v>
      </c>
      <c r="BA1557" s="34"/>
      <c r="BB1557" s="34"/>
      <c r="BC1557" s="34"/>
      <c r="BD1557" s="76"/>
      <c r="BE1557" s="34"/>
      <c r="BF1557" s="34"/>
      <c r="BG1557" s="34"/>
      <c r="BH1557" s="34"/>
    </row>
    <row r="1558" spans="1:60" s="17" customFormat="1" ht="19.5" customHeight="1" thickBot="1" x14ac:dyDescent="0.45">
      <c r="A1558" s="41">
        <f t="shared" si="1574"/>
        <v>45447</v>
      </c>
      <c r="B1558" s="139" t="str">
        <f>B1551</f>
        <v>Çevirme</v>
      </c>
      <c r="C1558" s="140"/>
      <c r="D1558" s="40">
        <f>C1414/8</f>
        <v>500</v>
      </c>
      <c r="E1558" s="147">
        <f>SUM(E1551:H1557)</f>
        <v>0</v>
      </c>
      <c r="F1558" s="148"/>
      <c r="G1558" s="148"/>
      <c r="H1558" s="149"/>
      <c r="I1558" s="147">
        <f>SUM(I1551:L1557)</f>
        <v>0</v>
      </c>
      <c r="J1558" s="148"/>
      <c r="K1558" s="148"/>
      <c r="L1558" s="149"/>
      <c r="M1558" s="147">
        <f>SUM(M1551:P1557)</f>
        <v>0</v>
      </c>
      <c r="N1558" s="148"/>
      <c r="O1558" s="148"/>
      <c r="P1558" s="149"/>
      <c r="Q1558" s="147">
        <f>SUM(Q1551:U1557)</f>
        <v>0</v>
      </c>
      <c r="R1558" s="148"/>
      <c r="S1558" s="148"/>
      <c r="T1558" s="148"/>
      <c r="U1558" s="149"/>
      <c r="V1558" s="147">
        <f>SUM(V1551:Y1557)</f>
        <v>0</v>
      </c>
      <c r="W1558" s="148"/>
      <c r="X1558" s="148"/>
      <c r="Y1558" s="149"/>
      <c r="Z1558" s="147">
        <f>SUM(Z1551:AC1557)</f>
        <v>0</v>
      </c>
      <c r="AA1558" s="148"/>
      <c r="AB1558" s="148"/>
      <c r="AC1558" s="149"/>
      <c r="AD1558" s="147">
        <f>SUM(AD1551:AG1557)</f>
        <v>0</v>
      </c>
      <c r="AE1558" s="148"/>
      <c r="AF1558" s="148"/>
      <c r="AG1558" s="149"/>
      <c r="AH1558" s="147">
        <f>SUM(AH1551:AK1557)</f>
        <v>0</v>
      </c>
      <c r="AI1558" s="148"/>
      <c r="AJ1558" s="148"/>
      <c r="AK1558" s="149"/>
      <c r="AL1558" s="147">
        <f>SUM(AL1551:AO1557)</f>
        <v>0</v>
      </c>
      <c r="AM1558" s="148"/>
      <c r="AN1558" s="148"/>
      <c r="AO1558" s="149"/>
      <c r="AP1558" s="147">
        <f>SUM(AP1551:AS1557)</f>
        <v>0</v>
      </c>
      <c r="AQ1558" s="148"/>
      <c r="AR1558" s="148"/>
      <c r="AS1558" s="149"/>
      <c r="AT1558" s="147">
        <f>SUM(AT1551:AW1557)</f>
        <v>0</v>
      </c>
      <c r="AU1558" s="148"/>
      <c r="AV1558" s="148"/>
      <c r="AW1558" s="149"/>
      <c r="AX1558" s="87">
        <f>SUM(AX1551:AX1557)</f>
        <v>0</v>
      </c>
      <c r="AY1558" s="88">
        <f>IFERROR(AVERAGEIF(E1558:AV1558,"&lt;&gt;0",(E1558:AV1558)),)</f>
        <v>0</v>
      </c>
      <c r="AZ1558" s="46">
        <f>IFERROR(AX1558/BB1552,0)</f>
        <v>0</v>
      </c>
      <c r="BA1558" s="34"/>
      <c r="BB1558" s="34"/>
      <c r="BC1558" s="34"/>
      <c r="BD1558" s="76"/>
      <c r="BE1558" s="34"/>
      <c r="BF1558" s="34"/>
      <c r="BG1558" s="34"/>
      <c r="BH1558" s="34"/>
    </row>
    <row r="1559" spans="1:60" s="17" customFormat="1" ht="19.5" customHeight="1" thickBot="1" x14ac:dyDescent="0.4">
      <c r="A1559" s="42">
        <f>A1550</f>
        <v>45447</v>
      </c>
      <c r="B1559" s="38" t="str">
        <f>B1560</f>
        <v>ÇEVİRME BEDEN</v>
      </c>
      <c r="C1559" s="39" t="s">
        <v>180</v>
      </c>
      <c r="D1559" s="69" t="s">
        <v>181</v>
      </c>
      <c r="E1559" s="48">
        <v>0.34375</v>
      </c>
      <c r="F1559" s="49">
        <v>0.35416666666666669</v>
      </c>
      <c r="G1559" s="49">
        <v>0.36458333333333331</v>
      </c>
      <c r="H1559" s="50">
        <v>0.375</v>
      </c>
      <c r="I1559" s="48">
        <v>0.38541666666666702</v>
      </c>
      <c r="J1559" s="49">
        <v>0.39583333333333298</v>
      </c>
      <c r="K1559" s="49">
        <v>0.40625</v>
      </c>
      <c r="L1559" s="50">
        <v>0.41666666666666702</v>
      </c>
      <c r="M1559" s="48">
        <v>0.4375</v>
      </c>
      <c r="N1559" s="49">
        <v>0.44791666666666702</v>
      </c>
      <c r="O1559" s="49">
        <v>0.45833333333333398</v>
      </c>
      <c r="P1559" s="50">
        <v>0.46875</v>
      </c>
      <c r="Q1559" s="48">
        <v>0.47916666666666702</v>
      </c>
      <c r="R1559" s="49">
        <v>0.48958333333333398</v>
      </c>
      <c r="S1559" s="49">
        <v>0.5</v>
      </c>
      <c r="T1559" s="50">
        <v>0.51041666666666696</v>
      </c>
      <c r="U1559" s="51">
        <v>0.52083333333333204</v>
      </c>
      <c r="V1559" s="48">
        <v>0.5625</v>
      </c>
      <c r="W1559" s="49">
        <v>0.57291666666666663</v>
      </c>
      <c r="X1559" s="49">
        <v>0.58333333333333304</v>
      </c>
      <c r="Y1559" s="50">
        <v>0.59375</v>
      </c>
      <c r="Z1559" s="48">
        <v>0.60416666666666696</v>
      </c>
      <c r="AA1559" s="49">
        <v>0.61458333333333304</v>
      </c>
      <c r="AB1559" s="49">
        <v>0.625</v>
      </c>
      <c r="AC1559" s="50">
        <v>0.63541666666666596</v>
      </c>
      <c r="AD1559" s="48">
        <v>0.65625</v>
      </c>
      <c r="AE1559" s="49">
        <v>0.66666666666666663</v>
      </c>
      <c r="AF1559" s="49">
        <v>0.67708333333333304</v>
      </c>
      <c r="AG1559" s="50">
        <v>0.6875</v>
      </c>
      <c r="AH1559" s="48">
        <v>0.69791666666666696</v>
      </c>
      <c r="AI1559" s="49">
        <v>0.70833333333333304</v>
      </c>
      <c r="AJ1559" s="49">
        <v>0.71875</v>
      </c>
      <c r="AK1559" s="50">
        <v>0.72916666666666696</v>
      </c>
      <c r="AL1559" s="48">
        <v>0.73958333333333404</v>
      </c>
      <c r="AM1559" s="49">
        <v>0.750000000000001</v>
      </c>
      <c r="AN1559" s="49">
        <v>0.76041666666666796</v>
      </c>
      <c r="AO1559" s="50">
        <v>0.77083333333333504</v>
      </c>
      <c r="AP1559" s="48">
        <v>0.781250000000002</v>
      </c>
      <c r="AQ1559" s="49">
        <v>0.79166666666666896</v>
      </c>
      <c r="AR1559" s="49">
        <v>0.80208333333333603</v>
      </c>
      <c r="AS1559" s="50">
        <v>0.812500000000003</v>
      </c>
      <c r="AT1559" s="48">
        <v>0.82291666666666996</v>
      </c>
      <c r="AU1559" s="49">
        <v>0.83333333333333703</v>
      </c>
      <c r="AV1559" s="49">
        <v>0.843750000000004</v>
      </c>
      <c r="AW1559" s="50">
        <v>0.85416666666666663</v>
      </c>
      <c r="AX1559" s="68" t="s">
        <v>260</v>
      </c>
      <c r="AY1559" s="28" t="s">
        <v>261</v>
      </c>
      <c r="AZ1559" s="29" t="s">
        <v>262</v>
      </c>
      <c r="BA1559" s="136" t="str">
        <f>B1560</f>
        <v>ÇEVİRME BEDEN</v>
      </c>
      <c r="BB1559" s="137"/>
      <c r="BC1559" s="137"/>
      <c r="BD1559" s="137"/>
      <c r="BE1559" s="137"/>
      <c r="BF1559" s="137"/>
      <c r="BG1559" s="137"/>
      <c r="BH1559" s="138"/>
    </row>
    <row r="1560" spans="1:60" s="17" customFormat="1" ht="19.5" customHeight="1" thickBot="1" x14ac:dyDescent="0.4">
      <c r="A1560" s="41">
        <f t="shared" ref="A1560" si="1575">A1559</f>
        <v>45447</v>
      </c>
      <c r="B1560" s="37" t="str">
        <f>B1384</f>
        <v>ÇEVİRME BEDEN</v>
      </c>
      <c r="C1560" s="65" t="str">
        <f>C1384</f>
        <v>ARZU ÖZÇAĞLAYAN</v>
      </c>
      <c r="D1560" s="70">
        <f>D1375</f>
        <v>40</v>
      </c>
      <c r="E1560" s="63"/>
      <c r="F1560" s="55"/>
      <c r="G1560" s="55"/>
      <c r="H1560" s="56"/>
      <c r="I1560" s="63"/>
      <c r="J1560" s="55"/>
      <c r="K1560" s="55"/>
      <c r="L1560" s="56"/>
      <c r="M1560" s="63"/>
      <c r="N1560" s="55"/>
      <c r="O1560" s="55"/>
      <c r="P1560" s="56"/>
      <c r="Q1560" s="63"/>
      <c r="R1560" s="55"/>
      <c r="S1560" s="55"/>
      <c r="T1560" s="55"/>
      <c r="U1560" s="56"/>
      <c r="V1560" s="63"/>
      <c r="W1560" s="55"/>
      <c r="X1560" s="55"/>
      <c r="Y1560" s="56"/>
      <c r="Z1560" s="63"/>
      <c r="AA1560" s="55"/>
      <c r="AB1560" s="55"/>
      <c r="AC1560" s="56"/>
      <c r="AD1560" s="63"/>
      <c r="AE1560" s="55"/>
      <c r="AF1560" s="55"/>
      <c r="AG1560" s="56"/>
      <c r="AH1560" s="63"/>
      <c r="AI1560" s="55"/>
      <c r="AJ1560" s="55"/>
      <c r="AK1560" s="56"/>
      <c r="AL1560" s="63"/>
      <c r="AM1560" s="55"/>
      <c r="AN1560" s="55"/>
      <c r="AO1560" s="56"/>
      <c r="AP1560" s="63"/>
      <c r="AQ1560" s="55"/>
      <c r="AR1560" s="55"/>
      <c r="AS1560" s="56"/>
      <c r="AT1560" s="53"/>
      <c r="AU1560" s="54"/>
      <c r="AV1560" s="55"/>
      <c r="AW1560" s="56"/>
      <c r="AX1560" s="33">
        <f>SUM(E1560:AW1560)</f>
        <v>0</v>
      </c>
      <c r="AY1560" s="31">
        <f>IFERROR(AVERAGEIF(E1560:AW1560,"&lt;&gt;0",(E1560:AW1560)),)</f>
        <v>0</v>
      </c>
      <c r="AZ1560" s="30">
        <f>IFERROR(AY1560/D1560,0)</f>
        <v>0</v>
      </c>
      <c r="BA1560" s="93"/>
      <c r="BB1560" s="93" t="str">
        <f t="shared" ref="BB1560" si="1576">BA1414</f>
        <v>XS</v>
      </c>
      <c r="BC1560" s="93" t="str">
        <f t="shared" ref="BC1560" si="1577">BB1414</f>
        <v>S</v>
      </c>
      <c r="BD1560" s="93" t="str">
        <f t="shared" ref="BD1560" si="1578">BC1414</f>
        <v>M</v>
      </c>
      <c r="BE1560" s="93" t="str">
        <f t="shared" ref="BE1560" si="1579">BD1414</f>
        <v>L</v>
      </c>
      <c r="BF1560" s="93" t="str">
        <f t="shared" ref="BF1560" si="1580">BE1414</f>
        <v>XL</v>
      </c>
      <c r="BG1560" s="93" t="str">
        <f t="shared" ref="BG1560" si="1581">BF1414</f>
        <v>XXL</v>
      </c>
      <c r="BH1560" s="93"/>
    </row>
    <row r="1561" spans="1:60" s="17" customFormat="1" ht="19.5" customHeight="1" thickBot="1" x14ac:dyDescent="0.4">
      <c r="A1561" s="41">
        <f t="shared" ref="A1561:B1561" si="1582">A1560</f>
        <v>45447</v>
      </c>
      <c r="B1561" s="37" t="str">
        <f t="shared" si="1582"/>
        <v>ÇEVİRME BEDEN</v>
      </c>
      <c r="C1561" s="65" t="str">
        <f t="shared" ref="C1561:C1566" si="1583">C1385</f>
        <v>NECLA KOÇ</v>
      </c>
      <c r="D1561" s="67">
        <f t="shared" ref="D1561:D1566" si="1584">D1560</f>
        <v>40</v>
      </c>
      <c r="E1561" s="57"/>
      <c r="F1561" s="52"/>
      <c r="G1561" s="52"/>
      <c r="H1561" s="58"/>
      <c r="I1561" s="57"/>
      <c r="J1561" s="52"/>
      <c r="K1561" s="52"/>
      <c r="L1561" s="58"/>
      <c r="M1561" s="57"/>
      <c r="N1561" s="52"/>
      <c r="O1561" s="52"/>
      <c r="P1561" s="58"/>
      <c r="Q1561" s="57"/>
      <c r="R1561" s="52"/>
      <c r="S1561" s="52"/>
      <c r="T1561" s="52"/>
      <c r="U1561" s="58"/>
      <c r="V1561" s="57"/>
      <c r="W1561" s="52"/>
      <c r="X1561" s="52"/>
      <c r="Y1561" s="58"/>
      <c r="Z1561" s="57"/>
      <c r="AA1561" s="52"/>
      <c r="AB1561" s="52"/>
      <c r="AC1561" s="58"/>
      <c r="AD1561" s="57"/>
      <c r="AE1561" s="52"/>
      <c r="AF1561" s="52"/>
      <c r="AG1561" s="58"/>
      <c r="AH1561" s="57"/>
      <c r="AI1561" s="52"/>
      <c r="AJ1561" s="52"/>
      <c r="AK1561" s="58"/>
      <c r="AL1561" s="57"/>
      <c r="AM1561" s="52"/>
      <c r="AN1561" s="52"/>
      <c r="AO1561" s="58"/>
      <c r="AP1561" s="57"/>
      <c r="AQ1561" s="52"/>
      <c r="AR1561" s="52"/>
      <c r="AS1561" s="58"/>
      <c r="AT1561" s="57"/>
      <c r="AU1561" s="52"/>
      <c r="AV1561" s="52"/>
      <c r="AW1561" s="58"/>
      <c r="AX1561" s="33">
        <f t="shared" ref="AX1561:AX1566" si="1585">SUM(E1561:AW1561)</f>
        <v>0</v>
      </c>
      <c r="AY1561" s="31">
        <f t="shared" ref="AY1561:AY1566" si="1586">IFERROR(AVERAGEIF(E1561:AW1561,"&lt;&gt;0",(E1561:AW1561)),)</f>
        <v>0</v>
      </c>
      <c r="AZ1561" s="30">
        <f t="shared" ref="AZ1561:AZ1566" si="1587">IFERROR(AY1561/D1561,0)</f>
        <v>0</v>
      </c>
      <c r="BA1561" s="94" t="s">
        <v>194</v>
      </c>
      <c r="BB1561" s="96">
        <f t="shared" ref="BB1561:BG1561" si="1588">BB1453</f>
        <v>0</v>
      </c>
      <c r="BC1561" s="96">
        <f t="shared" si="1588"/>
        <v>0</v>
      </c>
      <c r="BD1561" s="96">
        <f t="shared" si="1588"/>
        <v>0</v>
      </c>
      <c r="BE1561" s="96">
        <f t="shared" si="1588"/>
        <v>0</v>
      </c>
      <c r="BF1561" s="96">
        <f t="shared" si="1588"/>
        <v>0</v>
      </c>
      <c r="BG1561" s="96">
        <f t="shared" si="1588"/>
        <v>0</v>
      </c>
      <c r="BH1561" s="99">
        <f>SUM(BB1561:BG1561)</f>
        <v>0</v>
      </c>
    </row>
    <row r="1562" spans="1:60" s="17" customFormat="1" ht="19.5" customHeight="1" thickBot="1" x14ac:dyDescent="0.4">
      <c r="A1562" s="41">
        <f t="shared" ref="A1562:B1562" si="1589">A1561</f>
        <v>45447</v>
      </c>
      <c r="B1562" s="37" t="str">
        <f t="shared" si="1589"/>
        <v>ÇEVİRME BEDEN</v>
      </c>
      <c r="C1562" s="65" t="str">
        <f t="shared" si="1583"/>
        <v>SEZER BOZKURT</v>
      </c>
      <c r="D1562" s="67">
        <f t="shared" si="1584"/>
        <v>40</v>
      </c>
      <c r="E1562" s="57"/>
      <c r="F1562" s="52"/>
      <c r="G1562" s="52"/>
      <c r="H1562" s="58"/>
      <c r="I1562" s="57"/>
      <c r="J1562" s="52"/>
      <c r="K1562" s="52"/>
      <c r="L1562" s="58"/>
      <c r="M1562" s="57"/>
      <c r="N1562" s="52"/>
      <c r="O1562" s="52"/>
      <c r="P1562" s="58"/>
      <c r="Q1562" s="57"/>
      <c r="R1562" s="52"/>
      <c r="S1562" s="52"/>
      <c r="T1562" s="52"/>
      <c r="U1562" s="58"/>
      <c r="V1562" s="57"/>
      <c r="W1562" s="52"/>
      <c r="X1562" s="52"/>
      <c r="Y1562" s="58"/>
      <c r="Z1562" s="57"/>
      <c r="AA1562" s="52"/>
      <c r="AB1562" s="52"/>
      <c r="AC1562" s="58"/>
      <c r="AD1562" s="57"/>
      <c r="AE1562" s="52"/>
      <c r="AF1562" s="52"/>
      <c r="AG1562" s="58"/>
      <c r="AH1562" s="57"/>
      <c r="AI1562" s="52"/>
      <c r="AJ1562" s="52"/>
      <c r="AK1562" s="58"/>
      <c r="AL1562" s="57"/>
      <c r="AM1562" s="52"/>
      <c r="AN1562" s="52"/>
      <c r="AO1562" s="58"/>
      <c r="AP1562" s="57"/>
      <c r="AQ1562" s="52"/>
      <c r="AR1562" s="52"/>
      <c r="AS1562" s="58"/>
      <c r="AT1562" s="57"/>
      <c r="AU1562" s="52"/>
      <c r="AV1562" s="52"/>
      <c r="AW1562" s="58"/>
      <c r="AX1562" s="33">
        <f t="shared" si="1585"/>
        <v>0</v>
      </c>
      <c r="AY1562" s="31">
        <f t="shared" si="1586"/>
        <v>0</v>
      </c>
      <c r="AZ1562" s="30">
        <f t="shared" si="1587"/>
        <v>0</v>
      </c>
      <c r="BA1562" s="94" t="s">
        <v>195</v>
      </c>
      <c r="BB1562" s="96">
        <f>SUMIF(C1560:C1566,BB1560,AX1560:AX1566)+BB1386</f>
        <v>0</v>
      </c>
      <c r="BC1562" s="96">
        <f>SUMIF(C1560:C1566,BC1560,AX1560:AX1566)+BC1386</f>
        <v>0</v>
      </c>
      <c r="BD1562" s="96">
        <f>SUMIF(C1560:C1566,BD1560,AX1560:AX1566)+BD1386</f>
        <v>0</v>
      </c>
      <c r="BE1562" s="96">
        <f>SUMIF(C1560:C1566,BE1560,AX1560:AX1566)+BE1386</f>
        <v>0</v>
      </c>
      <c r="BF1562" s="96">
        <f>SUMIF(C1560:C1566,BF1560,AX1560:AX1566)+BF1386</f>
        <v>0</v>
      </c>
      <c r="BG1562" s="96">
        <f>SUMIF(C1560:C1566,BG1560,AX1560:AX1566)+BG1386</f>
        <v>0</v>
      </c>
      <c r="BH1562" s="99">
        <f>SUM(BB1562:BG1562)</f>
        <v>0</v>
      </c>
    </row>
    <row r="1563" spans="1:60" s="17" customFormat="1" ht="19.5" customHeight="1" thickBot="1" x14ac:dyDescent="0.4">
      <c r="A1563" s="41">
        <f t="shared" ref="A1563:B1564" si="1590">A1562</f>
        <v>45447</v>
      </c>
      <c r="B1563" s="37" t="str">
        <f t="shared" si="1590"/>
        <v>ÇEVİRME BEDEN</v>
      </c>
      <c r="C1563" s="65" t="str">
        <f t="shared" si="1583"/>
        <v>MELAHAT EROL</v>
      </c>
      <c r="D1563" s="67">
        <f t="shared" si="1584"/>
        <v>40</v>
      </c>
      <c r="E1563" s="57"/>
      <c r="F1563" s="52"/>
      <c r="G1563" s="52"/>
      <c r="H1563" s="58"/>
      <c r="I1563" s="57"/>
      <c r="J1563" s="52"/>
      <c r="K1563" s="52"/>
      <c r="L1563" s="58"/>
      <c r="M1563" s="57"/>
      <c r="N1563" s="52"/>
      <c r="O1563" s="52"/>
      <c r="P1563" s="58"/>
      <c r="Q1563" s="57"/>
      <c r="R1563" s="52"/>
      <c r="S1563" s="52"/>
      <c r="T1563" s="52"/>
      <c r="U1563" s="58"/>
      <c r="V1563" s="57"/>
      <c r="W1563" s="52"/>
      <c r="X1563" s="52"/>
      <c r="Y1563" s="58"/>
      <c r="Z1563" s="57"/>
      <c r="AA1563" s="52"/>
      <c r="AB1563" s="52"/>
      <c r="AC1563" s="58"/>
      <c r="AD1563" s="57"/>
      <c r="AE1563" s="52"/>
      <c r="AF1563" s="52"/>
      <c r="AG1563" s="58"/>
      <c r="AH1563" s="57"/>
      <c r="AI1563" s="52"/>
      <c r="AJ1563" s="52"/>
      <c r="AK1563" s="58"/>
      <c r="AL1563" s="57"/>
      <c r="AM1563" s="52"/>
      <c r="AN1563" s="52"/>
      <c r="AO1563" s="58"/>
      <c r="AP1563" s="57"/>
      <c r="AQ1563" s="52"/>
      <c r="AR1563" s="52"/>
      <c r="AS1563" s="58"/>
      <c r="AT1563" s="57"/>
      <c r="AU1563" s="52"/>
      <c r="AV1563" s="52"/>
      <c r="AW1563" s="58"/>
      <c r="AX1563" s="33">
        <f t="shared" si="1585"/>
        <v>0</v>
      </c>
      <c r="AY1563" s="31">
        <f t="shared" si="1586"/>
        <v>0</v>
      </c>
      <c r="AZ1563" s="30">
        <f t="shared" si="1587"/>
        <v>0</v>
      </c>
      <c r="BA1563" s="94" t="s">
        <v>196</v>
      </c>
      <c r="BB1563" s="96">
        <f t="shared" ref="BB1563:BG1563" si="1591">BB1561-BB1562</f>
        <v>0</v>
      </c>
      <c r="BC1563" s="96">
        <f t="shared" si="1591"/>
        <v>0</v>
      </c>
      <c r="BD1563" s="96">
        <f t="shared" si="1591"/>
        <v>0</v>
      </c>
      <c r="BE1563" s="96">
        <f t="shared" si="1591"/>
        <v>0</v>
      </c>
      <c r="BF1563" s="96">
        <f t="shared" si="1591"/>
        <v>0</v>
      </c>
      <c r="BG1563" s="96">
        <f t="shared" si="1591"/>
        <v>0</v>
      </c>
      <c r="BH1563" s="99">
        <f>SUM(BB1563:BG1563)</f>
        <v>0</v>
      </c>
    </row>
    <row r="1564" spans="1:60" s="17" customFormat="1" ht="19.5" customHeight="1" x14ac:dyDescent="0.35">
      <c r="A1564" s="41">
        <f>A1561</f>
        <v>45447</v>
      </c>
      <c r="B1564" s="37" t="str">
        <f t="shared" si="1590"/>
        <v>ÇEVİRME BEDEN</v>
      </c>
      <c r="C1564" s="65" t="str">
        <f t="shared" si="1583"/>
        <v>DERYA KESKİN</v>
      </c>
      <c r="D1564" s="67">
        <f t="shared" si="1584"/>
        <v>40</v>
      </c>
      <c r="E1564" s="57"/>
      <c r="F1564" s="52"/>
      <c r="G1564" s="52"/>
      <c r="H1564" s="58"/>
      <c r="I1564" s="57"/>
      <c r="J1564" s="52"/>
      <c r="K1564" s="52"/>
      <c r="L1564" s="58"/>
      <c r="M1564" s="57"/>
      <c r="N1564" s="52"/>
      <c r="O1564" s="52"/>
      <c r="P1564" s="58"/>
      <c r="Q1564" s="57"/>
      <c r="R1564" s="52"/>
      <c r="S1564" s="52"/>
      <c r="T1564" s="52"/>
      <c r="U1564" s="58"/>
      <c r="V1564" s="57"/>
      <c r="W1564" s="52"/>
      <c r="X1564" s="52"/>
      <c r="Y1564" s="58"/>
      <c r="Z1564" s="57"/>
      <c r="AA1564" s="52"/>
      <c r="AB1564" s="52"/>
      <c r="AC1564" s="58"/>
      <c r="AD1564" s="57"/>
      <c r="AE1564" s="52"/>
      <c r="AF1564" s="52"/>
      <c r="AG1564" s="58"/>
      <c r="AH1564" s="57"/>
      <c r="AI1564" s="52"/>
      <c r="AJ1564" s="52"/>
      <c r="AK1564" s="58"/>
      <c r="AL1564" s="57"/>
      <c r="AM1564" s="52"/>
      <c r="AN1564" s="52"/>
      <c r="AO1564" s="58"/>
      <c r="AP1564" s="57"/>
      <c r="AQ1564" s="52"/>
      <c r="AR1564" s="52"/>
      <c r="AS1564" s="58"/>
      <c r="AT1564" s="57"/>
      <c r="AU1564" s="52"/>
      <c r="AV1564" s="52"/>
      <c r="AW1564" s="58"/>
      <c r="AX1564" s="33">
        <f t="shared" si="1585"/>
        <v>0</v>
      </c>
      <c r="AY1564" s="31">
        <f t="shared" si="1586"/>
        <v>0</v>
      </c>
      <c r="AZ1564" s="30">
        <f t="shared" si="1587"/>
        <v>0</v>
      </c>
      <c r="BA1564" s="34"/>
      <c r="BB1564" s="34"/>
      <c r="BC1564" s="34"/>
      <c r="BD1564" s="76"/>
      <c r="BE1564" s="34"/>
      <c r="BF1564" s="34"/>
      <c r="BG1564" s="34"/>
      <c r="BH1564" s="34"/>
    </row>
    <row r="1565" spans="1:60" s="17" customFormat="1" ht="19.5" customHeight="1" x14ac:dyDescent="0.35">
      <c r="A1565" s="41">
        <f t="shared" ref="A1565:B1565" si="1592">A1564</f>
        <v>45447</v>
      </c>
      <c r="B1565" s="37" t="str">
        <f t="shared" si="1592"/>
        <v>ÇEVİRME BEDEN</v>
      </c>
      <c r="C1565" s="65">
        <f t="shared" si="1583"/>
        <v>0</v>
      </c>
      <c r="D1565" s="67">
        <f t="shared" si="1584"/>
        <v>40</v>
      </c>
      <c r="E1565" s="57"/>
      <c r="F1565" s="52"/>
      <c r="G1565" s="52"/>
      <c r="H1565" s="58"/>
      <c r="I1565" s="57"/>
      <c r="J1565" s="52"/>
      <c r="K1565" s="52"/>
      <c r="L1565" s="58"/>
      <c r="M1565" s="57"/>
      <c r="N1565" s="52"/>
      <c r="O1565" s="52"/>
      <c r="P1565" s="58"/>
      <c r="Q1565" s="57"/>
      <c r="R1565" s="52"/>
      <c r="S1565" s="52"/>
      <c r="T1565" s="52"/>
      <c r="U1565" s="58"/>
      <c r="V1565" s="57"/>
      <c r="W1565" s="52"/>
      <c r="X1565" s="52"/>
      <c r="Y1565" s="58"/>
      <c r="Z1565" s="57"/>
      <c r="AA1565" s="52"/>
      <c r="AB1565" s="52"/>
      <c r="AC1565" s="58"/>
      <c r="AD1565" s="57"/>
      <c r="AE1565" s="52"/>
      <c r="AF1565" s="52"/>
      <c r="AG1565" s="58"/>
      <c r="AH1565" s="57"/>
      <c r="AI1565" s="52"/>
      <c r="AJ1565" s="52"/>
      <c r="AK1565" s="58"/>
      <c r="AL1565" s="57"/>
      <c r="AM1565" s="52"/>
      <c r="AN1565" s="52"/>
      <c r="AO1565" s="58"/>
      <c r="AP1565" s="57"/>
      <c r="AQ1565" s="52"/>
      <c r="AR1565" s="52"/>
      <c r="AS1565" s="58"/>
      <c r="AT1565" s="57"/>
      <c r="AU1565" s="52"/>
      <c r="AV1565" s="52"/>
      <c r="AW1565" s="58"/>
      <c r="AX1565" s="33">
        <f t="shared" si="1585"/>
        <v>0</v>
      </c>
      <c r="AY1565" s="31">
        <f t="shared" si="1586"/>
        <v>0</v>
      </c>
      <c r="AZ1565" s="30">
        <f t="shared" si="1587"/>
        <v>0</v>
      </c>
      <c r="BA1565" s="34"/>
      <c r="BB1565" s="34"/>
      <c r="BC1565" s="34"/>
      <c r="BD1565" s="76"/>
      <c r="BE1565" s="34"/>
      <c r="BF1565" s="34"/>
      <c r="BG1565" s="34"/>
      <c r="BH1565" s="34"/>
    </row>
    <row r="1566" spans="1:60" s="17" customFormat="1" ht="19.5" customHeight="1" thickBot="1" x14ac:dyDescent="0.4">
      <c r="A1566" s="41">
        <f t="shared" ref="A1566:B1567" si="1593">A1565</f>
        <v>45447</v>
      </c>
      <c r="B1566" s="37" t="str">
        <f t="shared" si="1593"/>
        <v>ÇEVİRME BEDEN</v>
      </c>
      <c r="C1566" s="65">
        <f t="shared" si="1583"/>
        <v>0</v>
      </c>
      <c r="D1566" s="67">
        <f t="shared" si="1584"/>
        <v>40</v>
      </c>
      <c r="E1566" s="59"/>
      <c r="F1566" s="60"/>
      <c r="G1566" s="61"/>
      <c r="H1566" s="62"/>
      <c r="I1566" s="59"/>
      <c r="J1566" s="60"/>
      <c r="K1566" s="61"/>
      <c r="L1566" s="62"/>
      <c r="M1566" s="59"/>
      <c r="N1566" s="60"/>
      <c r="O1566" s="61"/>
      <c r="P1566" s="62"/>
      <c r="Q1566" s="64"/>
      <c r="R1566" s="61"/>
      <c r="S1566" s="61"/>
      <c r="T1566" s="61"/>
      <c r="U1566" s="62"/>
      <c r="V1566" s="59"/>
      <c r="W1566" s="60"/>
      <c r="X1566" s="61"/>
      <c r="Y1566" s="62"/>
      <c r="Z1566" s="59"/>
      <c r="AA1566" s="60"/>
      <c r="AB1566" s="61"/>
      <c r="AC1566" s="62"/>
      <c r="AD1566" s="59"/>
      <c r="AE1566" s="60"/>
      <c r="AF1566" s="61"/>
      <c r="AG1566" s="62"/>
      <c r="AH1566" s="59"/>
      <c r="AI1566" s="60"/>
      <c r="AJ1566" s="61"/>
      <c r="AK1566" s="62"/>
      <c r="AL1566" s="59"/>
      <c r="AM1566" s="60"/>
      <c r="AN1566" s="61"/>
      <c r="AO1566" s="62"/>
      <c r="AP1566" s="59"/>
      <c r="AQ1566" s="60"/>
      <c r="AR1566" s="61"/>
      <c r="AS1566" s="62"/>
      <c r="AT1566" s="59"/>
      <c r="AU1566" s="60"/>
      <c r="AV1566" s="61"/>
      <c r="AW1566" s="62"/>
      <c r="AX1566" s="33">
        <f t="shared" si="1585"/>
        <v>0</v>
      </c>
      <c r="AY1566" s="31">
        <f t="shared" si="1586"/>
        <v>0</v>
      </c>
      <c r="AZ1566" s="30">
        <f t="shared" si="1587"/>
        <v>0</v>
      </c>
      <c r="BA1566" s="34"/>
      <c r="BB1566" s="34"/>
      <c r="BC1566" s="34"/>
      <c r="BD1566" s="76"/>
      <c r="BE1566" s="34"/>
      <c r="BF1566" s="34"/>
      <c r="BG1566" s="34"/>
      <c r="BH1566" s="34"/>
    </row>
    <row r="1567" spans="1:60" s="17" customFormat="1" ht="19.5" customHeight="1" thickBot="1" x14ac:dyDescent="0.45">
      <c r="A1567" s="41">
        <f t="shared" si="1593"/>
        <v>45447</v>
      </c>
      <c r="B1567" s="139" t="str">
        <f>B1560</f>
        <v>ÇEVİRME BEDEN</v>
      </c>
      <c r="C1567" s="140"/>
      <c r="D1567" s="40">
        <f>C1414/8</f>
        <v>500</v>
      </c>
      <c r="E1567" s="147">
        <f>SUM(E1560:H1566)</f>
        <v>0</v>
      </c>
      <c r="F1567" s="148"/>
      <c r="G1567" s="148"/>
      <c r="H1567" s="149"/>
      <c r="I1567" s="147">
        <f>SUM(I1560:L1566)</f>
        <v>0</v>
      </c>
      <c r="J1567" s="148"/>
      <c r="K1567" s="148"/>
      <c r="L1567" s="149"/>
      <c r="M1567" s="147">
        <f>SUM(M1560:P1566)</f>
        <v>0</v>
      </c>
      <c r="N1567" s="148"/>
      <c r="O1567" s="148"/>
      <c r="P1567" s="149"/>
      <c r="Q1567" s="147">
        <f>SUM(Q1560:U1566)</f>
        <v>0</v>
      </c>
      <c r="R1567" s="148"/>
      <c r="S1567" s="148"/>
      <c r="T1567" s="148"/>
      <c r="U1567" s="149"/>
      <c r="V1567" s="147">
        <f>SUM(V1560:Y1566)</f>
        <v>0</v>
      </c>
      <c r="W1567" s="148"/>
      <c r="X1567" s="148"/>
      <c r="Y1567" s="149"/>
      <c r="Z1567" s="147">
        <f>SUM(Z1560:AC1566)</f>
        <v>0</v>
      </c>
      <c r="AA1567" s="148"/>
      <c r="AB1567" s="148"/>
      <c r="AC1567" s="149"/>
      <c r="AD1567" s="147">
        <f>SUM(AD1560:AG1566)</f>
        <v>0</v>
      </c>
      <c r="AE1567" s="148"/>
      <c r="AF1567" s="148"/>
      <c r="AG1567" s="149"/>
      <c r="AH1567" s="147">
        <f>SUM(AH1560:AK1566)</f>
        <v>0</v>
      </c>
      <c r="AI1567" s="148"/>
      <c r="AJ1567" s="148"/>
      <c r="AK1567" s="149"/>
      <c r="AL1567" s="147">
        <f>SUM(AL1560:AO1566)</f>
        <v>0</v>
      </c>
      <c r="AM1567" s="148"/>
      <c r="AN1567" s="148"/>
      <c r="AO1567" s="149"/>
      <c r="AP1567" s="147">
        <f>SUM(AP1560:AS1566)</f>
        <v>0</v>
      </c>
      <c r="AQ1567" s="148"/>
      <c r="AR1567" s="148"/>
      <c r="AS1567" s="149"/>
      <c r="AT1567" s="147">
        <f>SUM(AT1560:AW1566)</f>
        <v>0</v>
      </c>
      <c r="AU1567" s="148"/>
      <c r="AV1567" s="148"/>
      <c r="AW1567" s="149"/>
      <c r="AX1567" s="87">
        <f>SUM(AX1560:AX1566)</f>
        <v>0</v>
      </c>
      <c r="AY1567" s="88">
        <f>IFERROR(AVERAGEIF(E1567:AV1567,"&lt;&gt;0",(E1567:AV1567)),)</f>
        <v>0</v>
      </c>
      <c r="AZ1567" s="46">
        <f>IFERROR(AX1567/BB1561,0)</f>
        <v>0</v>
      </c>
      <c r="BA1567" s="34"/>
      <c r="BB1567" s="34"/>
      <c r="BC1567" s="34"/>
      <c r="BD1567" s="76"/>
      <c r="BE1567" s="34"/>
      <c r="BF1567" s="34"/>
      <c r="BG1567" s="34"/>
      <c r="BH1567" s="34"/>
    </row>
    <row r="1568" spans="1:60" s="17" customFormat="1" ht="19.5" customHeight="1" thickBot="1" x14ac:dyDescent="0.4">
      <c r="A1568" s="42">
        <f>A1559</f>
        <v>45447</v>
      </c>
      <c r="B1568" s="38">
        <v>50</v>
      </c>
      <c r="C1568" s="39" t="s">
        <v>180</v>
      </c>
      <c r="D1568" s="69" t="s">
        <v>181</v>
      </c>
      <c r="E1568" s="48">
        <v>0.34375</v>
      </c>
      <c r="F1568" s="49">
        <v>0.35416666666666669</v>
      </c>
      <c r="G1568" s="49">
        <v>0.36458333333333331</v>
      </c>
      <c r="H1568" s="50">
        <v>0.375</v>
      </c>
      <c r="I1568" s="48">
        <v>0.38541666666666702</v>
      </c>
      <c r="J1568" s="49">
        <v>0.39583333333333298</v>
      </c>
      <c r="K1568" s="49">
        <v>0.40625</v>
      </c>
      <c r="L1568" s="50">
        <v>0.41666666666666702</v>
      </c>
      <c r="M1568" s="48">
        <v>0.4375</v>
      </c>
      <c r="N1568" s="49">
        <v>0.44791666666666702</v>
      </c>
      <c r="O1568" s="49">
        <v>0.45833333333333398</v>
      </c>
      <c r="P1568" s="50">
        <v>0.46875</v>
      </c>
      <c r="Q1568" s="82">
        <v>0.47916666666666702</v>
      </c>
      <c r="R1568" s="83">
        <v>0.48958333333333398</v>
      </c>
      <c r="S1568" s="83">
        <v>0.5</v>
      </c>
      <c r="T1568" s="84">
        <v>0.51041666666666696</v>
      </c>
      <c r="U1568" s="85">
        <v>0.52083333333333204</v>
      </c>
      <c r="V1568" s="48">
        <v>0.5625</v>
      </c>
      <c r="W1568" s="49">
        <v>0.57291666666666663</v>
      </c>
      <c r="X1568" s="49">
        <v>0.58333333333333304</v>
      </c>
      <c r="Y1568" s="50">
        <v>0.59375</v>
      </c>
      <c r="Z1568" s="48">
        <v>0.60416666666666696</v>
      </c>
      <c r="AA1568" s="49">
        <v>0.61458333333333304</v>
      </c>
      <c r="AB1568" s="49">
        <v>0.625</v>
      </c>
      <c r="AC1568" s="50">
        <v>0.63541666666666596</v>
      </c>
      <c r="AD1568" s="48">
        <v>0.65625</v>
      </c>
      <c r="AE1568" s="49">
        <v>0.66666666666666663</v>
      </c>
      <c r="AF1568" s="49">
        <v>0.67708333333333304</v>
      </c>
      <c r="AG1568" s="50">
        <v>0.6875</v>
      </c>
      <c r="AH1568" s="48">
        <v>0.69791666666666696</v>
      </c>
      <c r="AI1568" s="49">
        <v>0.70833333333333304</v>
      </c>
      <c r="AJ1568" s="49">
        <v>0.71875</v>
      </c>
      <c r="AK1568" s="50">
        <v>0.72916666666666696</v>
      </c>
      <c r="AL1568" s="48">
        <v>0.73958333333333404</v>
      </c>
      <c r="AM1568" s="49">
        <v>0.750000000000001</v>
      </c>
      <c r="AN1568" s="49">
        <v>0.76041666666666796</v>
      </c>
      <c r="AO1568" s="50">
        <v>0.77083333333333504</v>
      </c>
      <c r="AP1568" s="48">
        <v>0.781250000000002</v>
      </c>
      <c r="AQ1568" s="49">
        <v>0.79166666666666896</v>
      </c>
      <c r="AR1568" s="49">
        <v>0.80208333333333603</v>
      </c>
      <c r="AS1568" s="50">
        <v>0.812500000000003</v>
      </c>
      <c r="AT1568" s="48">
        <v>0.82291666666666996</v>
      </c>
      <c r="AU1568" s="49">
        <v>0.83333333333333703</v>
      </c>
      <c r="AV1568" s="49">
        <v>0.843750000000004</v>
      </c>
      <c r="AW1568" s="50">
        <v>0.85416666666666663</v>
      </c>
      <c r="AX1568" s="68" t="s">
        <v>260</v>
      </c>
      <c r="AY1568" s="28" t="s">
        <v>261</v>
      </c>
      <c r="AZ1568" s="29" t="s">
        <v>262</v>
      </c>
      <c r="BA1568" s="136" t="str">
        <f>B1569</f>
        <v>Ütü</v>
      </c>
      <c r="BB1568" s="137"/>
      <c r="BC1568" s="137"/>
      <c r="BD1568" s="137"/>
      <c r="BE1568" s="137"/>
      <c r="BF1568" s="137"/>
      <c r="BG1568" s="137"/>
      <c r="BH1568" s="138"/>
    </row>
    <row r="1569" spans="1:60" s="17" customFormat="1" ht="19.5" customHeight="1" thickBot="1" x14ac:dyDescent="0.4">
      <c r="A1569" s="41">
        <f t="shared" ref="A1569" si="1594">A1568</f>
        <v>45447</v>
      </c>
      <c r="B1569" s="37" t="str">
        <f>B1393</f>
        <v>Ütü</v>
      </c>
      <c r="C1569" s="65" t="str">
        <f>C1393</f>
        <v>FARUK BİÇER</v>
      </c>
      <c r="D1569" s="70">
        <f>D1393</f>
        <v>45</v>
      </c>
      <c r="E1569" s="63"/>
      <c r="F1569" s="55"/>
      <c r="G1569" s="55"/>
      <c r="H1569" s="56"/>
      <c r="I1569" s="63"/>
      <c r="J1569" s="55"/>
      <c r="K1569" s="55"/>
      <c r="L1569" s="56"/>
      <c r="M1569" s="63"/>
      <c r="N1569" s="55"/>
      <c r="O1569" s="55"/>
      <c r="P1569" s="56"/>
      <c r="Q1569" s="63"/>
      <c r="R1569" s="55"/>
      <c r="S1569" s="55"/>
      <c r="T1569" s="55"/>
      <c r="U1569" s="56"/>
      <c r="V1569" s="63"/>
      <c r="W1569" s="55"/>
      <c r="X1569" s="55"/>
      <c r="Y1569" s="56"/>
      <c r="Z1569" s="63"/>
      <c r="AA1569" s="55"/>
      <c r="AB1569" s="55"/>
      <c r="AC1569" s="56"/>
      <c r="AD1569" s="63"/>
      <c r="AE1569" s="55"/>
      <c r="AF1569" s="55"/>
      <c r="AG1569" s="56"/>
      <c r="AH1569" s="63"/>
      <c r="AI1569" s="55"/>
      <c r="AJ1569" s="55"/>
      <c r="AK1569" s="56"/>
      <c r="AL1569" s="53"/>
      <c r="AM1569" s="54"/>
      <c r="AN1569" s="55"/>
      <c r="AO1569" s="56"/>
      <c r="AP1569" s="53"/>
      <c r="AQ1569" s="54"/>
      <c r="AR1569" s="55"/>
      <c r="AS1569" s="56"/>
      <c r="AT1569" s="53"/>
      <c r="AU1569" s="54"/>
      <c r="AV1569" s="55"/>
      <c r="AW1569" s="56"/>
      <c r="AX1569" s="33">
        <f>SUM(E1569:AW1569)</f>
        <v>0</v>
      </c>
      <c r="AY1569" s="31">
        <f>IFERROR(AVERAGEIF(E1569:AW1569,"&lt;&gt;0",(E1569:AW1569)),)</f>
        <v>0</v>
      </c>
      <c r="AZ1569" s="30">
        <f>IFERROR(AY1569/D1569,0)</f>
        <v>0</v>
      </c>
      <c r="BA1569" s="103" t="s">
        <v>182</v>
      </c>
      <c r="BB1569" s="100" t="s">
        <v>183</v>
      </c>
      <c r="BC1569" s="100" t="s">
        <v>184</v>
      </c>
      <c r="BD1569" s="101" t="s">
        <v>185</v>
      </c>
      <c r="BE1569" s="100" t="s">
        <v>186</v>
      </c>
      <c r="BF1569" s="102" t="s">
        <v>187</v>
      </c>
      <c r="BG1569" s="100" t="s">
        <v>188</v>
      </c>
      <c r="BH1569" s="102" t="s">
        <v>189</v>
      </c>
    </row>
    <row r="1570" spans="1:60" s="17" customFormat="1" ht="19.5" customHeight="1" thickBot="1" x14ac:dyDescent="0.4">
      <c r="A1570" s="41">
        <f t="shared" ref="A1570:B1570" si="1595">A1569</f>
        <v>45447</v>
      </c>
      <c r="B1570" s="37" t="str">
        <f t="shared" si="1595"/>
        <v>Ütü</v>
      </c>
      <c r="C1570" s="65" t="str">
        <f t="shared" ref="C1570:C1575" si="1596">C1394</f>
        <v>HANİFE BOZKURT</v>
      </c>
      <c r="D1570" s="67">
        <f t="shared" ref="D1570:D1575" si="1597">D1569</f>
        <v>45</v>
      </c>
      <c r="E1570" s="57"/>
      <c r="F1570" s="52"/>
      <c r="G1570" s="52"/>
      <c r="H1570" s="58"/>
      <c r="I1570" s="57"/>
      <c r="J1570" s="52"/>
      <c r="K1570" s="52"/>
      <c r="L1570" s="58"/>
      <c r="M1570" s="57"/>
      <c r="N1570" s="52"/>
      <c r="O1570" s="52"/>
      <c r="P1570" s="58"/>
      <c r="Q1570" s="57"/>
      <c r="R1570" s="52"/>
      <c r="S1570" s="52"/>
      <c r="T1570" s="52"/>
      <c r="U1570" s="58"/>
      <c r="V1570" s="57"/>
      <c r="W1570" s="52"/>
      <c r="X1570" s="52"/>
      <c r="Y1570" s="58"/>
      <c r="Z1570" s="57"/>
      <c r="AA1570" s="52"/>
      <c r="AB1570" s="52"/>
      <c r="AC1570" s="58"/>
      <c r="AD1570" s="57"/>
      <c r="AE1570" s="52"/>
      <c r="AF1570" s="52"/>
      <c r="AG1570" s="58"/>
      <c r="AH1570" s="57"/>
      <c r="AI1570" s="52"/>
      <c r="AJ1570" s="52"/>
      <c r="AK1570" s="58"/>
      <c r="AL1570" s="57"/>
      <c r="AM1570" s="52"/>
      <c r="AN1570" s="52"/>
      <c r="AO1570" s="58"/>
      <c r="AP1570" s="57"/>
      <c r="AQ1570" s="52"/>
      <c r="AR1570" s="52"/>
      <c r="AS1570" s="58"/>
      <c r="AT1570" s="57"/>
      <c r="AU1570" s="52"/>
      <c r="AV1570" s="52"/>
      <c r="AW1570" s="58"/>
      <c r="AX1570" s="33">
        <f t="shared" ref="AX1570:AX1575" si="1598">SUM(E1570:AW1570)</f>
        <v>0</v>
      </c>
      <c r="AY1570" s="31">
        <f t="shared" ref="AY1570:AY1575" si="1599">IFERROR(AVERAGEIF(E1570:AW1570,"&lt;&gt;0",(E1570:AW1570)),)</f>
        <v>0</v>
      </c>
      <c r="AZ1570" s="30">
        <f t="shared" ref="AZ1570:AZ1575" si="1600">IFERROR(AY1570/D1570,0)</f>
        <v>0</v>
      </c>
      <c r="BA1570" s="94">
        <f>AX1576+BA1394</f>
        <v>10947</v>
      </c>
      <c r="BB1570" s="95">
        <f>(D1558*8)</f>
        <v>4000</v>
      </c>
      <c r="BC1570" s="96">
        <f>C1413-BA1570</f>
        <v>31364</v>
      </c>
      <c r="BD1570" s="96">
        <f>BA1543-BA1570</f>
        <v>4561</v>
      </c>
      <c r="BE1570" s="97">
        <f>IFERROR(BC1570/E1576,0)</f>
        <v>0</v>
      </c>
      <c r="BF1570" s="98">
        <f>IFERROR(BE1570/9,0)</f>
        <v>0</v>
      </c>
      <c r="BG1570" s="97">
        <f>IFERROR(BC1570/AY1576,0)</f>
        <v>0</v>
      </c>
      <c r="BH1570" s="97">
        <f>IFERROR(BG1570/9,0)</f>
        <v>0</v>
      </c>
    </row>
    <row r="1571" spans="1:60" s="17" customFormat="1" ht="19.5" customHeight="1" x14ac:dyDescent="0.35">
      <c r="A1571" s="41">
        <f t="shared" ref="A1571:B1571" si="1601">A1570</f>
        <v>45447</v>
      </c>
      <c r="B1571" s="37" t="str">
        <f t="shared" si="1601"/>
        <v>Ütü</v>
      </c>
      <c r="C1571" s="65" t="str">
        <f t="shared" si="1596"/>
        <v>BAİSE KURTULDU</v>
      </c>
      <c r="D1571" s="67">
        <f t="shared" si="1597"/>
        <v>45</v>
      </c>
      <c r="E1571" s="57"/>
      <c r="F1571" s="52"/>
      <c r="G1571" s="52"/>
      <c r="H1571" s="58"/>
      <c r="I1571" s="57"/>
      <c r="J1571" s="52"/>
      <c r="K1571" s="52"/>
      <c r="L1571" s="58"/>
      <c r="M1571" s="57"/>
      <c r="N1571" s="52"/>
      <c r="O1571" s="52"/>
      <c r="P1571" s="58"/>
      <c r="Q1571" s="57"/>
      <c r="R1571" s="52"/>
      <c r="S1571" s="52"/>
      <c r="T1571" s="52"/>
      <c r="U1571" s="58"/>
      <c r="V1571" s="57"/>
      <c r="W1571" s="52"/>
      <c r="X1571" s="52"/>
      <c r="Y1571" s="58"/>
      <c r="Z1571" s="57"/>
      <c r="AA1571" s="52"/>
      <c r="AB1571" s="52"/>
      <c r="AC1571" s="58"/>
      <c r="AD1571" s="57"/>
      <c r="AE1571" s="52"/>
      <c r="AF1571" s="52"/>
      <c r="AG1571" s="58"/>
      <c r="AH1571" s="57"/>
      <c r="AI1571" s="52"/>
      <c r="AJ1571" s="52"/>
      <c r="AK1571" s="58"/>
      <c r="AL1571" s="57"/>
      <c r="AM1571" s="52"/>
      <c r="AN1571" s="52"/>
      <c r="AO1571" s="58"/>
      <c r="AP1571" s="57"/>
      <c r="AQ1571" s="52"/>
      <c r="AR1571" s="52"/>
      <c r="AS1571" s="58"/>
      <c r="AT1571" s="57"/>
      <c r="AU1571" s="52"/>
      <c r="AV1571" s="52"/>
      <c r="AW1571" s="58"/>
      <c r="AX1571" s="33">
        <f t="shared" si="1598"/>
        <v>0</v>
      </c>
      <c r="AY1571" s="31">
        <f t="shared" si="1599"/>
        <v>0</v>
      </c>
      <c r="AZ1571" s="30">
        <f t="shared" si="1600"/>
        <v>0</v>
      </c>
      <c r="BA1571" s="34"/>
      <c r="BB1571" s="34"/>
      <c r="BC1571" s="34"/>
      <c r="BD1571" s="76"/>
      <c r="BE1571" s="34"/>
      <c r="BF1571" s="34"/>
      <c r="BG1571" s="34"/>
      <c r="BH1571" s="34"/>
    </row>
    <row r="1572" spans="1:60" s="17" customFormat="1" ht="19.5" customHeight="1" x14ac:dyDescent="0.35">
      <c r="A1572" s="41">
        <f t="shared" ref="A1572:B1573" si="1602">A1571</f>
        <v>45447</v>
      </c>
      <c r="B1572" s="37" t="str">
        <f t="shared" si="1602"/>
        <v>Ütü</v>
      </c>
      <c r="C1572" s="65" t="str">
        <f t="shared" si="1596"/>
        <v>DERYA KESKİN</v>
      </c>
      <c r="D1572" s="67">
        <f t="shared" si="1597"/>
        <v>45</v>
      </c>
      <c r="E1572" s="57"/>
      <c r="F1572" s="52"/>
      <c r="G1572" s="52"/>
      <c r="H1572" s="58"/>
      <c r="I1572" s="57"/>
      <c r="J1572" s="52"/>
      <c r="K1572" s="52"/>
      <c r="L1572" s="58"/>
      <c r="M1572" s="57"/>
      <c r="N1572" s="52"/>
      <c r="O1572" s="52"/>
      <c r="P1572" s="58"/>
      <c r="Q1572" s="57"/>
      <c r="R1572" s="52"/>
      <c r="S1572" s="52"/>
      <c r="T1572" s="52"/>
      <c r="U1572" s="58"/>
      <c r="V1572" s="57"/>
      <c r="W1572" s="52"/>
      <c r="X1572" s="52"/>
      <c r="Y1572" s="58"/>
      <c r="Z1572" s="57"/>
      <c r="AA1572" s="52"/>
      <c r="AB1572" s="52"/>
      <c r="AC1572" s="58"/>
      <c r="AD1572" s="57"/>
      <c r="AE1572" s="52"/>
      <c r="AF1572" s="52"/>
      <c r="AG1572" s="58"/>
      <c r="AH1572" s="57"/>
      <c r="AI1572" s="52"/>
      <c r="AJ1572" s="52"/>
      <c r="AK1572" s="58"/>
      <c r="AL1572" s="57"/>
      <c r="AM1572" s="52"/>
      <c r="AN1572" s="52"/>
      <c r="AO1572" s="58"/>
      <c r="AP1572" s="57"/>
      <c r="AQ1572" s="52"/>
      <c r="AR1572" s="52"/>
      <c r="AS1572" s="58"/>
      <c r="AT1572" s="57"/>
      <c r="AU1572" s="52"/>
      <c r="AV1572" s="52"/>
      <c r="AW1572" s="58"/>
      <c r="AX1572" s="33">
        <f t="shared" si="1598"/>
        <v>0</v>
      </c>
      <c r="AY1572" s="31">
        <f t="shared" si="1599"/>
        <v>0</v>
      </c>
      <c r="AZ1572" s="30">
        <f t="shared" si="1600"/>
        <v>0</v>
      </c>
      <c r="BA1572" s="34"/>
      <c r="BB1572" s="34"/>
      <c r="BC1572" s="34"/>
      <c r="BD1572" s="76"/>
      <c r="BE1572" s="34"/>
      <c r="BF1572" s="34"/>
      <c r="BG1572" s="34"/>
      <c r="BH1572" s="34"/>
    </row>
    <row r="1573" spans="1:60" s="17" customFormat="1" ht="19.5" customHeight="1" x14ac:dyDescent="0.35">
      <c r="A1573" s="41">
        <f>A1570</f>
        <v>45447</v>
      </c>
      <c r="B1573" s="37" t="str">
        <f t="shared" si="1602"/>
        <v>Ütü</v>
      </c>
      <c r="C1573" s="65" t="str">
        <f t="shared" si="1596"/>
        <v>NEDİME KÖSE</v>
      </c>
      <c r="D1573" s="67">
        <f t="shared" si="1597"/>
        <v>45</v>
      </c>
      <c r="E1573" s="57"/>
      <c r="F1573" s="52"/>
      <c r="G1573" s="52"/>
      <c r="H1573" s="58"/>
      <c r="I1573" s="57"/>
      <c r="J1573" s="52"/>
      <c r="K1573" s="52"/>
      <c r="L1573" s="58"/>
      <c r="M1573" s="57"/>
      <c r="N1573" s="52"/>
      <c r="O1573" s="52"/>
      <c r="P1573" s="58"/>
      <c r="Q1573" s="57"/>
      <c r="R1573" s="52"/>
      <c r="S1573" s="52"/>
      <c r="T1573" s="52"/>
      <c r="U1573" s="58"/>
      <c r="V1573" s="57"/>
      <c r="W1573" s="52"/>
      <c r="X1573" s="52"/>
      <c r="Y1573" s="58"/>
      <c r="Z1573" s="57"/>
      <c r="AA1573" s="52"/>
      <c r="AB1573" s="52"/>
      <c r="AC1573" s="58"/>
      <c r="AD1573" s="57"/>
      <c r="AE1573" s="52"/>
      <c r="AF1573" s="52"/>
      <c r="AG1573" s="58"/>
      <c r="AH1573" s="57"/>
      <c r="AI1573" s="52"/>
      <c r="AJ1573" s="52"/>
      <c r="AK1573" s="58"/>
      <c r="AL1573" s="57"/>
      <c r="AM1573" s="52"/>
      <c r="AN1573" s="52"/>
      <c r="AO1573" s="58"/>
      <c r="AP1573" s="57"/>
      <c r="AQ1573" s="52"/>
      <c r="AR1573" s="52"/>
      <c r="AS1573" s="58"/>
      <c r="AT1573" s="57"/>
      <c r="AU1573" s="52"/>
      <c r="AV1573" s="52"/>
      <c r="AW1573" s="58"/>
      <c r="AX1573" s="33">
        <f t="shared" si="1598"/>
        <v>0</v>
      </c>
      <c r="AY1573" s="31">
        <f t="shared" si="1599"/>
        <v>0</v>
      </c>
      <c r="AZ1573" s="30">
        <f t="shared" si="1600"/>
        <v>0</v>
      </c>
      <c r="BA1573" s="34"/>
      <c r="BB1573" s="34"/>
      <c r="BC1573" s="34"/>
      <c r="BD1573" s="76"/>
      <c r="BE1573" s="34"/>
      <c r="BF1573" s="34"/>
      <c r="BG1573" s="34"/>
      <c r="BH1573" s="34"/>
    </row>
    <row r="1574" spans="1:60" s="17" customFormat="1" ht="19.5" customHeight="1" x14ac:dyDescent="0.35">
      <c r="A1574" s="41">
        <f t="shared" ref="A1574:B1574" si="1603">A1573</f>
        <v>45447</v>
      </c>
      <c r="B1574" s="37" t="str">
        <f t="shared" si="1603"/>
        <v>Ütü</v>
      </c>
      <c r="C1574" s="65">
        <f t="shared" si="1596"/>
        <v>0</v>
      </c>
      <c r="D1574" s="67">
        <f t="shared" si="1597"/>
        <v>45</v>
      </c>
      <c r="E1574" s="57"/>
      <c r="F1574" s="52"/>
      <c r="G1574" s="52"/>
      <c r="H1574" s="58"/>
      <c r="I1574" s="57"/>
      <c r="J1574" s="52"/>
      <c r="K1574" s="52"/>
      <c r="L1574" s="58"/>
      <c r="M1574" s="57"/>
      <c r="N1574" s="52"/>
      <c r="O1574" s="52"/>
      <c r="P1574" s="78"/>
      <c r="Q1574" s="57"/>
      <c r="R1574" s="52"/>
      <c r="S1574" s="52"/>
      <c r="T1574" s="52"/>
      <c r="U1574" s="58"/>
      <c r="V1574" s="80"/>
      <c r="W1574" s="52"/>
      <c r="X1574" s="52"/>
      <c r="Y1574" s="58"/>
      <c r="Z1574" s="57"/>
      <c r="AA1574" s="52"/>
      <c r="AB1574" s="52"/>
      <c r="AC1574" s="58"/>
      <c r="AD1574" s="57"/>
      <c r="AE1574" s="52"/>
      <c r="AF1574" s="52"/>
      <c r="AG1574" s="58"/>
      <c r="AH1574" s="57"/>
      <c r="AI1574" s="52"/>
      <c r="AJ1574" s="52"/>
      <c r="AK1574" s="58"/>
      <c r="AL1574" s="57"/>
      <c r="AM1574" s="52"/>
      <c r="AN1574" s="52"/>
      <c r="AO1574" s="58"/>
      <c r="AP1574" s="57"/>
      <c r="AQ1574" s="52"/>
      <c r="AR1574" s="52"/>
      <c r="AS1574" s="58"/>
      <c r="AT1574" s="57"/>
      <c r="AU1574" s="52"/>
      <c r="AV1574" s="52"/>
      <c r="AW1574" s="58"/>
      <c r="AX1574" s="33">
        <f t="shared" si="1598"/>
        <v>0</v>
      </c>
      <c r="AY1574" s="31">
        <f t="shared" si="1599"/>
        <v>0</v>
      </c>
      <c r="AZ1574" s="30">
        <f t="shared" si="1600"/>
        <v>0</v>
      </c>
      <c r="BA1574" s="34"/>
      <c r="BB1574" s="34"/>
      <c r="BC1574" s="34"/>
      <c r="BD1574" s="76"/>
      <c r="BE1574" s="34"/>
      <c r="BF1574" s="34"/>
      <c r="BG1574" s="34"/>
      <c r="BH1574" s="34"/>
    </row>
    <row r="1575" spans="1:60" s="17" customFormat="1" ht="19.5" customHeight="1" thickBot="1" x14ac:dyDescent="0.4">
      <c r="A1575" s="41">
        <f t="shared" ref="A1575:B1576" si="1604">A1574</f>
        <v>45447</v>
      </c>
      <c r="B1575" s="37" t="str">
        <f t="shared" si="1604"/>
        <v>Ütü</v>
      </c>
      <c r="C1575" s="65">
        <f t="shared" si="1596"/>
        <v>0</v>
      </c>
      <c r="D1575" s="67">
        <f t="shared" si="1597"/>
        <v>45</v>
      </c>
      <c r="E1575" s="59"/>
      <c r="F1575" s="60"/>
      <c r="G1575" s="61"/>
      <c r="H1575" s="62"/>
      <c r="I1575" s="59"/>
      <c r="J1575" s="60"/>
      <c r="K1575" s="61"/>
      <c r="L1575" s="62"/>
      <c r="M1575" s="59"/>
      <c r="N1575" s="60"/>
      <c r="O1575" s="61"/>
      <c r="P1575" s="79"/>
      <c r="Q1575" s="64"/>
      <c r="R1575" s="61"/>
      <c r="S1575" s="61"/>
      <c r="T1575" s="61"/>
      <c r="U1575" s="62"/>
      <c r="V1575" s="81"/>
      <c r="W1575" s="60"/>
      <c r="X1575" s="61"/>
      <c r="Y1575" s="62"/>
      <c r="Z1575" s="59"/>
      <c r="AA1575" s="60"/>
      <c r="AB1575" s="61"/>
      <c r="AC1575" s="62"/>
      <c r="AD1575" s="59"/>
      <c r="AE1575" s="60"/>
      <c r="AF1575" s="61"/>
      <c r="AG1575" s="62"/>
      <c r="AH1575" s="59"/>
      <c r="AI1575" s="60"/>
      <c r="AJ1575" s="61"/>
      <c r="AK1575" s="62"/>
      <c r="AL1575" s="59"/>
      <c r="AM1575" s="60"/>
      <c r="AN1575" s="61"/>
      <c r="AO1575" s="62"/>
      <c r="AP1575" s="59"/>
      <c r="AQ1575" s="60"/>
      <c r="AR1575" s="61"/>
      <c r="AS1575" s="62"/>
      <c r="AT1575" s="59"/>
      <c r="AU1575" s="60"/>
      <c r="AV1575" s="61"/>
      <c r="AW1575" s="62"/>
      <c r="AX1575" s="33">
        <f t="shared" si="1598"/>
        <v>0</v>
      </c>
      <c r="AY1575" s="31">
        <f t="shared" si="1599"/>
        <v>0</v>
      </c>
      <c r="AZ1575" s="30">
        <f t="shared" si="1600"/>
        <v>0</v>
      </c>
      <c r="BA1575" s="34"/>
      <c r="BB1575" s="34"/>
      <c r="BC1575" s="34"/>
      <c r="BD1575" s="76"/>
      <c r="BE1575" s="34"/>
      <c r="BF1575" s="34"/>
      <c r="BG1575" s="34"/>
      <c r="BH1575" s="34"/>
    </row>
    <row r="1576" spans="1:60" s="17" customFormat="1" ht="19.5" customHeight="1" thickBot="1" x14ac:dyDescent="0.45">
      <c r="A1576" s="41">
        <f t="shared" si="1604"/>
        <v>45447</v>
      </c>
      <c r="B1576" s="139" t="str">
        <f>B1569</f>
        <v>Ütü</v>
      </c>
      <c r="C1576" s="140"/>
      <c r="D1576" s="40">
        <f>C1414/8</f>
        <v>500</v>
      </c>
      <c r="E1576" s="141">
        <f>SUM(E1569:H1575)</f>
        <v>0</v>
      </c>
      <c r="F1576" s="142"/>
      <c r="G1576" s="142"/>
      <c r="H1576" s="143"/>
      <c r="I1576" s="141">
        <f>SUM(I1569:L1575)</f>
        <v>0</v>
      </c>
      <c r="J1576" s="142"/>
      <c r="K1576" s="142"/>
      <c r="L1576" s="143"/>
      <c r="M1576" s="141">
        <f>SUM(M1569:P1575)</f>
        <v>0</v>
      </c>
      <c r="N1576" s="142"/>
      <c r="O1576" s="142"/>
      <c r="P1576" s="143"/>
      <c r="Q1576" s="144">
        <f>SUM(Q1569:U1575)</f>
        <v>0</v>
      </c>
      <c r="R1576" s="145"/>
      <c r="S1576" s="145"/>
      <c r="T1576" s="145"/>
      <c r="U1576" s="146"/>
      <c r="V1576" s="141">
        <f>SUM(V1569:Y1575)</f>
        <v>0</v>
      </c>
      <c r="W1576" s="142"/>
      <c r="X1576" s="142"/>
      <c r="Y1576" s="143"/>
      <c r="Z1576" s="141">
        <f>SUM(Z1569:AC1575)</f>
        <v>0</v>
      </c>
      <c r="AA1576" s="142"/>
      <c r="AB1576" s="142"/>
      <c r="AC1576" s="143"/>
      <c r="AD1576" s="147">
        <f>SUM(AD1569:AG1575)</f>
        <v>0</v>
      </c>
      <c r="AE1576" s="148"/>
      <c r="AF1576" s="148"/>
      <c r="AG1576" s="149"/>
      <c r="AH1576" s="147">
        <f>SUM(AH1569:AK1575)</f>
        <v>0</v>
      </c>
      <c r="AI1576" s="148"/>
      <c r="AJ1576" s="148"/>
      <c r="AK1576" s="149"/>
      <c r="AL1576" s="147">
        <f>SUM(AL1569:AO1575)</f>
        <v>0</v>
      </c>
      <c r="AM1576" s="148"/>
      <c r="AN1576" s="148"/>
      <c r="AO1576" s="149"/>
      <c r="AP1576" s="147">
        <f>SUM(AP1569:AS1575)</f>
        <v>0</v>
      </c>
      <c r="AQ1576" s="148"/>
      <c r="AR1576" s="148"/>
      <c r="AS1576" s="149"/>
      <c r="AT1576" s="147">
        <f>SUM(AT1569:AW1575)</f>
        <v>0</v>
      </c>
      <c r="AU1576" s="148"/>
      <c r="AV1576" s="148"/>
      <c r="AW1576" s="149"/>
      <c r="AX1576" s="87">
        <f>SUM(AX1569:AX1575)</f>
        <v>0</v>
      </c>
      <c r="AY1576" s="88">
        <f>IFERROR(AVERAGEIF(E1576:AV1576,"&lt;&gt;0",(E1576:AV1576)),)</f>
        <v>0</v>
      </c>
      <c r="AZ1576" s="46">
        <f>IFERROR(AX1576/BB1570,0)</f>
        <v>0</v>
      </c>
      <c r="BA1576" s="34"/>
      <c r="BB1576" s="34"/>
      <c r="BC1576" s="34"/>
      <c r="BD1576" s="76"/>
      <c r="BE1576" s="34"/>
      <c r="BF1576" s="34"/>
      <c r="BG1576" s="34"/>
      <c r="BH1576" s="34"/>
    </row>
    <row r="1577" spans="1:60" s="17" customFormat="1" ht="19.5" customHeight="1" thickBot="1" x14ac:dyDescent="0.4">
      <c r="A1577" s="115">
        <f>A1568</f>
        <v>45447</v>
      </c>
      <c r="B1577" s="113" t="str">
        <f>B1578</f>
        <v>Kalite</v>
      </c>
      <c r="C1577" s="39" t="s">
        <v>180</v>
      </c>
      <c r="D1577" s="69" t="s">
        <v>181</v>
      </c>
      <c r="E1577" s="48">
        <v>0.34375</v>
      </c>
      <c r="F1577" s="49">
        <v>0.35416666666666669</v>
      </c>
      <c r="G1577" s="49">
        <v>0.36458333333333331</v>
      </c>
      <c r="H1577" s="50">
        <v>0.375</v>
      </c>
      <c r="I1577" s="48">
        <v>0.38541666666666702</v>
      </c>
      <c r="J1577" s="49">
        <v>0.39583333333333298</v>
      </c>
      <c r="K1577" s="49">
        <v>0.40625</v>
      </c>
      <c r="L1577" s="50">
        <v>0.41666666666666702</v>
      </c>
      <c r="M1577" s="48">
        <v>0.4375</v>
      </c>
      <c r="N1577" s="49">
        <v>0.44791666666666702</v>
      </c>
      <c r="O1577" s="49">
        <v>0.45833333333333398</v>
      </c>
      <c r="P1577" s="50">
        <v>0.46875</v>
      </c>
      <c r="Q1577" s="82">
        <v>0.47916666666666702</v>
      </c>
      <c r="R1577" s="83">
        <v>0.48958333333333398</v>
      </c>
      <c r="S1577" s="83">
        <v>0.5</v>
      </c>
      <c r="T1577" s="84">
        <v>0.51041666666666696</v>
      </c>
      <c r="U1577" s="85">
        <v>0.52083333333333204</v>
      </c>
      <c r="V1577" s="48">
        <v>0.5625</v>
      </c>
      <c r="W1577" s="49">
        <v>0.57291666666666663</v>
      </c>
      <c r="X1577" s="49">
        <v>0.58333333333333304</v>
      </c>
      <c r="Y1577" s="50">
        <v>0.59375</v>
      </c>
      <c r="Z1577" s="48">
        <v>0.60416666666666696</v>
      </c>
      <c r="AA1577" s="49">
        <v>0.61458333333333304</v>
      </c>
      <c r="AB1577" s="49">
        <v>0.625</v>
      </c>
      <c r="AC1577" s="50">
        <v>0.63541666666666596</v>
      </c>
      <c r="AD1577" s="48">
        <v>0.65625</v>
      </c>
      <c r="AE1577" s="49">
        <v>0.66666666666666663</v>
      </c>
      <c r="AF1577" s="49">
        <v>0.67708333333333304</v>
      </c>
      <c r="AG1577" s="50">
        <v>0.6875</v>
      </c>
      <c r="AH1577" s="48">
        <v>0.69791666666666696</v>
      </c>
      <c r="AI1577" s="49">
        <v>0.70833333333333304</v>
      </c>
      <c r="AJ1577" s="49">
        <v>0.71875</v>
      </c>
      <c r="AK1577" s="50">
        <v>0.72916666666666696</v>
      </c>
      <c r="AL1577" s="48">
        <v>0.73958333333333404</v>
      </c>
      <c r="AM1577" s="49">
        <v>0.750000000000001</v>
      </c>
      <c r="AN1577" s="49">
        <v>0.76041666666666796</v>
      </c>
      <c r="AO1577" s="50">
        <v>0.77083333333333504</v>
      </c>
      <c r="AP1577" s="48">
        <v>0.781250000000002</v>
      </c>
      <c r="AQ1577" s="49">
        <v>0.79166666666666896</v>
      </c>
      <c r="AR1577" s="49">
        <v>0.80208333333333603</v>
      </c>
      <c r="AS1577" s="50">
        <v>0.812500000000003</v>
      </c>
      <c r="AT1577" s="48">
        <v>0.82291666666666996</v>
      </c>
      <c r="AU1577" s="49">
        <v>0.83333333333333703</v>
      </c>
      <c r="AV1577" s="49">
        <v>0.843750000000004</v>
      </c>
      <c r="AW1577" s="50">
        <v>0.85416666666666663</v>
      </c>
      <c r="AX1577" s="68" t="s">
        <v>260</v>
      </c>
      <c r="AY1577" s="28" t="s">
        <v>261</v>
      </c>
      <c r="AZ1577" s="29" t="s">
        <v>262</v>
      </c>
      <c r="BA1577" s="136" t="str">
        <f>B1578</f>
        <v>Kalite</v>
      </c>
      <c r="BB1577" s="137"/>
      <c r="BC1577" s="137"/>
      <c r="BD1577" s="137"/>
      <c r="BE1577" s="137"/>
      <c r="BF1577" s="137"/>
      <c r="BG1577" s="137"/>
      <c r="BH1577" s="138"/>
    </row>
    <row r="1578" spans="1:60" s="17" customFormat="1" ht="19.5" customHeight="1" thickBot="1" x14ac:dyDescent="0.4">
      <c r="A1578" s="116">
        <f t="shared" ref="A1578" si="1605">A1577</f>
        <v>45447</v>
      </c>
      <c r="B1578" s="114" t="str">
        <f>B1402</f>
        <v>Kalite</v>
      </c>
      <c r="C1578" s="65" t="str">
        <f>C1402</f>
        <v>MELAHAT EROL</v>
      </c>
      <c r="D1578" s="70">
        <f>D1402</f>
        <v>28</v>
      </c>
      <c r="E1578" s="63"/>
      <c r="F1578" s="55"/>
      <c r="G1578" s="55"/>
      <c r="H1578" s="56"/>
      <c r="I1578" s="63"/>
      <c r="J1578" s="55"/>
      <c r="K1578" s="55"/>
      <c r="L1578" s="56"/>
      <c r="M1578" s="63"/>
      <c r="N1578" s="55"/>
      <c r="O1578" s="55"/>
      <c r="P1578" s="56"/>
      <c r="Q1578" s="63"/>
      <c r="R1578" s="55"/>
      <c r="S1578" s="55"/>
      <c r="T1578" s="55"/>
      <c r="U1578" s="56"/>
      <c r="V1578" s="63"/>
      <c r="W1578" s="55"/>
      <c r="X1578" s="55"/>
      <c r="Y1578" s="56"/>
      <c r="Z1578" s="63"/>
      <c r="AA1578" s="55"/>
      <c r="AB1578" s="55"/>
      <c r="AC1578" s="56"/>
      <c r="AD1578" s="63"/>
      <c r="AE1578" s="55"/>
      <c r="AF1578" s="55"/>
      <c r="AG1578" s="56"/>
      <c r="AH1578" s="63"/>
      <c r="AI1578" s="55"/>
      <c r="AJ1578" s="55"/>
      <c r="AK1578" s="56"/>
      <c r="AL1578" s="53"/>
      <c r="AM1578" s="54"/>
      <c r="AN1578" s="55"/>
      <c r="AO1578" s="56"/>
      <c r="AP1578" s="53"/>
      <c r="AQ1578" s="54"/>
      <c r="AR1578" s="55"/>
      <c r="AS1578" s="56"/>
      <c r="AT1578" s="53"/>
      <c r="AU1578" s="54"/>
      <c r="AV1578" s="55"/>
      <c r="AW1578" s="56"/>
      <c r="AX1578" s="33">
        <f>SUM(E1578:AW1578)</f>
        <v>0</v>
      </c>
      <c r="AY1578" s="31">
        <f>IFERROR(AVERAGEIF(E1578:AW1578,"&lt;&gt;0",(E1578:AW1578)),)</f>
        <v>0</v>
      </c>
      <c r="AZ1578" s="30">
        <f>IFERROR(AY1578/D1578,0)</f>
        <v>0</v>
      </c>
      <c r="BA1578" s="103" t="s">
        <v>182</v>
      </c>
      <c r="BB1578" s="100" t="s">
        <v>183</v>
      </c>
      <c r="BC1578" s="100" t="s">
        <v>184</v>
      </c>
      <c r="BD1578" s="101" t="s">
        <v>185</v>
      </c>
      <c r="BE1578" s="100" t="s">
        <v>186</v>
      </c>
      <c r="BF1578" s="102" t="s">
        <v>187</v>
      </c>
      <c r="BG1578" s="100" t="s">
        <v>188</v>
      </c>
      <c r="BH1578" s="102" t="s">
        <v>189</v>
      </c>
    </row>
    <row r="1579" spans="1:60" s="17" customFormat="1" ht="19.5" customHeight="1" thickBot="1" x14ac:dyDescent="0.4">
      <c r="A1579" s="116">
        <f t="shared" ref="A1579:B1579" si="1606">A1578</f>
        <v>45447</v>
      </c>
      <c r="B1579" s="114" t="str">
        <f t="shared" si="1606"/>
        <v>Kalite</v>
      </c>
      <c r="C1579" s="65" t="str">
        <f t="shared" ref="C1579:C1584" si="1607">C1403</f>
        <v>DERYA KESKİN</v>
      </c>
      <c r="D1579" s="67">
        <f t="shared" ref="D1579:D1584" si="1608">D1578</f>
        <v>28</v>
      </c>
      <c r="E1579" s="57"/>
      <c r="F1579" s="52"/>
      <c r="G1579" s="52"/>
      <c r="H1579" s="58"/>
      <c r="I1579" s="57"/>
      <c r="J1579" s="52"/>
      <c r="K1579" s="52"/>
      <c r="L1579" s="58"/>
      <c r="M1579" s="57"/>
      <c r="N1579" s="52"/>
      <c r="O1579" s="52"/>
      <c r="P1579" s="58"/>
      <c r="Q1579" s="57"/>
      <c r="R1579" s="52"/>
      <c r="S1579" s="52"/>
      <c r="T1579" s="52"/>
      <c r="U1579" s="58"/>
      <c r="V1579" s="57"/>
      <c r="W1579" s="52"/>
      <c r="X1579" s="52"/>
      <c r="Y1579" s="58"/>
      <c r="Z1579" s="57"/>
      <c r="AA1579" s="52"/>
      <c r="AB1579" s="52"/>
      <c r="AC1579" s="58"/>
      <c r="AD1579" s="57"/>
      <c r="AE1579" s="52"/>
      <c r="AF1579" s="52"/>
      <c r="AG1579" s="58"/>
      <c r="AH1579" s="57"/>
      <c r="AI1579" s="52"/>
      <c r="AJ1579" s="52"/>
      <c r="AK1579" s="58"/>
      <c r="AL1579" s="57"/>
      <c r="AM1579" s="52"/>
      <c r="AN1579" s="52"/>
      <c r="AO1579" s="58"/>
      <c r="AP1579" s="57"/>
      <c r="AQ1579" s="52"/>
      <c r="AR1579" s="52"/>
      <c r="AS1579" s="58"/>
      <c r="AT1579" s="57"/>
      <c r="AU1579" s="52"/>
      <c r="AV1579" s="52"/>
      <c r="AW1579" s="58"/>
      <c r="AX1579" s="33">
        <f t="shared" ref="AX1579:AX1584" si="1609">SUM(E1579:AW1579)</f>
        <v>0</v>
      </c>
      <c r="AY1579" s="31">
        <f t="shared" ref="AY1579:AY1584" si="1610">IFERROR(AVERAGEIF(E1579:AW1579,"&lt;&gt;0",(E1579:AW1579)),)</f>
        <v>0</v>
      </c>
      <c r="AZ1579" s="30">
        <f t="shared" ref="AZ1579:AZ1584" si="1611">IFERROR(AY1579/D1579,0)</f>
        <v>0</v>
      </c>
      <c r="BA1579" s="94">
        <f>AX1585+BA1403</f>
        <v>10543</v>
      </c>
      <c r="BB1579" s="95">
        <f>(D1585*8)</f>
        <v>4000</v>
      </c>
      <c r="BC1579" s="96">
        <f>C1413-BA1579</f>
        <v>31768</v>
      </c>
      <c r="BD1579" s="96">
        <f>BA1570-BA1579</f>
        <v>404</v>
      </c>
      <c r="BE1579" s="97">
        <f>IFERROR(BC1579/E1585,0)</f>
        <v>0</v>
      </c>
      <c r="BF1579" s="98">
        <f>IFERROR(BE1579/9,0)</f>
        <v>0</v>
      </c>
      <c r="BG1579" s="97">
        <f>IFERROR(BC1579/AY1585,0)</f>
        <v>0</v>
      </c>
      <c r="BH1579" s="97">
        <f>IFERROR(BG1579/9,0)</f>
        <v>0</v>
      </c>
    </row>
    <row r="1580" spans="1:60" s="17" customFormat="1" ht="19.5" customHeight="1" x14ac:dyDescent="0.35">
      <c r="A1580" s="116">
        <f t="shared" ref="A1580:B1580" si="1612">A1579</f>
        <v>45447</v>
      </c>
      <c r="B1580" s="114" t="str">
        <f t="shared" si="1612"/>
        <v>Kalite</v>
      </c>
      <c r="C1580" s="65" t="str">
        <f t="shared" si="1607"/>
        <v>GÜLCAN MUHTANCI</v>
      </c>
      <c r="D1580" s="67">
        <f t="shared" si="1608"/>
        <v>28</v>
      </c>
      <c r="E1580" s="57"/>
      <c r="F1580" s="52"/>
      <c r="G1580" s="52"/>
      <c r="H1580" s="58"/>
      <c r="I1580" s="57"/>
      <c r="J1580" s="52"/>
      <c r="K1580" s="52"/>
      <c r="L1580" s="58"/>
      <c r="M1580" s="57"/>
      <c r="N1580" s="52"/>
      <c r="O1580" s="52"/>
      <c r="P1580" s="58"/>
      <c r="Q1580" s="57"/>
      <c r="R1580" s="52"/>
      <c r="S1580" s="52"/>
      <c r="T1580" s="52"/>
      <c r="U1580" s="58"/>
      <c r="V1580" s="57"/>
      <c r="W1580" s="52"/>
      <c r="X1580" s="52"/>
      <c r="Y1580" s="58"/>
      <c r="Z1580" s="57"/>
      <c r="AA1580" s="52"/>
      <c r="AB1580" s="52"/>
      <c r="AC1580" s="58"/>
      <c r="AD1580" s="57"/>
      <c r="AE1580" s="52"/>
      <c r="AF1580" s="52"/>
      <c r="AG1580" s="58"/>
      <c r="AH1580" s="57"/>
      <c r="AI1580" s="52"/>
      <c r="AJ1580" s="52"/>
      <c r="AK1580" s="58"/>
      <c r="AL1580" s="57"/>
      <c r="AM1580" s="52"/>
      <c r="AN1580" s="52"/>
      <c r="AO1580" s="58"/>
      <c r="AP1580" s="57"/>
      <c r="AQ1580" s="52"/>
      <c r="AR1580" s="52"/>
      <c r="AS1580" s="58"/>
      <c r="AT1580" s="57"/>
      <c r="AU1580" s="52"/>
      <c r="AV1580" s="52"/>
      <c r="AW1580" s="58"/>
      <c r="AX1580" s="33">
        <f t="shared" si="1609"/>
        <v>0</v>
      </c>
      <c r="AY1580" s="31">
        <f t="shared" si="1610"/>
        <v>0</v>
      </c>
      <c r="AZ1580" s="30">
        <f t="shared" si="1611"/>
        <v>0</v>
      </c>
      <c r="BA1580" s="34"/>
      <c r="BB1580" s="34"/>
      <c r="BC1580" s="34"/>
      <c r="BD1580" s="76"/>
      <c r="BE1580" s="34"/>
      <c r="BF1580" s="34"/>
      <c r="BG1580" s="34"/>
      <c r="BH1580" s="34"/>
    </row>
    <row r="1581" spans="1:60" s="17" customFormat="1" ht="19.5" customHeight="1" x14ac:dyDescent="0.35">
      <c r="A1581" s="116">
        <f t="shared" ref="A1581:B1582" si="1613">A1580</f>
        <v>45447</v>
      </c>
      <c r="B1581" s="114" t="str">
        <f t="shared" si="1613"/>
        <v>Kalite</v>
      </c>
      <c r="C1581" s="65" t="str">
        <f t="shared" si="1607"/>
        <v>NEZAHAT ALTIN</v>
      </c>
      <c r="D1581" s="67">
        <f t="shared" si="1608"/>
        <v>28</v>
      </c>
      <c r="E1581" s="57"/>
      <c r="F1581" s="52"/>
      <c r="G1581" s="52"/>
      <c r="H1581" s="58"/>
      <c r="I1581" s="57"/>
      <c r="J1581" s="52"/>
      <c r="K1581" s="52"/>
      <c r="L1581" s="58"/>
      <c r="M1581" s="57"/>
      <c r="N1581" s="52"/>
      <c r="O1581" s="52"/>
      <c r="P1581" s="58"/>
      <c r="Q1581" s="57"/>
      <c r="R1581" s="52"/>
      <c r="S1581" s="52"/>
      <c r="T1581" s="52"/>
      <c r="U1581" s="58"/>
      <c r="V1581" s="57"/>
      <c r="W1581" s="52"/>
      <c r="X1581" s="52"/>
      <c r="Y1581" s="58"/>
      <c r="Z1581" s="57"/>
      <c r="AA1581" s="52"/>
      <c r="AB1581" s="52"/>
      <c r="AC1581" s="58"/>
      <c r="AD1581" s="57"/>
      <c r="AE1581" s="52"/>
      <c r="AF1581" s="52"/>
      <c r="AG1581" s="58"/>
      <c r="AH1581" s="57"/>
      <c r="AI1581" s="52"/>
      <c r="AJ1581" s="52"/>
      <c r="AK1581" s="58"/>
      <c r="AL1581" s="57"/>
      <c r="AM1581" s="52"/>
      <c r="AN1581" s="52"/>
      <c r="AO1581" s="58"/>
      <c r="AP1581" s="57"/>
      <c r="AQ1581" s="52"/>
      <c r="AR1581" s="52"/>
      <c r="AS1581" s="58"/>
      <c r="AT1581" s="57"/>
      <c r="AU1581" s="52"/>
      <c r="AV1581" s="52"/>
      <c r="AW1581" s="58"/>
      <c r="AX1581" s="33">
        <f t="shared" si="1609"/>
        <v>0</v>
      </c>
      <c r="AY1581" s="31">
        <f t="shared" si="1610"/>
        <v>0</v>
      </c>
      <c r="AZ1581" s="30">
        <f t="shared" si="1611"/>
        <v>0</v>
      </c>
      <c r="BA1581" s="34"/>
      <c r="BB1581" s="34"/>
      <c r="BC1581" s="34"/>
      <c r="BD1581" s="76"/>
      <c r="BE1581" s="34"/>
      <c r="BF1581" s="34"/>
      <c r="BG1581" s="34"/>
      <c r="BH1581" s="34"/>
    </row>
    <row r="1582" spans="1:60" s="17" customFormat="1" ht="19.5" customHeight="1" x14ac:dyDescent="0.35">
      <c r="A1582" s="116">
        <f>A1579</f>
        <v>45447</v>
      </c>
      <c r="B1582" s="114" t="str">
        <f t="shared" si="1613"/>
        <v>Kalite</v>
      </c>
      <c r="C1582" s="65" t="str">
        <f t="shared" si="1607"/>
        <v>NEDİME KÖSE</v>
      </c>
      <c r="D1582" s="67">
        <f t="shared" si="1608"/>
        <v>28</v>
      </c>
      <c r="E1582" s="57"/>
      <c r="F1582" s="52"/>
      <c r="G1582" s="52"/>
      <c r="H1582" s="58"/>
      <c r="I1582" s="57"/>
      <c r="J1582" s="52"/>
      <c r="K1582" s="52"/>
      <c r="L1582" s="58"/>
      <c r="M1582" s="57"/>
      <c r="N1582" s="52"/>
      <c r="O1582" s="52"/>
      <c r="P1582" s="58"/>
      <c r="Q1582" s="57"/>
      <c r="R1582" s="52"/>
      <c r="S1582" s="52"/>
      <c r="T1582" s="52"/>
      <c r="U1582" s="58"/>
      <c r="V1582" s="57"/>
      <c r="W1582" s="52"/>
      <c r="X1582" s="52"/>
      <c r="Y1582" s="58"/>
      <c r="Z1582" s="57"/>
      <c r="AA1582" s="52"/>
      <c r="AB1582" s="52"/>
      <c r="AC1582" s="58"/>
      <c r="AD1582" s="57"/>
      <c r="AE1582" s="52"/>
      <c r="AF1582" s="52"/>
      <c r="AG1582" s="58"/>
      <c r="AH1582" s="57"/>
      <c r="AI1582" s="52"/>
      <c r="AJ1582" s="52"/>
      <c r="AK1582" s="58"/>
      <c r="AL1582" s="57"/>
      <c r="AM1582" s="52"/>
      <c r="AN1582" s="52"/>
      <c r="AO1582" s="58"/>
      <c r="AP1582" s="57"/>
      <c r="AQ1582" s="52"/>
      <c r="AR1582" s="52"/>
      <c r="AS1582" s="58"/>
      <c r="AT1582" s="57"/>
      <c r="AU1582" s="52"/>
      <c r="AV1582" s="52"/>
      <c r="AW1582" s="58"/>
      <c r="AX1582" s="33">
        <f t="shared" si="1609"/>
        <v>0</v>
      </c>
      <c r="AY1582" s="31">
        <f t="shared" si="1610"/>
        <v>0</v>
      </c>
      <c r="AZ1582" s="30">
        <f t="shared" si="1611"/>
        <v>0</v>
      </c>
      <c r="BA1582" s="34"/>
      <c r="BB1582" s="34"/>
      <c r="BC1582" s="34"/>
      <c r="BD1582" s="76"/>
      <c r="BE1582" s="34"/>
      <c r="BF1582" s="34"/>
      <c r="BG1582" s="34"/>
      <c r="BH1582" s="34"/>
    </row>
    <row r="1583" spans="1:60" s="17" customFormat="1" ht="19.5" customHeight="1" x14ac:dyDescent="0.35">
      <c r="A1583" s="116">
        <f t="shared" ref="A1583:B1583" si="1614">A1582</f>
        <v>45447</v>
      </c>
      <c r="B1583" s="114" t="str">
        <f t="shared" si="1614"/>
        <v>Kalite</v>
      </c>
      <c r="C1583" s="65" t="str">
        <f t="shared" si="1607"/>
        <v>ESRA DURSUN</v>
      </c>
      <c r="D1583" s="67">
        <f t="shared" si="1608"/>
        <v>28</v>
      </c>
      <c r="E1583" s="57"/>
      <c r="F1583" s="52"/>
      <c r="G1583" s="52"/>
      <c r="H1583" s="58"/>
      <c r="I1583" s="57"/>
      <c r="J1583" s="52"/>
      <c r="K1583" s="52"/>
      <c r="L1583" s="58"/>
      <c r="M1583" s="57"/>
      <c r="N1583" s="52"/>
      <c r="O1583" s="52"/>
      <c r="P1583" s="78"/>
      <c r="Q1583" s="57"/>
      <c r="R1583" s="52"/>
      <c r="S1583" s="52"/>
      <c r="T1583" s="52"/>
      <c r="U1583" s="58"/>
      <c r="V1583" s="80"/>
      <c r="W1583" s="52"/>
      <c r="X1583" s="52"/>
      <c r="Y1583" s="58"/>
      <c r="Z1583" s="57"/>
      <c r="AA1583" s="52"/>
      <c r="AB1583" s="52"/>
      <c r="AC1583" s="58"/>
      <c r="AD1583" s="57"/>
      <c r="AE1583" s="52"/>
      <c r="AF1583" s="52"/>
      <c r="AG1583" s="58"/>
      <c r="AH1583" s="57"/>
      <c r="AI1583" s="52"/>
      <c r="AJ1583" s="52"/>
      <c r="AK1583" s="58"/>
      <c r="AL1583" s="57"/>
      <c r="AM1583" s="52"/>
      <c r="AN1583" s="52"/>
      <c r="AO1583" s="58"/>
      <c r="AP1583" s="57"/>
      <c r="AQ1583" s="52"/>
      <c r="AR1583" s="52"/>
      <c r="AS1583" s="58"/>
      <c r="AT1583" s="57"/>
      <c r="AU1583" s="52"/>
      <c r="AV1583" s="52"/>
      <c r="AW1583" s="58"/>
      <c r="AX1583" s="33">
        <f t="shared" si="1609"/>
        <v>0</v>
      </c>
      <c r="AY1583" s="31">
        <f t="shared" si="1610"/>
        <v>0</v>
      </c>
      <c r="AZ1583" s="30">
        <f t="shared" si="1611"/>
        <v>0</v>
      </c>
      <c r="BA1583" s="34"/>
      <c r="BB1583" s="34"/>
      <c r="BC1583" s="34"/>
      <c r="BD1583" s="76"/>
      <c r="BE1583" s="34"/>
      <c r="BF1583" s="34"/>
      <c r="BG1583" s="34"/>
      <c r="BH1583" s="34"/>
    </row>
    <row r="1584" spans="1:60" s="17" customFormat="1" ht="19.5" customHeight="1" thickBot="1" x14ac:dyDescent="0.4">
      <c r="A1584" s="116">
        <f t="shared" ref="A1584:B1585" si="1615">A1583</f>
        <v>45447</v>
      </c>
      <c r="B1584" s="114" t="str">
        <f t="shared" si="1615"/>
        <v>Kalite</v>
      </c>
      <c r="C1584" s="65" t="str">
        <f t="shared" si="1607"/>
        <v>NECLA KOÇ</v>
      </c>
      <c r="D1584" s="67">
        <f t="shared" si="1608"/>
        <v>28</v>
      </c>
      <c r="E1584" s="59"/>
      <c r="F1584" s="60"/>
      <c r="G1584" s="61"/>
      <c r="H1584" s="62"/>
      <c r="I1584" s="59"/>
      <c r="J1584" s="60"/>
      <c r="K1584" s="61"/>
      <c r="L1584" s="62"/>
      <c r="M1584" s="59"/>
      <c r="N1584" s="60"/>
      <c r="O1584" s="61"/>
      <c r="P1584" s="79"/>
      <c r="Q1584" s="64"/>
      <c r="R1584" s="61"/>
      <c r="S1584" s="61"/>
      <c r="T1584" s="61"/>
      <c r="U1584" s="62"/>
      <c r="V1584" s="81"/>
      <c r="W1584" s="60"/>
      <c r="X1584" s="61"/>
      <c r="Y1584" s="62"/>
      <c r="Z1584" s="59"/>
      <c r="AA1584" s="60"/>
      <c r="AB1584" s="61"/>
      <c r="AC1584" s="62"/>
      <c r="AD1584" s="59"/>
      <c r="AE1584" s="60"/>
      <c r="AF1584" s="61"/>
      <c r="AG1584" s="62"/>
      <c r="AH1584" s="59"/>
      <c r="AI1584" s="60"/>
      <c r="AJ1584" s="61"/>
      <c r="AK1584" s="62"/>
      <c r="AL1584" s="59"/>
      <c r="AM1584" s="60"/>
      <c r="AN1584" s="61"/>
      <c r="AO1584" s="62"/>
      <c r="AP1584" s="59"/>
      <c r="AQ1584" s="60"/>
      <c r="AR1584" s="61"/>
      <c r="AS1584" s="62"/>
      <c r="AT1584" s="59"/>
      <c r="AU1584" s="60"/>
      <c r="AV1584" s="61"/>
      <c r="AW1584" s="62"/>
      <c r="AX1584" s="33">
        <f t="shared" si="1609"/>
        <v>0</v>
      </c>
      <c r="AY1584" s="31">
        <f t="shared" si="1610"/>
        <v>0</v>
      </c>
      <c r="AZ1584" s="30">
        <f t="shared" si="1611"/>
        <v>0</v>
      </c>
      <c r="BA1584" s="34"/>
      <c r="BB1584" s="34"/>
      <c r="BC1584" s="34"/>
      <c r="BD1584" s="76"/>
      <c r="BE1584" s="34"/>
      <c r="BF1584" s="34"/>
      <c r="BG1584" s="34"/>
      <c r="BH1584" s="34"/>
    </row>
    <row r="1585" spans="1:60" s="17" customFormat="1" ht="19.5" customHeight="1" thickBot="1" x14ac:dyDescent="0.45">
      <c r="A1585" s="117">
        <f t="shared" si="1615"/>
        <v>45447</v>
      </c>
      <c r="B1585" s="150" t="str">
        <f>B1578</f>
        <v>Kalite</v>
      </c>
      <c r="C1585" s="140"/>
      <c r="D1585" s="40">
        <f>C1414/8</f>
        <v>500</v>
      </c>
      <c r="E1585" s="147">
        <f>SUM(E1578:H1584)</f>
        <v>0</v>
      </c>
      <c r="F1585" s="148"/>
      <c r="G1585" s="148"/>
      <c r="H1585" s="149"/>
      <c r="I1585" s="147">
        <f>SUM(I1578:L1584)</f>
        <v>0</v>
      </c>
      <c r="J1585" s="148"/>
      <c r="K1585" s="148"/>
      <c r="L1585" s="149"/>
      <c r="M1585" s="147">
        <f>SUM(M1578:P1584)</f>
        <v>0</v>
      </c>
      <c r="N1585" s="148"/>
      <c r="O1585" s="148"/>
      <c r="P1585" s="149"/>
      <c r="Q1585" s="147">
        <f>SUM(Q1578:U1584)</f>
        <v>0</v>
      </c>
      <c r="R1585" s="148"/>
      <c r="S1585" s="148"/>
      <c r="T1585" s="148"/>
      <c r="U1585" s="149"/>
      <c r="V1585" s="147">
        <f>SUM(V1578:Y1584)</f>
        <v>0</v>
      </c>
      <c r="W1585" s="148"/>
      <c r="X1585" s="148"/>
      <c r="Y1585" s="149"/>
      <c r="Z1585" s="147">
        <f>SUM(Z1578:AC1584)</f>
        <v>0</v>
      </c>
      <c r="AA1585" s="148"/>
      <c r="AB1585" s="148"/>
      <c r="AC1585" s="149"/>
      <c r="AD1585" s="147">
        <f>SUM(AD1578:AG1584)</f>
        <v>0</v>
      </c>
      <c r="AE1585" s="148"/>
      <c r="AF1585" s="148"/>
      <c r="AG1585" s="149"/>
      <c r="AH1585" s="147">
        <f>SUM(AH1578:AK1584)</f>
        <v>0</v>
      </c>
      <c r="AI1585" s="148"/>
      <c r="AJ1585" s="148"/>
      <c r="AK1585" s="149"/>
      <c r="AL1585" s="147">
        <f>SUM(AL1578:AO1584)</f>
        <v>0</v>
      </c>
      <c r="AM1585" s="148"/>
      <c r="AN1585" s="148"/>
      <c r="AO1585" s="149"/>
      <c r="AP1585" s="147">
        <f>SUM(AP1578:AS1584)</f>
        <v>0</v>
      </c>
      <c r="AQ1585" s="148"/>
      <c r="AR1585" s="148"/>
      <c r="AS1585" s="149"/>
      <c r="AT1585" s="147">
        <f>SUM(AT1578:AW1584)</f>
        <v>0</v>
      </c>
      <c r="AU1585" s="148"/>
      <c r="AV1585" s="148"/>
      <c r="AW1585" s="149"/>
      <c r="AX1585" s="87">
        <f>SUM(AX1578:AX1584)</f>
        <v>0</v>
      </c>
      <c r="AY1585" s="88">
        <f>IFERROR(AVERAGEIF(E1585:AV1585,"&lt;&gt;0",(E1585:AV1585)),)</f>
        <v>0</v>
      </c>
      <c r="AZ1585" s="46">
        <f>IFERROR(AX1585/BB1579,0)</f>
        <v>0</v>
      </c>
      <c r="BA1585" s="34"/>
      <c r="BB1585" s="34"/>
      <c r="BC1585" s="34"/>
      <c r="BD1585" s="76"/>
      <c r="BE1585" s="34"/>
      <c r="BF1585" s="34"/>
      <c r="BG1585" s="34"/>
      <c r="BH1585" s="34"/>
    </row>
    <row r="1586" spans="1:60" s="17" customFormat="1" ht="19.5" customHeight="1" x14ac:dyDescent="0.35">
      <c r="A1586" s="109"/>
      <c r="B1586" s="35" t="s">
        <v>168</v>
      </c>
      <c r="C1586" s="24">
        <v>45448</v>
      </c>
      <c r="D1586" s="109"/>
      <c r="E1586" s="109"/>
      <c r="F1586" s="109"/>
      <c r="G1586" s="109"/>
      <c r="H1586" s="109"/>
      <c r="I1586" s="109"/>
      <c r="J1586" s="109"/>
      <c r="K1586" s="109"/>
      <c r="L1586" s="109"/>
      <c r="M1586" s="109"/>
      <c r="N1586" s="109"/>
      <c r="O1586" s="109"/>
      <c r="P1586" s="109"/>
      <c r="Q1586" s="109"/>
      <c r="R1586" s="109"/>
      <c r="S1586" s="109"/>
      <c r="T1586" s="109"/>
      <c r="U1586" s="109"/>
      <c r="V1586" s="109"/>
      <c r="W1586" s="109"/>
      <c r="X1586" s="109"/>
      <c r="Y1586" s="109"/>
      <c r="Z1586" s="109"/>
      <c r="AA1586" s="109"/>
      <c r="AB1586" s="109"/>
      <c r="AC1586" s="109"/>
      <c r="AD1586" s="109"/>
      <c r="AE1586" s="109"/>
      <c r="AF1586" s="109"/>
      <c r="AG1586" s="109"/>
      <c r="AH1586" s="109"/>
      <c r="AI1586" s="109"/>
      <c r="AJ1586" s="109"/>
      <c r="AK1586" s="109"/>
      <c r="AL1586" s="109"/>
      <c r="AM1586" s="109"/>
      <c r="AN1586" s="109"/>
      <c r="AO1586" s="109"/>
      <c r="AP1586" s="109"/>
      <c r="AQ1586" s="109"/>
      <c r="AR1586" s="109"/>
      <c r="AS1586" s="109"/>
      <c r="AT1586" s="109"/>
      <c r="AU1586" s="109"/>
      <c r="AV1586" s="109"/>
      <c r="AW1586" s="109"/>
      <c r="AX1586" s="109"/>
      <c r="AY1586" s="109"/>
      <c r="AZ1586" s="109"/>
      <c r="BA1586" s="109"/>
      <c r="BB1586" s="109"/>
      <c r="BC1586" s="109"/>
      <c r="BD1586" s="110"/>
      <c r="BE1586" s="109"/>
      <c r="BF1586" s="109"/>
      <c r="BG1586" s="109"/>
      <c r="BH1586" s="109"/>
    </row>
    <row r="1587" spans="1:60" s="17" customFormat="1" ht="19.5" customHeight="1" x14ac:dyDescent="0.35">
      <c r="A1587" s="109"/>
      <c r="B1587" s="35" t="s">
        <v>169</v>
      </c>
      <c r="C1587" s="77">
        <f>C1411</f>
        <v>0</v>
      </c>
      <c r="D1587" s="109"/>
      <c r="E1587" s="109"/>
      <c r="F1587" s="109"/>
      <c r="G1587" s="109"/>
      <c r="H1587" s="109"/>
      <c r="I1587" s="109"/>
      <c r="J1587" s="109"/>
      <c r="K1587" s="109"/>
      <c r="L1587" s="109"/>
      <c r="M1587" s="109"/>
      <c r="N1587" s="109"/>
      <c r="O1587" s="109"/>
      <c r="P1587" s="109"/>
      <c r="Q1587" s="109"/>
      <c r="R1587" s="109"/>
      <c r="S1587" s="109"/>
      <c r="T1587" s="109"/>
      <c r="U1587" s="109"/>
      <c r="V1587" s="109"/>
      <c r="W1587" s="109"/>
      <c r="X1587" s="109"/>
      <c r="Y1587" s="109"/>
      <c r="Z1587" s="109"/>
      <c r="AA1587" s="109"/>
      <c r="AB1587" s="109"/>
      <c r="AC1587" s="109"/>
      <c r="AD1587" s="109"/>
      <c r="AE1587" s="109"/>
      <c r="AF1587" s="109"/>
      <c r="AG1587" s="109"/>
      <c r="AH1587" s="109"/>
      <c r="AI1587" s="109"/>
      <c r="AJ1587" s="109"/>
      <c r="AK1587" s="109"/>
      <c r="AL1587" s="109"/>
      <c r="AM1587" s="109"/>
      <c r="AN1587" s="109"/>
      <c r="AO1587" s="109"/>
      <c r="AP1587" s="109"/>
      <c r="AQ1587" s="109"/>
      <c r="AR1587" s="109"/>
      <c r="AS1587" s="109"/>
      <c r="AT1587" s="109"/>
      <c r="AU1587" s="109"/>
      <c r="AV1587" s="109"/>
      <c r="AW1587" s="109"/>
      <c r="AX1587" s="109"/>
      <c r="AY1587" s="109"/>
      <c r="AZ1587" s="109"/>
      <c r="BA1587" s="20" t="s">
        <v>170</v>
      </c>
      <c r="BB1587" s="21" t="s">
        <v>171</v>
      </c>
      <c r="BC1587" s="26" t="s">
        <v>172</v>
      </c>
      <c r="BD1587" s="110"/>
      <c r="BE1587" s="109"/>
      <c r="BF1587" s="109"/>
      <c r="BG1587" s="109"/>
      <c r="BH1587" s="109"/>
    </row>
    <row r="1588" spans="1:60" s="17" customFormat="1" ht="19.5" customHeight="1" x14ac:dyDescent="0.35">
      <c r="A1588" s="109"/>
      <c r="B1588" s="35" t="s">
        <v>173</v>
      </c>
      <c r="C1588" s="77" t="str">
        <f>C1412</f>
        <v>H&amp;M MAN</v>
      </c>
      <c r="D1588" s="109"/>
      <c r="E1588" s="109"/>
      <c r="F1588" s="109"/>
      <c r="G1588" s="109"/>
      <c r="H1588" s="109"/>
      <c r="I1588" s="109"/>
      <c r="J1588" s="109"/>
      <c r="K1588" s="109"/>
      <c r="L1588" s="109"/>
      <c r="M1588" s="109"/>
      <c r="N1588" s="109"/>
      <c r="O1588" s="109"/>
      <c r="P1588" s="109"/>
      <c r="Q1588" s="109"/>
      <c r="R1588" s="109"/>
      <c r="S1588" s="109"/>
      <c r="T1588" s="109"/>
      <c r="U1588" s="109"/>
      <c r="V1588" s="109"/>
      <c r="W1588" s="109"/>
      <c r="X1588" s="109"/>
      <c r="Y1588" s="109"/>
      <c r="Z1588" s="109"/>
      <c r="AA1588" s="109"/>
      <c r="AB1588" s="109"/>
      <c r="AC1588" s="109"/>
      <c r="AD1588" s="109"/>
      <c r="AE1588" s="109"/>
      <c r="AF1588" s="109"/>
      <c r="AG1588" s="109"/>
      <c r="AH1588" s="109"/>
      <c r="AI1588" s="109"/>
      <c r="AJ1588" s="109"/>
      <c r="AK1588" s="109"/>
      <c r="AL1588" s="109"/>
      <c r="AM1588" s="109"/>
      <c r="AN1588" s="109"/>
      <c r="AO1588" s="109"/>
      <c r="AP1588" s="109"/>
      <c r="AQ1588" s="109"/>
      <c r="AR1588" s="109"/>
      <c r="AS1588" s="109"/>
      <c r="AT1588" s="109"/>
      <c r="AU1588" s="109"/>
      <c r="AV1588" s="109"/>
      <c r="AW1588" s="109"/>
      <c r="AX1588" s="109"/>
      <c r="AY1588" s="109"/>
      <c r="AZ1588" s="109"/>
      <c r="BA1588" s="32" t="s">
        <v>174</v>
      </c>
      <c r="BB1588" s="22" t="s">
        <v>175</v>
      </c>
      <c r="BC1588" s="109"/>
      <c r="BD1588" s="110"/>
      <c r="BE1588" s="109"/>
      <c r="BF1588" s="109"/>
      <c r="BG1588" s="109"/>
      <c r="BH1588" s="109"/>
    </row>
    <row r="1589" spans="1:60" s="17" customFormat="1" ht="19.5" customHeight="1" thickBot="1" x14ac:dyDescent="0.4">
      <c r="A1589" s="109"/>
      <c r="B1589" s="35" t="s">
        <v>176</v>
      </c>
      <c r="C1589" s="25">
        <f>C1413</f>
        <v>42311</v>
      </c>
      <c r="D1589" s="109"/>
      <c r="E1589" s="109"/>
      <c r="F1589" s="109"/>
      <c r="G1589" s="109"/>
      <c r="H1589" s="109"/>
      <c r="I1589" s="109"/>
      <c r="J1589" s="109"/>
      <c r="K1589" s="109"/>
      <c r="L1589" s="109"/>
      <c r="M1589" s="109"/>
      <c r="N1589" s="109"/>
      <c r="O1589" s="109"/>
      <c r="P1589" s="109"/>
      <c r="Q1589" s="109"/>
      <c r="R1589" s="109"/>
      <c r="S1589" s="109"/>
      <c r="T1589" s="109"/>
      <c r="U1589" s="109"/>
      <c r="V1589" s="109"/>
      <c r="W1589" s="109"/>
      <c r="X1589" s="109"/>
      <c r="Y1589" s="109"/>
      <c r="Z1589" s="109"/>
      <c r="AA1589" s="109"/>
      <c r="AB1589" s="109"/>
      <c r="AC1589" s="109"/>
      <c r="AD1589" s="109"/>
      <c r="AE1589" s="109"/>
      <c r="AF1589" s="109"/>
      <c r="AG1589" s="109"/>
      <c r="AH1589" s="109"/>
      <c r="AI1589" s="109"/>
      <c r="AJ1589" s="109"/>
      <c r="AK1589" s="109"/>
      <c r="AL1589" s="109"/>
      <c r="AM1589" s="109"/>
      <c r="AN1589" s="109"/>
      <c r="AO1589" s="109"/>
      <c r="AP1589" s="109"/>
      <c r="AQ1589" s="109"/>
      <c r="AR1589" s="109"/>
      <c r="AS1589" s="109"/>
      <c r="AT1589" s="109"/>
      <c r="AU1589" s="109"/>
      <c r="AV1589" s="109"/>
      <c r="AW1589" s="109"/>
      <c r="AX1589" s="109"/>
      <c r="AY1589" s="109"/>
      <c r="AZ1589" s="109"/>
      <c r="BA1589" s="27" t="s">
        <v>177</v>
      </c>
      <c r="BB1589" s="23" t="s">
        <v>178</v>
      </c>
      <c r="BC1589" s="109"/>
      <c r="BD1589" s="110"/>
      <c r="BE1589" s="109"/>
      <c r="BF1589" s="109"/>
      <c r="BG1589" s="109"/>
      <c r="BH1589" s="109"/>
    </row>
    <row r="1590" spans="1:60" s="17" customFormat="1" ht="19.5" customHeight="1" x14ac:dyDescent="0.35">
      <c r="A1590" s="109"/>
      <c r="B1590" s="36" t="s">
        <v>179</v>
      </c>
      <c r="C1590" s="25">
        <f>C1414</f>
        <v>4000</v>
      </c>
      <c r="D1590" s="109"/>
      <c r="E1590" s="109"/>
      <c r="F1590" s="109"/>
      <c r="G1590" s="109"/>
      <c r="H1590" s="109"/>
      <c r="I1590" s="109"/>
      <c r="J1590" s="109"/>
      <c r="K1590" s="109"/>
      <c r="L1590" s="109"/>
      <c r="M1590" s="109"/>
      <c r="N1590" s="109"/>
      <c r="O1590" s="109"/>
      <c r="P1590" s="109"/>
      <c r="Q1590" s="109"/>
      <c r="R1590" s="109"/>
      <c r="S1590" s="109"/>
      <c r="T1590" s="109"/>
      <c r="U1590" s="109"/>
      <c r="V1590" s="109"/>
      <c r="W1590" s="109"/>
      <c r="X1590" s="109"/>
      <c r="Y1590" s="109"/>
      <c r="Z1590" s="109"/>
      <c r="AA1590" s="109"/>
      <c r="AB1590" s="109"/>
      <c r="AC1590" s="109"/>
      <c r="AD1590" s="109"/>
      <c r="AE1590" s="109"/>
      <c r="AF1590" s="109"/>
      <c r="AG1590" s="109"/>
      <c r="AH1590" s="109"/>
      <c r="AI1590" s="109"/>
      <c r="AJ1590" s="109"/>
      <c r="AK1590" s="109"/>
      <c r="AL1590" s="109"/>
      <c r="AM1590" s="109"/>
      <c r="AN1590" s="109"/>
      <c r="AO1590" s="109"/>
      <c r="AP1590" s="109"/>
      <c r="AQ1590" s="109"/>
      <c r="AR1590" s="109"/>
      <c r="AS1590" s="109"/>
      <c r="AT1590" s="109"/>
      <c r="AU1590" s="109"/>
      <c r="AV1590" s="109"/>
      <c r="AW1590" s="109"/>
      <c r="AX1590" s="109"/>
      <c r="AY1590" s="109"/>
      <c r="AZ1590" s="109"/>
      <c r="BA1590" s="12" t="str">
        <f t="shared" ref="BA1590:BG1590" si="1616">BA1414</f>
        <v>XS</v>
      </c>
      <c r="BB1590" s="12" t="str">
        <f t="shared" si="1616"/>
        <v>S</v>
      </c>
      <c r="BC1590" s="12" t="str">
        <f t="shared" si="1616"/>
        <v>M</v>
      </c>
      <c r="BD1590" s="12" t="str">
        <f t="shared" si="1616"/>
        <v>L</v>
      </c>
      <c r="BE1590" s="12" t="str">
        <f t="shared" si="1616"/>
        <v>XL</v>
      </c>
      <c r="BF1590" s="12" t="str">
        <f t="shared" si="1616"/>
        <v>XXL</v>
      </c>
      <c r="BG1590" s="12">
        <f t="shared" si="1616"/>
        <v>0</v>
      </c>
      <c r="BH1590" s="13"/>
    </row>
    <row r="1591" spans="1:60" s="17" customFormat="1" ht="19.5" customHeight="1" thickBot="1" x14ac:dyDescent="0.4">
      <c r="A1591" s="109"/>
      <c r="B1591" s="36" t="s">
        <v>197</v>
      </c>
      <c r="C1591" s="25" t="str">
        <f>C1415</f>
        <v>EKRU</v>
      </c>
      <c r="D1591" s="109"/>
      <c r="E1591" s="109"/>
      <c r="F1591" s="109"/>
      <c r="G1591" s="109"/>
      <c r="H1591" s="109"/>
      <c r="I1591" s="109"/>
      <c r="J1591" s="109"/>
      <c r="K1591" s="109"/>
      <c r="L1591" s="109"/>
      <c r="M1591" s="109"/>
      <c r="N1591" s="109"/>
      <c r="O1591" s="109"/>
      <c r="P1591" s="109"/>
      <c r="Q1591" s="109"/>
      <c r="R1591" s="109"/>
      <c r="S1591" s="109"/>
      <c r="T1591" s="109"/>
      <c r="U1591" s="109"/>
      <c r="V1591" s="109"/>
      <c r="W1591" s="109"/>
      <c r="X1591" s="109"/>
      <c r="Y1591" s="109"/>
      <c r="Z1591" s="109"/>
      <c r="AA1591" s="109"/>
      <c r="AB1591" s="109"/>
      <c r="AC1591" s="109"/>
      <c r="AD1591" s="109"/>
      <c r="AE1591" s="109"/>
      <c r="AF1591" s="109"/>
      <c r="AG1591" s="109"/>
      <c r="AH1591" s="109"/>
      <c r="AI1591" s="109"/>
      <c r="AJ1591" s="109"/>
      <c r="AK1591" s="109"/>
      <c r="AL1591" s="109"/>
      <c r="AM1591" s="109"/>
      <c r="AN1591" s="109"/>
      <c r="AO1591" s="109"/>
      <c r="AP1591" s="109"/>
      <c r="AQ1591" s="109"/>
      <c r="AR1591" s="109"/>
      <c r="AS1591" s="109"/>
      <c r="AT1591" s="109"/>
      <c r="AU1591" s="109"/>
      <c r="AV1591" s="109"/>
      <c r="AW1591" s="109"/>
      <c r="AX1591" s="109"/>
      <c r="AY1591" s="109"/>
      <c r="AZ1591" s="109"/>
      <c r="BA1591" s="14">
        <f t="shared" ref="BA1591:BG1591" si="1617">BA1415</f>
        <v>492</v>
      </c>
      <c r="BB1591" s="14">
        <f t="shared" si="1617"/>
        <v>11438</v>
      </c>
      <c r="BC1591" s="14">
        <f t="shared" si="1617"/>
        <v>13689</v>
      </c>
      <c r="BD1591" s="14">
        <f t="shared" si="1617"/>
        <v>9760</v>
      </c>
      <c r="BE1591" s="14">
        <f t="shared" si="1617"/>
        <v>4794</v>
      </c>
      <c r="BF1591" s="14">
        <f t="shared" si="1617"/>
        <v>2138</v>
      </c>
      <c r="BG1591" s="14">
        <f t="shared" si="1617"/>
        <v>0</v>
      </c>
      <c r="BH1591" s="15">
        <f>SUM(BA1591:BG1591)</f>
        <v>42311</v>
      </c>
    </row>
    <row r="1592" spans="1:60" s="17" customFormat="1" ht="19.5" customHeight="1" thickBot="1" x14ac:dyDescent="0.4">
      <c r="A1592" s="42">
        <f>C1586</f>
        <v>45448</v>
      </c>
      <c r="B1592" s="38" t="str">
        <f>B1593</f>
        <v>Yaka İç Dikiş</v>
      </c>
      <c r="C1592" s="39" t="s">
        <v>180</v>
      </c>
      <c r="D1592" s="69" t="s">
        <v>181</v>
      </c>
      <c r="E1592" s="48">
        <v>0.34375</v>
      </c>
      <c r="F1592" s="49">
        <v>0.35416666666666669</v>
      </c>
      <c r="G1592" s="49">
        <v>0.36458333333333331</v>
      </c>
      <c r="H1592" s="50">
        <v>0.375</v>
      </c>
      <c r="I1592" s="48">
        <v>0.38541666666666702</v>
      </c>
      <c r="J1592" s="49">
        <v>0.39583333333333298</v>
      </c>
      <c r="K1592" s="49">
        <v>0.40625</v>
      </c>
      <c r="L1592" s="50">
        <v>0.41666666666666702</v>
      </c>
      <c r="M1592" s="48">
        <v>0.4375</v>
      </c>
      <c r="N1592" s="49">
        <v>0.44791666666666702</v>
      </c>
      <c r="O1592" s="49">
        <v>0.45833333333333398</v>
      </c>
      <c r="P1592" s="50">
        <v>0.46875</v>
      </c>
      <c r="Q1592" s="48">
        <v>0.47916666666666702</v>
      </c>
      <c r="R1592" s="49">
        <v>0.48958333333333398</v>
      </c>
      <c r="S1592" s="49">
        <v>0.5</v>
      </c>
      <c r="T1592" s="50">
        <v>0.51041666666666696</v>
      </c>
      <c r="U1592" s="51">
        <v>0.52083333333333204</v>
      </c>
      <c r="V1592" s="48">
        <v>0.5625</v>
      </c>
      <c r="W1592" s="49">
        <v>0.57291666666666663</v>
      </c>
      <c r="X1592" s="49">
        <v>0.58333333333333304</v>
      </c>
      <c r="Y1592" s="50">
        <v>0.59375</v>
      </c>
      <c r="Z1592" s="48">
        <v>0.60416666666666696</v>
      </c>
      <c r="AA1592" s="49">
        <v>0.61458333333333304</v>
      </c>
      <c r="AB1592" s="49">
        <v>0.625</v>
      </c>
      <c r="AC1592" s="50">
        <v>0.63541666666666596</v>
      </c>
      <c r="AD1592" s="48">
        <v>0.65625</v>
      </c>
      <c r="AE1592" s="49">
        <v>0.66666666666666663</v>
      </c>
      <c r="AF1592" s="49">
        <v>0.67708333333333304</v>
      </c>
      <c r="AG1592" s="50">
        <v>0.6875</v>
      </c>
      <c r="AH1592" s="48">
        <v>0.69791666666666696</v>
      </c>
      <c r="AI1592" s="49">
        <v>0.70833333333333304</v>
      </c>
      <c r="AJ1592" s="49">
        <v>0.71875</v>
      </c>
      <c r="AK1592" s="50">
        <v>0.72916666666666696</v>
      </c>
      <c r="AL1592" s="48">
        <v>0.73958333333333404</v>
      </c>
      <c r="AM1592" s="49">
        <v>0.750000000000001</v>
      </c>
      <c r="AN1592" s="49">
        <v>0.76041666666666796</v>
      </c>
      <c r="AO1592" s="50">
        <v>0.77083333333333504</v>
      </c>
      <c r="AP1592" s="48">
        <v>0.781250000000002</v>
      </c>
      <c r="AQ1592" s="49">
        <v>0.79166666666666896</v>
      </c>
      <c r="AR1592" s="49">
        <v>0.80208333333333603</v>
      </c>
      <c r="AS1592" s="50">
        <v>0.812500000000003</v>
      </c>
      <c r="AT1592" s="48">
        <v>0.82291666666666996</v>
      </c>
      <c r="AU1592" s="49">
        <v>0.83333333333333703</v>
      </c>
      <c r="AV1592" s="49">
        <v>0.843750000000004</v>
      </c>
      <c r="AW1592" s="50">
        <v>0.85416666666666663</v>
      </c>
      <c r="AX1592" s="68" t="s">
        <v>260</v>
      </c>
      <c r="AY1592" s="28" t="s">
        <v>261</v>
      </c>
      <c r="AZ1592" s="29" t="s">
        <v>262</v>
      </c>
      <c r="BA1592" s="136" t="str">
        <f>B1593</f>
        <v>Yaka İç Dikiş</v>
      </c>
      <c r="BB1592" s="137"/>
      <c r="BC1592" s="137"/>
      <c r="BD1592" s="137"/>
      <c r="BE1592" s="137"/>
      <c r="BF1592" s="137"/>
      <c r="BG1592" s="137"/>
      <c r="BH1592" s="138"/>
    </row>
    <row r="1593" spans="1:60" s="17" customFormat="1" ht="19.5" customHeight="1" thickBot="1" x14ac:dyDescent="0.4">
      <c r="A1593" s="41">
        <f t="shared" ref="A1593:A1598" si="1618">A1592</f>
        <v>45448</v>
      </c>
      <c r="B1593" s="37" t="str">
        <f>B1417</f>
        <v>Yaka İç Dikiş</v>
      </c>
      <c r="C1593" s="66" t="str">
        <f>C1417</f>
        <v>HAZİME AVCİ</v>
      </c>
      <c r="D1593" s="70">
        <f>D1417</f>
        <v>200</v>
      </c>
      <c r="E1593" s="63"/>
      <c r="F1593" s="55"/>
      <c r="G1593" s="55"/>
      <c r="H1593" s="56"/>
      <c r="I1593" s="63"/>
      <c r="J1593" s="55"/>
      <c r="K1593" s="55"/>
      <c r="L1593" s="56"/>
      <c r="M1593" s="63"/>
      <c r="N1593" s="55"/>
      <c r="O1593" s="55"/>
      <c r="P1593" s="56"/>
      <c r="Q1593" s="63"/>
      <c r="R1593" s="55"/>
      <c r="S1593" s="55"/>
      <c r="T1593" s="55"/>
      <c r="U1593" s="56"/>
      <c r="V1593" s="63"/>
      <c r="W1593" s="55"/>
      <c r="X1593" s="55"/>
      <c r="Y1593" s="56"/>
      <c r="Z1593" s="63"/>
      <c r="AA1593" s="55"/>
      <c r="AB1593" s="55"/>
      <c r="AC1593" s="56"/>
      <c r="AD1593" s="63"/>
      <c r="AE1593" s="55"/>
      <c r="AF1593" s="55"/>
      <c r="AG1593" s="56"/>
      <c r="AH1593" s="63"/>
      <c r="AI1593" s="55"/>
      <c r="AJ1593" s="55"/>
      <c r="AK1593" s="56"/>
      <c r="AL1593" s="63"/>
      <c r="AM1593" s="55"/>
      <c r="AN1593" s="55"/>
      <c r="AO1593" s="56"/>
      <c r="AP1593" s="63"/>
      <c r="AQ1593" s="54"/>
      <c r="AR1593" s="55"/>
      <c r="AS1593" s="56"/>
      <c r="AT1593" s="53"/>
      <c r="AU1593" s="54"/>
      <c r="AV1593" s="55"/>
      <c r="AW1593" s="56"/>
      <c r="AX1593" s="33">
        <f>SUM(E1593:AW1593)</f>
        <v>0</v>
      </c>
      <c r="AY1593" s="31">
        <f>IFERROR(AVERAGEIF(E1593:AW1593,"&lt;&gt;0",(E1593:AW1593)),)</f>
        <v>0</v>
      </c>
      <c r="AZ1593" s="30">
        <f>IFERROR(AY1593/D1593,0)</f>
        <v>0</v>
      </c>
      <c r="BA1593" s="103" t="s">
        <v>182</v>
      </c>
      <c r="BB1593" s="100" t="s">
        <v>183</v>
      </c>
      <c r="BC1593" s="100" t="s">
        <v>184</v>
      </c>
      <c r="BD1593" s="101" t="s">
        <v>185</v>
      </c>
      <c r="BE1593" s="100" t="s">
        <v>186</v>
      </c>
      <c r="BF1593" s="102" t="s">
        <v>187</v>
      </c>
      <c r="BG1593" s="100" t="s">
        <v>188</v>
      </c>
      <c r="BH1593" s="102" t="s">
        <v>189</v>
      </c>
    </row>
    <row r="1594" spans="1:60" s="17" customFormat="1" ht="19.5" customHeight="1" thickBot="1" x14ac:dyDescent="0.4">
      <c r="A1594" s="41">
        <f t="shared" si="1618"/>
        <v>45448</v>
      </c>
      <c r="B1594" s="37" t="str">
        <f>B1593</f>
        <v>Yaka İç Dikiş</v>
      </c>
      <c r="C1594" s="66">
        <f>C1418</f>
        <v>0</v>
      </c>
      <c r="D1594" s="67">
        <f>D1593</f>
        <v>200</v>
      </c>
      <c r="E1594" s="57"/>
      <c r="F1594" s="52"/>
      <c r="G1594" s="52"/>
      <c r="H1594" s="58"/>
      <c r="I1594" s="57"/>
      <c r="J1594" s="52"/>
      <c r="K1594" s="52"/>
      <c r="L1594" s="58"/>
      <c r="M1594" s="57"/>
      <c r="N1594" s="52"/>
      <c r="O1594" s="52"/>
      <c r="P1594" s="58"/>
      <c r="Q1594" s="57"/>
      <c r="R1594" s="52"/>
      <c r="S1594" s="52"/>
      <c r="T1594" s="52"/>
      <c r="U1594" s="58"/>
      <c r="V1594" s="57"/>
      <c r="W1594" s="52"/>
      <c r="X1594" s="52"/>
      <c r="Y1594" s="58"/>
      <c r="Z1594" s="57"/>
      <c r="AA1594" s="52"/>
      <c r="AB1594" s="52"/>
      <c r="AC1594" s="58"/>
      <c r="AD1594" s="57"/>
      <c r="AE1594" s="52"/>
      <c r="AF1594" s="52"/>
      <c r="AG1594" s="58"/>
      <c r="AH1594" s="57"/>
      <c r="AI1594" s="52"/>
      <c r="AJ1594" s="52"/>
      <c r="AK1594" s="58"/>
      <c r="AL1594" s="57"/>
      <c r="AM1594" s="52"/>
      <c r="AN1594" s="52"/>
      <c r="AO1594" s="58"/>
      <c r="AP1594" s="57"/>
      <c r="AQ1594" s="52"/>
      <c r="AR1594" s="52"/>
      <c r="AS1594" s="58"/>
      <c r="AT1594" s="57"/>
      <c r="AU1594" s="52"/>
      <c r="AV1594" s="52"/>
      <c r="AW1594" s="58"/>
      <c r="AX1594" s="33">
        <f>SUM(E1594:AW1594)</f>
        <v>0</v>
      </c>
      <c r="AY1594" s="31">
        <f>IFERROR(AVERAGEIF(E1594:AW1594,"&lt;&gt;0",(E1594:AW1594)),)</f>
        <v>0</v>
      </c>
      <c r="AZ1594" s="30">
        <f>IFERROR(AY1594/D1594,0)</f>
        <v>0</v>
      </c>
      <c r="BA1594" s="94">
        <f>AX1598+BA1418</f>
        <v>22370</v>
      </c>
      <c r="BB1594" s="95">
        <f>(D1598*8)</f>
        <v>4000</v>
      </c>
      <c r="BC1594" s="96">
        <f>C1589-BA1594</f>
        <v>19941</v>
      </c>
      <c r="BD1594" s="96">
        <f>BC1594</f>
        <v>19941</v>
      </c>
      <c r="BE1594" s="97">
        <f>IFERROR(BC1594/E1598,0)</f>
        <v>0</v>
      </c>
      <c r="BF1594" s="98">
        <f>IFERROR(BE1594/9,0)</f>
        <v>0</v>
      </c>
      <c r="BG1594" s="97">
        <f>IFERROR(BC1594/AY1598,0)</f>
        <v>0</v>
      </c>
      <c r="BH1594" s="97">
        <f>IFERROR(BG1594/9,0)</f>
        <v>0</v>
      </c>
    </row>
    <row r="1595" spans="1:60" s="17" customFormat="1" ht="19.5" customHeight="1" x14ac:dyDescent="0.35">
      <c r="A1595" s="41">
        <f t="shared" si="1618"/>
        <v>45448</v>
      </c>
      <c r="B1595" s="37" t="str">
        <f>B1594</f>
        <v>Yaka İç Dikiş</v>
      </c>
      <c r="C1595" s="66">
        <f>C1419</f>
        <v>0</v>
      </c>
      <c r="D1595" s="67">
        <f>D1594</f>
        <v>200</v>
      </c>
      <c r="E1595" s="57"/>
      <c r="F1595" s="52"/>
      <c r="G1595" s="52"/>
      <c r="H1595" s="58"/>
      <c r="I1595" s="57"/>
      <c r="J1595" s="52"/>
      <c r="K1595" s="52"/>
      <c r="L1595" s="58"/>
      <c r="M1595" s="57"/>
      <c r="N1595" s="52"/>
      <c r="O1595" s="52"/>
      <c r="P1595" s="58"/>
      <c r="Q1595" s="57"/>
      <c r="R1595" s="52"/>
      <c r="S1595" s="52"/>
      <c r="T1595" s="52"/>
      <c r="U1595" s="58"/>
      <c r="V1595" s="57"/>
      <c r="W1595" s="52"/>
      <c r="X1595" s="52"/>
      <c r="Y1595" s="58"/>
      <c r="Z1595" s="57"/>
      <c r="AA1595" s="52"/>
      <c r="AB1595" s="52"/>
      <c r="AC1595" s="58"/>
      <c r="AD1595" s="57"/>
      <c r="AE1595" s="52"/>
      <c r="AF1595" s="52"/>
      <c r="AG1595" s="58"/>
      <c r="AH1595" s="57"/>
      <c r="AI1595" s="52"/>
      <c r="AJ1595" s="52"/>
      <c r="AK1595" s="58"/>
      <c r="AL1595" s="57"/>
      <c r="AM1595" s="52"/>
      <c r="AN1595" s="52"/>
      <c r="AO1595" s="58"/>
      <c r="AP1595" s="57"/>
      <c r="AQ1595" s="52"/>
      <c r="AR1595" s="52"/>
      <c r="AS1595" s="58"/>
      <c r="AT1595" s="57"/>
      <c r="AU1595" s="52"/>
      <c r="AV1595" s="52"/>
      <c r="AW1595" s="58"/>
      <c r="AX1595" s="33">
        <f>SUM(E1595:AW1595)</f>
        <v>0</v>
      </c>
      <c r="AY1595" s="31">
        <f>IFERROR(AVERAGEIF(E1595:AW1595,"&lt;&gt;0",(E1595:AW1595)),)</f>
        <v>0</v>
      </c>
      <c r="AZ1595" s="30">
        <f>IFERROR(AY1595/D1595,0)</f>
        <v>0</v>
      </c>
      <c r="BA1595" s="34"/>
      <c r="BB1595" s="34"/>
      <c r="BC1595" s="34"/>
      <c r="BD1595" s="76"/>
      <c r="BE1595" s="34"/>
      <c r="BF1595" s="34"/>
      <c r="BG1595" s="34"/>
      <c r="BH1595" s="34"/>
    </row>
    <row r="1596" spans="1:60" s="17" customFormat="1" ht="19.5" customHeight="1" x14ac:dyDescent="0.35">
      <c r="A1596" s="41">
        <f t="shared" si="1618"/>
        <v>45448</v>
      </c>
      <c r="B1596" s="37" t="str">
        <f>B1595</f>
        <v>Yaka İç Dikiş</v>
      </c>
      <c r="C1596" s="66">
        <f>C1420</f>
        <v>0</v>
      </c>
      <c r="D1596" s="67">
        <f>D1595</f>
        <v>200</v>
      </c>
      <c r="E1596" s="57"/>
      <c r="F1596" s="52"/>
      <c r="G1596" s="52"/>
      <c r="H1596" s="58"/>
      <c r="I1596" s="57"/>
      <c r="J1596" s="52"/>
      <c r="K1596" s="52"/>
      <c r="L1596" s="58"/>
      <c r="M1596" s="57"/>
      <c r="N1596" s="52"/>
      <c r="O1596" s="52"/>
      <c r="P1596" s="58"/>
      <c r="Q1596" s="57"/>
      <c r="R1596" s="52"/>
      <c r="S1596" s="52"/>
      <c r="T1596" s="52"/>
      <c r="U1596" s="58"/>
      <c r="V1596" s="57"/>
      <c r="W1596" s="52"/>
      <c r="X1596" s="52"/>
      <c r="Y1596" s="58"/>
      <c r="Z1596" s="57"/>
      <c r="AA1596" s="52"/>
      <c r="AB1596" s="52"/>
      <c r="AC1596" s="58"/>
      <c r="AD1596" s="57"/>
      <c r="AE1596" s="52"/>
      <c r="AF1596" s="52"/>
      <c r="AG1596" s="58"/>
      <c r="AH1596" s="57"/>
      <c r="AI1596" s="52"/>
      <c r="AJ1596" s="52"/>
      <c r="AK1596" s="58"/>
      <c r="AL1596" s="57"/>
      <c r="AM1596" s="52"/>
      <c r="AN1596" s="52"/>
      <c r="AO1596" s="58"/>
      <c r="AP1596" s="57"/>
      <c r="AQ1596" s="52"/>
      <c r="AR1596" s="52"/>
      <c r="AS1596" s="58"/>
      <c r="AT1596" s="57"/>
      <c r="AU1596" s="52"/>
      <c r="AV1596" s="52"/>
      <c r="AW1596" s="58"/>
      <c r="AX1596" s="33">
        <f>SUM(E1596:AW1596)</f>
        <v>0</v>
      </c>
      <c r="AY1596" s="31">
        <f>IFERROR(AVERAGEIF(E1596:AW1596,"&lt;&gt;0",(E1596:AW1596)),)</f>
        <v>0</v>
      </c>
      <c r="AZ1596" s="30">
        <f>IFERROR(AY1596/D1596,0)</f>
        <v>0</v>
      </c>
      <c r="BA1596" s="34"/>
      <c r="BB1596" s="34"/>
      <c r="BC1596" s="34"/>
      <c r="BD1596" s="76"/>
      <c r="BE1596" s="34"/>
      <c r="BF1596" s="34"/>
      <c r="BG1596" s="34"/>
      <c r="BH1596" s="34"/>
    </row>
    <row r="1597" spans="1:60" s="17" customFormat="1" ht="19.5" customHeight="1" thickBot="1" x14ac:dyDescent="0.4">
      <c r="A1597" s="41">
        <f t="shared" si="1618"/>
        <v>45448</v>
      </c>
      <c r="B1597" s="37" t="str">
        <f>B1596</f>
        <v>Yaka İç Dikiş</v>
      </c>
      <c r="C1597" s="66">
        <f>C1421</f>
        <v>0</v>
      </c>
      <c r="D1597" s="67">
        <f>D1596</f>
        <v>200</v>
      </c>
      <c r="E1597" s="64"/>
      <c r="F1597" s="61"/>
      <c r="G1597" s="61"/>
      <c r="H1597" s="62"/>
      <c r="I1597" s="64"/>
      <c r="J1597" s="61"/>
      <c r="K1597" s="61"/>
      <c r="L1597" s="62"/>
      <c r="M1597" s="64"/>
      <c r="N1597" s="61"/>
      <c r="O1597" s="61"/>
      <c r="P1597" s="62"/>
      <c r="Q1597" s="64"/>
      <c r="R1597" s="61"/>
      <c r="S1597" s="61"/>
      <c r="T1597" s="61"/>
      <c r="U1597" s="62"/>
      <c r="V1597" s="64"/>
      <c r="W1597" s="61"/>
      <c r="X1597" s="61"/>
      <c r="Y1597" s="62"/>
      <c r="Z1597" s="59"/>
      <c r="AA1597" s="60"/>
      <c r="AB1597" s="61"/>
      <c r="AC1597" s="62"/>
      <c r="AD1597" s="59"/>
      <c r="AE1597" s="60"/>
      <c r="AF1597" s="61"/>
      <c r="AG1597" s="62"/>
      <c r="AH1597" s="59"/>
      <c r="AI1597" s="60"/>
      <c r="AJ1597" s="61"/>
      <c r="AK1597" s="62"/>
      <c r="AL1597" s="59"/>
      <c r="AM1597" s="60"/>
      <c r="AN1597" s="61"/>
      <c r="AO1597" s="62"/>
      <c r="AP1597" s="59"/>
      <c r="AQ1597" s="60"/>
      <c r="AR1597" s="61"/>
      <c r="AS1597" s="62"/>
      <c r="AT1597" s="59"/>
      <c r="AU1597" s="60"/>
      <c r="AV1597" s="61"/>
      <c r="AW1597" s="62"/>
      <c r="AX1597" s="43">
        <f>SUM(E1597:AW1597)</f>
        <v>0</v>
      </c>
      <c r="AY1597" s="44">
        <f>IFERROR(AVERAGEIF(E1597:AW1597,"&lt;&gt;0",(E1597:AW1597)),)</f>
        <v>0</v>
      </c>
      <c r="AZ1597" s="45">
        <f>IFERROR(AY1597/D1597,0)</f>
        <v>0</v>
      </c>
      <c r="BA1597" s="34"/>
      <c r="BB1597" s="34"/>
      <c r="BC1597" s="34"/>
      <c r="BD1597" s="76"/>
      <c r="BE1597" s="34"/>
      <c r="BF1597" s="34"/>
      <c r="BG1597" s="34"/>
      <c r="BH1597" s="34"/>
    </row>
    <row r="1598" spans="1:60" s="17" customFormat="1" ht="19.5" customHeight="1" thickBot="1" x14ac:dyDescent="0.45">
      <c r="A1598" s="41">
        <f t="shared" si="1618"/>
        <v>45448</v>
      </c>
      <c r="B1598" s="139" t="str">
        <f>B1593</f>
        <v>Yaka İç Dikiş</v>
      </c>
      <c r="C1598" s="140"/>
      <c r="D1598" s="40">
        <f>C1590/8</f>
        <v>500</v>
      </c>
      <c r="E1598" s="151">
        <f>SUM(E1593:H1597)</f>
        <v>0</v>
      </c>
      <c r="F1598" s="152"/>
      <c r="G1598" s="152"/>
      <c r="H1598" s="153"/>
      <c r="I1598" s="151">
        <f>SUM(I1593:L1597)</f>
        <v>0</v>
      </c>
      <c r="J1598" s="152"/>
      <c r="K1598" s="152"/>
      <c r="L1598" s="153"/>
      <c r="M1598" s="151">
        <f>SUM(M1593:P1597)</f>
        <v>0</v>
      </c>
      <c r="N1598" s="152"/>
      <c r="O1598" s="152"/>
      <c r="P1598" s="153"/>
      <c r="Q1598" s="151">
        <f>SUM(Q1593:U1597)</f>
        <v>0</v>
      </c>
      <c r="R1598" s="152"/>
      <c r="S1598" s="152"/>
      <c r="T1598" s="152"/>
      <c r="U1598" s="153"/>
      <c r="V1598" s="151">
        <f>SUM(V1593:Y1597)</f>
        <v>0</v>
      </c>
      <c r="W1598" s="152"/>
      <c r="X1598" s="152"/>
      <c r="Y1598" s="153"/>
      <c r="Z1598" s="151">
        <f>SUM(Z1593:AC1597)</f>
        <v>0</v>
      </c>
      <c r="AA1598" s="152"/>
      <c r="AB1598" s="152"/>
      <c r="AC1598" s="153"/>
      <c r="AD1598" s="151">
        <f>SUM(AD1593:AG1597)</f>
        <v>0</v>
      </c>
      <c r="AE1598" s="152"/>
      <c r="AF1598" s="152"/>
      <c r="AG1598" s="153"/>
      <c r="AH1598" s="151">
        <f>SUM(AH1593:AK1597)</f>
        <v>0</v>
      </c>
      <c r="AI1598" s="152"/>
      <c r="AJ1598" s="152"/>
      <c r="AK1598" s="153"/>
      <c r="AL1598" s="151">
        <f>SUM(AL1593:AO1597)</f>
        <v>0</v>
      </c>
      <c r="AM1598" s="152"/>
      <c r="AN1598" s="152"/>
      <c r="AO1598" s="153"/>
      <c r="AP1598" s="151">
        <f>SUM(AP1593:AS1597)</f>
        <v>0</v>
      </c>
      <c r="AQ1598" s="152"/>
      <c r="AR1598" s="152"/>
      <c r="AS1598" s="153"/>
      <c r="AT1598" s="151">
        <f>SUM(AT1593:AW1597)</f>
        <v>0</v>
      </c>
      <c r="AU1598" s="152"/>
      <c r="AV1598" s="152"/>
      <c r="AW1598" s="153"/>
      <c r="AX1598" s="87">
        <f>SUM(AX1593:AX1597)</f>
        <v>0</v>
      </c>
      <c r="AY1598" s="88">
        <f>IFERROR(AVERAGEIF(E1598:AV1598,"&lt;&gt;0",(E1598:AV1598)),)</f>
        <v>0</v>
      </c>
      <c r="AZ1598" s="46">
        <f>IFERROR(AX1598/BB1594,0)</f>
        <v>0</v>
      </c>
      <c r="BA1598" s="34"/>
      <c r="BB1598" s="34"/>
      <c r="BC1598" s="34"/>
      <c r="BD1598" s="76"/>
      <c r="BE1598" s="34"/>
      <c r="BF1598" s="34"/>
      <c r="BG1598" s="34"/>
      <c r="BH1598" s="34"/>
    </row>
    <row r="1599" spans="1:60" s="17" customFormat="1" ht="19.5" customHeight="1" thickBot="1" x14ac:dyDescent="0.4">
      <c r="A1599" s="42">
        <f>A1592</f>
        <v>45448</v>
      </c>
      <c r="B1599" s="38" t="str">
        <f>B1600</f>
        <v>Yaka Tıktık</v>
      </c>
      <c r="C1599" s="39" t="s">
        <v>180</v>
      </c>
      <c r="D1599" s="69" t="s">
        <v>181</v>
      </c>
      <c r="E1599" s="48">
        <v>0.34375</v>
      </c>
      <c r="F1599" s="49">
        <v>0.35416666666666669</v>
      </c>
      <c r="G1599" s="49">
        <v>0.36458333333333331</v>
      </c>
      <c r="H1599" s="50">
        <v>0.375</v>
      </c>
      <c r="I1599" s="48">
        <v>0.38541666666666702</v>
      </c>
      <c r="J1599" s="49">
        <v>0.39583333333333298</v>
      </c>
      <c r="K1599" s="49">
        <v>0.40625</v>
      </c>
      <c r="L1599" s="50">
        <v>0.41666666666666702</v>
      </c>
      <c r="M1599" s="48">
        <v>0.4375</v>
      </c>
      <c r="N1599" s="49">
        <v>0.44791666666666702</v>
      </c>
      <c r="O1599" s="49">
        <v>0.45833333333333398</v>
      </c>
      <c r="P1599" s="50">
        <v>0.46875</v>
      </c>
      <c r="Q1599" s="48">
        <v>0.47916666666666702</v>
      </c>
      <c r="R1599" s="49">
        <v>0.48958333333333398</v>
      </c>
      <c r="S1599" s="49">
        <v>0.5</v>
      </c>
      <c r="T1599" s="50">
        <v>0.51041666666666696</v>
      </c>
      <c r="U1599" s="51">
        <v>0.52083333333333204</v>
      </c>
      <c r="V1599" s="48">
        <v>0.5625</v>
      </c>
      <c r="W1599" s="49">
        <v>0.57291666666666663</v>
      </c>
      <c r="X1599" s="49">
        <v>0.58333333333333304</v>
      </c>
      <c r="Y1599" s="50">
        <v>0.59375</v>
      </c>
      <c r="Z1599" s="48">
        <v>0.60416666666666696</v>
      </c>
      <c r="AA1599" s="49">
        <v>0.61458333333333304</v>
      </c>
      <c r="AB1599" s="49">
        <v>0.625</v>
      </c>
      <c r="AC1599" s="50">
        <v>0.63541666666666596</v>
      </c>
      <c r="AD1599" s="48">
        <v>0.65625</v>
      </c>
      <c r="AE1599" s="49">
        <v>0.66666666666666663</v>
      </c>
      <c r="AF1599" s="49">
        <v>0.67708333333333304</v>
      </c>
      <c r="AG1599" s="50">
        <v>0.6875</v>
      </c>
      <c r="AH1599" s="48">
        <v>0.69791666666666696</v>
      </c>
      <c r="AI1599" s="49">
        <v>0.70833333333333304</v>
      </c>
      <c r="AJ1599" s="49">
        <v>0.71875</v>
      </c>
      <c r="AK1599" s="50">
        <v>0.72916666666666696</v>
      </c>
      <c r="AL1599" s="48">
        <v>0.73958333333333404</v>
      </c>
      <c r="AM1599" s="49">
        <v>0.750000000000001</v>
      </c>
      <c r="AN1599" s="49">
        <v>0.76041666666666796</v>
      </c>
      <c r="AO1599" s="50">
        <v>0.77083333333333504</v>
      </c>
      <c r="AP1599" s="48">
        <v>0.781250000000002</v>
      </c>
      <c r="AQ1599" s="49">
        <v>0.79166666666666896</v>
      </c>
      <c r="AR1599" s="49">
        <v>0.80208333333333603</v>
      </c>
      <c r="AS1599" s="50">
        <v>0.812500000000003</v>
      </c>
      <c r="AT1599" s="48">
        <v>0.82291666666666996</v>
      </c>
      <c r="AU1599" s="49">
        <v>0.83333333333333703</v>
      </c>
      <c r="AV1599" s="49">
        <v>0.843750000000004</v>
      </c>
      <c r="AW1599" s="50">
        <v>0.85416666666666663</v>
      </c>
      <c r="AX1599" s="68" t="s">
        <v>260</v>
      </c>
      <c r="AY1599" s="28" t="s">
        <v>261</v>
      </c>
      <c r="AZ1599" s="29" t="s">
        <v>262</v>
      </c>
      <c r="BA1599" s="136" t="str">
        <f>B1600</f>
        <v>Yaka Tıktık</v>
      </c>
      <c r="BB1599" s="137"/>
      <c r="BC1599" s="137"/>
      <c r="BD1599" s="137"/>
      <c r="BE1599" s="137"/>
      <c r="BF1599" s="137"/>
      <c r="BG1599" s="137"/>
      <c r="BH1599" s="138"/>
    </row>
    <row r="1600" spans="1:60" s="17" customFormat="1" ht="19.5" customHeight="1" thickBot="1" x14ac:dyDescent="0.4">
      <c r="A1600" s="41">
        <f>A1592</f>
        <v>45448</v>
      </c>
      <c r="B1600" s="37" t="str">
        <f>B1424</f>
        <v>Yaka Tıktık</v>
      </c>
      <c r="C1600" s="66" t="str">
        <f>C1424</f>
        <v>HAYAL ŞENER</v>
      </c>
      <c r="D1600" s="70">
        <f>D1424</f>
        <v>150</v>
      </c>
      <c r="E1600" s="63"/>
      <c r="F1600" s="55"/>
      <c r="G1600" s="55"/>
      <c r="H1600" s="56"/>
      <c r="I1600" s="63"/>
      <c r="J1600" s="55"/>
      <c r="K1600" s="55"/>
      <c r="L1600" s="56"/>
      <c r="M1600" s="63"/>
      <c r="N1600" s="55"/>
      <c r="O1600" s="55"/>
      <c r="P1600" s="56"/>
      <c r="Q1600" s="63"/>
      <c r="R1600" s="55"/>
      <c r="S1600" s="55"/>
      <c r="T1600" s="55"/>
      <c r="U1600" s="56"/>
      <c r="V1600" s="63"/>
      <c r="W1600" s="55"/>
      <c r="X1600" s="55"/>
      <c r="Y1600" s="56"/>
      <c r="Z1600" s="63"/>
      <c r="AA1600" s="55"/>
      <c r="AB1600" s="55"/>
      <c r="AC1600" s="56"/>
      <c r="AD1600" s="63"/>
      <c r="AE1600" s="55"/>
      <c r="AF1600" s="55"/>
      <c r="AG1600" s="56"/>
      <c r="AH1600" s="63"/>
      <c r="AI1600" s="55"/>
      <c r="AJ1600" s="55"/>
      <c r="AK1600" s="56"/>
      <c r="AL1600" s="63"/>
      <c r="AM1600" s="55"/>
      <c r="AN1600" s="55"/>
      <c r="AO1600" s="56"/>
      <c r="AP1600" s="63"/>
      <c r="AQ1600" s="54"/>
      <c r="AR1600" s="55"/>
      <c r="AS1600" s="56"/>
      <c r="AT1600" s="53"/>
      <c r="AU1600" s="54"/>
      <c r="AV1600" s="55"/>
      <c r="AW1600" s="56"/>
      <c r="AX1600" s="33">
        <f>SUM(E1600:AW1600)</f>
        <v>0</v>
      </c>
      <c r="AY1600" s="31">
        <f>IFERROR(AVERAGEIF(E1600:AW1600,"&lt;&gt;0",(E1600:AW1600)),)</f>
        <v>0</v>
      </c>
      <c r="AZ1600" s="30">
        <f>IFERROR(AY1600/D1600,0)</f>
        <v>0</v>
      </c>
      <c r="BA1600" s="103" t="s">
        <v>182</v>
      </c>
      <c r="BB1600" s="100" t="s">
        <v>183</v>
      </c>
      <c r="BC1600" s="100" t="s">
        <v>184</v>
      </c>
      <c r="BD1600" s="101" t="s">
        <v>185</v>
      </c>
      <c r="BE1600" s="100" t="s">
        <v>186</v>
      </c>
      <c r="BF1600" s="102" t="s">
        <v>187</v>
      </c>
      <c r="BG1600" s="100" t="s">
        <v>188</v>
      </c>
      <c r="BH1600" s="102" t="s">
        <v>189</v>
      </c>
    </row>
    <row r="1601" spans="1:60" s="17" customFormat="1" ht="19.5" customHeight="1" thickBot="1" x14ac:dyDescent="0.4">
      <c r="A1601" s="41">
        <f t="shared" ref="A1601:B1601" si="1619">A1600</f>
        <v>45448</v>
      </c>
      <c r="B1601" s="37" t="str">
        <f t="shared" si="1619"/>
        <v>Yaka Tıktık</v>
      </c>
      <c r="C1601" s="66">
        <f>C1425</f>
        <v>0</v>
      </c>
      <c r="D1601" s="67">
        <f>D1600</f>
        <v>150</v>
      </c>
      <c r="E1601" s="57"/>
      <c r="F1601" s="52"/>
      <c r="G1601" s="52"/>
      <c r="H1601" s="58"/>
      <c r="I1601" s="57"/>
      <c r="J1601" s="52"/>
      <c r="K1601" s="52"/>
      <c r="L1601" s="58"/>
      <c r="M1601" s="57"/>
      <c r="N1601" s="52"/>
      <c r="O1601" s="52"/>
      <c r="P1601" s="58"/>
      <c r="Q1601" s="57"/>
      <c r="R1601" s="52"/>
      <c r="S1601" s="52"/>
      <c r="T1601" s="52"/>
      <c r="U1601" s="58"/>
      <c r="V1601" s="57"/>
      <c r="W1601" s="52"/>
      <c r="X1601" s="52"/>
      <c r="Y1601" s="58"/>
      <c r="Z1601" s="57"/>
      <c r="AA1601" s="52"/>
      <c r="AB1601" s="52"/>
      <c r="AC1601" s="58"/>
      <c r="AD1601" s="57"/>
      <c r="AE1601" s="52"/>
      <c r="AF1601" s="52"/>
      <c r="AG1601" s="58"/>
      <c r="AH1601" s="57"/>
      <c r="AI1601" s="52"/>
      <c r="AJ1601" s="52"/>
      <c r="AK1601" s="58"/>
      <c r="AL1601" s="57"/>
      <c r="AM1601" s="52"/>
      <c r="AN1601" s="52"/>
      <c r="AO1601" s="58"/>
      <c r="AP1601" s="57"/>
      <c r="AQ1601" s="52"/>
      <c r="AR1601" s="52"/>
      <c r="AS1601" s="58"/>
      <c r="AT1601" s="57"/>
      <c r="AU1601" s="52"/>
      <c r="AV1601" s="52"/>
      <c r="AW1601" s="58"/>
      <c r="AX1601" s="33">
        <f>SUM(E1601:AW1601)</f>
        <v>0</v>
      </c>
      <c r="AY1601" s="31">
        <f>IFERROR(AVERAGEIF(E1601:AW1601,"&lt;&gt;0",(E1601:AW1601)),)</f>
        <v>0</v>
      </c>
      <c r="AZ1601" s="30">
        <f>IFERROR(AY1601/D1601,0)</f>
        <v>0</v>
      </c>
      <c r="BA1601" s="94">
        <f>AX1605+BA1425</f>
        <v>16105</v>
      </c>
      <c r="BB1601" s="95">
        <f>(D1605*8)</f>
        <v>4000</v>
      </c>
      <c r="BC1601" s="96">
        <f>C1589-BA1601</f>
        <v>26206</v>
      </c>
      <c r="BD1601" s="96">
        <f>BA1594-BA1601</f>
        <v>6265</v>
      </c>
      <c r="BE1601" s="97">
        <f>IFERROR(BC1601/E1605,0)</f>
        <v>0</v>
      </c>
      <c r="BF1601" s="98">
        <f>IFERROR(BE1601/9,0)</f>
        <v>0</v>
      </c>
      <c r="BG1601" s="97">
        <f>IFERROR(BC1601/AY1605,0)</f>
        <v>0</v>
      </c>
      <c r="BH1601" s="97">
        <f>IFERROR(BG1601/9,0)</f>
        <v>0</v>
      </c>
    </row>
    <row r="1602" spans="1:60" s="17" customFormat="1" ht="19.5" customHeight="1" x14ac:dyDescent="0.35">
      <c r="A1602" s="41">
        <f t="shared" ref="A1602:B1602" si="1620">A1601</f>
        <v>45448</v>
      </c>
      <c r="B1602" s="37" t="str">
        <f t="shared" si="1620"/>
        <v>Yaka Tıktık</v>
      </c>
      <c r="C1602" s="66">
        <f>C1426</f>
        <v>0</v>
      </c>
      <c r="D1602" s="67">
        <f>D1601</f>
        <v>150</v>
      </c>
      <c r="E1602" s="57"/>
      <c r="F1602" s="52"/>
      <c r="G1602" s="52"/>
      <c r="H1602" s="58"/>
      <c r="I1602" s="57"/>
      <c r="J1602" s="52"/>
      <c r="K1602" s="52"/>
      <c r="L1602" s="58"/>
      <c r="M1602" s="57"/>
      <c r="N1602" s="52"/>
      <c r="O1602" s="52"/>
      <c r="P1602" s="58"/>
      <c r="Q1602" s="57"/>
      <c r="R1602" s="52"/>
      <c r="S1602" s="52"/>
      <c r="T1602" s="52"/>
      <c r="U1602" s="58"/>
      <c r="V1602" s="57"/>
      <c r="W1602" s="52"/>
      <c r="X1602" s="52"/>
      <c r="Y1602" s="58"/>
      <c r="Z1602" s="57"/>
      <c r="AA1602" s="52"/>
      <c r="AB1602" s="52"/>
      <c r="AC1602" s="58"/>
      <c r="AD1602" s="57"/>
      <c r="AE1602" s="52"/>
      <c r="AF1602" s="52"/>
      <c r="AG1602" s="58"/>
      <c r="AH1602" s="57"/>
      <c r="AI1602" s="52"/>
      <c r="AJ1602" s="52"/>
      <c r="AK1602" s="58"/>
      <c r="AL1602" s="57"/>
      <c r="AM1602" s="52"/>
      <c r="AN1602" s="52"/>
      <c r="AO1602" s="58"/>
      <c r="AP1602" s="57"/>
      <c r="AQ1602" s="52"/>
      <c r="AR1602" s="52"/>
      <c r="AS1602" s="58"/>
      <c r="AT1602" s="57"/>
      <c r="AU1602" s="52"/>
      <c r="AV1602" s="52"/>
      <c r="AW1602" s="58"/>
      <c r="AX1602" s="33">
        <f>SUM(E1602:AW1602)</f>
        <v>0</v>
      </c>
      <c r="AY1602" s="31">
        <f>IFERROR(AVERAGEIF(E1602:AW1602,"&lt;&gt;0",(E1602:AW1602)),)</f>
        <v>0</v>
      </c>
      <c r="AZ1602" s="30">
        <f>IFERROR(AY1602/D1602,0)</f>
        <v>0</v>
      </c>
      <c r="BA1602" s="34"/>
      <c r="BB1602" s="34"/>
      <c r="BC1602" s="34"/>
      <c r="BD1602" s="76"/>
      <c r="BE1602" s="34"/>
      <c r="BF1602" s="34"/>
      <c r="BG1602" s="34"/>
      <c r="BH1602" s="34"/>
    </row>
    <row r="1603" spans="1:60" s="17" customFormat="1" ht="19.5" customHeight="1" x14ac:dyDescent="0.35">
      <c r="A1603" s="41">
        <f t="shared" ref="A1603:B1603" si="1621">A1602</f>
        <v>45448</v>
      </c>
      <c r="B1603" s="37" t="str">
        <f t="shared" si="1621"/>
        <v>Yaka Tıktık</v>
      </c>
      <c r="C1603" s="66">
        <f>C1427</f>
        <v>0</v>
      </c>
      <c r="D1603" s="67">
        <f>D1602</f>
        <v>150</v>
      </c>
      <c r="E1603" s="57"/>
      <c r="F1603" s="52"/>
      <c r="G1603" s="52"/>
      <c r="H1603" s="58"/>
      <c r="I1603" s="57"/>
      <c r="J1603" s="52"/>
      <c r="K1603" s="52"/>
      <c r="L1603" s="58"/>
      <c r="M1603" s="57"/>
      <c r="N1603" s="52"/>
      <c r="O1603" s="52"/>
      <c r="P1603" s="58"/>
      <c r="Q1603" s="57"/>
      <c r="R1603" s="52"/>
      <c r="S1603" s="52"/>
      <c r="T1603" s="52"/>
      <c r="U1603" s="58"/>
      <c r="V1603" s="57"/>
      <c r="W1603" s="52"/>
      <c r="X1603" s="52"/>
      <c r="Y1603" s="58"/>
      <c r="Z1603" s="57"/>
      <c r="AA1603" s="52"/>
      <c r="AB1603" s="52"/>
      <c r="AC1603" s="58"/>
      <c r="AD1603" s="57"/>
      <c r="AE1603" s="52"/>
      <c r="AF1603" s="52"/>
      <c r="AG1603" s="58"/>
      <c r="AH1603" s="57"/>
      <c r="AI1603" s="52"/>
      <c r="AJ1603" s="52"/>
      <c r="AK1603" s="58"/>
      <c r="AL1603" s="57"/>
      <c r="AM1603" s="52"/>
      <c r="AN1603" s="52"/>
      <c r="AO1603" s="58"/>
      <c r="AP1603" s="57"/>
      <c r="AQ1603" s="52"/>
      <c r="AR1603" s="52"/>
      <c r="AS1603" s="58"/>
      <c r="AT1603" s="57"/>
      <c r="AU1603" s="52"/>
      <c r="AV1603" s="52"/>
      <c r="AW1603" s="58"/>
      <c r="AX1603" s="33">
        <f>SUM(E1603:AW1603)</f>
        <v>0</v>
      </c>
      <c r="AY1603" s="31">
        <f>IFERROR(AVERAGEIF(E1603:AW1603,"&lt;&gt;0",(E1603:AW1603)),)</f>
        <v>0</v>
      </c>
      <c r="AZ1603" s="30">
        <f>IFERROR(AY1603/D1603,0)</f>
        <v>0</v>
      </c>
      <c r="BA1603" s="34"/>
      <c r="BB1603" s="34"/>
      <c r="BC1603" s="34"/>
      <c r="BD1603" s="76"/>
      <c r="BE1603" s="34"/>
      <c r="BF1603" s="34"/>
      <c r="BG1603" s="34"/>
      <c r="BH1603" s="34"/>
    </row>
    <row r="1604" spans="1:60" s="17" customFormat="1" ht="19.5" customHeight="1" thickBot="1" x14ac:dyDescent="0.4">
      <c r="A1604" s="41">
        <f t="shared" ref="A1604:B1604" si="1622">A1603</f>
        <v>45448</v>
      </c>
      <c r="B1604" s="37" t="str">
        <f t="shared" si="1622"/>
        <v>Yaka Tıktık</v>
      </c>
      <c r="C1604" s="66">
        <f>C1428</f>
        <v>0</v>
      </c>
      <c r="D1604" s="67">
        <f>D1603</f>
        <v>150</v>
      </c>
      <c r="E1604" s="64"/>
      <c r="F1604" s="61"/>
      <c r="G1604" s="61"/>
      <c r="H1604" s="62"/>
      <c r="I1604" s="64"/>
      <c r="J1604" s="61"/>
      <c r="K1604" s="61"/>
      <c r="L1604" s="62"/>
      <c r="M1604" s="64"/>
      <c r="N1604" s="61"/>
      <c r="O1604" s="61"/>
      <c r="P1604" s="62"/>
      <c r="Q1604" s="64"/>
      <c r="R1604" s="61"/>
      <c r="S1604" s="61"/>
      <c r="T1604" s="61"/>
      <c r="U1604" s="62"/>
      <c r="V1604" s="64"/>
      <c r="W1604" s="61"/>
      <c r="X1604" s="61"/>
      <c r="Y1604" s="62"/>
      <c r="Z1604" s="59"/>
      <c r="AA1604" s="60"/>
      <c r="AB1604" s="61"/>
      <c r="AC1604" s="62"/>
      <c r="AD1604" s="59"/>
      <c r="AE1604" s="60"/>
      <c r="AF1604" s="61"/>
      <c r="AG1604" s="62"/>
      <c r="AH1604" s="59"/>
      <c r="AI1604" s="60"/>
      <c r="AJ1604" s="61"/>
      <c r="AK1604" s="62"/>
      <c r="AL1604" s="59"/>
      <c r="AM1604" s="60"/>
      <c r="AN1604" s="61"/>
      <c r="AO1604" s="62"/>
      <c r="AP1604" s="59"/>
      <c r="AQ1604" s="60"/>
      <c r="AR1604" s="61"/>
      <c r="AS1604" s="62"/>
      <c r="AT1604" s="59"/>
      <c r="AU1604" s="60"/>
      <c r="AV1604" s="61"/>
      <c r="AW1604" s="62"/>
      <c r="AX1604" s="43">
        <f>SUM(E1604:AW1604)</f>
        <v>0</v>
      </c>
      <c r="AY1604" s="44">
        <f>IFERROR(AVERAGEIF(E1604:AW1604,"&lt;&gt;0",(E1604:AW1604)),)</f>
        <v>0</v>
      </c>
      <c r="AZ1604" s="45">
        <f>IFERROR(AY1604/D1604,0)</f>
        <v>0</v>
      </c>
      <c r="BA1604" s="34"/>
      <c r="BB1604" s="34"/>
      <c r="BC1604" s="34"/>
      <c r="BD1604" s="76"/>
      <c r="BE1604" s="34"/>
      <c r="BF1604" s="34"/>
      <c r="BG1604" s="34"/>
      <c r="BH1604" s="34"/>
    </row>
    <row r="1605" spans="1:60" s="17" customFormat="1" ht="19.5" customHeight="1" thickBot="1" x14ac:dyDescent="0.45">
      <c r="A1605" s="41">
        <f>A1604</f>
        <v>45448</v>
      </c>
      <c r="B1605" s="139" t="str">
        <f>B1600</f>
        <v>Yaka Tıktık</v>
      </c>
      <c r="C1605" s="140"/>
      <c r="D1605" s="40">
        <f>C1590/8</f>
        <v>500</v>
      </c>
      <c r="E1605" s="151">
        <f>SUM(E1600:H1604)</f>
        <v>0</v>
      </c>
      <c r="F1605" s="152"/>
      <c r="G1605" s="152"/>
      <c r="H1605" s="153"/>
      <c r="I1605" s="151">
        <f>SUM(I1600:L1604)</f>
        <v>0</v>
      </c>
      <c r="J1605" s="152"/>
      <c r="K1605" s="152"/>
      <c r="L1605" s="153"/>
      <c r="M1605" s="151">
        <f>SUM(M1600:P1604)</f>
        <v>0</v>
      </c>
      <c r="N1605" s="152"/>
      <c r="O1605" s="152"/>
      <c r="P1605" s="153"/>
      <c r="Q1605" s="151">
        <f>SUM(Q1600:U1604)</f>
        <v>0</v>
      </c>
      <c r="R1605" s="152"/>
      <c r="S1605" s="152"/>
      <c r="T1605" s="152"/>
      <c r="U1605" s="153"/>
      <c r="V1605" s="151">
        <f>SUM(V1600:Y1604)</f>
        <v>0</v>
      </c>
      <c r="W1605" s="152"/>
      <c r="X1605" s="152"/>
      <c r="Y1605" s="153"/>
      <c r="Z1605" s="151">
        <f>SUM(Z1600:AC1604)</f>
        <v>0</v>
      </c>
      <c r="AA1605" s="152"/>
      <c r="AB1605" s="152"/>
      <c r="AC1605" s="153"/>
      <c r="AD1605" s="151">
        <f>SUM(AD1600:AG1604)</f>
        <v>0</v>
      </c>
      <c r="AE1605" s="152"/>
      <c r="AF1605" s="152"/>
      <c r="AG1605" s="153"/>
      <c r="AH1605" s="151">
        <f>SUM(AH1600:AK1604)</f>
        <v>0</v>
      </c>
      <c r="AI1605" s="152"/>
      <c r="AJ1605" s="152"/>
      <c r="AK1605" s="153"/>
      <c r="AL1605" s="151">
        <f>SUM(AL1600:AO1604)</f>
        <v>0</v>
      </c>
      <c r="AM1605" s="152"/>
      <c r="AN1605" s="152"/>
      <c r="AO1605" s="153"/>
      <c r="AP1605" s="151">
        <f>SUM(AP1600:AS1604)</f>
        <v>0</v>
      </c>
      <c r="AQ1605" s="152"/>
      <c r="AR1605" s="152"/>
      <c r="AS1605" s="153"/>
      <c r="AT1605" s="151">
        <f>SUM(AT1600:AW1604)</f>
        <v>0</v>
      </c>
      <c r="AU1605" s="152"/>
      <c r="AV1605" s="152"/>
      <c r="AW1605" s="153"/>
      <c r="AX1605" s="87">
        <f>SUM(AX1600:AX1604)</f>
        <v>0</v>
      </c>
      <c r="AY1605" s="88">
        <f>IFERROR(AVERAGEIF(E1605:AV1605,"&lt;&gt;0",(E1605:AV1605)),)</f>
        <v>0</v>
      </c>
      <c r="AZ1605" s="46">
        <f>IFERROR(AX1605/BB1601,0)</f>
        <v>0</v>
      </c>
      <c r="BA1605" s="34"/>
      <c r="BB1605" s="34"/>
      <c r="BC1605" s="34"/>
      <c r="BD1605" s="76"/>
      <c r="BE1605" s="34"/>
      <c r="BF1605" s="34"/>
      <c r="BG1605" s="34"/>
      <c r="BH1605" s="34"/>
    </row>
    <row r="1606" spans="1:60" s="17" customFormat="1" ht="19.5" customHeight="1" thickBot="1" x14ac:dyDescent="0.4">
      <c r="A1606" s="42">
        <f>A1592</f>
        <v>45448</v>
      </c>
      <c r="B1606" s="38" t="str">
        <f>B1607</f>
        <v>Etiket Hazırlama</v>
      </c>
      <c r="C1606" s="39" t="s">
        <v>180</v>
      </c>
      <c r="D1606" s="69" t="s">
        <v>181</v>
      </c>
      <c r="E1606" s="48">
        <v>0.34375</v>
      </c>
      <c r="F1606" s="49">
        <v>0.35416666666666669</v>
      </c>
      <c r="G1606" s="49">
        <v>0.36458333333333331</v>
      </c>
      <c r="H1606" s="50">
        <v>0.375</v>
      </c>
      <c r="I1606" s="48">
        <v>0.38541666666666702</v>
      </c>
      <c r="J1606" s="49">
        <v>0.39583333333333298</v>
      </c>
      <c r="K1606" s="49">
        <v>0.40625</v>
      </c>
      <c r="L1606" s="50">
        <v>0.41666666666666702</v>
      </c>
      <c r="M1606" s="48">
        <v>0.4375</v>
      </c>
      <c r="N1606" s="49">
        <v>0.44791666666666702</v>
      </c>
      <c r="O1606" s="49">
        <v>0.45833333333333398</v>
      </c>
      <c r="P1606" s="50">
        <v>0.46875</v>
      </c>
      <c r="Q1606" s="48">
        <v>0.47916666666666702</v>
      </c>
      <c r="R1606" s="49">
        <v>0.48958333333333398</v>
      </c>
      <c r="S1606" s="49">
        <v>0.5</v>
      </c>
      <c r="T1606" s="50">
        <v>0.51041666666666696</v>
      </c>
      <c r="U1606" s="51">
        <v>0.52083333333333204</v>
      </c>
      <c r="V1606" s="48">
        <v>0.5625</v>
      </c>
      <c r="W1606" s="49">
        <v>0.57291666666666663</v>
      </c>
      <c r="X1606" s="49">
        <v>0.58333333333333304</v>
      </c>
      <c r="Y1606" s="50">
        <v>0.59375</v>
      </c>
      <c r="Z1606" s="48">
        <v>0.60416666666666696</v>
      </c>
      <c r="AA1606" s="49">
        <v>0.61458333333333304</v>
      </c>
      <c r="AB1606" s="49">
        <v>0.625</v>
      </c>
      <c r="AC1606" s="50">
        <v>0.63541666666666596</v>
      </c>
      <c r="AD1606" s="48">
        <v>0.65625</v>
      </c>
      <c r="AE1606" s="49">
        <v>0.66666666666666663</v>
      </c>
      <c r="AF1606" s="49">
        <v>0.67708333333333304</v>
      </c>
      <c r="AG1606" s="50">
        <v>0.6875</v>
      </c>
      <c r="AH1606" s="48">
        <v>0.69791666666666696</v>
      </c>
      <c r="AI1606" s="49">
        <v>0.70833333333333304</v>
      </c>
      <c r="AJ1606" s="49">
        <v>0.71875</v>
      </c>
      <c r="AK1606" s="50">
        <v>0.72916666666666696</v>
      </c>
      <c r="AL1606" s="48">
        <v>0.73958333333333404</v>
      </c>
      <c r="AM1606" s="49">
        <v>0.750000000000001</v>
      </c>
      <c r="AN1606" s="49">
        <v>0.76041666666666796</v>
      </c>
      <c r="AO1606" s="50">
        <v>0.77083333333333504</v>
      </c>
      <c r="AP1606" s="48">
        <v>0.781250000000002</v>
      </c>
      <c r="AQ1606" s="49">
        <v>0.79166666666666896</v>
      </c>
      <c r="AR1606" s="49">
        <v>0.80208333333333603</v>
      </c>
      <c r="AS1606" s="50">
        <v>0.812500000000003</v>
      </c>
      <c r="AT1606" s="48">
        <v>0.82291666666666996</v>
      </c>
      <c r="AU1606" s="49">
        <v>0.83333333333333703</v>
      </c>
      <c r="AV1606" s="49">
        <v>0.843750000000004</v>
      </c>
      <c r="AW1606" s="50">
        <v>0.85416666666666663</v>
      </c>
      <c r="AX1606" s="68" t="s">
        <v>260</v>
      </c>
      <c r="AY1606" s="28" t="s">
        <v>261</v>
      </c>
      <c r="AZ1606" s="29" t="s">
        <v>262</v>
      </c>
      <c r="BA1606" s="136" t="str">
        <f>B1607</f>
        <v>Etiket Hazırlama</v>
      </c>
      <c r="BB1606" s="137"/>
      <c r="BC1606" s="137"/>
      <c r="BD1606" s="137"/>
      <c r="BE1606" s="137"/>
      <c r="BF1606" s="137"/>
      <c r="BG1606" s="137"/>
      <c r="BH1606" s="138"/>
    </row>
    <row r="1607" spans="1:60" s="17" customFormat="1" ht="19.5" customHeight="1" thickBot="1" x14ac:dyDescent="0.4">
      <c r="A1607" s="41">
        <f t="shared" ref="A1607:A1612" si="1623">A1606</f>
        <v>45448</v>
      </c>
      <c r="B1607" s="37" t="str">
        <f>B1431</f>
        <v>Etiket Hazırlama</v>
      </c>
      <c r="C1607" s="66" t="str">
        <f>C1431</f>
        <v>EMİNE PİŞKİN</v>
      </c>
      <c r="D1607" s="70">
        <f>D1431</f>
        <v>120</v>
      </c>
      <c r="E1607" s="63"/>
      <c r="F1607" s="55"/>
      <c r="G1607" s="55"/>
      <c r="H1607" s="56"/>
      <c r="I1607" s="63"/>
      <c r="J1607" s="55"/>
      <c r="K1607" s="55"/>
      <c r="L1607" s="56"/>
      <c r="M1607" s="63"/>
      <c r="N1607" s="55"/>
      <c r="O1607" s="55"/>
      <c r="P1607" s="56"/>
      <c r="Q1607" s="63"/>
      <c r="R1607" s="55"/>
      <c r="S1607" s="55"/>
      <c r="T1607" s="55"/>
      <c r="U1607" s="56"/>
      <c r="V1607" s="63"/>
      <c r="W1607" s="55"/>
      <c r="X1607" s="55"/>
      <c r="Y1607" s="56"/>
      <c r="Z1607" s="63"/>
      <c r="AA1607" s="55"/>
      <c r="AB1607" s="55"/>
      <c r="AC1607" s="56"/>
      <c r="AD1607" s="63"/>
      <c r="AE1607" s="55"/>
      <c r="AF1607" s="55"/>
      <c r="AG1607" s="56"/>
      <c r="AH1607" s="63"/>
      <c r="AI1607" s="55"/>
      <c r="AJ1607" s="55"/>
      <c r="AK1607" s="56"/>
      <c r="AL1607" s="63"/>
      <c r="AM1607" s="55"/>
      <c r="AN1607" s="55"/>
      <c r="AO1607" s="56"/>
      <c r="AP1607" s="63"/>
      <c r="AQ1607" s="54"/>
      <c r="AR1607" s="55"/>
      <c r="AS1607" s="56"/>
      <c r="AT1607" s="53"/>
      <c r="AU1607" s="54"/>
      <c r="AV1607" s="55"/>
      <c r="AW1607" s="56"/>
      <c r="AX1607" s="33">
        <f>SUM(E1607:AW1607)</f>
        <v>0</v>
      </c>
      <c r="AY1607" s="31">
        <f>IFERROR(AVERAGEIF(E1607:AW1607,"&lt;&gt;0",(E1607:AW1607)),)</f>
        <v>0</v>
      </c>
      <c r="AZ1607" s="30">
        <f>IFERROR(AY1607/D1607,0)</f>
        <v>0</v>
      </c>
      <c r="BA1607" s="103" t="s">
        <v>182</v>
      </c>
      <c r="BB1607" s="100" t="s">
        <v>183</v>
      </c>
      <c r="BC1607" s="100" t="s">
        <v>184</v>
      </c>
      <c r="BD1607" s="101" t="s">
        <v>185</v>
      </c>
      <c r="BE1607" s="100" t="s">
        <v>186</v>
      </c>
      <c r="BF1607" s="102" t="s">
        <v>187</v>
      </c>
      <c r="BG1607" s="100" t="s">
        <v>188</v>
      </c>
      <c r="BH1607" s="102" t="s">
        <v>189</v>
      </c>
    </row>
    <row r="1608" spans="1:60" s="17" customFormat="1" ht="19.5" customHeight="1" thickBot="1" x14ac:dyDescent="0.4">
      <c r="A1608" s="41">
        <f t="shared" si="1623"/>
        <v>45448</v>
      </c>
      <c r="B1608" s="37" t="str">
        <f>B1607</f>
        <v>Etiket Hazırlama</v>
      </c>
      <c r="C1608" s="66">
        <f>C1432</f>
        <v>0</v>
      </c>
      <c r="D1608" s="67">
        <f>D1607</f>
        <v>120</v>
      </c>
      <c r="E1608" s="57"/>
      <c r="F1608" s="52"/>
      <c r="G1608" s="52"/>
      <c r="H1608" s="58"/>
      <c r="I1608" s="57"/>
      <c r="J1608" s="52"/>
      <c r="K1608" s="52"/>
      <c r="L1608" s="58"/>
      <c r="M1608" s="57"/>
      <c r="N1608" s="52"/>
      <c r="O1608" s="52"/>
      <c r="P1608" s="58"/>
      <c r="Q1608" s="57"/>
      <c r="R1608" s="52"/>
      <c r="S1608" s="52"/>
      <c r="T1608" s="52"/>
      <c r="U1608" s="58"/>
      <c r="V1608" s="57"/>
      <c r="W1608" s="52"/>
      <c r="X1608" s="52"/>
      <c r="Y1608" s="58"/>
      <c r="Z1608" s="57"/>
      <c r="AA1608" s="52"/>
      <c r="AB1608" s="52"/>
      <c r="AC1608" s="58"/>
      <c r="AD1608" s="57"/>
      <c r="AE1608" s="52"/>
      <c r="AF1608" s="52"/>
      <c r="AG1608" s="58"/>
      <c r="AH1608" s="57"/>
      <c r="AI1608" s="52"/>
      <c r="AJ1608" s="52"/>
      <c r="AK1608" s="58"/>
      <c r="AL1608" s="57"/>
      <c r="AM1608" s="52"/>
      <c r="AN1608" s="52"/>
      <c r="AO1608" s="58"/>
      <c r="AP1608" s="57"/>
      <c r="AQ1608" s="52"/>
      <c r="AR1608" s="52"/>
      <c r="AS1608" s="58"/>
      <c r="AT1608" s="57"/>
      <c r="AU1608" s="52"/>
      <c r="AV1608" s="52"/>
      <c r="AW1608" s="58"/>
      <c r="AX1608" s="33">
        <f>SUM(E1608:AW1608)</f>
        <v>0</v>
      </c>
      <c r="AY1608" s="31">
        <f>IFERROR(AVERAGEIF(E1608:AW1608,"&lt;&gt;0",(E1608:AW1608)),)</f>
        <v>0</v>
      </c>
      <c r="AZ1608" s="30">
        <f>IFERROR(AY1608/D1608,0)</f>
        <v>0</v>
      </c>
      <c r="BA1608" s="94">
        <f>AX1612+BA1432</f>
        <v>19562</v>
      </c>
      <c r="BB1608" s="95">
        <f>(D1612*8)</f>
        <v>4000</v>
      </c>
      <c r="BC1608" s="96">
        <f>C1589-BA1608</f>
        <v>22749</v>
      </c>
      <c r="BD1608" s="96">
        <f>BC1608</f>
        <v>22749</v>
      </c>
      <c r="BE1608" s="97">
        <f>IFERROR(BC1608/E1612,0)</f>
        <v>0</v>
      </c>
      <c r="BF1608" s="98">
        <f>IFERROR(BE1608/9,0)</f>
        <v>0</v>
      </c>
      <c r="BG1608" s="97">
        <f>IFERROR(BC1608/AY1612,0)</f>
        <v>0</v>
      </c>
      <c r="BH1608" s="97">
        <f>IFERROR(BG1608/9,0)</f>
        <v>0</v>
      </c>
    </row>
    <row r="1609" spans="1:60" s="17" customFormat="1" ht="19.5" customHeight="1" x14ac:dyDescent="0.35">
      <c r="A1609" s="41">
        <f t="shared" si="1623"/>
        <v>45448</v>
      </c>
      <c r="B1609" s="37" t="str">
        <f>B1608</f>
        <v>Etiket Hazırlama</v>
      </c>
      <c r="C1609" s="66">
        <f>C1433</f>
        <v>0</v>
      </c>
      <c r="D1609" s="67">
        <f>D1608</f>
        <v>120</v>
      </c>
      <c r="E1609" s="57"/>
      <c r="F1609" s="52"/>
      <c r="G1609" s="52"/>
      <c r="H1609" s="58"/>
      <c r="I1609" s="57"/>
      <c r="J1609" s="52"/>
      <c r="K1609" s="52"/>
      <c r="L1609" s="58"/>
      <c r="M1609" s="57"/>
      <c r="N1609" s="52"/>
      <c r="O1609" s="52"/>
      <c r="P1609" s="58"/>
      <c r="Q1609" s="57"/>
      <c r="R1609" s="52"/>
      <c r="S1609" s="52"/>
      <c r="T1609" s="52"/>
      <c r="U1609" s="58"/>
      <c r="V1609" s="57"/>
      <c r="W1609" s="52"/>
      <c r="X1609" s="52"/>
      <c r="Y1609" s="58"/>
      <c r="Z1609" s="57"/>
      <c r="AA1609" s="52"/>
      <c r="AB1609" s="52"/>
      <c r="AC1609" s="58"/>
      <c r="AD1609" s="57"/>
      <c r="AE1609" s="52"/>
      <c r="AF1609" s="52"/>
      <c r="AG1609" s="58"/>
      <c r="AH1609" s="57"/>
      <c r="AI1609" s="52"/>
      <c r="AJ1609" s="52"/>
      <c r="AK1609" s="58"/>
      <c r="AL1609" s="57"/>
      <c r="AM1609" s="52"/>
      <c r="AN1609" s="52"/>
      <c r="AO1609" s="58"/>
      <c r="AP1609" s="57"/>
      <c r="AQ1609" s="52"/>
      <c r="AR1609" s="52"/>
      <c r="AS1609" s="58"/>
      <c r="AT1609" s="57"/>
      <c r="AU1609" s="52"/>
      <c r="AV1609" s="52"/>
      <c r="AW1609" s="58"/>
      <c r="AX1609" s="33">
        <f>SUM(E1609:AW1609)</f>
        <v>0</v>
      </c>
      <c r="AY1609" s="31">
        <f>IFERROR(AVERAGEIF(E1609:AW1609,"&lt;&gt;0",(E1609:AW1609)),)</f>
        <v>0</v>
      </c>
      <c r="AZ1609" s="30">
        <f>IFERROR(AY1609/D1609,0)</f>
        <v>0</v>
      </c>
      <c r="BA1609" s="34"/>
      <c r="BB1609" s="34"/>
      <c r="BC1609" s="34"/>
      <c r="BD1609" s="76"/>
      <c r="BE1609" s="34"/>
      <c r="BF1609" s="34"/>
      <c r="BG1609" s="34"/>
      <c r="BH1609" s="34"/>
    </row>
    <row r="1610" spans="1:60" s="17" customFormat="1" ht="19.5" customHeight="1" x14ac:dyDescent="0.35">
      <c r="A1610" s="41">
        <f t="shared" si="1623"/>
        <v>45448</v>
      </c>
      <c r="B1610" s="37" t="str">
        <f>B1609</f>
        <v>Etiket Hazırlama</v>
      </c>
      <c r="C1610" s="66">
        <f>C1434</f>
        <v>0</v>
      </c>
      <c r="D1610" s="67">
        <f>D1609</f>
        <v>120</v>
      </c>
      <c r="E1610" s="57"/>
      <c r="F1610" s="52"/>
      <c r="G1610" s="52"/>
      <c r="H1610" s="58"/>
      <c r="I1610" s="57"/>
      <c r="J1610" s="52"/>
      <c r="K1610" s="52"/>
      <c r="L1610" s="58"/>
      <c r="M1610" s="57"/>
      <c r="N1610" s="52"/>
      <c r="O1610" s="52"/>
      <c r="P1610" s="58"/>
      <c r="Q1610" s="57"/>
      <c r="R1610" s="52"/>
      <c r="S1610" s="52"/>
      <c r="T1610" s="52"/>
      <c r="U1610" s="58"/>
      <c r="V1610" s="57"/>
      <c r="W1610" s="52"/>
      <c r="X1610" s="52"/>
      <c r="Y1610" s="58"/>
      <c r="Z1610" s="57"/>
      <c r="AA1610" s="52"/>
      <c r="AB1610" s="52"/>
      <c r="AC1610" s="58"/>
      <c r="AD1610" s="57"/>
      <c r="AE1610" s="52"/>
      <c r="AF1610" s="52"/>
      <c r="AG1610" s="58"/>
      <c r="AH1610" s="57"/>
      <c r="AI1610" s="52"/>
      <c r="AJ1610" s="52"/>
      <c r="AK1610" s="58"/>
      <c r="AL1610" s="57"/>
      <c r="AM1610" s="52"/>
      <c r="AN1610" s="52"/>
      <c r="AO1610" s="58"/>
      <c r="AP1610" s="57"/>
      <c r="AQ1610" s="52"/>
      <c r="AR1610" s="52"/>
      <c r="AS1610" s="58"/>
      <c r="AT1610" s="57"/>
      <c r="AU1610" s="52"/>
      <c r="AV1610" s="52"/>
      <c r="AW1610" s="58"/>
      <c r="AX1610" s="33">
        <f>SUM(E1610:AW1610)</f>
        <v>0</v>
      </c>
      <c r="AY1610" s="31">
        <f>IFERROR(AVERAGEIF(E1610:AW1610,"&lt;&gt;0",(E1610:AW1610)),)</f>
        <v>0</v>
      </c>
      <c r="AZ1610" s="30">
        <f>IFERROR(AY1610/D1610,0)</f>
        <v>0</v>
      </c>
      <c r="BA1610" s="34"/>
      <c r="BB1610" s="34"/>
      <c r="BC1610" s="34"/>
      <c r="BD1610" s="76"/>
      <c r="BE1610" s="34"/>
      <c r="BF1610" s="34"/>
      <c r="BG1610" s="34"/>
      <c r="BH1610" s="34"/>
    </row>
    <row r="1611" spans="1:60" s="17" customFormat="1" ht="19.5" customHeight="1" thickBot="1" x14ac:dyDescent="0.4">
      <c r="A1611" s="41">
        <f t="shared" si="1623"/>
        <v>45448</v>
      </c>
      <c r="B1611" s="37" t="str">
        <f>B1610</f>
        <v>Etiket Hazırlama</v>
      </c>
      <c r="C1611" s="66">
        <f>C1435</f>
        <v>0</v>
      </c>
      <c r="D1611" s="67">
        <f>D1610</f>
        <v>120</v>
      </c>
      <c r="E1611" s="64"/>
      <c r="F1611" s="61"/>
      <c r="G1611" s="61"/>
      <c r="H1611" s="62"/>
      <c r="I1611" s="64"/>
      <c r="J1611" s="61"/>
      <c r="K1611" s="61"/>
      <c r="L1611" s="62"/>
      <c r="M1611" s="64"/>
      <c r="N1611" s="61"/>
      <c r="O1611" s="61"/>
      <c r="P1611" s="62"/>
      <c r="Q1611" s="64"/>
      <c r="R1611" s="61"/>
      <c r="S1611" s="61"/>
      <c r="T1611" s="61"/>
      <c r="U1611" s="62"/>
      <c r="V1611" s="64"/>
      <c r="W1611" s="61"/>
      <c r="X1611" s="61"/>
      <c r="Y1611" s="62"/>
      <c r="Z1611" s="59"/>
      <c r="AA1611" s="60"/>
      <c r="AB1611" s="61"/>
      <c r="AC1611" s="62"/>
      <c r="AD1611" s="59"/>
      <c r="AE1611" s="60"/>
      <c r="AF1611" s="61"/>
      <c r="AG1611" s="62"/>
      <c r="AH1611" s="59"/>
      <c r="AI1611" s="60"/>
      <c r="AJ1611" s="61"/>
      <c r="AK1611" s="62"/>
      <c r="AL1611" s="59"/>
      <c r="AM1611" s="60"/>
      <c r="AN1611" s="61"/>
      <c r="AO1611" s="62"/>
      <c r="AP1611" s="59"/>
      <c r="AQ1611" s="60"/>
      <c r="AR1611" s="61"/>
      <c r="AS1611" s="62"/>
      <c r="AT1611" s="59"/>
      <c r="AU1611" s="60"/>
      <c r="AV1611" s="61"/>
      <c r="AW1611" s="62"/>
      <c r="AX1611" s="43">
        <f>SUM(E1611:AW1611)</f>
        <v>0</v>
      </c>
      <c r="AY1611" s="44">
        <f>IFERROR(AVERAGEIF(E1611:AW1611,"&lt;&gt;0",(E1611:AW1611)),)</f>
        <v>0</v>
      </c>
      <c r="AZ1611" s="45">
        <f>IFERROR(AY1611/D1611,0)</f>
        <v>0</v>
      </c>
      <c r="BA1611" s="34"/>
      <c r="BB1611" s="34"/>
      <c r="BC1611" s="34"/>
      <c r="BD1611" s="76"/>
      <c r="BE1611" s="34"/>
      <c r="BF1611" s="34"/>
      <c r="BG1611" s="34"/>
      <c r="BH1611" s="34"/>
    </row>
    <row r="1612" spans="1:60" s="17" customFormat="1" ht="19.5" customHeight="1" thickBot="1" x14ac:dyDescent="0.45">
      <c r="A1612" s="41">
        <f t="shared" si="1623"/>
        <v>45448</v>
      </c>
      <c r="B1612" s="139" t="str">
        <f>B1607</f>
        <v>Etiket Hazırlama</v>
      </c>
      <c r="C1612" s="140"/>
      <c r="D1612" s="40">
        <f>C1590/8</f>
        <v>500</v>
      </c>
      <c r="E1612" s="151">
        <f>SUM(E1607:H1611)</f>
        <v>0</v>
      </c>
      <c r="F1612" s="152"/>
      <c r="G1612" s="152"/>
      <c r="H1612" s="153"/>
      <c r="I1612" s="151">
        <f>SUM(I1607:L1611)</f>
        <v>0</v>
      </c>
      <c r="J1612" s="152"/>
      <c r="K1612" s="152"/>
      <c r="L1612" s="153"/>
      <c r="M1612" s="151">
        <f>SUM(M1607:P1611)</f>
        <v>0</v>
      </c>
      <c r="N1612" s="152"/>
      <c r="O1612" s="152"/>
      <c r="P1612" s="153"/>
      <c r="Q1612" s="151">
        <f>SUM(Q1607:U1611)</f>
        <v>0</v>
      </c>
      <c r="R1612" s="152"/>
      <c r="S1612" s="152"/>
      <c r="T1612" s="152"/>
      <c r="U1612" s="153"/>
      <c r="V1612" s="151">
        <f>SUM(V1607:Y1611)</f>
        <v>0</v>
      </c>
      <c r="W1612" s="152"/>
      <c r="X1612" s="152"/>
      <c r="Y1612" s="153"/>
      <c r="Z1612" s="151">
        <f>SUM(Z1607:AC1611)</f>
        <v>0</v>
      </c>
      <c r="AA1612" s="152"/>
      <c r="AB1612" s="152"/>
      <c r="AC1612" s="153"/>
      <c r="AD1612" s="151">
        <f>SUM(AD1607:AG1611)</f>
        <v>0</v>
      </c>
      <c r="AE1612" s="152"/>
      <c r="AF1612" s="152"/>
      <c r="AG1612" s="153"/>
      <c r="AH1612" s="151">
        <f>SUM(AH1607:AK1611)</f>
        <v>0</v>
      </c>
      <c r="AI1612" s="152"/>
      <c r="AJ1612" s="152"/>
      <c r="AK1612" s="153"/>
      <c r="AL1612" s="151">
        <f>SUM(AL1607:AO1611)</f>
        <v>0</v>
      </c>
      <c r="AM1612" s="152"/>
      <c r="AN1612" s="152"/>
      <c r="AO1612" s="153"/>
      <c r="AP1612" s="151">
        <f>SUM(AP1607:AS1611)</f>
        <v>0</v>
      </c>
      <c r="AQ1612" s="152"/>
      <c r="AR1612" s="152"/>
      <c r="AS1612" s="153"/>
      <c r="AT1612" s="151">
        <f>SUM(AT1607:AW1611)</f>
        <v>0</v>
      </c>
      <c r="AU1612" s="152"/>
      <c r="AV1612" s="152"/>
      <c r="AW1612" s="153"/>
      <c r="AX1612" s="87">
        <f>SUM(AX1607:AX1611)</f>
        <v>0</v>
      </c>
      <c r="AY1612" s="88">
        <f>IFERROR(AVERAGEIF(E1612:AV1612,"&lt;&gt;0",(E1612:AV1612)),)</f>
        <v>0</v>
      </c>
      <c r="AZ1612" s="46">
        <f>IFERROR(AX1612/BB1608,0)</f>
        <v>0</v>
      </c>
      <c r="BA1612" s="34"/>
      <c r="BB1612" s="34"/>
      <c r="BC1612" s="34"/>
      <c r="BD1612" s="76"/>
      <c r="BE1612" s="34"/>
      <c r="BF1612" s="34"/>
      <c r="BG1612" s="34"/>
      <c r="BH1612" s="34"/>
    </row>
    <row r="1613" spans="1:60" s="17" customFormat="1" ht="19.5" customHeight="1" thickBot="1" x14ac:dyDescent="0.4">
      <c r="A1613" s="42">
        <f>A1592</f>
        <v>45448</v>
      </c>
      <c r="B1613" s="38" t="str">
        <f>B1614</f>
        <v>Tela Yapıştırma</v>
      </c>
      <c r="C1613" s="39" t="s">
        <v>180</v>
      </c>
      <c r="D1613" s="69" t="s">
        <v>181</v>
      </c>
      <c r="E1613" s="48">
        <v>0.34375</v>
      </c>
      <c r="F1613" s="49">
        <v>0.35416666666666669</v>
      </c>
      <c r="G1613" s="49">
        <v>0.36458333333333331</v>
      </c>
      <c r="H1613" s="50">
        <v>0.375</v>
      </c>
      <c r="I1613" s="48">
        <v>0.38541666666666702</v>
      </c>
      <c r="J1613" s="49">
        <v>0.39583333333333298</v>
      </c>
      <c r="K1613" s="49">
        <v>0.40625</v>
      </c>
      <c r="L1613" s="50">
        <v>0.41666666666666702</v>
      </c>
      <c r="M1613" s="48">
        <v>0.4375</v>
      </c>
      <c r="N1613" s="49">
        <v>0.44791666666666702</v>
      </c>
      <c r="O1613" s="49">
        <v>0.45833333333333398</v>
      </c>
      <c r="P1613" s="50">
        <v>0.46875</v>
      </c>
      <c r="Q1613" s="48">
        <v>0.47916666666666702</v>
      </c>
      <c r="R1613" s="49">
        <v>0.48958333333333398</v>
      </c>
      <c r="S1613" s="49">
        <v>0.5</v>
      </c>
      <c r="T1613" s="50">
        <v>0.51041666666666696</v>
      </c>
      <c r="U1613" s="51">
        <v>0.52083333333333204</v>
      </c>
      <c r="V1613" s="48">
        <v>0.5625</v>
      </c>
      <c r="W1613" s="49">
        <v>0.57291666666666663</v>
      </c>
      <c r="X1613" s="49">
        <v>0.58333333333333304</v>
      </c>
      <c r="Y1613" s="50">
        <v>0.59375</v>
      </c>
      <c r="Z1613" s="48">
        <v>0.60416666666666696</v>
      </c>
      <c r="AA1613" s="49">
        <v>0.61458333333333304</v>
      </c>
      <c r="AB1613" s="49">
        <v>0.625</v>
      </c>
      <c r="AC1613" s="50">
        <v>0.63541666666666596</v>
      </c>
      <c r="AD1613" s="48">
        <v>0.65625</v>
      </c>
      <c r="AE1613" s="49">
        <v>0.66666666666666663</v>
      </c>
      <c r="AF1613" s="49">
        <v>0.67708333333333304</v>
      </c>
      <c r="AG1613" s="50">
        <v>0.6875</v>
      </c>
      <c r="AH1613" s="48">
        <v>0.69791666666666696</v>
      </c>
      <c r="AI1613" s="49">
        <v>0.70833333333333304</v>
      </c>
      <c r="AJ1613" s="49">
        <v>0.71875</v>
      </c>
      <c r="AK1613" s="50">
        <v>0.72916666666666696</v>
      </c>
      <c r="AL1613" s="48">
        <v>0.73958333333333404</v>
      </c>
      <c r="AM1613" s="49">
        <v>0.750000000000001</v>
      </c>
      <c r="AN1613" s="49">
        <v>0.76041666666666796</v>
      </c>
      <c r="AO1613" s="50">
        <v>0.77083333333333504</v>
      </c>
      <c r="AP1613" s="48">
        <v>0.781250000000002</v>
      </c>
      <c r="AQ1613" s="49">
        <v>0.79166666666666896</v>
      </c>
      <c r="AR1613" s="49">
        <v>0.80208333333333603</v>
      </c>
      <c r="AS1613" s="50">
        <v>0.812500000000003</v>
      </c>
      <c r="AT1613" s="48">
        <v>0.82291666666666996</v>
      </c>
      <c r="AU1613" s="49">
        <v>0.83333333333333703</v>
      </c>
      <c r="AV1613" s="49">
        <v>0.843750000000004</v>
      </c>
      <c r="AW1613" s="50">
        <v>0.85416666666666663</v>
      </c>
      <c r="AX1613" s="68" t="s">
        <v>260</v>
      </c>
      <c r="AY1613" s="28" t="s">
        <v>261</v>
      </c>
      <c r="AZ1613" s="29" t="s">
        <v>262</v>
      </c>
      <c r="BA1613" s="136" t="str">
        <f>B1614</f>
        <v>Tela Yapıştırma</v>
      </c>
      <c r="BB1613" s="137"/>
      <c r="BC1613" s="137"/>
      <c r="BD1613" s="137"/>
      <c r="BE1613" s="137"/>
      <c r="BF1613" s="137"/>
      <c r="BG1613" s="137"/>
      <c r="BH1613" s="138"/>
    </row>
    <row r="1614" spans="1:60" s="17" customFormat="1" ht="19.5" customHeight="1" thickBot="1" x14ac:dyDescent="0.4">
      <c r="A1614" s="41">
        <f>A1606</f>
        <v>45448</v>
      </c>
      <c r="B1614" s="37" t="str">
        <f>B1438</f>
        <v>Tela Yapıştırma</v>
      </c>
      <c r="C1614" s="66" t="str">
        <f>C1438</f>
        <v>AYŞE ADADA</v>
      </c>
      <c r="D1614" s="70">
        <f>D1438</f>
        <v>200</v>
      </c>
      <c r="E1614" s="63"/>
      <c r="F1614" s="55"/>
      <c r="G1614" s="55"/>
      <c r="H1614" s="56"/>
      <c r="I1614" s="63"/>
      <c r="J1614" s="55"/>
      <c r="K1614" s="55"/>
      <c r="L1614" s="56"/>
      <c r="M1614" s="63"/>
      <c r="N1614" s="55"/>
      <c r="O1614" s="55"/>
      <c r="P1614" s="56"/>
      <c r="Q1614" s="63"/>
      <c r="R1614" s="55"/>
      <c r="S1614" s="55"/>
      <c r="T1614" s="55"/>
      <c r="U1614" s="56"/>
      <c r="V1614" s="63"/>
      <c r="W1614" s="55"/>
      <c r="X1614" s="55"/>
      <c r="Y1614" s="56"/>
      <c r="Z1614" s="63"/>
      <c r="AA1614" s="55"/>
      <c r="AB1614" s="55"/>
      <c r="AC1614" s="56"/>
      <c r="AD1614" s="63"/>
      <c r="AE1614" s="55"/>
      <c r="AF1614" s="55"/>
      <c r="AG1614" s="56"/>
      <c r="AH1614" s="63"/>
      <c r="AI1614" s="55"/>
      <c r="AJ1614" s="55"/>
      <c r="AK1614" s="56"/>
      <c r="AL1614" s="63"/>
      <c r="AM1614" s="55"/>
      <c r="AN1614" s="55"/>
      <c r="AO1614" s="56"/>
      <c r="AP1614" s="63"/>
      <c r="AQ1614" s="54"/>
      <c r="AR1614" s="55"/>
      <c r="AS1614" s="56"/>
      <c r="AT1614" s="53"/>
      <c r="AU1614" s="54"/>
      <c r="AV1614" s="55"/>
      <c r="AW1614" s="56"/>
      <c r="AX1614" s="33">
        <f>SUM(E1614:AW1614)</f>
        <v>0</v>
      </c>
      <c r="AY1614" s="31">
        <f>IFERROR(AVERAGEIF(E1614:AW1614,"&lt;&gt;0",(E1614:AW1614)),)</f>
        <v>0</v>
      </c>
      <c r="AZ1614" s="30">
        <f>IFERROR(AY1614/D1614,0)</f>
        <v>0</v>
      </c>
      <c r="BA1614" s="103" t="s">
        <v>182</v>
      </c>
      <c r="BB1614" s="100" t="s">
        <v>183</v>
      </c>
      <c r="BC1614" s="100" t="s">
        <v>184</v>
      </c>
      <c r="BD1614" s="101" t="s">
        <v>185</v>
      </c>
      <c r="BE1614" s="100" t="s">
        <v>186</v>
      </c>
      <c r="BF1614" s="102" t="s">
        <v>187</v>
      </c>
      <c r="BG1614" s="100" t="s">
        <v>188</v>
      </c>
      <c r="BH1614" s="102" t="s">
        <v>189</v>
      </c>
    </row>
    <row r="1615" spans="1:60" s="17" customFormat="1" ht="19.5" customHeight="1" thickBot="1" x14ac:dyDescent="0.4">
      <c r="A1615" s="41">
        <f t="shared" ref="A1615:B1615" si="1624">A1614</f>
        <v>45448</v>
      </c>
      <c r="B1615" s="37" t="str">
        <f t="shared" si="1624"/>
        <v>Tela Yapıştırma</v>
      </c>
      <c r="C1615" s="66">
        <f>C1439</f>
        <v>0</v>
      </c>
      <c r="D1615" s="67">
        <f>D1614</f>
        <v>200</v>
      </c>
      <c r="E1615" s="57"/>
      <c r="F1615" s="52"/>
      <c r="G1615" s="52"/>
      <c r="H1615" s="58"/>
      <c r="I1615" s="57"/>
      <c r="J1615" s="52"/>
      <c r="K1615" s="52"/>
      <c r="L1615" s="58"/>
      <c r="M1615" s="57"/>
      <c r="N1615" s="52"/>
      <c r="O1615" s="52"/>
      <c r="P1615" s="58"/>
      <c r="Q1615" s="57"/>
      <c r="R1615" s="52"/>
      <c r="S1615" s="52"/>
      <c r="T1615" s="52"/>
      <c r="U1615" s="58"/>
      <c r="V1615" s="57"/>
      <c r="W1615" s="52"/>
      <c r="X1615" s="52"/>
      <c r="Y1615" s="58"/>
      <c r="Z1615" s="57"/>
      <c r="AA1615" s="52"/>
      <c r="AB1615" s="52"/>
      <c r="AC1615" s="58"/>
      <c r="AD1615" s="57"/>
      <c r="AE1615" s="52"/>
      <c r="AF1615" s="52"/>
      <c r="AG1615" s="58"/>
      <c r="AH1615" s="57"/>
      <c r="AI1615" s="52"/>
      <c r="AJ1615" s="52"/>
      <c r="AK1615" s="58"/>
      <c r="AL1615" s="57"/>
      <c r="AM1615" s="52"/>
      <c r="AN1615" s="52"/>
      <c r="AO1615" s="58"/>
      <c r="AP1615" s="57"/>
      <c r="AQ1615" s="52"/>
      <c r="AR1615" s="52"/>
      <c r="AS1615" s="58"/>
      <c r="AT1615" s="57"/>
      <c r="AU1615" s="52"/>
      <c r="AV1615" s="52"/>
      <c r="AW1615" s="58"/>
      <c r="AX1615" s="33">
        <f>SUM(E1615:AW1615)</f>
        <v>0</v>
      </c>
      <c r="AY1615" s="31">
        <f>IFERROR(AVERAGEIF(E1615:AW1615,"&lt;&gt;0",(E1615:AW1615)),)</f>
        <v>0</v>
      </c>
      <c r="AZ1615" s="30">
        <f>IFERROR(AY1615/D1615,0)</f>
        <v>0</v>
      </c>
      <c r="BA1615" s="94">
        <f>AX1619+BA1439</f>
        <v>0</v>
      </c>
      <c r="BB1615" s="95">
        <f>(D1619*8)</f>
        <v>4000</v>
      </c>
      <c r="BC1615" s="96">
        <f>C1589-BA1615</f>
        <v>42311</v>
      </c>
      <c r="BD1615" s="96">
        <f>BC1615</f>
        <v>42311</v>
      </c>
      <c r="BE1615" s="97">
        <f>IFERROR(BC1615/E1619,0)</f>
        <v>0</v>
      </c>
      <c r="BF1615" s="98">
        <f>IFERROR(BE1615/9,0)</f>
        <v>0</v>
      </c>
      <c r="BG1615" s="97">
        <f>IFERROR(BC1615/AY1619,0)</f>
        <v>0</v>
      </c>
      <c r="BH1615" s="97">
        <f>IFERROR(BG1615/9,0)</f>
        <v>0</v>
      </c>
    </row>
    <row r="1616" spans="1:60" s="17" customFormat="1" ht="19.5" customHeight="1" x14ac:dyDescent="0.35">
      <c r="A1616" s="41">
        <f t="shared" ref="A1616:B1616" si="1625">A1615</f>
        <v>45448</v>
      </c>
      <c r="B1616" s="37" t="str">
        <f t="shared" si="1625"/>
        <v>Tela Yapıştırma</v>
      </c>
      <c r="C1616" s="66">
        <f>C1440</f>
        <v>0</v>
      </c>
      <c r="D1616" s="67">
        <f>D1615</f>
        <v>200</v>
      </c>
      <c r="E1616" s="57"/>
      <c r="F1616" s="52"/>
      <c r="G1616" s="52"/>
      <c r="H1616" s="58"/>
      <c r="I1616" s="57"/>
      <c r="J1616" s="52"/>
      <c r="K1616" s="52"/>
      <c r="L1616" s="58"/>
      <c r="M1616" s="57"/>
      <c r="N1616" s="52"/>
      <c r="O1616" s="52"/>
      <c r="P1616" s="58"/>
      <c r="Q1616" s="57"/>
      <c r="R1616" s="52"/>
      <c r="S1616" s="52"/>
      <c r="T1616" s="52"/>
      <c r="U1616" s="58"/>
      <c r="V1616" s="57"/>
      <c r="W1616" s="52"/>
      <c r="X1616" s="52"/>
      <c r="Y1616" s="58"/>
      <c r="Z1616" s="57"/>
      <c r="AA1616" s="52"/>
      <c r="AB1616" s="52"/>
      <c r="AC1616" s="58"/>
      <c r="AD1616" s="57"/>
      <c r="AE1616" s="52"/>
      <c r="AF1616" s="52"/>
      <c r="AG1616" s="58"/>
      <c r="AH1616" s="57"/>
      <c r="AI1616" s="52"/>
      <c r="AJ1616" s="52"/>
      <c r="AK1616" s="58"/>
      <c r="AL1616" s="57"/>
      <c r="AM1616" s="52"/>
      <c r="AN1616" s="52"/>
      <c r="AO1616" s="58"/>
      <c r="AP1616" s="57"/>
      <c r="AQ1616" s="52"/>
      <c r="AR1616" s="52"/>
      <c r="AS1616" s="58"/>
      <c r="AT1616" s="57"/>
      <c r="AU1616" s="52"/>
      <c r="AV1616" s="52"/>
      <c r="AW1616" s="58"/>
      <c r="AX1616" s="33">
        <f>SUM(E1616:AW1616)</f>
        <v>0</v>
      </c>
      <c r="AY1616" s="31">
        <f>IFERROR(AVERAGEIF(E1616:AW1616,"&lt;&gt;0",(E1616:AW1616)),)</f>
        <v>0</v>
      </c>
      <c r="AZ1616" s="30">
        <f>IFERROR(AY1616/D1616,0)</f>
        <v>0</v>
      </c>
      <c r="BA1616" s="34"/>
      <c r="BB1616" s="34"/>
      <c r="BC1616" s="34"/>
      <c r="BD1616" s="76"/>
      <c r="BE1616" s="34"/>
      <c r="BF1616" s="34"/>
      <c r="BG1616" s="34"/>
      <c r="BH1616" s="34"/>
    </row>
    <row r="1617" spans="1:60" s="17" customFormat="1" ht="19.5" customHeight="1" x14ac:dyDescent="0.35">
      <c r="A1617" s="41">
        <f t="shared" ref="A1617:B1617" si="1626">A1616</f>
        <v>45448</v>
      </c>
      <c r="B1617" s="37" t="str">
        <f t="shared" si="1626"/>
        <v>Tela Yapıştırma</v>
      </c>
      <c r="C1617" s="66">
        <f>C1441</f>
        <v>0</v>
      </c>
      <c r="D1617" s="67">
        <f>D1616</f>
        <v>200</v>
      </c>
      <c r="E1617" s="57"/>
      <c r="F1617" s="52"/>
      <c r="G1617" s="52"/>
      <c r="H1617" s="58"/>
      <c r="I1617" s="57"/>
      <c r="J1617" s="52"/>
      <c r="K1617" s="52"/>
      <c r="L1617" s="58"/>
      <c r="M1617" s="57"/>
      <c r="N1617" s="52"/>
      <c r="O1617" s="52"/>
      <c r="P1617" s="58"/>
      <c r="Q1617" s="57"/>
      <c r="R1617" s="52"/>
      <c r="S1617" s="52"/>
      <c r="T1617" s="52"/>
      <c r="U1617" s="58"/>
      <c r="V1617" s="57"/>
      <c r="W1617" s="52"/>
      <c r="X1617" s="52"/>
      <c r="Y1617" s="58"/>
      <c r="Z1617" s="57"/>
      <c r="AA1617" s="52"/>
      <c r="AB1617" s="52"/>
      <c r="AC1617" s="58"/>
      <c r="AD1617" s="57"/>
      <c r="AE1617" s="52"/>
      <c r="AF1617" s="52"/>
      <c r="AG1617" s="58"/>
      <c r="AH1617" s="57"/>
      <c r="AI1617" s="52"/>
      <c r="AJ1617" s="52"/>
      <c r="AK1617" s="58"/>
      <c r="AL1617" s="57"/>
      <c r="AM1617" s="52"/>
      <c r="AN1617" s="52"/>
      <c r="AO1617" s="58"/>
      <c r="AP1617" s="57"/>
      <c r="AQ1617" s="52"/>
      <c r="AR1617" s="52"/>
      <c r="AS1617" s="58"/>
      <c r="AT1617" s="57"/>
      <c r="AU1617" s="52"/>
      <c r="AV1617" s="52"/>
      <c r="AW1617" s="58"/>
      <c r="AX1617" s="33">
        <f>SUM(E1617:AW1617)</f>
        <v>0</v>
      </c>
      <c r="AY1617" s="31">
        <f>IFERROR(AVERAGEIF(E1617:AW1617,"&lt;&gt;0",(E1617:AW1617)),)</f>
        <v>0</v>
      </c>
      <c r="AZ1617" s="30">
        <f>IFERROR(AY1617/D1617,0)</f>
        <v>0</v>
      </c>
      <c r="BA1617" s="34"/>
      <c r="BB1617" s="34"/>
      <c r="BC1617" s="34"/>
      <c r="BD1617" s="76"/>
      <c r="BE1617" s="34"/>
      <c r="BF1617" s="34"/>
      <c r="BG1617" s="34"/>
      <c r="BH1617" s="34"/>
    </row>
    <row r="1618" spans="1:60" s="17" customFormat="1" ht="19.5" customHeight="1" thickBot="1" x14ac:dyDescent="0.4">
      <c r="A1618" s="41">
        <f t="shared" ref="A1618:B1618" si="1627">A1617</f>
        <v>45448</v>
      </c>
      <c r="B1618" s="37" t="str">
        <f t="shared" si="1627"/>
        <v>Tela Yapıştırma</v>
      </c>
      <c r="C1618" s="66">
        <f>C1442</f>
        <v>0</v>
      </c>
      <c r="D1618" s="67">
        <f>D1617</f>
        <v>200</v>
      </c>
      <c r="E1618" s="64"/>
      <c r="F1618" s="61"/>
      <c r="G1618" s="61"/>
      <c r="H1618" s="62"/>
      <c r="I1618" s="64"/>
      <c r="J1618" s="61"/>
      <c r="K1618" s="61"/>
      <c r="L1618" s="62"/>
      <c r="M1618" s="64"/>
      <c r="N1618" s="61"/>
      <c r="O1618" s="61"/>
      <c r="P1618" s="62"/>
      <c r="Q1618" s="64"/>
      <c r="R1618" s="61"/>
      <c r="S1618" s="61"/>
      <c r="T1618" s="61"/>
      <c r="U1618" s="62"/>
      <c r="V1618" s="64"/>
      <c r="W1618" s="61"/>
      <c r="X1618" s="61"/>
      <c r="Y1618" s="62"/>
      <c r="Z1618" s="59"/>
      <c r="AA1618" s="60"/>
      <c r="AB1618" s="61"/>
      <c r="AC1618" s="62"/>
      <c r="AD1618" s="59"/>
      <c r="AE1618" s="60"/>
      <c r="AF1618" s="61"/>
      <c r="AG1618" s="62"/>
      <c r="AH1618" s="59"/>
      <c r="AI1618" s="60"/>
      <c r="AJ1618" s="61"/>
      <c r="AK1618" s="62"/>
      <c r="AL1618" s="59"/>
      <c r="AM1618" s="60"/>
      <c r="AN1618" s="61"/>
      <c r="AO1618" s="62"/>
      <c r="AP1618" s="59"/>
      <c r="AQ1618" s="60"/>
      <c r="AR1618" s="61"/>
      <c r="AS1618" s="62"/>
      <c r="AT1618" s="59"/>
      <c r="AU1618" s="60"/>
      <c r="AV1618" s="61"/>
      <c r="AW1618" s="62"/>
      <c r="AX1618" s="43">
        <f>SUM(E1618:AW1618)</f>
        <v>0</v>
      </c>
      <c r="AY1618" s="44">
        <f>IFERROR(AVERAGEIF(E1618:AW1618,"&lt;&gt;0",(E1618:AW1618)),)</f>
        <v>0</v>
      </c>
      <c r="AZ1618" s="45">
        <f>IFERROR(AY1618/D1618,0)</f>
        <v>0</v>
      </c>
      <c r="BA1618" s="34"/>
      <c r="BB1618" s="34"/>
      <c r="BC1618" s="34"/>
      <c r="BD1618" s="76"/>
      <c r="BE1618" s="34"/>
      <c r="BF1618" s="34"/>
      <c r="BG1618" s="34"/>
      <c r="BH1618" s="34"/>
    </row>
    <row r="1619" spans="1:60" s="17" customFormat="1" ht="19.5" customHeight="1" thickBot="1" x14ac:dyDescent="0.45">
      <c r="A1619" s="41">
        <f>A1618</f>
        <v>45448</v>
      </c>
      <c r="B1619" s="139" t="str">
        <f>B1614</f>
        <v>Tela Yapıştırma</v>
      </c>
      <c r="C1619" s="140"/>
      <c r="D1619" s="40">
        <f>C1590/8</f>
        <v>500</v>
      </c>
      <c r="E1619" s="151">
        <f>SUM(E1614:H1618)</f>
        <v>0</v>
      </c>
      <c r="F1619" s="152"/>
      <c r="G1619" s="152"/>
      <c r="H1619" s="153"/>
      <c r="I1619" s="151">
        <f>SUM(I1614:L1618)</f>
        <v>0</v>
      </c>
      <c r="J1619" s="152"/>
      <c r="K1619" s="152"/>
      <c r="L1619" s="153"/>
      <c r="M1619" s="151">
        <f>SUM(M1614:P1618)</f>
        <v>0</v>
      </c>
      <c r="N1619" s="152"/>
      <c r="O1619" s="152"/>
      <c r="P1619" s="153"/>
      <c r="Q1619" s="151">
        <f>SUM(Q1614:U1618)</f>
        <v>0</v>
      </c>
      <c r="R1619" s="152"/>
      <c r="S1619" s="152"/>
      <c r="T1619" s="152"/>
      <c r="U1619" s="153"/>
      <c r="V1619" s="151">
        <f>SUM(V1614:Y1618)</f>
        <v>0</v>
      </c>
      <c r="W1619" s="152"/>
      <c r="X1619" s="152"/>
      <c r="Y1619" s="153"/>
      <c r="Z1619" s="151">
        <f>SUM(Z1614:AC1618)</f>
        <v>0</v>
      </c>
      <c r="AA1619" s="152"/>
      <c r="AB1619" s="152"/>
      <c r="AC1619" s="153"/>
      <c r="AD1619" s="151">
        <f>SUM(AD1614:AG1618)</f>
        <v>0</v>
      </c>
      <c r="AE1619" s="152"/>
      <c r="AF1619" s="152"/>
      <c r="AG1619" s="153"/>
      <c r="AH1619" s="151">
        <f>SUM(AH1614:AK1618)</f>
        <v>0</v>
      </c>
      <c r="AI1619" s="152"/>
      <c r="AJ1619" s="152"/>
      <c r="AK1619" s="153"/>
      <c r="AL1619" s="151">
        <f>SUM(AL1614:AO1618)</f>
        <v>0</v>
      </c>
      <c r="AM1619" s="152"/>
      <c r="AN1619" s="152"/>
      <c r="AO1619" s="153"/>
      <c r="AP1619" s="151">
        <f>SUM(AP1614:AS1618)</f>
        <v>0</v>
      </c>
      <c r="AQ1619" s="152"/>
      <c r="AR1619" s="152"/>
      <c r="AS1619" s="153"/>
      <c r="AT1619" s="151">
        <f>SUM(AT1614:AW1618)</f>
        <v>0</v>
      </c>
      <c r="AU1619" s="152"/>
      <c r="AV1619" s="152"/>
      <c r="AW1619" s="153"/>
      <c r="AX1619" s="87">
        <f>SUM(AX1614:AX1618)</f>
        <v>0</v>
      </c>
      <c r="AY1619" s="88">
        <f>IFERROR(AVERAGEIF(E1619:AV1619,"&lt;&gt;0",(E1619:AV1619)),)</f>
        <v>0</v>
      </c>
      <c r="AZ1619" s="46">
        <f>IFERROR(AX1619/BB1615,0)</f>
        <v>0</v>
      </c>
      <c r="BA1619" s="34"/>
      <c r="BB1619" s="34"/>
      <c r="BC1619" s="34"/>
      <c r="BD1619" s="76"/>
      <c r="BE1619" s="34"/>
      <c r="BF1619" s="34"/>
      <c r="BG1619" s="34"/>
      <c r="BH1619" s="34"/>
    </row>
    <row r="1620" spans="1:60" s="17" customFormat="1" ht="19.5" customHeight="1" thickBot="1" x14ac:dyDescent="0.4">
      <c r="A1620" s="42">
        <f>A1606</f>
        <v>45448</v>
      </c>
      <c r="B1620" s="38">
        <f>B1621</f>
        <v>0</v>
      </c>
      <c r="C1620" s="39" t="s">
        <v>180</v>
      </c>
      <c r="D1620" s="69" t="s">
        <v>181</v>
      </c>
      <c r="E1620" s="48">
        <v>0.34375</v>
      </c>
      <c r="F1620" s="49">
        <v>0.35416666666666669</v>
      </c>
      <c r="G1620" s="49">
        <v>0.36458333333333331</v>
      </c>
      <c r="H1620" s="50">
        <v>0.375</v>
      </c>
      <c r="I1620" s="48">
        <v>0.38541666666666702</v>
      </c>
      <c r="J1620" s="49">
        <v>0.39583333333333298</v>
      </c>
      <c r="K1620" s="49">
        <v>0.40625</v>
      </c>
      <c r="L1620" s="50">
        <v>0.41666666666666702</v>
      </c>
      <c r="M1620" s="48">
        <v>0.4375</v>
      </c>
      <c r="N1620" s="49">
        <v>0.44791666666666702</v>
      </c>
      <c r="O1620" s="49">
        <v>0.45833333333333398</v>
      </c>
      <c r="P1620" s="50">
        <v>0.46875</v>
      </c>
      <c r="Q1620" s="48">
        <v>0.47916666666666702</v>
      </c>
      <c r="R1620" s="49">
        <v>0.48958333333333398</v>
      </c>
      <c r="S1620" s="49">
        <v>0.5</v>
      </c>
      <c r="T1620" s="50">
        <v>0.51041666666666696</v>
      </c>
      <c r="U1620" s="51">
        <v>0.52083333333333204</v>
      </c>
      <c r="V1620" s="48">
        <v>0.5625</v>
      </c>
      <c r="W1620" s="49">
        <v>0.57291666666666663</v>
      </c>
      <c r="X1620" s="49">
        <v>0.58333333333333304</v>
      </c>
      <c r="Y1620" s="50">
        <v>0.59375</v>
      </c>
      <c r="Z1620" s="48">
        <v>0.60416666666666696</v>
      </c>
      <c r="AA1620" s="49">
        <v>0.61458333333333304</v>
      </c>
      <c r="AB1620" s="49">
        <v>0.625</v>
      </c>
      <c r="AC1620" s="50">
        <v>0.63541666666666596</v>
      </c>
      <c r="AD1620" s="48">
        <v>0.65625</v>
      </c>
      <c r="AE1620" s="49">
        <v>0.66666666666666663</v>
      </c>
      <c r="AF1620" s="49">
        <v>0.67708333333333304</v>
      </c>
      <c r="AG1620" s="50">
        <v>0.6875</v>
      </c>
      <c r="AH1620" s="48">
        <v>0.69791666666666696</v>
      </c>
      <c r="AI1620" s="49">
        <v>0.70833333333333304</v>
      </c>
      <c r="AJ1620" s="49">
        <v>0.71875</v>
      </c>
      <c r="AK1620" s="50">
        <v>0.72916666666666696</v>
      </c>
      <c r="AL1620" s="48">
        <v>0.73958333333333404</v>
      </c>
      <c r="AM1620" s="49">
        <v>0.750000000000001</v>
      </c>
      <c r="AN1620" s="49">
        <v>0.76041666666666796</v>
      </c>
      <c r="AO1620" s="50">
        <v>0.77083333333333504</v>
      </c>
      <c r="AP1620" s="48">
        <v>0.781250000000002</v>
      </c>
      <c r="AQ1620" s="49">
        <v>0.79166666666666896</v>
      </c>
      <c r="AR1620" s="49">
        <v>0.80208333333333603</v>
      </c>
      <c r="AS1620" s="50">
        <v>0.812500000000003</v>
      </c>
      <c r="AT1620" s="48">
        <v>0.82291666666666996</v>
      </c>
      <c r="AU1620" s="49">
        <v>0.83333333333333703</v>
      </c>
      <c r="AV1620" s="49">
        <v>0.843750000000004</v>
      </c>
      <c r="AW1620" s="50">
        <v>0.85416666666666663</v>
      </c>
      <c r="AX1620" s="68" t="s">
        <v>260</v>
      </c>
      <c r="AY1620" s="28" t="s">
        <v>261</v>
      </c>
      <c r="AZ1620" s="29" t="s">
        <v>262</v>
      </c>
      <c r="BA1620" s="136">
        <f>B1621</f>
        <v>0</v>
      </c>
      <c r="BB1620" s="137"/>
      <c r="BC1620" s="137"/>
      <c r="BD1620" s="137"/>
      <c r="BE1620" s="137"/>
      <c r="BF1620" s="137"/>
      <c r="BG1620" s="137"/>
      <c r="BH1620" s="138"/>
    </row>
    <row r="1621" spans="1:60" s="17" customFormat="1" ht="19.5" customHeight="1" thickBot="1" x14ac:dyDescent="0.4">
      <c r="A1621" s="41">
        <f>A1613</f>
        <v>45448</v>
      </c>
      <c r="B1621" s="37">
        <f>B1445</f>
        <v>0</v>
      </c>
      <c r="C1621" s="66">
        <f>C1445</f>
        <v>0</v>
      </c>
      <c r="D1621" s="70">
        <f>D1445</f>
        <v>200</v>
      </c>
      <c r="E1621" s="63"/>
      <c r="F1621" s="55"/>
      <c r="G1621" s="55"/>
      <c r="H1621" s="56"/>
      <c r="I1621" s="63"/>
      <c r="J1621" s="55"/>
      <c r="K1621" s="55"/>
      <c r="L1621" s="56"/>
      <c r="M1621" s="63"/>
      <c r="N1621" s="55"/>
      <c r="O1621" s="55"/>
      <c r="P1621" s="56"/>
      <c r="Q1621" s="63"/>
      <c r="R1621" s="55"/>
      <c r="S1621" s="55"/>
      <c r="T1621" s="55"/>
      <c r="U1621" s="56"/>
      <c r="V1621" s="63"/>
      <c r="W1621" s="55"/>
      <c r="X1621" s="55"/>
      <c r="Y1621" s="56"/>
      <c r="Z1621" s="63"/>
      <c r="AA1621" s="55"/>
      <c r="AB1621" s="55"/>
      <c r="AC1621" s="56"/>
      <c r="AD1621" s="63"/>
      <c r="AE1621" s="55"/>
      <c r="AF1621" s="55"/>
      <c r="AG1621" s="56"/>
      <c r="AH1621" s="63"/>
      <c r="AI1621" s="55"/>
      <c r="AJ1621" s="55"/>
      <c r="AK1621" s="56"/>
      <c r="AL1621" s="63"/>
      <c r="AM1621" s="55"/>
      <c r="AN1621" s="55"/>
      <c r="AO1621" s="56"/>
      <c r="AP1621" s="63"/>
      <c r="AQ1621" s="54"/>
      <c r="AR1621" s="55"/>
      <c r="AS1621" s="56"/>
      <c r="AT1621" s="53"/>
      <c r="AU1621" s="54"/>
      <c r="AV1621" s="55"/>
      <c r="AW1621" s="56"/>
      <c r="AX1621" s="33">
        <f>SUM(E1621:AW1621)</f>
        <v>0</v>
      </c>
      <c r="AY1621" s="31">
        <f>IFERROR(AVERAGEIF(E1621:AW1621,"&lt;&gt;0",(E1621:AW1621)),)</f>
        <v>0</v>
      </c>
      <c r="AZ1621" s="30">
        <f>IFERROR(AY1621/D1621,0)</f>
        <v>0</v>
      </c>
      <c r="BA1621" s="103" t="s">
        <v>182</v>
      </c>
      <c r="BB1621" s="100" t="s">
        <v>183</v>
      </c>
      <c r="BC1621" s="100" t="s">
        <v>184</v>
      </c>
      <c r="BD1621" s="101" t="s">
        <v>185</v>
      </c>
      <c r="BE1621" s="100" t="s">
        <v>186</v>
      </c>
      <c r="BF1621" s="102" t="s">
        <v>187</v>
      </c>
      <c r="BG1621" s="100" t="s">
        <v>188</v>
      </c>
      <c r="BH1621" s="102" t="s">
        <v>189</v>
      </c>
    </row>
    <row r="1622" spans="1:60" s="17" customFormat="1" ht="19.5" customHeight="1" thickBot="1" x14ac:dyDescent="0.4">
      <c r="A1622" s="41">
        <f t="shared" ref="A1622:B1622" si="1628">A1621</f>
        <v>45448</v>
      </c>
      <c r="B1622" s="37">
        <f t="shared" si="1628"/>
        <v>0</v>
      </c>
      <c r="C1622" s="66">
        <f>C1446</f>
        <v>0</v>
      </c>
      <c r="D1622" s="67">
        <f>D1621</f>
        <v>200</v>
      </c>
      <c r="E1622" s="57"/>
      <c r="F1622" s="52"/>
      <c r="G1622" s="52"/>
      <c r="H1622" s="58"/>
      <c r="I1622" s="57"/>
      <c r="J1622" s="52"/>
      <c r="K1622" s="52"/>
      <c r="L1622" s="58"/>
      <c r="M1622" s="57"/>
      <c r="N1622" s="52"/>
      <c r="O1622" s="52"/>
      <c r="P1622" s="58"/>
      <c r="Q1622" s="57"/>
      <c r="R1622" s="52"/>
      <c r="S1622" s="52"/>
      <c r="T1622" s="52"/>
      <c r="U1622" s="58"/>
      <c r="V1622" s="57"/>
      <c r="W1622" s="52"/>
      <c r="X1622" s="52"/>
      <c r="Y1622" s="58"/>
      <c r="Z1622" s="57"/>
      <c r="AA1622" s="52"/>
      <c r="AB1622" s="52"/>
      <c r="AC1622" s="58"/>
      <c r="AD1622" s="57"/>
      <c r="AE1622" s="52"/>
      <c r="AF1622" s="52"/>
      <c r="AG1622" s="58"/>
      <c r="AH1622" s="57"/>
      <c r="AI1622" s="52"/>
      <c r="AJ1622" s="52"/>
      <c r="AK1622" s="58"/>
      <c r="AL1622" s="57"/>
      <c r="AM1622" s="52"/>
      <c r="AN1622" s="52"/>
      <c r="AO1622" s="58"/>
      <c r="AP1622" s="57"/>
      <c r="AQ1622" s="52"/>
      <c r="AR1622" s="52"/>
      <c r="AS1622" s="58"/>
      <c r="AT1622" s="57"/>
      <c r="AU1622" s="52"/>
      <c r="AV1622" s="52"/>
      <c r="AW1622" s="58"/>
      <c r="AX1622" s="33">
        <f>SUM(E1622:AW1622)</f>
        <v>0</v>
      </c>
      <c r="AY1622" s="31">
        <f>IFERROR(AVERAGEIF(E1622:AW1622,"&lt;&gt;0",(E1622:AW1622)),)</f>
        <v>0</v>
      </c>
      <c r="AZ1622" s="30">
        <f>IFERROR(AY1622/D1622,0)</f>
        <v>0</v>
      </c>
      <c r="BA1622" s="94">
        <f>AX1626+BA1446</f>
        <v>0</v>
      </c>
      <c r="BB1622" s="95">
        <f>(D1626*8)</f>
        <v>4000</v>
      </c>
      <c r="BC1622" s="96">
        <f>C1589-BA1622</f>
        <v>42311</v>
      </c>
      <c r="BD1622" s="96">
        <f>BA1615-BA1622</f>
        <v>0</v>
      </c>
      <c r="BE1622" s="97">
        <f>IFERROR(BC1622/E1626,0)</f>
        <v>0</v>
      </c>
      <c r="BF1622" s="98">
        <f>IFERROR(BE1622/9,0)</f>
        <v>0</v>
      </c>
      <c r="BG1622" s="97">
        <f>IFERROR(BC1622/AY1626,0)</f>
        <v>0</v>
      </c>
      <c r="BH1622" s="97">
        <f>IFERROR(BG1622/9,0)</f>
        <v>0</v>
      </c>
    </row>
    <row r="1623" spans="1:60" s="17" customFormat="1" ht="19.5" customHeight="1" x14ac:dyDescent="0.35">
      <c r="A1623" s="41">
        <f t="shared" ref="A1623:B1623" si="1629">A1622</f>
        <v>45448</v>
      </c>
      <c r="B1623" s="37">
        <f t="shared" si="1629"/>
        <v>0</v>
      </c>
      <c r="C1623" s="66">
        <f>C1447</f>
        <v>0</v>
      </c>
      <c r="D1623" s="67">
        <f>D1622</f>
        <v>200</v>
      </c>
      <c r="E1623" s="57"/>
      <c r="F1623" s="52"/>
      <c r="G1623" s="52"/>
      <c r="H1623" s="58"/>
      <c r="I1623" s="57"/>
      <c r="J1623" s="52"/>
      <c r="K1623" s="52"/>
      <c r="L1623" s="58"/>
      <c r="M1623" s="57"/>
      <c r="N1623" s="52"/>
      <c r="O1623" s="52"/>
      <c r="P1623" s="58"/>
      <c r="Q1623" s="57"/>
      <c r="R1623" s="52"/>
      <c r="S1623" s="52"/>
      <c r="T1623" s="52"/>
      <c r="U1623" s="58"/>
      <c r="V1623" s="57"/>
      <c r="W1623" s="52"/>
      <c r="X1623" s="52"/>
      <c r="Y1623" s="58"/>
      <c r="Z1623" s="57"/>
      <c r="AA1623" s="52"/>
      <c r="AB1623" s="52"/>
      <c r="AC1623" s="58"/>
      <c r="AD1623" s="57"/>
      <c r="AE1623" s="52"/>
      <c r="AF1623" s="52"/>
      <c r="AG1623" s="58"/>
      <c r="AH1623" s="57"/>
      <c r="AI1623" s="52"/>
      <c r="AJ1623" s="52"/>
      <c r="AK1623" s="58"/>
      <c r="AL1623" s="57"/>
      <c r="AM1623" s="52"/>
      <c r="AN1623" s="52"/>
      <c r="AO1623" s="58"/>
      <c r="AP1623" s="57"/>
      <c r="AQ1623" s="52"/>
      <c r="AR1623" s="52"/>
      <c r="AS1623" s="58"/>
      <c r="AT1623" s="57"/>
      <c r="AU1623" s="52"/>
      <c r="AV1623" s="52"/>
      <c r="AW1623" s="58"/>
      <c r="AX1623" s="33">
        <f>SUM(E1623:AW1623)</f>
        <v>0</v>
      </c>
      <c r="AY1623" s="31">
        <f>IFERROR(AVERAGEIF(E1623:AW1623,"&lt;&gt;0",(E1623:AW1623)),)</f>
        <v>0</v>
      </c>
      <c r="AZ1623" s="30">
        <f>IFERROR(AY1623/D1623,0)</f>
        <v>0</v>
      </c>
      <c r="BA1623" s="34"/>
      <c r="BB1623" s="34"/>
      <c r="BC1623" s="34"/>
      <c r="BD1623" s="76"/>
      <c r="BE1623" s="34"/>
      <c r="BF1623" s="34"/>
      <c r="BG1623" s="34"/>
      <c r="BH1623" s="34"/>
    </row>
    <row r="1624" spans="1:60" s="17" customFormat="1" ht="19.5" customHeight="1" x14ac:dyDescent="0.35">
      <c r="A1624" s="41">
        <f t="shared" ref="A1624:B1624" si="1630">A1623</f>
        <v>45448</v>
      </c>
      <c r="B1624" s="37">
        <f t="shared" si="1630"/>
        <v>0</v>
      </c>
      <c r="C1624" s="66">
        <f>C1448</f>
        <v>0</v>
      </c>
      <c r="D1624" s="67">
        <f>D1623</f>
        <v>200</v>
      </c>
      <c r="E1624" s="57"/>
      <c r="F1624" s="52"/>
      <c r="G1624" s="52"/>
      <c r="H1624" s="58"/>
      <c r="I1624" s="57"/>
      <c r="J1624" s="52"/>
      <c r="K1624" s="52"/>
      <c r="L1624" s="58"/>
      <c r="M1624" s="57"/>
      <c r="N1624" s="52"/>
      <c r="O1624" s="52"/>
      <c r="P1624" s="58"/>
      <c r="Q1624" s="57"/>
      <c r="R1624" s="52"/>
      <c r="S1624" s="52"/>
      <c r="T1624" s="52"/>
      <c r="U1624" s="58"/>
      <c r="V1624" s="57"/>
      <c r="W1624" s="52"/>
      <c r="X1624" s="52"/>
      <c r="Y1624" s="58"/>
      <c r="Z1624" s="57"/>
      <c r="AA1624" s="52"/>
      <c r="AB1624" s="52"/>
      <c r="AC1624" s="58"/>
      <c r="AD1624" s="57"/>
      <c r="AE1624" s="52"/>
      <c r="AF1624" s="52"/>
      <c r="AG1624" s="58"/>
      <c r="AH1624" s="57"/>
      <c r="AI1624" s="52"/>
      <c r="AJ1624" s="52"/>
      <c r="AK1624" s="58"/>
      <c r="AL1624" s="57"/>
      <c r="AM1624" s="52"/>
      <c r="AN1624" s="52"/>
      <c r="AO1624" s="58"/>
      <c r="AP1624" s="57"/>
      <c r="AQ1624" s="52"/>
      <c r="AR1624" s="52"/>
      <c r="AS1624" s="58"/>
      <c r="AT1624" s="57"/>
      <c r="AU1624" s="52"/>
      <c r="AV1624" s="52"/>
      <c r="AW1624" s="58"/>
      <c r="AX1624" s="33">
        <f>SUM(E1624:AW1624)</f>
        <v>0</v>
      </c>
      <c r="AY1624" s="31">
        <f>IFERROR(AVERAGEIF(E1624:AW1624,"&lt;&gt;0",(E1624:AW1624)),)</f>
        <v>0</v>
      </c>
      <c r="AZ1624" s="30">
        <f>IFERROR(AY1624/D1624,0)</f>
        <v>0</v>
      </c>
      <c r="BA1624" s="34"/>
      <c r="BB1624" s="34"/>
      <c r="BC1624" s="34"/>
      <c r="BD1624" s="76"/>
      <c r="BE1624" s="34"/>
      <c r="BF1624" s="34"/>
      <c r="BG1624" s="34"/>
      <c r="BH1624" s="34"/>
    </row>
    <row r="1625" spans="1:60" s="17" customFormat="1" ht="19.5" customHeight="1" thickBot="1" x14ac:dyDescent="0.4">
      <c r="A1625" s="41">
        <f t="shared" ref="A1625:B1625" si="1631">A1624</f>
        <v>45448</v>
      </c>
      <c r="B1625" s="37">
        <f t="shared" si="1631"/>
        <v>0</v>
      </c>
      <c r="C1625" s="66">
        <f>C1449</f>
        <v>0</v>
      </c>
      <c r="D1625" s="67">
        <f>D1624</f>
        <v>200</v>
      </c>
      <c r="E1625" s="64"/>
      <c r="F1625" s="61"/>
      <c r="G1625" s="61"/>
      <c r="H1625" s="62"/>
      <c r="I1625" s="64"/>
      <c r="J1625" s="61"/>
      <c r="K1625" s="61"/>
      <c r="L1625" s="62"/>
      <c r="M1625" s="64"/>
      <c r="N1625" s="61"/>
      <c r="O1625" s="61"/>
      <c r="P1625" s="62"/>
      <c r="Q1625" s="64"/>
      <c r="R1625" s="61"/>
      <c r="S1625" s="61"/>
      <c r="T1625" s="61"/>
      <c r="U1625" s="62"/>
      <c r="V1625" s="64"/>
      <c r="W1625" s="61"/>
      <c r="X1625" s="61"/>
      <c r="Y1625" s="62"/>
      <c r="Z1625" s="59"/>
      <c r="AA1625" s="60"/>
      <c r="AB1625" s="61"/>
      <c r="AC1625" s="62"/>
      <c r="AD1625" s="59"/>
      <c r="AE1625" s="60"/>
      <c r="AF1625" s="61"/>
      <c r="AG1625" s="62"/>
      <c r="AH1625" s="59"/>
      <c r="AI1625" s="60"/>
      <c r="AJ1625" s="61"/>
      <c r="AK1625" s="62"/>
      <c r="AL1625" s="59"/>
      <c r="AM1625" s="60"/>
      <c r="AN1625" s="61"/>
      <c r="AO1625" s="62"/>
      <c r="AP1625" s="59"/>
      <c r="AQ1625" s="60"/>
      <c r="AR1625" s="61"/>
      <c r="AS1625" s="62"/>
      <c r="AT1625" s="59"/>
      <c r="AU1625" s="60"/>
      <c r="AV1625" s="61"/>
      <c r="AW1625" s="62"/>
      <c r="AX1625" s="43">
        <f>SUM(E1625:AW1625)</f>
        <v>0</v>
      </c>
      <c r="AY1625" s="44">
        <f>IFERROR(AVERAGEIF(E1625:AW1625,"&lt;&gt;0",(E1625:AW1625)),)</f>
        <v>0</v>
      </c>
      <c r="AZ1625" s="45">
        <f>IFERROR(AY1625/D1625,0)</f>
        <v>0</v>
      </c>
      <c r="BA1625" s="34"/>
      <c r="BB1625" s="34"/>
      <c r="BC1625" s="34"/>
      <c r="BD1625" s="76"/>
      <c r="BE1625" s="34"/>
      <c r="BF1625" s="34"/>
      <c r="BG1625" s="34"/>
      <c r="BH1625" s="34"/>
    </row>
    <row r="1626" spans="1:60" s="17" customFormat="1" ht="19.5" customHeight="1" thickBot="1" x14ac:dyDescent="0.45">
      <c r="A1626" s="41">
        <f>A1625</f>
        <v>45448</v>
      </c>
      <c r="B1626" s="139">
        <f>B1621</f>
        <v>0</v>
      </c>
      <c r="C1626" s="140"/>
      <c r="D1626" s="40">
        <f>C1590/8</f>
        <v>500</v>
      </c>
      <c r="E1626" s="151">
        <f>SUM(E1621:H1625)</f>
        <v>0</v>
      </c>
      <c r="F1626" s="152"/>
      <c r="G1626" s="152"/>
      <c r="H1626" s="153"/>
      <c r="I1626" s="151">
        <f>SUM(I1621:L1625)</f>
        <v>0</v>
      </c>
      <c r="J1626" s="152"/>
      <c r="K1626" s="152"/>
      <c r="L1626" s="153"/>
      <c r="M1626" s="151">
        <f>SUM(M1621:P1625)</f>
        <v>0</v>
      </c>
      <c r="N1626" s="152"/>
      <c r="O1626" s="152"/>
      <c r="P1626" s="153"/>
      <c r="Q1626" s="151">
        <f>SUM(Q1621:U1625)</f>
        <v>0</v>
      </c>
      <c r="R1626" s="152"/>
      <c r="S1626" s="152"/>
      <c r="T1626" s="152"/>
      <c r="U1626" s="153"/>
      <c r="V1626" s="151">
        <f>SUM(V1621:Y1625)</f>
        <v>0</v>
      </c>
      <c r="W1626" s="152"/>
      <c r="X1626" s="152"/>
      <c r="Y1626" s="153"/>
      <c r="Z1626" s="151">
        <f>SUM(Z1621:AC1625)</f>
        <v>0</v>
      </c>
      <c r="AA1626" s="152"/>
      <c r="AB1626" s="152"/>
      <c r="AC1626" s="153"/>
      <c r="AD1626" s="151">
        <f>SUM(AD1621:AG1625)</f>
        <v>0</v>
      </c>
      <c r="AE1626" s="152"/>
      <c r="AF1626" s="152"/>
      <c r="AG1626" s="153"/>
      <c r="AH1626" s="151">
        <f>SUM(AH1621:AK1625)</f>
        <v>0</v>
      </c>
      <c r="AI1626" s="152"/>
      <c r="AJ1626" s="152"/>
      <c r="AK1626" s="153"/>
      <c r="AL1626" s="151">
        <f>SUM(AL1621:AO1625)</f>
        <v>0</v>
      </c>
      <c r="AM1626" s="152"/>
      <c r="AN1626" s="152"/>
      <c r="AO1626" s="153"/>
      <c r="AP1626" s="151">
        <f>SUM(AP1621:AS1625)</f>
        <v>0</v>
      </c>
      <c r="AQ1626" s="152"/>
      <c r="AR1626" s="152"/>
      <c r="AS1626" s="153"/>
      <c r="AT1626" s="151">
        <f>SUM(AT1621:AW1625)</f>
        <v>0</v>
      </c>
      <c r="AU1626" s="152"/>
      <c r="AV1626" s="152"/>
      <c r="AW1626" s="153"/>
      <c r="AX1626" s="87">
        <f>SUM(AX1621:AX1625)</f>
        <v>0</v>
      </c>
      <c r="AY1626" s="88">
        <f>IFERROR(AVERAGEIF(E1626:AV1626,"&lt;&gt;0",(E1626:AV1626)),)</f>
        <v>0</v>
      </c>
      <c r="AZ1626" s="46">
        <f>IFERROR(AX1626/BB1622,0)</f>
        <v>0</v>
      </c>
      <c r="BA1626" s="34"/>
      <c r="BB1626" s="34"/>
      <c r="BC1626" s="34"/>
      <c r="BD1626" s="76"/>
      <c r="BE1626" s="34"/>
      <c r="BF1626" s="34"/>
      <c r="BG1626" s="34"/>
      <c r="BH1626" s="34"/>
    </row>
    <row r="1627" spans="1:60" s="17" customFormat="1" ht="19.5" customHeight="1" thickBot="1" x14ac:dyDescent="0.4">
      <c r="A1627" s="42">
        <f>A1620</f>
        <v>45448</v>
      </c>
      <c r="B1627" s="38" t="str">
        <f>B1628</f>
        <v>BANT GİRİŞ</v>
      </c>
      <c r="C1627" s="39" t="s">
        <v>180</v>
      </c>
      <c r="D1627" s="69" t="s">
        <v>181</v>
      </c>
      <c r="E1627" s="48">
        <v>0.34375</v>
      </c>
      <c r="F1627" s="49">
        <v>0.35416666666666669</v>
      </c>
      <c r="G1627" s="49">
        <v>0.36458333333333331</v>
      </c>
      <c r="H1627" s="50">
        <v>0.375</v>
      </c>
      <c r="I1627" s="48">
        <v>0.38541666666666702</v>
      </c>
      <c r="J1627" s="49">
        <v>0.39583333333333298</v>
      </c>
      <c r="K1627" s="49">
        <v>0.40625</v>
      </c>
      <c r="L1627" s="50">
        <v>0.41666666666666702</v>
      </c>
      <c r="M1627" s="48">
        <v>0.4375</v>
      </c>
      <c r="N1627" s="49">
        <v>0.44791666666666702</v>
      </c>
      <c r="O1627" s="49">
        <v>0.45833333333333398</v>
      </c>
      <c r="P1627" s="50">
        <v>0.46875</v>
      </c>
      <c r="Q1627" s="48">
        <v>0.47916666666666702</v>
      </c>
      <c r="R1627" s="49">
        <v>0.48958333333333398</v>
      </c>
      <c r="S1627" s="49">
        <v>0.5</v>
      </c>
      <c r="T1627" s="50">
        <v>0.51041666666666696</v>
      </c>
      <c r="U1627" s="51">
        <v>0.52083333333333204</v>
      </c>
      <c r="V1627" s="48">
        <v>0.5625</v>
      </c>
      <c r="W1627" s="49">
        <v>0.57291666666666663</v>
      </c>
      <c r="X1627" s="49">
        <v>0.58333333333333304</v>
      </c>
      <c r="Y1627" s="50">
        <v>0.59375</v>
      </c>
      <c r="Z1627" s="48">
        <v>0.60416666666666696</v>
      </c>
      <c r="AA1627" s="49">
        <v>0.61458333333333304</v>
      </c>
      <c r="AB1627" s="49">
        <v>0.625</v>
      </c>
      <c r="AC1627" s="50">
        <v>0.63541666666666596</v>
      </c>
      <c r="AD1627" s="48">
        <v>0.65625</v>
      </c>
      <c r="AE1627" s="49">
        <v>0.66666666666666663</v>
      </c>
      <c r="AF1627" s="49">
        <v>0.67708333333333304</v>
      </c>
      <c r="AG1627" s="50">
        <v>0.6875</v>
      </c>
      <c r="AH1627" s="48">
        <v>0.69791666666666696</v>
      </c>
      <c r="AI1627" s="49">
        <v>0.70833333333333304</v>
      </c>
      <c r="AJ1627" s="49">
        <v>0.71875</v>
      </c>
      <c r="AK1627" s="50">
        <v>0.72916666666666696</v>
      </c>
      <c r="AL1627" s="48">
        <v>0.73958333333333404</v>
      </c>
      <c r="AM1627" s="49">
        <v>0.750000000000001</v>
      </c>
      <c r="AN1627" s="49">
        <v>0.76041666666666796</v>
      </c>
      <c r="AO1627" s="50">
        <v>0.77083333333333504</v>
      </c>
      <c r="AP1627" s="48">
        <v>0.781250000000002</v>
      </c>
      <c r="AQ1627" s="49">
        <v>0.79166666666666896</v>
      </c>
      <c r="AR1627" s="49">
        <v>0.80208333333333603</v>
      </c>
      <c r="AS1627" s="50">
        <v>0.812500000000003</v>
      </c>
      <c r="AT1627" s="48">
        <v>0.82291666666666996</v>
      </c>
      <c r="AU1627" s="49">
        <v>0.83333333333333703</v>
      </c>
      <c r="AV1627" s="49">
        <v>0.843750000000004</v>
      </c>
      <c r="AW1627" s="50">
        <v>0.85416666666666663</v>
      </c>
      <c r="AX1627" s="68" t="s">
        <v>260</v>
      </c>
      <c r="AY1627" s="28" t="s">
        <v>261</v>
      </c>
      <c r="AZ1627" s="29" t="s">
        <v>262</v>
      </c>
      <c r="BA1627" s="136" t="str">
        <f>B1628</f>
        <v>BANT GİRİŞ</v>
      </c>
      <c r="BB1627" s="137"/>
      <c r="BC1627" s="137"/>
      <c r="BD1627" s="137"/>
      <c r="BE1627" s="137"/>
      <c r="BF1627" s="137"/>
      <c r="BG1627" s="137"/>
      <c r="BH1627" s="138"/>
    </row>
    <row r="1628" spans="1:60" s="17" customFormat="1" ht="19.5" customHeight="1" thickBot="1" x14ac:dyDescent="0.4">
      <c r="A1628" s="41">
        <f t="shared" ref="A1628" si="1632">A1627</f>
        <v>45448</v>
      </c>
      <c r="B1628" s="37" t="str">
        <f>B1452</f>
        <v>BANT GİRİŞ</v>
      </c>
      <c r="C1628" s="65" t="str">
        <f>C1452</f>
        <v>XS</v>
      </c>
      <c r="D1628" s="70">
        <f>D1452</f>
        <v>120</v>
      </c>
      <c r="E1628" s="63"/>
      <c r="F1628" s="55"/>
      <c r="G1628" s="55"/>
      <c r="H1628" s="56"/>
      <c r="I1628" s="63"/>
      <c r="J1628" s="55"/>
      <c r="K1628" s="55"/>
      <c r="L1628" s="56"/>
      <c r="M1628" s="63"/>
      <c r="N1628" s="55"/>
      <c r="O1628" s="55"/>
      <c r="P1628" s="56"/>
      <c r="Q1628" s="63"/>
      <c r="R1628" s="55"/>
      <c r="S1628" s="55"/>
      <c r="T1628" s="55"/>
      <c r="U1628" s="56"/>
      <c r="V1628" s="63"/>
      <c r="W1628" s="55"/>
      <c r="X1628" s="55"/>
      <c r="Y1628" s="56"/>
      <c r="Z1628" s="63"/>
      <c r="AA1628" s="55"/>
      <c r="AB1628" s="55"/>
      <c r="AC1628" s="56"/>
      <c r="AD1628" s="63"/>
      <c r="AE1628" s="55"/>
      <c r="AF1628" s="55"/>
      <c r="AG1628" s="56"/>
      <c r="AH1628" s="63"/>
      <c r="AI1628" s="55"/>
      <c r="AJ1628" s="55"/>
      <c r="AK1628" s="56"/>
      <c r="AL1628" s="63"/>
      <c r="AM1628" s="55"/>
      <c r="AN1628" s="55"/>
      <c r="AO1628" s="56"/>
      <c r="AP1628" s="63"/>
      <c r="AQ1628" s="54"/>
      <c r="AR1628" s="55"/>
      <c r="AS1628" s="56"/>
      <c r="AT1628" s="53"/>
      <c r="AU1628" s="54"/>
      <c r="AV1628" s="55"/>
      <c r="AW1628" s="56"/>
      <c r="AX1628" s="33">
        <f>SUM(E1628:AW1628)</f>
        <v>0</v>
      </c>
      <c r="AY1628" s="31">
        <f>IFERROR(AVERAGEIF(E1628:AW1628,"&lt;&gt;0",(E1628:AW1628)),)</f>
        <v>0</v>
      </c>
      <c r="AZ1628" s="30">
        <f>IFERROR(AY1628/D1628,0)</f>
        <v>0</v>
      </c>
      <c r="BA1628" s="19"/>
      <c r="BB1628" s="19" t="str">
        <f t="shared" ref="BB1628" si="1633">BA1590</f>
        <v>XS</v>
      </c>
      <c r="BC1628" s="19" t="str">
        <f t="shared" ref="BC1628" si="1634">BB1590</f>
        <v>S</v>
      </c>
      <c r="BD1628" s="19" t="str">
        <f t="shared" ref="BD1628" si="1635">BC1590</f>
        <v>M</v>
      </c>
      <c r="BE1628" s="19" t="str">
        <f t="shared" ref="BE1628" si="1636">BD1590</f>
        <v>L</v>
      </c>
      <c r="BF1628" s="19" t="str">
        <f t="shared" ref="BF1628" si="1637">BE1590</f>
        <v>XL</v>
      </c>
      <c r="BG1628" s="19" t="str">
        <f t="shared" ref="BG1628" si="1638">BF1590</f>
        <v>XXL</v>
      </c>
      <c r="BH1628" s="19" t="s">
        <v>190</v>
      </c>
    </row>
    <row r="1629" spans="1:60" s="17" customFormat="1" ht="19.5" customHeight="1" thickBot="1" x14ac:dyDescent="0.4">
      <c r="A1629" s="41">
        <f t="shared" ref="A1629:B1629" si="1639">A1628</f>
        <v>45448</v>
      </c>
      <c r="B1629" s="37" t="str">
        <f t="shared" si="1639"/>
        <v>BANT GİRİŞ</v>
      </c>
      <c r="C1629" s="65" t="str">
        <f t="shared" ref="C1629:C1634" si="1640">C1453</f>
        <v>S</v>
      </c>
      <c r="D1629" s="67">
        <f t="shared" ref="D1629:D1634" si="1641">D1628</f>
        <v>120</v>
      </c>
      <c r="E1629" s="57"/>
      <c r="F1629" s="52"/>
      <c r="G1629" s="52"/>
      <c r="H1629" s="58"/>
      <c r="I1629" s="57"/>
      <c r="J1629" s="52"/>
      <c r="K1629" s="52"/>
      <c r="L1629" s="58"/>
      <c r="M1629" s="57"/>
      <c r="N1629" s="52"/>
      <c r="O1629" s="52"/>
      <c r="P1629" s="58"/>
      <c r="Q1629" s="57"/>
      <c r="R1629" s="52"/>
      <c r="S1629" s="52"/>
      <c r="T1629" s="52"/>
      <c r="U1629" s="58"/>
      <c r="V1629" s="57"/>
      <c r="W1629" s="52"/>
      <c r="X1629" s="52"/>
      <c r="Y1629" s="58"/>
      <c r="Z1629" s="57"/>
      <c r="AA1629" s="52"/>
      <c r="AB1629" s="52"/>
      <c r="AC1629" s="58"/>
      <c r="AD1629" s="57"/>
      <c r="AE1629" s="52"/>
      <c r="AF1629" s="52"/>
      <c r="AG1629" s="58"/>
      <c r="AH1629" s="57"/>
      <c r="AI1629" s="52"/>
      <c r="AJ1629" s="52"/>
      <c r="AK1629" s="58"/>
      <c r="AL1629" s="57"/>
      <c r="AM1629" s="52"/>
      <c r="AN1629" s="52"/>
      <c r="AO1629" s="58"/>
      <c r="AP1629" s="57"/>
      <c r="AQ1629" s="52"/>
      <c r="AR1629" s="52"/>
      <c r="AS1629" s="58"/>
      <c r="AT1629" s="57"/>
      <c r="AU1629" s="52"/>
      <c r="AV1629" s="52"/>
      <c r="AW1629" s="58"/>
      <c r="AX1629" s="33">
        <f t="shared" ref="AX1629:AX1634" si="1642">SUM(E1629:AW1629)</f>
        <v>0</v>
      </c>
      <c r="AY1629" s="31">
        <f t="shared" ref="AY1629:AY1634" si="1643">IFERROR(AVERAGEIF(E1629:AW1629,"&lt;&gt;0",(E1629:AW1629)),)</f>
        <v>0</v>
      </c>
      <c r="AZ1629" s="30">
        <f t="shared" ref="AZ1629:AZ1634" si="1644">IFERROR(AY1629/D1629,0)</f>
        <v>0</v>
      </c>
      <c r="BA1629" s="94" t="s">
        <v>192</v>
      </c>
      <c r="BB1629" s="96">
        <f>SUMIF(C1628:C1634,BB1628,AX1628:AX1634)+BB1453</f>
        <v>0</v>
      </c>
      <c r="BC1629" s="96">
        <f>SUMIF(C1628:C1634,BC1628,AX1628:AX1634)+BC1453</f>
        <v>0</v>
      </c>
      <c r="BD1629" s="96">
        <f>SUMIF(C1628:C1634,BD1628,AX1628:AX1634)+BD1453</f>
        <v>0</v>
      </c>
      <c r="BE1629" s="96">
        <f>SUMIF(C1628:C1634,BE1628,AX1628:AX1634)+BE1453</f>
        <v>0</v>
      </c>
      <c r="BF1629" s="96">
        <f>SUMIF(C1628:C1634,BF1628,AX1628:AX1634)+BF1453</f>
        <v>0</v>
      </c>
      <c r="BG1629" s="96"/>
      <c r="BH1629" s="99">
        <f>SUM(BB1629:BG1629)</f>
        <v>0</v>
      </c>
    </row>
    <row r="1630" spans="1:60" s="17" customFormat="1" ht="19.5" customHeight="1" thickBot="1" x14ac:dyDescent="0.4">
      <c r="A1630" s="41">
        <f t="shared" ref="A1630:B1630" si="1645">A1629</f>
        <v>45448</v>
      </c>
      <c r="B1630" s="37" t="str">
        <f t="shared" si="1645"/>
        <v>BANT GİRİŞ</v>
      </c>
      <c r="C1630" s="65" t="str">
        <f t="shared" si="1640"/>
        <v>M</v>
      </c>
      <c r="D1630" s="67">
        <f t="shared" si="1641"/>
        <v>120</v>
      </c>
      <c r="E1630" s="57"/>
      <c r="F1630" s="52"/>
      <c r="G1630" s="52"/>
      <c r="H1630" s="58"/>
      <c r="I1630" s="57"/>
      <c r="J1630" s="52"/>
      <c r="K1630" s="52"/>
      <c r="L1630" s="58"/>
      <c r="M1630" s="57"/>
      <c r="N1630" s="52"/>
      <c r="O1630" s="52"/>
      <c r="P1630" s="58"/>
      <c r="Q1630" s="57"/>
      <c r="R1630" s="52"/>
      <c r="S1630" s="52"/>
      <c r="T1630" s="52"/>
      <c r="U1630" s="58"/>
      <c r="V1630" s="57"/>
      <c r="W1630" s="52"/>
      <c r="X1630" s="52"/>
      <c r="Y1630" s="58"/>
      <c r="Z1630" s="57"/>
      <c r="AA1630" s="52"/>
      <c r="AB1630" s="52"/>
      <c r="AC1630" s="58"/>
      <c r="AD1630" s="57"/>
      <c r="AE1630" s="52"/>
      <c r="AF1630" s="52"/>
      <c r="AG1630" s="58"/>
      <c r="AH1630" s="57"/>
      <c r="AI1630" s="52"/>
      <c r="AJ1630" s="52"/>
      <c r="AK1630" s="58"/>
      <c r="AL1630" s="57"/>
      <c r="AM1630" s="52"/>
      <c r="AN1630" s="52"/>
      <c r="AO1630" s="58"/>
      <c r="AP1630" s="57"/>
      <c r="AQ1630" s="52"/>
      <c r="AR1630" s="52"/>
      <c r="AS1630" s="58"/>
      <c r="AT1630" s="57"/>
      <c r="AU1630" s="52"/>
      <c r="AV1630" s="52"/>
      <c r="AW1630" s="58"/>
      <c r="AX1630" s="33">
        <f t="shared" si="1642"/>
        <v>0</v>
      </c>
      <c r="AY1630" s="31">
        <f t="shared" si="1643"/>
        <v>0</v>
      </c>
      <c r="AZ1630" s="30">
        <f t="shared" si="1644"/>
        <v>0</v>
      </c>
      <c r="BA1630" s="94" t="s">
        <v>193</v>
      </c>
      <c r="BB1630" s="96">
        <f>BA1591-BB1629</f>
        <v>492</v>
      </c>
      <c r="BC1630" s="96">
        <f>BB1591-BC1629</f>
        <v>11438</v>
      </c>
      <c r="BD1630" s="96">
        <f>BC1591-BD1629</f>
        <v>13689</v>
      </c>
      <c r="BE1630" s="96">
        <f>BD1591-BE1629</f>
        <v>9760</v>
      </c>
      <c r="BF1630" s="96">
        <f>BE1591-BF1629</f>
        <v>4794</v>
      </c>
      <c r="BG1630" s="96"/>
      <c r="BH1630" s="96">
        <f>SUM(BB1630:BG1630)</f>
        <v>40173</v>
      </c>
    </row>
    <row r="1631" spans="1:60" s="17" customFormat="1" ht="19.5" customHeight="1" x14ac:dyDescent="0.35">
      <c r="A1631" s="41">
        <f t="shared" ref="A1631:B1632" si="1646">A1630</f>
        <v>45448</v>
      </c>
      <c r="B1631" s="37" t="str">
        <f t="shared" si="1646"/>
        <v>BANT GİRİŞ</v>
      </c>
      <c r="C1631" s="65" t="str">
        <f t="shared" si="1640"/>
        <v>L</v>
      </c>
      <c r="D1631" s="67">
        <f t="shared" si="1641"/>
        <v>120</v>
      </c>
      <c r="E1631" s="57"/>
      <c r="F1631" s="52"/>
      <c r="G1631" s="52"/>
      <c r="H1631" s="58"/>
      <c r="I1631" s="57"/>
      <c r="J1631" s="52"/>
      <c r="K1631" s="52"/>
      <c r="L1631" s="58"/>
      <c r="M1631" s="57"/>
      <c r="N1631" s="52"/>
      <c r="O1631" s="52"/>
      <c r="P1631" s="58"/>
      <c r="Q1631" s="57"/>
      <c r="R1631" s="52"/>
      <c r="S1631" s="52"/>
      <c r="T1631" s="52"/>
      <c r="U1631" s="58"/>
      <c r="V1631" s="57"/>
      <c r="W1631" s="52"/>
      <c r="X1631" s="52"/>
      <c r="Y1631" s="58"/>
      <c r="Z1631" s="57"/>
      <c r="AA1631" s="52"/>
      <c r="AB1631" s="52"/>
      <c r="AC1631" s="58"/>
      <c r="AD1631" s="57"/>
      <c r="AE1631" s="52"/>
      <c r="AF1631" s="52"/>
      <c r="AG1631" s="58"/>
      <c r="AH1631" s="57"/>
      <c r="AI1631" s="52"/>
      <c r="AJ1631" s="52"/>
      <c r="AK1631" s="58"/>
      <c r="AL1631" s="57"/>
      <c r="AM1631" s="52"/>
      <c r="AN1631" s="52"/>
      <c r="AO1631" s="58"/>
      <c r="AP1631" s="57"/>
      <c r="AQ1631" s="52"/>
      <c r="AR1631" s="52"/>
      <c r="AS1631" s="58"/>
      <c r="AT1631" s="57"/>
      <c r="AU1631" s="52"/>
      <c r="AV1631" s="52"/>
      <c r="AW1631" s="58"/>
      <c r="AX1631" s="33">
        <f t="shared" si="1642"/>
        <v>0</v>
      </c>
      <c r="AY1631" s="31">
        <f t="shared" si="1643"/>
        <v>0</v>
      </c>
      <c r="AZ1631" s="30">
        <f t="shared" si="1644"/>
        <v>0</v>
      </c>
      <c r="BA1631" s="34"/>
      <c r="BB1631" s="34"/>
      <c r="BC1631" s="34"/>
      <c r="BD1631" s="76"/>
      <c r="BE1631" s="34"/>
      <c r="BF1631" s="34"/>
      <c r="BG1631" s="34"/>
      <c r="BH1631" s="34"/>
    </row>
    <row r="1632" spans="1:60" s="17" customFormat="1" ht="19.5" customHeight="1" x14ac:dyDescent="0.35">
      <c r="A1632" s="41">
        <f>A1629</f>
        <v>45448</v>
      </c>
      <c r="B1632" s="37" t="str">
        <f t="shared" si="1646"/>
        <v>BANT GİRİŞ</v>
      </c>
      <c r="C1632" s="65" t="str">
        <f t="shared" si="1640"/>
        <v>XXL</v>
      </c>
      <c r="D1632" s="67">
        <f t="shared" si="1641"/>
        <v>120</v>
      </c>
      <c r="E1632" s="57"/>
      <c r="F1632" s="52"/>
      <c r="G1632" s="52"/>
      <c r="H1632" s="58"/>
      <c r="I1632" s="57"/>
      <c r="J1632" s="52"/>
      <c r="K1632" s="52"/>
      <c r="L1632" s="58"/>
      <c r="M1632" s="57"/>
      <c r="N1632" s="52"/>
      <c r="O1632" s="52"/>
      <c r="P1632" s="58"/>
      <c r="Q1632" s="57"/>
      <c r="R1632" s="52"/>
      <c r="S1632" s="52"/>
      <c r="T1632" s="52"/>
      <c r="U1632" s="58"/>
      <c r="V1632" s="57"/>
      <c r="W1632" s="52"/>
      <c r="X1632" s="52"/>
      <c r="Y1632" s="58"/>
      <c r="Z1632" s="57"/>
      <c r="AA1632" s="52"/>
      <c r="AB1632" s="52"/>
      <c r="AC1632" s="58"/>
      <c r="AD1632" s="57"/>
      <c r="AE1632" s="52"/>
      <c r="AF1632" s="52"/>
      <c r="AG1632" s="58"/>
      <c r="AH1632" s="57"/>
      <c r="AI1632" s="52"/>
      <c r="AJ1632" s="52"/>
      <c r="AK1632" s="58"/>
      <c r="AL1632" s="57"/>
      <c r="AM1632" s="52"/>
      <c r="AN1632" s="52"/>
      <c r="AO1632" s="58"/>
      <c r="AP1632" s="57"/>
      <c r="AQ1632" s="52"/>
      <c r="AR1632" s="52"/>
      <c r="AS1632" s="58"/>
      <c r="AT1632" s="57"/>
      <c r="AU1632" s="52"/>
      <c r="AV1632" s="52"/>
      <c r="AW1632" s="58"/>
      <c r="AX1632" s="33">
        <f t="shared" si="1642"/>
        <v>0</v>
      </c>
      <c r="AY1632" s="31">
        <f t="shared" si="1643"/>
        <v>0</v>
      </c>
      <c r="AZ1632" s="30">
        <f t="shared" si="1644"/>
        <v>0</v>
      </c>
      <c r="BA1632" s="34"/>
      <c r="BB1632" s="34"/>
      <c r="BC1632" s="34"/>
      <c r="BD1632" s="76"/>
      <c r="BE1632" s="34"/>
      <c r="BF1632" s="34"/>
      <c r="BG1632" s="34"/>
      <c r="BH1632" s="34"/>
    </row>
    <row r="1633" spans="1:60" s="17" customFormat="1" ht="19.5" customHeight="1" x14ac:dyDescent="0.35">
      <c r="A1633" s="41">
        <f t="shared" ref="A1633:B1633" si="1647">A1632</f>
        <v>45448</v>
      </c>
      <c r="B1633" s="37" t="str">
        <f t="shared" si="1647"/>
        <v>BANT GİRİŞ</v>
      </c>
      <c r="C1633" s="65">
        <f t="shared" si="1640"/>
        <v>0</v>
      </c>
      <c r="D1633" s="67">
        <f t="shared" si="1641"/>
        <v>120</v>
      </c>
      <c r="E1633" s="57"/>
      <c r="F1633" s="52"/>
      <c r="G1633" s="52"/>
      <c r="H1633" s="58"/>
      <c r="I1633" s="57"/>
      <c r="J1633" s="52"/>
      <c r="K1633" s="52"/>
      <c r="L1633" s="58"/>
      <c r="M1633" s="57"/>
      <c r="N1633" s="52"/>
      <c r="O1633" s="52"/>
      <c r="P1633" s="58"/>
      <c r="Q1633" s="57"/>
      <c r="R1633" s="52"/>
      <c r="S1633" s="52"/>
      <c r="T1633" s="52"/>
      <c r="U1633" s="58"/>
      <c r="V1633" s="57"/>
      <c r="W1633" s="52"/>
      <c r="X1633" s="52"/>
      <c r="Y1633" s="58"/>
      <c r="Z1633" s="57"/>
      <c r="AA1633" s="52"/>
      <c r="AB1633" s="52"/>
      <c r="AC1633" s="58"/>
      <c r="AD1633" s="57"/>
      <c r="AE1633" s="52"/>
      <c r="AF1633" s="52"/>
      <c r="AG1633" s="58"/>
      <c r="AH1633" s="57"/>
      <c r="AI1633" s="52"/>
      <c r="AJ1633" s="52"/>
      <c r="AK1633" s="58"/>
      <c r="AL1633" s="57"/>
      <c r="AM1633" s="52"/>
      <c r="AN1633" s="52"/>
      <c r="AO1633" s="58"/>
      <c r="AP1633" s="57"/>
      <c r="AQ1633" s="52"/>
      <c r="AR1633" s="52"/>
      <c r="AS1633" s="58"/>
      <c r="AT1633" s="57"/>
      <c r="AU1633" s="52"/>
      <c r="AV1633" s="52"/>
      <c r="AW1633" s="58"/>
      <c r="AX1633" s="33">
        <f t="shared" si="1642"/>
        <v>0</v>
      </c>
      <c r="AY1633" s="31">
        <f t="shared" si="1643"/>
        <v>0</v>
      </c>
      <c r="AZ1633" s="30">
        <f t="shared" si="1644"/>
        <v>0</v>
      </c>
      <c r="BA1633" s="34"/>
      <c r="BB1633" s="34"/>
      <c r="BC1633" s="34"/>
      <c r="BD1633" s="76"/>
      <c r="BE1633" s="34"/>
      <c r="BF1633" s="34"/>
      <c r="BG1633" s="34"/>
      <c r="BH1633" s="34"/>
    </row>
    <row r="1634" spans="1:60" s="17" customFormat="1" ht="19.5" customHeight="1" thickBot="1" x14ac:dyDescent="0.4">
      <c r="A1634" s="41">
        <f t="shared" ref="A1634:B1635" si="1648">A1633</f>
        <v>45448</v>
      </c>
      <c r="B1634" s="37" t="str">
        <f t="shared" si="1648"/>
        <v>BANT GİRİŞ</v>
      </c>
      <c r="C1634" s="65">
        <f t="shared" si="1640"/>
        <v>0</v>
      </c>
      <c r="D1634" s="67">
        <f t="shared" si="1641"/>
        <v>120</v>
      </c>
      <c r="E1634" s="59"/>
      <c r="F1634" s="60"/>
      <c r="G1634" s="61"/>
      <c r="H1634" s="62"/>
      <c r="I1634" s="59"/>
      <c r="J1634" s="60"/>
      <c r="K1634" s="61"/>
      <c r="L1634" s="62"/>
      <c r="M1634" s="59"/>
      <c r="N1634" s="60"/>
      <c r="O1634" s="61"/>
      <c r="P1634" s="62"/>
      <c r="Q1634" s="64"/>
      <c r="R1634" s="61"/>
      <c r="S1634" s="61"/>
      <c r="T1634" s="61"/>
      <c r="U1634" s="62"/>
      <c r="V1634" s="59"/>
      <c r="W1634" s="60"/>
      <c r="X1634" s="61"/>
      <c r="Y1634" s="62"/>
      <c r="Z1634" s="59"/>
      <c r="AA1634" s="60"/>
      <c r="AB1634" s="61"/>
      <c r="AC1634" s="62"/>
      <c r="AD1634" s="59"/>
      <c r="AE1634" s="60"/>
      <c r="AF1634" s="61"/>
      <c r="AG1634" s="62"/>
      <c r="AH1634" s="59"/>
      <c r="AI1634" s="60"/>
      <c r="AJ1634" s="61"/>
      <c r="AK1634" s="62"/>
      <c r="AL1634" s="59"/>
      <c r="AM1634" s="60"/>
      <c r="AN1634" s="61"/>
      <c r="AO1634" s="62"/>
      <c r="AP1634" s="59"/>
      <c r="AQ1634" s="60"/>
      <c r="AR1634" s="61"/>
      <c r="AS1634" s="62"/>
      <c r="AT1634" s="59"/>
      <c r="AU1634" s="60"/>
      <c r="AV1634" s="61"/>
      <c r="AW1634" s="62"/>
      <c r="AX1634" s="33">
        <f t="shared" si="1642"/>
        <v>0</v>
      </c>
      <c r="AY1634" s="31">
        <f t="shared" si="1643"/>
        <v>0</v>
      </c>
      <c r="AZ1634" s="30">
        <f t="shared" si="1644"/>
        <v>0</v>
      </c>
      <c r="BA1634" s="34"/>
      <c r="BB1634" s="34"/>
      <c r="BC1634" s="34"/>
      <c r="BD1634" s="76"/>
      <c r="BE1634" s="34"/>
      <c r="BF1634" s="34"/>
      <c r="BG1634" s="34"/>
      <c r="BH1634" s="34"/>
    </row>
    <row r="1635" spans="1:60" s="17" customFormat="1" ht="19.5" customHeight="1" thickBot="1" x14ac:dyDescent="0.45">
      <c r="A1635" s="41">
        <f t="shared" si="1648"/>
        <v>45448</v>
      </c>
      <c r="B1635" s="139" t="str">
        <f>B1628</f>
        <v>BANT GİRİŞ</v>
      </c>
      <c r="C1635" s="140"/>
      <c r="D1635" s="40">
        <f>C1590/8</f>
        <v>500</v>
      </c>
      <c r="E1635" s="147">
        <f>SUM(E1628:H1634)</f>
        <v>0</v>
      </c>
      <c r="F1635" s="148"/>
      <c r="G1635" s="148"/>
      <c r="H1635" s="149"/>
      <c r="I1635" s="147">
        <f>SUM(I1628:L1634)</f>
        <v>0</v>
      </c>
      <c r="J1635" s="148"/>
      <c r="K1635" s="148"/>
      <c r="L1635" s="149"/>
      <c r="M1635" s="147">
        <f>SUM(M1628:P1634)</f>
        <v>0</v>
      </c>
      <c r="N1635" s="148"/>
      <c r="O1635" s="148"/>
      <c r="P1635" s="149"/>
      <c r="Q1635" s="147">
        <f>SUM(Q1628:U1634)</f>
        <v>0</v>
      </c>
      <c r="R1635" s="148"/>
      <c r="S1635" s="148"/>
      <c r="T1635" s="148"/>
      <c r="U1635" s="149"/>
      <c r="V1635" s="147">
        <f>SUM(V1628:Y1634)</f>
        <v>0</v>
      </c>
      <c r="W1635" s="148"/>
      <c r="X1635" s="148"/>
      <c r="Y1635" s="149"/>
      <c r="Z1635" s="147">
        <f>SUM(Z1628:AC1634)</f>
        <v>0</v>
      </c>
      <c r="AA1635" s="148"/>
      <c r="AB1635" s="148"/>
      <c r="AC1635" s="149"/>
      <c r="AD1635" s="147">
        <f>SUM(AD1628:AG1634)</f>
        <v>0</v>
      </c>
      <c r="AE1635" s="148"/>
      <c r="AF1635" s="148"/>
      <c r="AG1635" s="149"/>
      <c r="AH1635" s="147">
        <f>SUM(AH1628:AK1634)</f>
        <v>0</v>
      </c>
      <c r="AI1635" s="148"/>
      <c r="AJ1635" s="148"/>
      <c r="AK1635" s="149"/>
      <c r="AL1635" s="147">
        <f>SUM(AL1628:AO1634)</f>
        <v>0</v>
      </c>
      <c r="AM1635" s="148"/>
      <c r="AN1635" s="148"/>
      <c r="AO1635" s="149"/>
      <c r="AP1635" s="147">
        <f>SUM(AP1628:AS1634)</f>
        <v>0</v>
      </c>
      <c r="AQ1635" s="148"/>
      <c r="AR1635" s="148"/>
      <c r="AS1635" s="149"/>
      <c r="AT1635" s="147">
        <f>SUM(AT1628:AW1634)</f>
        <v>0</v>
      </c>
      <c r="AU1635" s="148"/>
      <c r="AV1635" s="148"/>
      <c r="AW1635" s="149"/>
      <c r="AX1635" s="87">
        <f>SUM(AX1628:AX1634)</f>
        <v>0</v>
      </c>
      <c r="AY1635" s="88">
        <f>IFERROR(AVERAGEIF(E1635:AV1635,"&lt;&gt;0",(E1635:AV1635)),)</f>
        <v>0</v>
      </c>
      <c r="AZ1635" s="46">
        <f>IFERROR(AX1635/BB1629,0)</f>
        <v>0</v>
      </c>
      <c r="BA1635" s="34"/>
      <c r="BB1635" s="34"/>
      <c r="BC1635" s="34"/>
      <c r="BD1635" s="76"/>
      <c r="BE1635" s="34"/>
      <c r="BF1635" s="34"/>
      <c r="BG1635" s="34"/>
      <c r="BH1635" s="34"/>
    </row>
    <row r="1636" spans="1:60" s="17" customFormat="1" ht="19.5" customHeight="1" thickBot="1" x14ac:dyDescent="0.4">
      <c r="A1636" s="42">
        <f>A1627</f>
        <v>45448</v>
      </c>
      <c r="B1636" s="38" t="str">
        <f>B1637</f>
        <v>Omuz Çatma</v>
      </c>
      <c r="C1636" s="39" t="s">
        <v>180</v>
      </c>
      <c r="D1636" s="69" t="s">
        <v>181</v>
      </c>
      <c r="E1636" s="48">
        <v>0.34375</v>
      </c>
      <c r="F1636" s="49">
        <v>0.35416666666666669</v>
      </c>
      <c r="G1636" s="49">
        <v>0.36458333333333331</v>
      </c>
      <c r="H1636" s="50">
        <v>0.375</v>
      </c>
      <c r="I1636" s="48">
        <v>0.38541666666666702</v>
      </c>
      <c r="J1636" s="49">
        <v>0.39583333333333298</v>
      </c>
      <c r="K1636" s="49">
        <v>0.40625</v>
      </c>
      <c r="L1636" s="50">
        <v>0.41666666666666702</v>
      </c>
      <c r="M1636" s="48">
        <v>0.4375</v>
      </c>
      <c r="N1636" s="49">
        <v>0.44791666666666702</v>
      </c>
      <c r="O1636" s="49">
        <v>0.45833333333333398</v>
      </c>
      <c r="P1636" s="50">
        <v>0.46875</v>
      </c>
      <c r="Q1636" s="48">
        <v>0.47916666666666702</v>
      </c>
      <c r="R1636" s="49">
        <v>0.48958333333333398</v>
      </c>
      <c r="S1636" s="49">
        <v>0.5</v>
      </c>
      <c r="T1636" s="50">
        <v>0.51041666666666696</v>
      </c>
      <c r="U1636" s="51">
        <v>0.52083333333333204</v>
      </c>
      <c r="V1636" s="48">
        <v>0.5625</v>
      </c>
      <c r="W1636" s="49">
        <v>0.57291666666666663</v>
      </c>
      <c r="X1636" s="49">
        <v>0.58333333333333304</v>
      </c>
      <c r="Y1636" s="50">
        <v>0.59375</v>
      </c>
      <c r="Z1636" s="48">
        <v>0.60416666666666696</v>
      </c>
      <c r="AA1636" s="49">
        <v>0.61458333333333304</v>
      </c>
      <c r="AB1636" s="49">
        <v>0.625</v>
      </c>
      <c r="AC1636" s="50">
        <v>0.63541666666666596</v>
      </c>
      <c r="AD1636" s="48">
        <v>0.65625</v>
      </c>
      <c r="AE1636" s="49">
        <v>0.66666666666666663</v>
      </c>
      <c r="AF1636" s="49">
        <v>0.67708333333333304</v>
      </c>
      <c r="AG1636" s="50">
        <v>0.6875</v>
      </c>
      <c r="AH1636" s="48">
        <v>0.69791666666666696</v>
      </c>
      <c r="AI1636" s="49">
        <v>0.70833333333333304</v>
      </c>
      <c r="AJ1636" s="49">
        <v>0.71875</v>
      </c>
      <c r="AK1636" s="50">
        <v>0.72916666666666696</v>
      </c>
      <c r="AL1636" s="48">
        <v>0.73958333333333404</v>
      </c>
      <c r="AM1636" s="49">
        <v>0.750000000000001</v>
      </c>
      <c r="AN1636" s="49">
        <v>0.76041666666666796</v>
      </c>
      <c r="AO1636" s="50">
        <v>0.77083333333333504</v>
      </c>
      <c r="AP1636" s="48">
        <v>0.781250000000002</v>
      </c>
      <c r="AQ1636" s="49">
        <v>0.79166666666666896</v>
      </c>
      <c r="AR1636" s="49">
        <v>0.80208333333333603</v>
      </c>
      <c r="AS1636" s="50">
        <v>0.812500000000003</v>
      </c>
      <c r="AT1636" s="48">
        <v>0.82291666666666996</v>
      </c>
      <c r="AU1636" s="49">
        <v>0.83333333333333703</v>
      </c>
      <c r="AV1636" s="49">
        <v>0.843750000000004</v>
      </c>
      <c r="AW1636" s="50">
        <v>0.85416666666666663</v>
      </c>
      <c r="AX1636" s="68" t="s">
        <v>260</v>
      </c>
      <c r="AY1636" s="28" t="s">
        <v>261</v>
      </c>
      <c r="AZ1636" s="29" t="s">
        <v>262</v>
      </c>
      <c r="BA1636" s="136" t="str">
        <f>B1637</f>
        <v>Omuz Çatma</v>
      </c>
      <c r="BB1636" s="137"/>
      <c r="BC1636" s="137"/>
      <c r="BD1636" s="137"/>
      <c r="BE1636" s="137"/>
      <c r="BF1636" s="137"/>
      <c r="BG1636" s="137"/>
      <c r="BH1636" s="138"/>
    </row>
    <row r="1637" spans="1:60" s="17" customFormat="1" ht="19.5" customHeight="1" thickBot="1" x14ac:dyDescent="0.4">
      <c r="A1637" s="41">
        <f t="shared" ref="A1637" si="1649">A1636</f>
        <v>45448</v>
      </c>
      <c r="B1637" s="37" t="str">
        <f>B1461</f>
        <v>Omuz Çatma</v>
      </c>
      <c r="C1637" s="65" t="str">
        <f>C1461</f>
        <v>SELDA TAŞ</v>
      </c>
      <c r="D1637" s="70">
        <f>D1461</f>
        <v>60</v>
      </c>
      <c r="E1637" s="63"/>
      <c r="F1637" s="55"/>
      <c r="G1637" s="55"/>
      <c r="H1637" s="56"/>
      <c r="I1637" s="63"/>
      <c r="J1637" s="55"/>
      <c r="K1637" s="55"/>
      <c r="L1637" s="56"/>
      <c r="M1637" s="63"/>
      <c r="N1637" s="55"/>
      <c r="O1637" s="55"/>
      <c r="P1637" s="56"/>
      <c r="Q1637" s="63"/>
      <c r="R1637" s="55"/>
      <c r="S1637" s="55"/>
      <c r="T1637" s="55"/>
      <c r="U1637" s="56"/>
      <c r="V1637" s="63"/>
      <c r="W1637" s="55"/>
      <c r="X1637" s="55"/>
      <c r="Y1637" s="56"/>
      <c r="Z1637" s="63"/>
      <c r="AA1637" s="55"/>
      <c r="AB1637" s="55"/>
      <c r="AC1637" s="56"/>
      <c r="AD1637" s="63"/>
      <c r="AE1637" s="55"/>
      <c r="AF1637" s="55"/>
      <c r="AG1637" s="56"/>
      <c r="AH1637" s="63"/>
      <c r="AI1637" s="55"/>
      <c r="AJ1637" s="55"/>
      <c r="AK1637" s="56"/>
      <c r="AL1637" s="63"/>
      <c r="AM1637" s="55"/>
      <c r="AN1637" s="55"/>
      <c r="AO1637" s="56"/>
      <c r="AP1637" s="63"/>
      <c r="AQ1637" s="54"/>
      <c r="AR1637" s="55"/>
      <c r="AS1637" s="56"/>
      <c r="AT1637" s="53"/>
      <c r="AU1637" s="54"/>
      <c r="AV1637" s="55"/>
      <c r="AW1637" s="56"/>
      <c r="AX1637" s="33">
        <f>SUM(E1637:AW1637)</f>
        <v>0</v>
      </c>
      <c r="AY1637" s="31">
        <f>IFERROR(AVERAGEIF(E1637:AW1637,"&lt;&gt;0",(E1637:AW1637)),)</f>
        <v>0</v>
      </c>
      <c r="AZ1637" s="30">
        <f>IFERROR(AY1637/D1637,0)</f>
        <v>0</v>
      </c>
      <c r="BA1637" s="103" t="s">
        <v>182</v>
      </c>
      <c r="BB1637" s="100" t="s">
        <v>183</v>
      </c>
      <c r="BC1637" s="100" t="s">
        <v>184</v>
      </c>
      <c r="BD1637" s="101" t="s">
        <v>185</v>
      </c>
      <c r="BE1637" s="100" t="s">
        <v>186</v>
      </c>
      <c r="BF1637" s="102" t="s">
        <v>187</v>
      </c>
      <c r="BG1637" s="100" t="s">
        <v>188</v>
      </c>
      <c r="BH1637" s="102" t="s">
        <v>189</v>
      </c>
    </row>
    <row r="1638" spans="1:60" s="17" customFormat="1" ht="19.5" customHeight="1" thickBot="1" x14ac:dyDescent="0.4">
      <c r="A1638" s="41">
        <f t="shared" ref="A1638:B1638" si="1650">A1637</f>
        <v>45448</v>
      </c>
      <c r="B1638" s="37" t="str">
        <f t="shared" si="1650"/>
        <v>Omuz Çatma</v>
      </c>
      <c r="C1638" s="65" t="str">
        <f t="shared" ref="C1638:C1643" si="1651">C1462</f>
        <v>FATMA BALCI</v>
      </c>
      <c r="D1638" s="67">
        <f t="shared" ref="D1638:D1643" si="1652">D1637</f>
        <v>60</v>
      </c>
      <c r="E1638" s="57"/>
      <c r="F1638" s="52"/>
      <c r="G1638" s="52"/>
      <c r="H1638" s="58"/>
      <c r="I1638" s="57"/>
      <c r="J1638" s="52"/>
      <c r="K1638" s="52"/>
      <c r="L1638" s="58"/>
      <c r="M1638" s="57"/>
      <c r="N1638" s="52"/>
      <c r="O1638" s="52"/>
      <c r="P1638" s="58"/>
      <c r="Q1638" s="57"/>
      <c r="R1638" s="52"/>
      <c r="S1638" s="52"/>
      <c r="T1638" s="52"/>
      <c r="U1638" s="58"/>
      <c r="V1638" s="57"/>
      <c r="W1638" s="52"/>
      <c r="X1638" s="52"/>
      <c r="Y1638" s="58"/>
      <c r="Z1638" s="57"/>
      <c r="AA1638" s="52"/>
      <c r="AB1638" s="52"/>
      <c r="AC1638" s="58"/>
      <c r="AD1638" s="57"/>
      <c r="AE1638" s="52"/>
      <c r="AF1638" s="52"/>
      <c r="AG1638" s="58"/>
      <c r="AH1638" s="57"/>
      <c r="AI1638" s="52"/>
      <c r="AJ1638" s="52"/>
      <c r="AK1638" s="58"/>
      <c r="AL1638" s="57"/>
      <c r="AM1638" s="52"/>
      <c r="AN1638" s="52"/>
      <c r="AO1638" s="58"/>
      <c r="AP1638" s="57"/>
      <c r="AQ1638" s="52"/>
      <c r="AR1638" s="52"/>
      <c r="AS1638" s="58"/>
      <c r="AT1638" s="57"/>
      <c r="AU1638" s="52"/>
      <c r="AV1638" s="52"/>
      <c r="AW1638" s="58"/>
      <c r="AX1638" s="33">
        <f t="shared" ref="AX1638:AX1643" si="1653">SUM(E1638:AW1638)</f>
        <v>0</v>
      </c>
      <c r="AY1638" s="31">
        <f t="shared" ref="AY1638:AY1643" si="1654">IFERROR(AVERAGEIF(E1638:AW1638,"&lt;&gt;0",(E1638:AW1638)),)</f>
        <v>0</v>
      </c>
      <c r="AZ1638" s="30">
        <f t="shared" ref="AZ1638:AZ1643" si="1655">IFERROR(AY1638/D1638,0)</f>
        <v>0</v>
      </c>
      <c r="BA1638" s="94">
        <f>AX1644+BA1462</f>
        <v>19000</v>
      </c>
      <c r="BB1638" s="95">
        <f>(D1644*8)</f>
        <v>4000</v>
      </c>
      <c r="BC1638" s="96">
        <f>C1589-BA1638</f>
        <v>23311</v>
      </c>
      <c r="BD1638" s="96">
        <f>BH1629-BA1638</f>
        <v>-19000</v>
      </c>
      <c r="BE1638" s="97">
        <f>IFERROR(BC1638/E1644,0)</f>
        <v>0</v>
      </c>
      <c r="BF1638" s="98">
        <f>IFERROR(BE1638/9,0)</f>
        <v>0</v>
      </c>
      <c r="BG1638" s="97">
        <f>IFERROR(BC1638/AY1644,0)</f>
        <v>0</v>
      </c>
      <c r="BH1638" s="97">
        <f>IFERROR(BG1638/9,0)</f>
        <v>0</v>
      </c>
    </row>
    <row r="1639" spans="1:60" s="17" customFormat="1" ht="19.5" customHeight="1" x14ac:dyDescent="0.35">
      <c r="A1639" s="41">
        <f t="shared" ref="A1639:B1639" si="1656">A1638</f>
        <v>45448</v>
      </c>
      <c r="B1639" s="37" t="str">
        <f t="shared" si="1656"/>
        <v>Omuz Çatma</v>
      </c>
      <c r="C1639" s="65" t="str">
        <f t="shared" si="1651"/>
        <v>AYŞE ALTUN</v>
      </c>
      <c r="D1639" s="67">
        <f t="shared" si="1652"/>
        <v>60</v>
      </c>
      <c r="E1639" s="57"/>
      <c r="F1639" s="52"/>
      <c r="G1639" s="52"/>
      <c r="H1639" s="58"/>
      <c r="I1639" s="57"/>
      <c r="J1639" s="52"/>
      <c r="K1639" s="52"/>
      <c r="L1639" s="58"/>
      <c r="M1639" s="57"/>
      <c r="N1639" s="52"/>
      <c r="O1639" s="52"/>
      <c r="P1639" s="58"/>
      <c r="Q1639" s="57"/>
      <c r="R1639" s="52"/>
      <c r="S1639" s="52"/>
      <c r="T1639" s="52"/>
      <c r="U1639" s="58"/>
      <c r="V1639" s="57"/>
      <c r="W1639" s="52"/>
      <c r="X1639" s="52"/>
      <c r="Y1639" s="58"/>
      <c r="Z1639" s="57"/>
      <c r="AA1639" s="52"/>
      <c r="AB1639" s="52"/>
      <c r="AC1639" s="58"/>
      <c r="AD1639" s="57"/>
      <c r="AE1639" s="52"/>
      <c r="AF1639" s="52"/>
      <c r="AG1639" s="58"/>
      <c r="AH1639" s="57"/>
      <c r="AI1639" s="52"/>
      <c r="AJ1639" s="52"/>
      <c r="AK1639" s="58"/>
      <c r="AL1639" s="57"/>
      <c r="AM1639" s="52"/>
      <c r="AN1639" s="52"/>
      <c r="AO1639" s="58"/>
      <c r="AP1639" s="57"/>
      <c r="AQ1639" s="52"/>
      <c r="AR1639" s="52"/>
      <c r="AS1639" s="58"/>
      <c r="AT1639" s="57"/>
      <c r="AU1639" s="52"/>
      <c r="AV1639" s="52"/>
      <c r="AW1639" s="58"/>
      <c r="AX1639" s="33">
        <f t="shared" si="1653"/>
        <v>0</v>
      </c>
      <c r="AY1639" s="31">
        <f t="shared" si="1654"/>
        <v>0</v>
      </c>
      <c r="AZ1639" s="30">
        <f t="shared" si="1655"/>
        <v>0</v>
      </c>
      <c r="BA1639" s="34"/>
      <c r="BB1639" s="34"/>
      <c r="BC1639" s="34"/>
      <c r="BD1639" s="76"/>
      <c r="BE1639" s="34"/>
      <c r="BF1639" s="34"/>
      <c r="BG1639" s="34"/>
      <c r="BH1639" s="34"/>
    </row>
    <row r="1640" spans="1:60" s="17" customFormat="1" ht="19.5" customHeight="1" x14ac:dyDescent="0.35">
      <c r="A1640" s="41">
        <f t="shared" ref="A1640:B1643" si="1657">A1639</f>
        <v>45448</v>
      </c>
      <c r="B1640" s="37" t="str">
        <f t="shared" si="1657"/>
        <v>Omuz Çatma</v>
      </c>
      <c r="C1640" s="65" t="str">
        <f t="shared" si="1651"/>
        <v>EMİNE GAPAYLAR</v>
      </c>
      <c r="D1640" s="67">
        <f t="shared" si="1652"/>
        <v>60</v>
      </c>
      <c r="E1640" s="57"/>
      <c r="F1640" s="52"/>
      <c r="G1640" s="52"/>
      <c r="H1640" s="58"/>
      <c r="I1640" s="57"/>
      <c r="J1640" s="52"/>
      <c r="K1640" s="52"/>
      <c r="L1640" s="58"/>
      <c r="M1640" s="57"/>
      <c r="N1640" s="52"/>
      <c r="O1640" s="52"/>
      <c r="P1640" s="58"/>
      <c r="Q1640" s="57"/>
      <c r="R1640" s="52"/>
      <c r="S1640" s="52"/>
      <c r="T1640" s="52"/>
      <c r="U1640" s="58"/>
      <c r="V1640" s="57"/>
      <c r="W1640" s="52"/>
      <c r="X1640" s="52"/>
      <c r="Y1640" s="58"/>
      <c r="Z1640" s="57"/>
      <c r="AA1640" s="52"/>
      <c r="AB1640" s="52"/>
      <c r="AC1640" s="58"/>
      <c r="AD1640" s="57"/>
      <c r="AE1640" s="52"/>
      <c r="AF1640" s="52"/>
      <c r="AG1640" s="58"/>
      <c r="AH1640" s="57"/>
      <c r="AI1640" s="52"/>
      <c r="AJ1640" s="52"/>
      <c r="AK1640" s="58"/>
      <c r="AL1640" s="57"/>
      <c r="AM1640" s="52"/>
      <c r="AN1640" s="52"/>
      <c r="AO1640" s="58"/>
      <c r="AP1640" s="57"/>
      <c r="AQ1640" s="52"/>
      <c r="AR1640" s="52"/>
      <c r="AS1640" s="58"/>
      <c r="AT1640" s="57"/>
      <c r="AU1640" s="52"/>
      <c r="AV1640" s="52"/>
      <c r="AW1640" s="58"/>
      <c r="AX1640" s="33">
        <f t="shared" si="1653"/>
        <v>0</v>
      </c>
      <c r="AY1640" s="31">
        <f t="shared" si="1654"/>
        <v>0</v>
      </c>
      <c r="AZ1640" s="30">
        <f t="shared" si="1655"/>
        <v>0</v>
      </c>
      <c r="BA1640" s="34"/>
      <c r="BB1640" s="34"/>
      <c r="BC1640" s="34"/>
      <c r="BD1640" s="76"/>
      <c r="BE1640" s="34"/>
      <c r="BF1640" s="34"/>
      <c r="BG1640" s="34"/>
      <c r="BH1640" s="34"/>
    </row>
    <row r="1641" spans="1:60" s="17" customFormat="1" ht="19.5" customHeight="1" x14ac:dyDescent="0.35">
      <c r="A1641" s="41">
        <f>A1638</f>
        <v>45448</v>
      </c>
      <c r="B1641" s="37" t="str">
        <f t="shared" si="1657"/>
        <v>Omuz Çatma</v>
      </c>
      <c r="C1641" s="65">
        <f t="shared" si="1651"/>
        <v>0</v>
      </c>
      <c r="D1641" s="67">
        <f t="shared" si="1652"/>
        <v>60</v>
      </c>
      <c r="E1641" s="57"/>
      <c r="F1641" s="52"/>
      <c r="G1641" s="52"/>
      <c r="H1641" s="58"/>
      <c r="I1641" s="57"/>
      <c r="J1641" s="52"/>
      <c r="K1641" s="52"/>
      <c r="L1641" s="58"/>
      <c r="M1641" s="57"/>
      <c r="N1641" s="52"/>
      <c r="O1641" s="52"/>
      <c r="P1641" s="58"/>
      <c r="Q1641" s="57"/>
      <c r="R1641" s="52"/>
      <c r="S1641" s="52"/>
      <c r="T1641" s="52"/>
      <c r="U1641" s="58"/>
      <c r="V1641" s="57"/>
      <c r="W1641" s="52"/>
      <c r="X1641" s="52"/>
      <c r="Y1641" s="58"/>
      <c r="Z1641" s="57"/>
      <c r="AA1641" s="52"/>
      <c r="AB1641" s="52"/>
      <c r="AC1641" s="58"/>
      <c r="AD1641" s="57"/>
      <c r="AE1641" s="52"/>
      <c r="AF1641" s="52"/>
      <c r="AG1641" s="58"/>
      <c r="AH1641" s="57"/>
      <c r="AI1641" s="52"/>
      <c r="AJ1641" s="52"/>
      <c r="AK1641" s="58"/>
      <c r="AL1641" s="57"/>
      <c r="AM1641" s="52"/>
      <c r="AN1641" s="52"/>
      <c r="AO1641" s="58"/>
      <c r="AP1641" s="57"/>
      <c r="AQ1641" s="52"/>
      <c r="AR1641" s="52"/>
      <c r="AS1641" s="58"/>
      <c r="AT1641" s="57"/>
      <c r="AU1641" s="52"/>
      <c r="AV1641" s="52"/>
      <c r="AW1641" s="58"/>
      <c r="AX1641" s="33">
        <f t="shared" si="1653"/>
        <v>0</v>
      </c>
      <c r="AY1641" s="31">
        <f t="shared" si="1654"/>
        <v>0</v>
      </c>
      <c r="AZ1641" s="30">
        <f t="shared" si="1655"/>
        <v>0</v>
      </c>
      <c r="BA1641" s="34"/>
      <c r="BB1641" s="34"/>
      <c r="BC1641" s="34"/>
      <c r="BD1641" s="76"/>
      <c r="BE1641" s="34"/>
      <c r="BF1641" s="34"/>
      <c r="BG1641" s="34"/>
      <c r="BH1641" s="34"/>
    </row>
    <row r="1642" spans="1:60" s="17" customFormat="1" ht="19.5" customHeight="1" x14ac:dyDescent="0.35">
      <c r="A1642" s="41">
        <f>A1641</f>
        <v>45448</v>
      </c>
      <c r="B1642" s="37" t="str">
        <f t="shared" si="1657"/>
        <v>Omuz Çatma</v>
      </c>
      <c r="C1642" s="65">
        <f t="shared" si="1651"/>
        <v>0</v>
      </c>
      <c r="D1642" s="67">
        <f t="shared" si="1652"/>
        <v>60</v>
      </c>
      <c r="E1642" s="57"/>
      <c r="F1642" s="52"/>
      <c r="G1642" s="52"/>
      <c r="H1642" s="58"/>
      <c r="I1642" s="57"/>
      <c r="J1642" s="52"/>
      <c r="K1642" s="52"/>
      <c r="L1642" s="58"/>
      <c r="M1642" s="57"/>
      <c r="N1642" s="52"/>
      <c r="O1642" s="52"/>
      <c r="P1642" s="58"/>
      <c r="Q1642" s="57"/>
      <c r="R1642" s="52"/>
      <c r="S1642" s="52"/>
      <c r="T1642" s="52"/>
      <c r="U1642" s="58"/>
      <c r="V1642" s="57"/>
      <c r="W1642" s="52"/>
      <c r="X1642" s="52"/>
      <c r="Y1642" s="58"/>
      <c r="Z1642" s="57"/>
      <c r="AA1642" s="52"/>
      <c r="AB1642" s="52"/>
      <c r="AC1642" s="58"/>
      <c r="AD1642" s="57"/>
      <c r="AE1642" s="52"/>
      <c r="AF1642" s="52"/>
      <c r="AG1642" s="58"/>
      <c r="AH1642" s="57"/>
      <c r="AI1642" s="52"/>
      <c r="AJ1642" s="52"/>
      <c r="AK1642" s="58"/>
      <c r="AL1642" s="57"/>
      <c r="AM1642" s="52"/>
      <c r="AN1642" s="52"/>
      <c r="AO1642" s="58"/>
      <c r="AP1642" s="57"/>
      <c r="AQ1642" s="52"/>
      <c r="AR1642" s="52"/>
      <c r="AS1642" s="58"/>
      <c r="AT1642" s="57"/>
      <c r="AU1642" s="52"/>
      <c r="AV1642" s="52"/>
      <c r="AW1642" s="58"/>
      <c r="AX1642" s="33">
        <f t="shared" si="1653"/>
        <v>0</v>
      </c>
      <c r="AY1642" s="31">
        <f t="shared" si="1654"/>
        <v>0</v>
      </c>
      <c r="AZ1642" s="30">
        <f t="shared" si="1655"/>
        <v>0</v>
      </c>
      <c r="BA1642" s="34"/>
      <c r="BB1642" s="34"/>
      <c r="BC1642" s="34"/>
      <c r="BD1642" s="76"/>
      <c r="BE1642" s="34"/>
      <c r="BF1642" s="34"/>
      <c r="BG1642" s="34"/>
      <c r="BH1642" s="34"/>
    </row>
    <row r="1643" spans="1:60" s="17" customFormat="1" ht="19.5" customHeight="1" thickBot="1" x14ac:dyDescent="0.4">
      <c r="A1643" s="41">
        <f>A1642</f>
        <v>45448</v>
      </c>
      <c r="B1643" s="37" t="str">
        <f t="shared" si="1657"/>
        <v>Omuz Çatma</v>
      </c>
      <c r="C1643" s="65">
        <f t="shared" si="1651"/>
        <v>0</v>
      </c>
      <c r="D1643" s="67">
        <f t="shared" si="1652"/>
        <v>60</v>
      </c>
      <c r="E1643" s="59"/>
      <c r="F1643" s="60"/>
      <c r="G1643" s="61"/>
      <c r="H1643" s="62"/>
      <c r="I1643" s="59"/>
      <c r="J1643" s="60"/>
      <c r="K1643" s="61"/>
      <c r="L1643" s="62"/>
      <c r="M1643" s="59"/>
      <c r="N1643" s="60"/>
      <c r="O1643" s="61"/>
      <c r="P1643" s="62"/>
      <c r="Q1643" s="64"/>
      <c r="R1643" s="61"/>
      <c r="S1643" s="61"/>
      <c r="T1643" s="61"/>
      <c r="U1643" s="62"/>
      <c r="V1643" s="59"/>
      <c r="W1643" s="60"/>
      <c r="X1643" s="61"/>
      <c r="Y1643" s="62"/>
      <c r="Z1643" s="59"/>
      <c r="AA1643" s="60"/>
      <c r="AB1643" s="61"/>
      <c r="AC1643" s="62"/>
      <c r="AD1643" s="59"/>
      <c r="AE1643" s="60"/>
      <c r="AF1643" s="61"/>
      <c r="AG1643" s="62"/>
      <c r="AH1643" s="59"/>
      <c r="AI1643" s="60"/>
      <c r="AJ1643" s="61"/>
      <c r="AK1643" s="62"/>
      <c r="AL1643" s="59"/>
      <c r="AM1643" s="60"/>
      <c r="AN1643" s="61"/>
      <c r="AO1643" s="62"/>
      <c r="AP1643" s="59"/>
      <c r="AQ1643" s="60"/>
      <c r="AR1643" s="61"/>
      <c r="AS1643" s="62"/>
      <c r="AT1643" s="59"/>
      <c r="AU1643" s="60"/>
      <c r="AV1643" s="61"/>
      <c r="AW1643" s="62"/>
      <c r="AX1643" s="33">
        <f t="shared" si="1653"/>
        <v>0</v>
      </c>
      <c r="AY1643" s="31">
        <f t="shared" si="1654"/>
        <v>0</v>
      </c>
      <c r="AZ1643" s="30">
        <f t="shared" si="1655"/>
        <v>0</v>
      </c>
      <c r="BA1643" s="34"/>
      <c r="BB1643" s="34"/>
      <c r="BC1643" s="34"/>
      <c r="BD1643" s="76"/>
      <c r="BE1643" s="34"/>
      <c r="BF1643" s="34"/>
      <c r="BG1643" s="34"/>
      <c r="BH1643" s="34"/>
    </row>
    <row r="1644" spans="1:60" s="17" customFormat="1" ht="19.5" customHeight="1" thickBot="1" x14ac:dyDescent="0.45">
      <c r="A1644" s="41">
        <f>A1643</f>
        <v>45448</v>
      </c>
      <c r="B1644" s="139" t="str">
        <f>B1637</f>
        <v>Omuz Çatma</v>
      </c>
      <c r="C1644" s="140"/>
      <c r="D1644" s="40">
        <f>C1590/8</f>
        <v>500</v>
      </c>
      <c r="E1644" s="147">
        <f>SUM(E1637:H1643)</f>
        <v>0</v>
      </c>
      <c r="F1644" s="148"/>
      <c r="G1644" s="148"/>
      <c r="H1644" s="149"/>
      <c r="I1644" s="147">
        <f>SUM(I1637:L1643)</f>
        <v>0</v>
      </c>
      <c r="J1644" s="148"/>
      <c r="K1644" s="148"/>
      <c r="L1644" s="149"/>
      <c r="M1644" s="147">
        <f>SUM(M1637:P1643)</f>
        <v>0</v>
      </c>
      <c r="N1644" s="148"/>
      <c r="O1644" s="148"/>
      <c r="P1644" s="149"/>
      <c r="Q1644" s="147">
        <f>SUM(Q1637:U1643)</f>
        <v>0</v>
      </c>
      <c r="R1644" s="148"/>
      <c r="S1644" s="148"/>
      <c r="T1644" s="148"/>
      <c r="U1644" s="149"/>
      <c r="V1644" s="147">
        <f>SUM(V1637:Y1643)</f>
        <v>0</v>
      </c>
      <c r="W1644" s="148"/>
      <c r="X1644" s="148"/>
      <c r="Y1644" s="149"/>
      <c r="Z1644" s="147">
        <f>SUM(Z1637:AC1643)</f>
        <v>0</v>
      </c>
      <c r="AA1644" s="148"/>
      <c r="AB1644" s="148"/>
      <c r="AC1644" s="149"/>
      <c r="AD1644" s="147">
        <f>SUM(AD1637:AG1643)</f>
        <v>0</v>
      </c>
      <c r="AE1644" s="148"/>
      <c r="AF1644" s="148"/>
      <c r="AG1644" s="149"/>
      <c r="AH1644" s="147">
        <f>SUM(AH1637:AK1643)</f>
        <v>0</v>
      </c>
      <c r="AI1644" s="148"/>
      <c r="AJ1644" s="148"/>
      <c r="AK1644" s="149"/>
      <c r="AL1644" s="147">
        <f>SUM(AL1637:AO1643)</f>
        <v>0</v>
      </c>
      <c r="AM1644" s="148"/>
      <c r="AN1644" s="148"/>
      <c r="AO1644" s="149"/>
      <c r="AP1644" s="147">
        <f>SUM(AP1637:AS1643)</f>
        <v>0</v>
      </c>
      <c r="AQ1644" s="148"/>
      <c r="AR1644" s="148"/>
      <c r="AS1644" s="149"/>
      <c r="AT1644" s="147">
        <f>SUM(AT1637:AW1643)</f>
        <v>0</v>
      </c>
      <c r="AU1644" s="148"/>
      <c r="AV1644" s="148"/>
      <c r="AW1644" s="149"/>
      <c r="AX1644" s="87">
        <f>SUM(AX1637:AX1643)</f>
        <v>0</v>
      </c>
      <c r="AY1644" s="88">
        <f>IFERROR(AVERAGEIF(E1644:AV1644,"&lt;&gt;0",(E1644:AV1644)),)</f>
        <v>0</v>
      </c>
      <c r="AZ1644" s="46">
        <f>IFERROR(AX1644/BB1638,0)</f>
        <v>0</v>
      </c>
      <c r="BA1644" s="34"/>
      <c r="BB1644" s="34"/>
      <c r="BC1644" s="34"/>
      <c r="BD1644" s="76"/>
      <c r="BE1644" s="34"/>
      <c r="BF1644" s="34"/>
      <c r="BG1644" s="34"/>
      <c r="BH1644" s="34"/>
    </row>
    <row r="1645" spans="1:60" s="17" customFormat="1" ht="19.5" customHeight="1" thickBot="1" x14ac:dyDescent="0.4">
      <c r="A1645" s="42">
        <f>A1636</f>
        <v>45448</v>
      </c>
      <c r="B1645" s="38" t="str">
        <f>B1646</f>
        <v>Yaka Takma</v>
      </c>
      <c r="C1645" s="39" t="s">
        <v>180</v>
      </c>
      <c r="D1645" s="69" t="s">
        <v>181</v>
      </c>
      <c r="E1645" s="48">
        <v>0.34375</v>
      </c>
      <c r="F1645" s="49">
        <v>0.35416666666666669</v>
      </c>
      <c r="G1645" s="49">
        <v>0.36458333333333331</v>
      </c>
      <c r="H1645" s="50">
        <v>0.375</v>
      </c>
      <c r="I1645" s="48">
        <v>0.38541666666666702</v>
      </c>
      <c r="J1645" s="49">
        <v>0.39583333333333298</v>
      </c>
      <c r="K1645" s="49">
        <v>0.40625</v>
      </c>
      <c r="L1645" s="50">
        <v>0.41666666666666702</v>
      </c>
      <c r="M1645" s="48">
        <v>0.4375</v>
      </c>
      <c r="N1645" s="49">
        <v>0.44791666666666702</v>
      </c>
      <c r="O1645" s="49">
        <v>0.45833333333333398</v>
      </c>
      <c r="P1645" s="50">
        <v>0.46875</v>
      </c>
      <c r="Q1645" s="48">
        <v>0.47916666666666702</v>
      </c>
      <c r="R1645" s="49">
        <v>0.48958333333333398</v>
      </c>
      <c r="S1645" s="49">
        <v>0.5</v>
      </c>
      <c r="T1645" s="50">
        <v>0.51041666666666696</v>
      </c>
      <c r="U1645" s="51">
        <v>0.52083333333333204</v>
      </c>
      <c r="V1645" s="48">
        <v>0.5625</v>
      </c>
      <c r="W1645" s="49">
        <v>0.57291666666666663</v>
      </c>
      <c r="X1645" s="49">
        <v>0.58333333333333304</v>
      </c>
      <c r="Y1645" s="50">
        <v>0.59375</v>
      </c>
      <c r="Z1645" s="48">
        <v>0.60416666666666696</v>
      </c>
      <c r="AA1645" s="49">
        <v>0.61458333333333304</v>
      </c>
      <c r="AB1645" s="49">
        <v>0.625</v>
      </c>
      <c r="AC1645" s="50">
        <v>0.63541666666666596</v>
      </c>
      <c r="AD1645" s="48">
        <v>0.65625</v>
      </c>
      <c r="AE1645" s="49">
        <v>0.66666666666666663</v>
      </c>
      <c r="AF1645" s="49">
        <v>0.67708333333333304</v>
      </c>
      <c r="AG1645" s="50">
        <v>0.6875</v>
      </c>
      <c r="AH1645" s="48">
        <v>0.69791666666666696</v>
      </c>
      <c r="AI1645" s="49">
        <v>0.70833333333333304</v>
      </c>
      <c r="AJ1645" s="49">
        <v>0.71875</v>
      </c>
      <c r="AK1645" s="50">
        <v>0.72916666666666696</v>
      </c>
      <c r="AL1645" s="48">
        <v>0.73958333333333404</v>
      </c>
      <c r="AM1645" s="49">
        <v>0.750000000000001</v>
      </c>
      <c r="AN1645" s="49">
        <v>0.76041666666666796</v>
      </c>
      <c r="AO1645" s="50">
        <v>0.77083333333333504</v>
      </c>
      <c r="AP1645" s="48">
        <v>0.781250000000002</v>
      </c>
      <c r="AQ1645" s="49">
        <v>0.79166666666666896</v>
      </c>
      <c r="AR1645" s="49">
        <v>0.80208333333333603</v>
      </c>
      <c r="AS1645" s="50">
        <v>0.812500000000003</v>
      </c>
      <c r="AT1645" s="48">
        <v>0.82291666666666996</v>
      </c>
      <c r="AU1645" s="49">
        <v>0.83333333333333703</v>
      </c>
      <c r="AV1645" s="49">
        <v>0.843750000000004</v>
      </c>
      <c r="AW1645" s="50">
        <v>0.85416666666666663</v>
      </c>
      <c r="AX1645" s="68" t="s">
        <v>260</v>
      </c>
      <c r="AY1645" s="28" t="s">
        <v>261</v>
      </c>
      <c r="AZ1645" s="29" t="s">
        <v>262</v>
      </c>
      <c r="BA1645" s="136" t="str">
        <f>B1646</f>
        <v>Yaka Takma</v>
      </c>
      <c r="BB1645" s="137"/>
      <c r="BC1645" s="137"/>
      <c r="BD1645" s="137"/>
      <c r="BE1645" s="137"/>
      <c r="BF1645" s="137"/>
      <c r="BG1645" s="137"/>
      <c r="BH1645" s="138"/>
    </row>
    <row r="1646" spans="1:60" s="17" customFormat="1" ht="19.5" customHeight="1" thickBot="1" x14ac:dyDescent="0.4">
      <c r="A1646" s="41">
        <f>A1645</f>
        <v>45448</v>
      </c>
      <c r="B1646" s="37" t="str">
        <f>B1470</f>
        <v>Yaka Takma</v>
      </c>
      <c r="C1646" s="65" t="str">
        <f>C1470</f>
        <v>FATMA KIZILTAN</v>
      </c>
      <c r="D1646" s="70">
        <f>D1470</f>
        <v>70</v>
      </c>
      <c r="E1646" s="53"/>
      <c r="F1646" s="54"/>
      <c r="G1646" s="55"/>
      <c r="H1646" s="56"/>
      <c r="I1646" s="53"/>
      <c r="J1646" s="54"/>
      <c r="K1646" s="55"/>
      <c r="L1646" s="56"/>
      <c r="M1646" s="53"/>
      <c r="N1646" s="54"/>
      <c r="O1646" s="55"/>
      <c r="P1646" s="56"/>
      <c r="Q1646" s="63"/>
      <c r="R1646" s="55"/>
      <c r="S1646" s="55"/>
      <c r="T1646" s="55"/>
      <c r="U1646" s="56"/>
      <c r="V1646" s="53"/>
      <c r="W1646" s="54"/>
      <c r="X1646" s="55"/>
      <c r="Y1646" s="56"/>
      <c r="Z1646" s="53"/>
      <c r="AA1646" s="54"/>
      <c r="AB1646" s="55"/>
      <c r="AC1646" s="56"/>
      <c r="AD1646" s="53"/>
      <c r="AE1646" s="54"/>
      <c r="AF1646" s="55"/>
      <c r="AG1646" s="56"/>
      <c r="AH1646" s="53"/>
      <c r="AI1646" s="54"/>
      <c r="AJ1646" s="55"/>
      <c r="AK1646" s="56"/>
      <c r="AL1646" s="53"/>
      <c r="AM1646" s="54"/>
      <c r="AN1646" s="55"/>
      <c r="AO1646" s="56"/>
      <c r="AP1646" s="53"/>
      <c r="AQ1646" s="54"/>
      <c r="AR1646" s="55"/>
      <c r="AS1646" s="56"/>
      <c r="AT1646" s="53"/>
      <c r="AU1646" s="54"/>
      <c r="AV1646" s="55"/>
      <c r="AW1646" s="56"/>
      <c r="AX1646" s="33">
        <f>SUM(E1646:AW1646)</f>
        <v>0</v>
      </c>
      <c r="AY1646" s="31">
        <f>IFERROR(AVERAGEIF(E1646:AW1646,"&lt;&gt;0",(E1646:AW1646)),)</f>
        <v>0</v>
      </c>
      <c r="AZ1646" s="30">
        <f>IFERROR(AY1646/D1646,0)</f>
        <v>0</v>
      </c>
      <c r="BA1646" s="103" t="s">
        <v>182</v>
      </c>
      <c r="BB1646" s="100" t="s">
        <v>183</v>
      </c>
      <c r="BC1646" s="100" t="s">
        <v>184</v>
      </c>
      <c r="BD1646" s="101" t="s">
        <v>185</v>
      </c>
      <c r="BE1646" s="100" t="s">
        <v>186</v>
      </c>
      <c r="BF1646" s="102" t="s">
        <v>187</v>
      </c>
      <c r="BG1646" s="100" t="s">
        <v>188</v>
      </c>
      <c r="BH1646" s="102" t="s">
        <v>189</v>
      </c>
    </row>
    <row r="1647" spans="1:60" s="17" customFormat="1" ht="19.5" customHeight="1" thickBot="1" x14ac:dyDescent="0.4">
      <c r="A1647" s="41">
        <f>A1646</f>
        <v>45448</v>
      </c>
      <c r="B1647" s="37" t="str">
        <f t="shared" ref="B1647:B1652" si="1658">B1646</f>
        <v>Yaka Takma</v>
      </c>
      <c r="C1647" s="65" t="str">
        <f t="shared" ref="C1647:C1652" si="1659">C1471</f>
        <v>AYŞENUR YETER</v>
      </c>
      <c r="D1647" s="67">
        <f t="shared" ref="D1647:D1652" si="1660">D1646</f>
        <v>70</v>
      </c>
      <c r="E1647" s="57"/>
      <c r="F1647" s="52"/>
      <c r="G1647" s="52"/>
      <c r="H1647" s="58"/>
      <c r="I1647" s="57"/>
      <c r="J1647" s="52"/>
      <c r="K1647" s="52"/>
      <c r="L1647" s="58"/>
      <c r="M1647" s="57"/>
      <c r="N1647" s="52"/>
      <c r="O1647" s="52"/>
      <c r="P1647" s="58"/>
      <c r="Q1647" s="57"/>
      <c r="R1647" s="52"/>
      <c r="S1647" s="52"/>
      <c r="T1647" s="52"/>
      <c r="U1647" s="58"/>
      <c r="V1647" s="57"/>
      <c r="W1647" s="52"/>
      <c r="X1647" s="52"/>
      <c r="Y1647" s="58"/>
      <c r="Z1647" s="57"/>
      <c r="AA1647" s="52"/>
      <c r="AB1647" s="52"/>
      <c r="AC1647" s="58"/>
      <c r="AD1647" s="57"/>
      <c r="AE1647" s="52"/>
      <c r="AF1647" s="52"/>
      <c r="AG1647" s="58"/>
      <c r="AH1647" s="57"/>
      <c r="AI1647" s="52"/>
      <c r="AJ1647" s="52"/>
      <c r="AK1647" s="58"/>
      <c r="AL1647" s="57"/>
      <c r="AM1647" s="52"/>
      <c r="AN1647" s="52"/>
      <c r="AO1647" s="58"/>
      <c r="AP1647" s="57"/>
      <c r="AQ1647" s="52"/>
      <c r="AR1647" s="52"/>
      <c r="AS1647" s="58"/>
      <c r="AT1647" s="57"/>
      <c r="AU1647" s="52"/>
      <c r="AV1647" s="52"/>
      <c r="AW1647" s="58"/>
      <c r="AX1647" s="33">
        <f t="shared" ref="AX1647:AX1652" si="1661">SUM(E1647:AW1647)</f>
        <v>0</v>
      </c>
      <c r="AY1647" s="31">
        <f t="shared" ref="AY1647:AY1652" si="1662">IFERROR(AVERAGEIF(E1647:AW1647,"&lt;&gt;0",(E1647:AW1647)),)</f>
        <v>0</v>
      </c>
      <c r="AZ1647" s="30">
        <f t="shared" ref="AZ1647:AZ1652" si="1663">IFERROR(AY1647/D1647,0)</f>
        <v>0</v>
      </c>
      <c r="BA1647" s="94">
        <f>AX1653+BA1471</f>
        <v>18484</v>
      </c>
      <c r="BB1647" s="95">
        <f>(D1653*8)</f>
        <v>4000</v>
      </c>
      <c r="BC1647" s="96">
        <f>C1589-BA1647</f>
        <v>23827</v>
      </c>
      <c r="BD1647" s="96">
        <f>BA1638-BA1647</f>
        <v>516</v>
      </c>
      <c r="BE1647" s="97">
        <f>IFERROR(BC1647/E1653,0)</f>
        <v>0</v>
      </c>
      <c r="BF1647" s="98">
        <f>IFERROR(BE1647/9,0)</f>
        <v>0</v>
      </c>
      <c r="BG1647" s="97">
        <f>IFERROR(BC1647/AY1653,0)</f>
        <v>0</v>
      </c>
      <c r="BH1647" s="97">
        <f>IFERROR(BG1647/9,0)</f>
        <v>0</v>
      </c>
    </row>
    <row r="1648" spans="1:60" s="17" customFormat="1" ht="19.5" customHeight="1" x14ac:dyDescent="0.35">
      <c r="A1648" s="41">
        <f>A1647</f>
        <v>45448</v>
      </c>
      <c r="B1648" s="37" t="str">
        <f t="shared" si="1658"/>
        <v>Yaka Takma</v>
      </c>
      <c r="C1648" s="65">
        <f t="shared" si="1659"/>
        <v>0</v>
      </c>
      <c r="D1648" s="67">
        <f t="shared" si="1660"/>
        <v>70</v>
      </c>
      <c r="E1648" s="57"/>
      <c r="F1648" s="52"/>
      <c r="G1648" s="52"/>
      <c r="H1648" s="58"/>
      <c r="I1648" s="57"/>
      <c r="J1648" s="52"/>
      <c r="K1648" s="52"/>
      <c r="L1648" s="58"/>
      <c r="M1648" s="57"/>
      <c r="N1648" s="52"/>
      <c r="O1648" s="52"/>
      <c r="P1648" s="58"/>
      <c r="Q1648" s="57"/>
      <c r="R1648" s="52"/>
      <c r="S1648" s="52"/>
      <c r="T1648" s="52"/>
      <c r="U1648" s="58"/>
      <c r="V1648" s="57"/>
      <c r="W1648" s="52"/>
      <c r="X1648" s="52"/>
      <c r="Y1648" s="58"/>
      <c r="Z1648" s="57"/>
      <c r="AA1648" s="52"/>
      <c r="AB1648" s="52"/>
      <c r="AC1648" s="58"/>
      <c r="AD1648" s="57"/>
      <c r="AE1648" s="52"/>
      <c r="AF1648" s="52"/>
      <c r="AG1648" s="58"/>
      <c r="AH1648" s="57"/>
      <c r="AI1648" s="52"/>
      <c r="AJ1648" s="52"/>
      <c r="AK1648" s="58"/>
      <c r="AL1648" s="57"/>
      <c r="AM1648" s="52"/>
      <c r="AN1648" s="52"/>
      <c r="AO1648" s="58"/>
      <c r="AP1648" s="57"/>
      <c r="AQ1648" s="52"/>
      <c r="AR1648" s="52"/>
      <c r="AS1648" s="58"/>
      <c r="AT1648" s="57"/>
      <c r="AU1648" s="52"/>
      <c r="AV1648" s="52"/>
      <c r="AW1648" s="58"/>
      <c r="AX1648" s="33">
        <f t="shared" si="1661"/>
        <v>0</v>
      </c>
      <c r="AY1648" s="31">
        <f t="shared" si="1662"/>
        <v>0</v>
      </c>
      <c r="AZ1648" s="30">
        <f t="shared" si="1663"/>
        <v>0</v>
      </c>
      <c r="BA1648" s="34"/>
      <c r="BB1648" s="34"/>
      <c r="BC1648" s="34"/>
      <c r="BD1648" s="76"/>
      <c r="BE1648" s="34"/>
      <c r="BF1648" s="34"/>
      <c r="BG1648" s="34"/>
      <c r="BH1648" s="34"/>
    </row>
    <row r="1649" spans="1:60" s="17" customFormat="1" ht="19.5" customHeight="1" x14ac:dyDescent="0.35">
      <c r="A1649" s="41">
        <f>A1648</f>
        <v>45448</v>
      </c>
      <c r="B1649" s="37" t="str">
        <f t="shared" si="1658"/>
        <v>Yaka Takma</v>
      </c>
      <c r="C1649" s="65">
        <f t="shared" si="1659"/>
        <v>0</v>
      </c>
      <c r="D1649" s="67">
        <f t="shared" si="1660"/>
        <v>70</v>
      </c>
      <c r="E1649" s="57"/>
      <c r="F1649" s="52"/>
      <c r="G1649" s="52"/>
      <c r="H1649" s="58"/>
      <c r="I1649" s="57"/>
      <c r="J1649" s="52"/>
      <c r="K1649" s="52"/>
      <c r="L1649" s="58"/>
      <c r="M1649" s="57"/>
      <c r="N1649" s="52"/>
      <c r="O1649" s="52"/>
      <c r="P1649" s="58"/>
      <c r="Q1649" s="57"/>
      <c r="R1649" s="52"/>
      <c r="S1649" s="52"/>
      <c r="T1649" s="52"/>
      <c r="U1649" s="58"/>
      <c r="V1649" s="57"/>
      <c r="W1649" s="52"/>
      <c r="X1649" s="52"/>
      <c r="Y1649" s="58"/>
      <c r="Z1649" s="57"/>
      <c r="AA1649" s="52"/>
      <c r="AB1649" s="52"/>
      <c r="AC1649" s="58"/>
      <c r="AD1649" s="57"/>
      <c r="AE1649" s="52"/>
      <c r="AF1649" s="52"/>
      <c r="AG1649" s="58"/>
      <c r="AH1649" s="57"/>
      <c r="AI1649" s="52"/>
      <c r="AJ1649" s="52"/>
      <c r="AK1649" s="58"/>
      <c r="AL1649" s="57"/>
      <c r="AM1649" s="52"/>
      <c r="AN1649" s="52"/>
      <c r="AO1649" s="58"/>
      <c r="AP1649" s="57"/>
      <c r="AQ1649" s="52"/>
      <c r="AR1649" s="52"/>
      <c r="AS1649" s="58"/>
      <c r="AT1649" s="57"/>
      <c r="AU1649" s="52"/>
      <c r="AV1649" s="52"/>
      <c r="AW1649" s="58"/>
      <c r="AX1649" s="33">
        <f t="shared" si="1661"/>
        <v>0</v>
      </c>
      <c r="AY1649" s="31">
        <f t="shared" si="1662"/>
        <v>0</v>
      </c>
      <c r="AZ1649" s="30">
        <f t="shared" si="1663"/>
        <v>0</v>
      </c>
      <c r="BA1649" s="34"/>
      <c r="BB1649" s="34"/>
      <c r="BC1649" s="34"/>
      <c r="BD1649" s="76"/>
      <c r="BE1649" s="34"/>
      <c r="BF1649" s="34"/>
      <c r="BG1649" s="34"/>
      <c r="BH1649" s="34"/>
    </row>
    <row r="1650" spans="1:60" s="17" customFormat="1" ht="19.5" customHeight="1" x14ac:dyDescent="0.35">
      <c r="A1650" s="41">
        <f>A1647</f>
        <v>45448</v>
      </c>
      <c r="B1650" s="37" t="str">
        <f t="shared" si="1658"/>
        <v>Yaka Takma</v>
      </c>
      <c r="C1650" s="65">
        <f t="shared" si="1659"/>
        <v>0</v>
      </c>
      <c r="D1650" s="67">
        <f t="shared" si="1660"/>
        <v>70</v>
      </c>
      <c r="E1650" s="57"/>
      <c r="F1650" s="52"/>
      <c r="G1650" s="52"/>
      <c r="H1650" s="58"/>
      <c r="I1650" s="57"/>
      <c r="J1650" s="52"/>
      <c r="K1650" s="52"/>
      <c r="L1650" s="58"/>
      <c r="M1650" s="57"/>
      <c r="N1650" s="52"/>
      <c r="O1650" s="52"/>
      <c r="P1650" s="58"/>
      <c r="Q1650" s="57"/>
      <c r="R1650" s="52"/>
      <c r="S1650" s="52"/>
      <c r="T1650" s="52"/>
      <c r="U1650" s="58"/>
      <c r="V1650" s="57"/>
      <c r="W1650" s="52"/>
      <c r="X1650" s="52"/>
      <c r="Y1650" s="58"/>
      <c r="Z1650" s="57"/>
      <c r="AA1650" s="52"/>
      <c r="AB1650" s="52"/>
      <c r="AC1650" s="58"/>
      <c r="AD1650" s="57"/>
      <c r="AE1650" s="52"/>
      <c r="AF1650" s="52"/>
      <c r="AG1650" s="58"/>
      <c r="AH1650" s="57"/>
      <c r="AI1650" s="52"/>
      <c r="AJ1650" s="52"/>
      <c r="AK1650" s="58"/>
      <c r="AL1650" s="57"/>
      <c r="AM1650" s="52"/>
      <c r="AN1650" s="52"/>
      <c r="AO1650" s="58"/>
      <c r="AP1650" s="57"/>
      <c r="AQ1650" s="52"/>
      <c r="AR1650" s="52"/>
      <c r="AS1650" s="58"/>
      <c r="AT1650" s="57"/>
      <c r="AU1650" s="52"/>
      <c r="AV1650" s="52"/>
      <c r="AW1650" s="58"/>
      <c r="AX1650" s="33">
        <f t="shared" si="1661"/>
        <v>0</v>
      </c>
      <c r="AY1650" s="31">
        <f t="shared" si="1662"/>
        <v>0</v>
      </c>
      <c r="AZ1650" s="30">
        <f t="shared" si="1663"/>
        <v>0</v>
      </c>
      <c r="BA1650" s="34"/>
      <c r="BB1650" s="34"/>
      <c r="BC1650" s="34"/>
      <c r="BD1650" s="76"/>
      <c r="BE1650" s="34"/>
      <c r="BF1650" s="34"/>
      <c r="BG1650" s="34"/>
      <c r="BH1650" s="34"/>
    </row>
    <row r="1651" spans="1:60" s="17" customFormat="1" ht="19.5" customHeight="1" x14ac:dyDescent="0.35">
      <c r="A1651" s="41">
        <f t="shared" ref="A1651:A1655" si="1664">A1650</f>
        <v>45448</v>
      </c>
      <c r="B1651" s="37" t="str">
        <f t="shared" si="1658"/>
        <v>Yaka Takma</v>
      </c>
      <c r="C1651" s="65">
        <f t="shared" si="1659"/>
        <v>0</v>
      </c>
      <c r="D1651" s="67">
        <f t="shared" si="1660"/>
        <v>70</v>
      </c>
      <c r="E1651" s="57"/>
      <c r="F1651" s="52"/>
      <c r="G1651" s="52"/>
      <c r="H1651" s="58"/>
      <c r="I1651" s="57"/>
      <c r="J1651" s="52"/>
      <c r="K1651" s="52"/>
      <c r="L1651" s="58"/>
      <c r="M1651" s="57"/>
      <c r="N1651" s="52"/>
      <c r="O1651" s="52"/>
      <c r="P1651" s="58"/>
      <c r="Q1651" s="57"/>
      <c r="R1651" s="52"/>
      <c r="S1651" s="52"/>
      <c r="T1651" s="52"/>
      <c r="U1651" s="58"/>
      <c r="V1651" s="57"/>
      <c r="W1651" s="52"/>
      <c r="X1651" s="52"/>
      <c r="Y1651" s="58"/>
      <c r="Z1651" s="57"/>
      <c r="AA1651" s="52"/>
      <c r="AB1651" s="52"/>
      <c r="AC1651" s="58"/>
      <c r="AD1651" s="57"/>
      <c r="AE1651" s="52"/>
      <c r="AF1651" s="52"/>
      <c r="AG1651" s="58"/>
      <c r="AH1651" s="57"/>
      <c r="AI1651" s="52"/>
      <c r="AJ1651" s="52"/>
      <c r="AK1651" s="58"/>
      <c r="AL1651" s="57"/>
      <c r="AM1651" s="52"/>
      <c r="AN1651" s="52"/>
      <c r="AO1651" s="58"/>
      <c r="AP1651" s="57"/>
      <c r="AQ1651" s="52"/>
      <c r="AR1651" s="52"/>
      <c r="AS1651" s="58"/>
      <c r="AT1651" s="57"/>
      <c r="AU1651" s="52"/>
      <c r="AV1651" s="52"/>
      <c r="AW1651" s="58"/>
      <c r="AX1651" s="33">
        <f t="shared" si="1661"/>
        <v>0</v>
      </c>
      <c r="AY1651" s="31">
        <f t="shared" si="1662"/>
        <v>0</v>
      </c>
      <c r="AZ1651" s="30">
        <f t="shared" si="1663"/>
        <v>0</v>
      </c>
      <c r="BA1651" s="34"/>
      <c r="BB1651" s="34"/>
      <c r="BC1651" s="34"/>
      <c r="BD1651" s="76"/>
      <c r="BE1651" s="34"/>
      <c r="BF1651" s="34"/>
      <c r="BG1651" s="34"/>
      <c r="BH1651" s="34"/>
    </row>
    <row r="1652" spans="1:60" s="17" customFormat="1" ht="19.5" customHeight="1" thickBot="1" x14ac:dyDescent="0.4">
      <c r="A1652" s="41">
        <f t="shared" si="1664"/>
        <v>45448</v>
      </c>
      <c r="B1652" s="37" t="str">
        <f t="shared" si="1658"/>
        <v>Yaka Takma</v>
      </c>
      <c r="C1652" s="65">
        <f t="shared" si="1659"/>
        <v>0</v>
      </c>
      <c r="D1652" s="67">
        <f t="shared" si="1660"/>
        <v>70</v>
      </c>
      <c r="E1652" s="59"/>
      <c r="F1652" s="60"/>
      <c r="G1652" s="61"/>
      <c r="H1652" s="62"/>
      <c r="I1652" s="59"/>
      <c r="J1652" s="60"/>
      <c r="K1652" s="61"/>
      <c r="L1652" s="62"/>
      <c r="M1652" s="59"/>
      <c r="N1652" s="60"/>
      <c r="O1652" s="61"/>
      <c r="P1652" s="62"/>
      <c r="Q1652" s="64"/>
      <c r="R1652" s="61"/>
      <c r="S1652" s="61"/>
      <c r="T1652" s="61"/>
      <c r="U1652" s="62"/>
      <c r="V1652" s="59"/>
      <c r="W1652" s="60"/>
      <c r="X1652" s="61"/>
      <c r="Y1652" s="62"/>
      <c r="Z1652" s="59"/>
      <c r="AA1652" s="60"/>
      <c r="AB1652" s="61"/>
      <c r="AC1652" s="62"/>
      <c r="AD1652" s="59"/>
      <c r="AE1652" s="60"/>
      <c r="AF1652" s="61"/>
      <c r="AG1652" s="62"/>
      <c r="AH1652" s="59"/>
      <c r="AI1652" s="60"/>
      <c r="AJ1652" s="61"/>
      <c r="AK1652" s="62"/>
      <c r="AL1652" s="59"/>
      <c r="AM1652" s="60"/>
      <c r="AN1652" s="61"/>
      <c r="AO1652" s="62"/>
      <c r="AP1652" s="59"/>
      <c r="AQ1652" s="60"/>
      <c r="AR1652" s="61"/>
      <c r="AS1652" s="62"/>
      <c r="AT1652" s="59"/>
      <c r="AU1652" s="60"/>
      <c r="AV1652" s="61"/>
      <c r="AW1652" s="62"/>
      <c r="AX1652" s="33">
        <f t="shared" si="1661"/>
        <v>0</v>
      </c>
      <c r="AY1652" s="31">
        <f t="shared" si="1662"/>
        <v>0</v>
      </c>
      <c r="AZ1652" s="30">
        <f t="shared" si="1663"/>
        <v>0</v>
      </c>
      <c r="BA1652" s="34"/>
      <c r="BB1652" s="34"/>
      <c r="BC1652" s="34"/>
      <c r="BD1652" s="76"/>
      <c r="BE1652" s="34"/>
      <c r="BF1652" s="34"/>
      <c r="BG1652" s="34"/>
      <c r="BH1652" s="34"/>
    </row>
    <row r="1653" spans="1:60" s="17" customFormat="1" ht="19.5" customHeight="1" thickBot="1" x14ac:dyDescent="0.45">
      <c r="A1653" s="41">
        <f t="shared" si="1664"/>
        <v>45448</v>
      </c>
      <c r="B1653" s="139" t="str">
        <f>B1646</f>
        <v>Yaka Takma</v>
      </c>
      <c r="C1653" s="140"/>
      <c r="D1653" s="40">
        <f>C1590/8</f>
        <v>500</v>
      </c>
      <c r="E1653" s="147">
        <f>SUM(E1646:H1652)</f>
        <v>0</v>
      </c>
      <c r="F1653" s="148"/>
      <c r="G1653" s="148"/>
      <c r="H1653" s="149"/>
      <c r="I1653" s="147">
        <f>SUM(I1646:L1652)</f>
        <v>0</v>
      </c>
      <c r="J1653" s="148"/>
      <c r="K1653" s="148"/>
      <c r="L1653" s="149"/>
      <c r="M1653" s="147">
        <f>SUM(M1646:P1652)</f>
        <v>0</v>
      </c>
      <c r="N1653" s="148"/>
      <c r="O1653" s="148"/>
      <c r="P1653" s="149"/>
      <c r="Q1653" s="147">
        <f>SUM(Q1646:U1652)</f>
        <v>0</v>
      </c>
      <c r="R1653" s="148"/>
      <c r="S1653" s="148"/>
      <c r="T1653" s="148"/>
      <c r="U1653" s="149"/>
      <c r="V1653" s="147">
        <f>SUM(V1646:Y1652)</f>
        <v>0</v>
      </c>
      <c r="W1653" s="148"/>
      <c r="X1653" s="148"/>
      <c r="Y1653" s="149"/>
      <c r="Z1653" s="147">
        <f>SUM(Z1646:AC1652)</f>
        <v>0</v>
      </c>
      <c r="AA1653" s="148"/>
      <c r="AB1653" s="148"/>
      <c r="AC1653" s="149"/>
      <c r="AD1653" s="147">
        <f>SUM(AD1646:AG1652)</f>
        <v>0</v>
      </c>
      <c r="AE1653" s="148"/>
      <c r="AF1653" s="148"/>
      <c r="AG1653" s="149"/>
      <c r="AH1653" s="147">
        <f>SUM(AH1646:AK1652)</f>
        <v>0</v>
      </c>
      <c r="AI1653" s="148"/>
      <c r="AJ1653" s="148"/>
      <c r="AK1653" s="149"/>
      <c r="AL1653" s="147">
        <f>SUM(AL1646:AO1652)</f>
        <v>0</v>
      </c>
      <c r="AM1653" s="148"/>
      <c r="AN1653" s="148"/>
      <c r="AO1653" s="149"/>
      <c r="AP1653" s="147">
        <f>SUM(AP1646:AS1652)</f>
        <v>0</v>
      </c>
      <c r="AQ1653" s="148"/>
      <c r="AR1653" s="148"/>
      <c r="AS1653" s="149"/>
      <c r="AT1653" s="147">
        <f>SUM(AT1646:AW1652)</f>
        <v>0</v>
      </c>
      <c r="AU1653" s="148"/>
      <c r="AV1653" s="148"/>
      <c r="AW1653" s="149"/>
      <c r="AX1653" s="87">
        <f>SUM(AX1646:AX1652)</f>
        <v>0</v>
      </c>
      <c r="AY1653" s="88">
        <f>IFERROR(AVERAGEIF(E1653:AV1653,"&lt;&gt;0",(E1653:AV1653)),)</f>
        <v>0</v>
      </c>
      <c r="AZ1653" s="46">
        <f>IFERROR(AX1653/BB1647,0)</f>
        <v>0</v>
      </c>
      <c r="BA1653" s="34"/>
      <c r="BB1653" s="34"/>
      <c r="BC1653" s="34"/>
      <c r="BD1653" s="76"/>
      <c r="BE1653" s="34"/>
      <c r="BF1653" s="34"/>
      <c r="BG1653" s="34"/>
      <c r="BH1653" s="34"/>
    </row>
    <row r="1654" spans="1:60" s="17" customFormat="1" ht="19.5" customHeight="1" thickBot="1" x14ac:dyDescent="0.4">
      <c r="A1654" s="42">
        <f t="shared" si="1664"/>
        <v>45448</v>
      </c>
      <c r="B1654" s="38" t="str">
        <f>B1655</f>
        <v>Ense Biye</v>
      </c>
      <c r="C1654" s="39" t="s">
        <v>180</v>
      </c>
      <c r="D1654" s="69" t="s">
        <v>181</v>
      </c>
      <c r="E1654" s="48">
        <v>0.34375</v>
      </c>
      <c r="F1654" s="49">
        <v>0.35416666666666669</v>
      </c>
      <c r="G1654" s="49">
        <v>0.36458333333333331</v>
      </c>
      <c r="H1654" s="50">
        <v>0.375</v>
      </c>
      <c r="I1654" s="48">
        <v>0.38541666666666702</v>
      </c>
      <c r="J1654" s="49">
        <v>0.39583333333333298</v>
      </c>
      <c r="K1654" s="49">
        <v>0.40625</v>
      </c>
      <c r="L1654" s="50">
        <v>0.41666666666666702</v>
      </c>
      <c r="M1654" s="48">
        <v>0.4375</v>
      </c>
      <c r="N1654" s="49">
        <v>0.44791666666666702</v>
      </c>
      <c r="O1654" s="49">
        <v>0.45833333333333398</v>
      </c>
      <c r="P1654" s="50">
        <v>0.46875</v>
      </c>
      <c r="Q1654" s="48">
        <v>0.47916666666666702</v>
      </c>
      <c r="R1654" s="49">
        <v>0.48958333333333398</v>
      </c>
      <c r="S1654" s="49">
        <v>0.5</v>
      </c>
      <c r="T1654" s="50">
        <v>0.51041666666666696</v>
      </c>
      <c r="U1654" s="51">
        <v>0.52083333333333204</v>
      </c>
      <c r="V1654" s="48">
        <v>0.5625</v>
      </c>
      <c r="W1654" s="49">
        <v>0.57291666666666663</v>
      </c>
      <c r="X1654" s="49">
        <v>0.58333333333333304</v>
      </c>
      <c r="Y1654" s="50">
        <v>0.59375</v>
      </c>
      <c r="Z1654" s="48">
        <v>0.60416666666666696</v>
      </c>
      <c r="AA1654" s="49">
        <v>0.61458333333333304</v>
      </c>
      <c r="AB1654" s="49">
        <v>0.625</v>
      </c>
      <c r="AC1654" s="50">
        <v>0.63541666666666596</v>
      </c>
      <c r="AD1654" s="48">
        <v>0.65625</v>
      </c>
      <c r="AE1654" s="49">
        <v>0.66666666666666663</v>
      </c>
      <c r="AF1654" s="49">
        <v>0.67708333333333304</v>
      </c>
      <c r="AG1654" s="50">
        <v>0.6875</v>
      </c>
      <c r="AH1654" s="48">
        <v>0.69791666666666696</v>
      </c>
      <c r="AI1654" s="49">
        <v>0.70833333333333304</v>
      </c>
      <c r="AJ1654" s="49">
        <v>0.71875</v>
      </c>
      <c r="AK1654" s="50">
        <v>0.72916666666666696</v>
      </c>
      <c r="AL1654" s="48">
        <v>0.73958333333333404</v>
      </c>
      <c r="AM1654" s="49">
        <v>0.750000000000001</v>
      </c>
      <c r="AN1654" s="49">
        <v>0.76041666666666796</v>
      </c>
      <c r="AO1654" s="50">
        <v>0.77083333333333504</v>
      </c>
      <c r="AP1654" s="48">
        <v>0.781250000000002</v>
      </c>
      <c r="AQ1654" s="49">
        <v>0.79166666666666896</v>
      </c>
      <c r="AR1654" s="49">
        <v>0.80208333333333603</v>
      </c>
      <c r="AS1654" s="50">
        <v>0.812500000000003</v>
      </c>
      <c r="AT1654" s="48">
        <v>0.82291666666666996</v>
      </c>
      <c r="AU1654" s="49">
        <v>0.83333333333333703</v>
      </c>
      <c r="AV1654" s="49">
        <v>0.843750000000004</v>
      </c>
      <c r="AW1654" s="50">
        <v>0.85416666666666663</v>
      </c>
      <c r="AX1654" s="68" t="s">
        <v>260</v>
      </c>
      <c r="AY1654" s="28" t="s">
        <v>261</v>
      </c>
      <c r="AZ1654" s="29" t="s">
        <v>262</v>
      </c>
      <c r="BA1654" s="136" t="str">
        <f>B1655</f>
        <v>Ense Biye</v>
      </c>
      <c r="BB1654" s="137"/>
      <c r="BC1654" s="137"/>
      <c r="BD1654" s="137"/>
      <c r="BE1654" s="137"/>
      <c r="BF1654" s="137"/>
      <c r="BG1654" s="137"/>
      <c r="BH1654" s="138"/>
    </row>
    <row r="1655" spans="1:60" s="17" customFormat="1" ht="19.5" customHeight="1" thickBot="1" x14ac:dyDescent="0.4">
      <c r="A1655" s="41">
        <f t="shared" si="1664"/>
        <v>45448</v>
      </c>
      <c r="B1655" s="37" t="str">
        <f>B1479</f>
        <v>Ense Biye</v>
      </c>
      <c r="C1655" s="65" t="str">
        <f>C1479</f>
        <v>ŞEFİKA KESKİN</v>
      </c>
      <c r="D1655" s="70">
        <f>D1479</f>
        <v>100</v>
      </c>
      <c r="E1655" s="63"/>
      <c r="F1655" s="55"/>
      <c r="G1655" s="55"/>
      <c r="H1655" s="56"/>
      <c r="I1655" s="63"/>
      <c r="J1655" s="55"/>
      <c r="K1655" s="55"/>
      <c r="L1655" s="56"/>
      <c r="M1655" s="63"/>
      <c r="N1655" s="55"/>
      <c r="O1655" s="55"/>
      <c r="P1655" s="56"/>
      <c r="Q1655" s="63"/>
      <c r="R1655" s="55"/>
      <c r="S1655" s="55"/>
      <c r="T1655" s="55"/>
      <c r="U1655" s="56"/>
      <c r="V1655" s="63"/>
      <c r="W1655" s="55"/>
      <c r="X1655" s="55"/>
      <c r="Y1655" s="56"/>
      <c r="Z1655" s="63"/>
      <c r="AA1655" s="55"/>
      <c r="AB1655" s="55"/>
      <c r="AC1655" s="56"/>
      <c r="AD1655" s="63"/>
      <c r="AE1655" s="55"/>
      <c r="AF1655" s="55"/>
      <c r="AG1655" s="56"/>
      <c r="AH1655" s="63"/>
      <c r="AI1655" s="55"/>
      <c r="AJ1655" s="55"/>
      <c r="AK1655" s="56"/>
      <c r="AL1655" s="63"/>
      <c r="AM1655" s="55"/>
      <c r="AN1655" s="55"/>
      <c r="AO1655" s="56"/>
      <c r="AP1655" s="53"/>
      <c r="AQ1655" s="54"/>
      <c r="AR1655" s="55"/>
      <c r="AS1655" s="56"/>
      <c r="AT1655" s="53"/>
      <c r="AU1655" s="54"/>
      <c r="AV1655" s="55"/>
      <c r="AW1655" s="56"/>
      <c r="AX1655" s="33">
        <f>SUM(E1655:AW1655)</f>
        <v>0</v>
      </c>
      <c r="AY1655" s="31">
        <f>IFERROR(AVERAGEIF(E1655:AW1655,"&lt;&gt;0",(E1655:AW1655)),)</f>
        <v>0</v>
      </c>
      <c r="AZ1655" s="30">
        <f>IFERROR(AY1655/D1655,0)</f>
        <v>0</v>
      </c>
      <c r="BA1655" s="103" t="s">
        <v>182</v>
      </c>
      <c r="BB1655" s="100" t="s">
        <v>183</v>
      </c>
      <c r="BC1655" s="100" t="s">
        <v>184</v>
      </c>
      <c r="BD1655" s="101" t="s">
        <v>185</v>
      </c>
      <c r="BE1655" s="100" t="s">
        <v>186</v>
      </c>
      <c r="BF1655" s="102" t="s">
        <v>187</v>
      </c>
      <c r="BG1655" s="100" t="s">
        <v>188</v>
      </c>
      <c r="BH1655" s="102" t="s">
        <v>189</v>
      </c>
    </row>
    <row r="1656" spans="1:60" s="17" customFormat="1" ht="19.5" customHeight="1" thickBot="1" x14ac:dyDescent="0.4">
      <c r="A1656" s="41">
        <f t="shared" ref="A1656:B1656" si="1665">A1655</f>
        <v>45448</v>
      </c>
      <c r="B1656" s="37" t="str">
        <f t="shared" si="1665"/>
        <v>Ense Biye</v>
      </c>
      <c r="C1656" s="65" t="str">
        <f t="shared" ref="C1656:C1661" si="1666">C1480</f>
        <v>FADİME SAATÇİ</v>
      </c>
      <c r="D1656" s="67">
        <f t="shared" ref="D1656:D1661" si="1667">D1655</f>
        <v>100</v>
      </c>
      <c r="E1656" s="57"/>
      <c r="F1656" s="52"/>
      <c r="G1656" s="52"/>
      <c r="H1656" s="58"/>
      <c r="I1656" s="57"/>
      <c r="J1656" s="52"/>
      <c r="K1656" s="52"/>
      <c r="L1656" s="58"/>
      <c r="M1656" s="57"/>
      <c r="N1656" s="52"/>
      <c r="O1656" s="52"/>
      <c r="P1656" s="58"/>
      <c r="Q1656" s="57"/>
      <c r="R1656" s="52"/>
      <c r="S1656" s="52"/>
      <c r="T1656" s="52"/>
      <c r="U1656" s="58"/>
      <c r="V1656" s="57"/>
      <c r="W1656" s="52"/>
      <c r="X1656" s="52"/>
      <c r="Y1656" s="58"/>
      <c r="Z1656" s="57"/>
      <c r="AA1656" s="52"/>
      <c r="AB1656" s="52"/>
      <c r="AC1656" s="58"/>
      <c r="AD1656" s="57"/>
      <c r="AE1656" s="52"/>
      <c r="AF1656" s="52"/>
      <c r="AG1656" s="58"/>
      <c r="AH1656" s="57"/>
      <c r="AI1656" s="52"/>
      <c r="AJ1656" s="52"/>
      <c r="AK1656" s="58"/>
      <c r="AL1656" s="57"/>
      <c r="AM1656" s="52"/>
      <c r="AN1656" s="52"/>
      <c r="AO1656" s="58"/>
      <c r="AP1656" s="57"/>
      <c r="AQ1656" s="52"/>
      <c r="AR1656" s="52"/>
      <c r="AS1656" s="58"/>
      <c r="AT1656" s="57"/>
      <c r="AU1656" s="52"/>
      <c r="AV1656" s="52"/>
      <c r="AW1656" s="58"/>
      <c r="AX1656" s="33">
        <f t="shared" ref="AX1656:AX1661" si="1668">SUM(E1656:AW1656)</f>
        <v>0</v>
      </c>
      <c r="AY1656" s="31">
        <f t="shared" ref="AY1656:AY1661" si="1669">IFERROR(AVERAGEIF(E1656:AW1656,"&lt;&gt;0",(E1656:AW1656)),)</f>
        <v>0</v>
      </c>
      <c r="AZ1656" s="30">
        <f t="shared" ref="AZ1656:AZ1661" si="1670">IFERROR(AY1656/D1656,0)</f>
        <v>0</v>
      </c>
      <c r="BA1656" s="94">
        <f>AX1662+BA1480</f>
        <v>18177</v>
      </c>
      <c r="BB1656" s="95">
        <f>(D1662*8)</f>
        <v>4000</v>
      </c>
      <c r="BC1656" s="96">
        <f>C1589-BA1656</f>
        <v>24134</v>
      </c>
      <c r="BD1656" s="96">
        <f>BA1647-BA1656</f>
        <v>307</v>
      </c>
      <c r="BE1656" s="97">
        <f>IFERROR(BC1656/E1662,0)</f>
        <v>0</v>
      </c>
      <c r="BF1656" s="98">
        <f>IFERROR(BE1656/9,0)</f>
        <v>0</v>
      </c>
      <c r="BG1656" s="97">
        <f>IFERROR(BC1656/AY1662,0)</f>
        <v>0</v>
      </c>
      <c r="BH1656" s="97">
        <f>IFERROR(BG1656/9,0)</f>
        <v>0</v>
      </c>
    </row>
    <row r="1657" spans="1:60" s="17" customFormat="1" ht="19.5" customHeight="1" x14ac:dyDescent="0.35">
      <c r="A1657" s="41">
        <f t="shared" ref="A1657:B1657" si="1671">A1656</f>
        <v>45448</v>
      </c>
      <c r="B1657" s="37" t="str">
        <f t="shared" si="1671"/>
        <v>Ense Biye</v>
      </c>
      <c r="C1657" s="65" t="str">
        <f t="shared" si="1666"/>
        <v>HAZİME AVCİ</v>
      </c>
      <c r="D1657" s="67">
        <f t="shared" si="1667"/>
        <v>100</v>
      </c>
      <c r="E1657" s="57"/>
      <c r="F1657" s="52"/>
      <c r="G1657" s="52"/>
      <c r="H1657" s="58"/>
      <c r="I1657" s="57"/>
      <c r="J1657" s="52"/>
      <c r="K1657" s="52"/>
      <c r="L1657" s="58"/>
      <c r="M1657" s="57"/>
      <c r="N1657" s="52"/>
      <c r="O1657" s="52"/>
      <c r="P1657" s="58"/>
      <c r="Q1657" s="57"/>
      <c r="R1657" s="52"/>
      <c r="S1657" s="52"/>
      <c r="T1657" s="52"/>
      <c r="U1657" s="58"/>
      <c r="V1657" s="57"/>
      <c r="W1657" s="52"/>
      <c r="X1657" s="52"/>
      <c r="Y1657" s="58"/>
      <c r="Z1657" s="57"/>
      <c r="AA1657" s="52"/>
      <c r="AB1657" s="52"/>
      <c r="AC1657" s="58"/>
      <c r="AD1657" s="57"/>
      <c r="AE1657" s="52"/>
      <c r="AF1657" s="52"/>
      <c r="AG1657" s="58"/>
      <c r="AH1657" s="57"/>
      <c r="AI1657" s="52"/>
      <c r="AJ1657" s="52"/>
      <c r="AK1657" s="58"/>
      <c r="AL1657" s="57"/>
      <c r="AM1657" s="52"/>
      <c r="AN1657" s="52"/>
      <c r="AO1657" s="58"/>
      <c r="AP1657" s="57"/>
      <c r="AQ1657" s="52"/>
      <c r="AR1657" s="52"/>
      <c r="AS1657" s="58"/>
      <c r="AT1657" s="57"/>
      <c r="AU1657" s="52"/>
      <c r="AV1657" s="52"/>
      <c r="AW1657" s="58"/>
      <c r="AX1657" s="33">
        <f t="shared" si="1668"/>
        <v>0</v>
      </c>
      <c r="AY1657" s="31">
        <f t="shared" si="1669"/>
        <v>0</v>
      </c>
      <c r="AZ1657" s="30">
        <f t="shared" si="1670"/>
        <v>0</v>
      </c>
      <c r="BA1657" s="34"/>
      <c r="BB1657" s="34"/>
      <c r="BC1657" s="34"/>
      <c r="BD1657" s="76"/>
      <c r="BE1657" s="34"/>
      <c r="BF1657" s="34"/>
      <c r="BG1657" s="34"/>
      <c r="BH1657" s="34"/>
    </row>
    <row r="1658" spans="1:60" s="17" customFormat="1" ht="19.5" customHeight="1" x14ac:dyDescent="0.35">
      <c r="A1658" s="41">
        <f t="shared" ref="A1658:B1661" si="1672">A1657</f>
        <v>45448</v>
      </c>
      <c r="B1658" s="37" t="str">
        <f t="shared" si="1672"/>
        <v>Ense Biye</v>
      </c>
      <c r="C1658" s="65">
        <f t="shared" si="1666"/>
        <v>0</v>
      </c>
      <c r="D1658" s="67">
        <f t="shared" si="1667"/>
        <v>100</v>
      </c>
      <c r="E1658" s="57"/>
      <c r="F1658" s="52"/>
      <c r="G1658" s="52"/>
      <c r="H1658" s="58"/>
      <c r="I1658" s="57"/>
      <c r="J1658" s="52"/>
      <c r="K1658" s="52"/>
      <c r="L1658" s="58"/>
      <c r="M1658" s="57"/>
      <c r="N1658" s="52"/>
      <c r="O1658" s="52"/>
      <c r="P1658" s="58"/>
      <c r="Q1658" s="57"/>
      <c r="R1658" s="52"/>
      <c r="S1658" s="52"/>
      <c r="T1658" s="52"/>
      <c r="U1658" s="58"/>
      <c r="V1658" s="57"/>
      <c r="W1658" s="52"/>
      <c r="X1658" s="52"/>
      <c r="Y1658" s="58"/>
      <c r="Z1658" s="57"/>
      <c r="AA1658" s="52"/>
      <c r="AB1658" s="52"/>
      <c r="AC1658" s="58"/>
      <c r="AD1658" s="57"/>
      <c r="AE1658" s="52"/>
      <c r="AF1658" s="52"/>
      <c r="AG1658" s="58"/>
      <c r="AH1658" s="57"/>
      <c r="AI1658" s="52"/>
      <c r="AJ1658" s="52"/>
      <c r="AK1658" s="58"/>
      <c r="AL1658" s="57"/>
      <c r="AM1658" s="52"/>
      <c r="AN1658" s="52"/>
      <c r="AO1658" s="58"/>
      <c r="AP1658" s="57"/>
      <c r="AQ1658" s="52"/>
      <c r="AR1658" s="52"/>
      <c r="AS1658" s="58"/>
      <c r="AT1658" s="57"/>
      <c r="AU1658" s="52"/>
      <c r="AV1658" s="52"/>
      <c r="AW1658" s="58"/>
      <c r="AX1658" s="33">
        <f t="shared" si="1668"/>
        <v>0</v>
      </c>
      <c r="AY1658" s="31">
        <f t="shared" si="1669"/>
        <v>0</v>
      </c>
      <c r="AZ1658" s="30">
        <f t="shared" si="1670"/>
        <v>0</v>
      </c>
      <c r="BA1658" s="34"/>
      <c r="BB1658" s="34"/>
      <c r="BC1658" s="34"/>
      <c r="BD1658" s="76"/>
      <c r="BE1658" s="34"/>
      <c r="BF1658" s="34"/>
      <c r="BG1658" s="34"/>
      <c r="BH1658" s="34"/>
    </row>
    <row r="1659" spans="1:60" s="17" customFormat="1" ht="19.5" customHeight="1" x14ac:dyDescent="0.35">
      <c r="A1659" s="41">
        <f>A1656</f>
        <v>45448</v>
      </c>
      <c r="B1659" s="37" t="str">
        <f t="shared" si="1672"/>
        <v>Ense Biye</v>
      </c>
      <c r="C1659" s="65">
        <f t="shared" si="1666"/>
        <v>0</v>
      </c>
      <c r="D1659" s="67">
        <f t="shared" si="1667"/>
        <v>100</v>
      </c>
      <c r="E1659" s="57"/>
      <c r="F1659" s="52"/>
      <c r="G1659" s="52"/>
      <c r="H1659" s="58"/>
      <c r="I1659" s="57"/>
      <c r="J1659" s="52"/>
      <c r="K1659" s="52"/>
      <c r="L1659" s="58"/>
      <c r="M1659" s="57"/>
      <c r="N1659" s="52"/>
      <c r="O1659" s="52"/>
      <c r="P1659" s="58"/>
      <c r="Q1659" s="57"/>
      <c r="R1659" s="52"/>
      <c r="S1659" s="52"/>
      <c r="T1659" s="52"/>
      <c r="U1659" s="58"/>
      <c r="V1659" s="57"/>
      <c r="W1659" s="52"/>
      <c r="X1659" s="52"/>
      <c r="Y1659" s="58"/>
      <c r="Z1659" s="57"/>
      <c r="AA1659" s="52"/>
      <c r="AB1659" s="52"/>
      <c r="AC1659" s="58"/>
      <c r="AD1659" s="57"/>
      <c r="AE1659" s="52"/>
      <c r="AF1659" s="52"/>
      <c r="AG1659" s="58"/>
      <c r="AH1659" s="57"/>
      <c r="AI1659" s="52"/>
      <c r="AJ1659" s="52"/>
      <c r="AK1659" s="58"/>
      <c r="AL1659" s="57"/>
      <c r="AM1659" s="52"/>
      <c r="AN1659" s="52"/>
      <c r="AO1659" s="58"/>
      <c r="AP1659" s="57"/>
      <c r="AQ1659" s="52"/>
      <c r="AR1659" s="52"/>
      <c r="AS1659" s="58"/>
      <c r="AT1659" s="57"/>
      <c r="AU1659" s="52"/>
      <c r="AV1659" s="52"/>
      <c r="AW1659" s="58"/>
      <c r="AX1659" s="33">
        <f t="shared" si="1668"/>
        <v>0</v>
      </c>
      <c r="AY1659" s="31">
        <f t="shared" si="1669"/>
        <v>0</v>
      </c>
      <c r="AZ1659" s="30">
        <f t="shared" si="1670"/>
        <v>0</v>
      </c>
      <c r="BA1659" s="34"/>
      <c r="BB1659" s="34"/>
      <c r="BC1659" s="34"/>
      <c r="BD1659" s="76"/>
      <c r="BE1659" s="34"/>
      <c r="BF1659" s="34"/>
      <c r="BG1659" s="34"/>
      <c r="BH1659" s="34"/>
    </row>
    <row r="1660" spans="1:60" s="17" customFormat="1" ht="19.5" customHeight="1" x14ac:dyDescent="0.35">
      <c r="A1660" s="41">
        <f>A1659</f>
        <v>45448</v>
      </c>
      <c r="B1660" s="37" t="str">
        <f t="shared" si="1672"/>
        <v>Ense Biye</v>
      </c>
      <c r="C1660" s="65">
        <f t="shared" si="1666"/>
        <v>0</v>
      </c>
      <c r="D1660" s="67">
        <f t="shared" si="1667"/>
        <v>100</v>
      </c>
      <c r="E1660" s="57"/>
      <c r="F1660" s="52"/>
      <c r="G1660" s="52"/>
      <c r="H1660" s="58"/>
      <c r="I1660" s="57"/>
      <c r="J1660" s="52"/>
      <c r="K1660" s="52"/>
      <c r="L1660" s="58"/>
      <c r="M1660" s="57"/>
      <c r="N1660" s="52"/>
      <c r="O1660" s="52"/>
      <c r="P1660" s="58"/>
      <c r="Q1660" s="57"/>
      <c r="R1660" s="52"/>
      <c r="S1660" s="52"/>
      <c r="T1660" s="52"/>
      <c r="U1660" s="58"/>
      <c r="V1660" s="57"/>
      <c r="W1660" s="52"/>
      <c r="X1660" s="52"/>
      <c r="Y1660" s="58"/>
      <c r="Z1660" s="57"/>
      <c r="AA1660" s="52"/>
      <c r="AB1660" s="52"/>
      <c r="AC1660" s="58"/>
      <c r="AD1660" s="57"/>
      <c r="AE1660" s="52"/>
      <c r="AF1660" s="52"/>
      <c r="AG1660" s="58"/>
      <c r="AH1660" s="57"/>
      <c r="AI1660" s="52"/>
      <c r="AJ1660" s="52"/>
      <c r="AK1660" s="58"/>
      <c r="AL1660" s="57"/>
      <c r="AM1660" s="52"/>
      <c r="AN1660" s="52"/>
      <c r="AO1660" s="58"/>
      <c r="AP1660" s="57"/>
      <c r="AQ1660" s="52"/>
      <c r="AR1660" s="52"/>
      <c r="AS1660" s="58"/>
      <c r="AT1660" s="57"/>
      <c r="AU1660" s="52"/>
      <c r="AV1660" s="52"/>
      <c r="AW1660" s="58"/>
      <c r="AX1660" s="33">
        <f t="shared" si="1668"/>
        <v>0</v>
      </c>
      <c r="AY1660" s="31">
        <f t="shared" si="1669"/>
        <v>0</v>
      </c>
      <c r="AZ1660" s="30">
        <f t="shared" si="1670"/>
        <v>0</v>
      </c>
      <c r="BA1660" s="34"/>
      <c r="BB1660" s="34"/>
      <c r="BC1660" s="34"/>
      <c r="BD1660" s="76"/>
      <c r="BE1660" s="34"/>
      <c r="BF1660" s="34"/>
      <c r="BG1660" s="34"/>
      <c r="BH1660" s="34"/>
    </row>
    <row r="1661" spans="1:60" s="17" customFormat="1" ht="19.5" customHeight="1" thickBot="1" x14ac:dyDescent="0.4">
      <c r="A1661" s="41">
        <f>A1660</f>
        <v>45448</v>
      </c>
      <c r="B1661" s="37" t="str">
        <f t="shared" si="1672"/>
        <v>Ense Biye</v>
      </c>
      <c r="C1661" s="65">
        <f t="shared" si="1666"/>
        <v>0</v>
      </c>
      <c r="D1661" s="67">
        <f t="shared" si="1667"/>
        <v>100</v>
      </c>
      <c r="E1661" s="59"/>
      <c r="F1661" s="60"/>
      <c r="G1661" s="61"/>
      <c r="H1661" s="62"/>
      <c r="I1661" s="59"/>
      <c r="J1661" s="60"/>
      <c r="K1661" s="61"/>
      <c r="L1661" s="62"/>
      <c r="M1661" s="59"/>
      <c r="N1661" s="60"/>
      <c r="O1661" s="61"/>
      <c r="P1661" s="62"/>
      <c r="Q1661" s="64"/>
      <c r="R1661" s="61"/>
      <c r="S1661" s="61"/>
      <c r="T1661" s="61"/>
      <c r="U1661" s="62"/>
      <c r="V1661" s="59"/>
      <c r="W1661" s="60"/>
      <c r="X1661" s="61"/>
      <c r="Y1661" s="62"/>
      <c r="Z1661" s="59"/>
      <c r="AA1661" s="60"/>
      <c r="AB1661" s="61"/>
      <c r="AC1661" s="62"/>
      <c r="AD1661" s="59"/>
      <c r="AE1661" s="60"/>
      <c r="AF1661" s="61"/>
      <c r="AG1661" s="62"/>
      <c r="AH1661" s="59"/>
      <c r="AI1661" s="60"/>
      <c r="AJ1661" s="61"/>
      <c r="AK1661" s="62"/>
      <c r="AL1661" s="59"/>
      <c r="AM1661" s="60"/>
      <c r="AN1661" s="61"/>
      <c r="AO1661" s="62"/>
      <c r="AP1661" s="59"/>
      <c r="AQ1661" s="60"/>
      <c r="AR1661" s="61"/>
      <c r="AS1661" s="62"/>
      <c r="AT1661" s="59"/>
      <c r="AU1661" s="60"/>
      <c r="AV1661" s="61"/>
      <c r="AW1661" s="62"/>
      <c r="AX1661" s="33">
        <f t="shared" si="1668"/>
        <v>0</v>
      </c>
      <c r="AY1661" s="31">
        <f t="shared" si="1669"/>
        <v>0</v>
      </c>
      <c r="AZ1661" s="30">
        <f t="shared" si="1670"/>
        <v>0</v>
      </c>
      <c r="BA1661" s="34"/>
      <c r="BB1661" s="34"/>
      <c r="BC1661" s="34"/>
      <c r="BD1661" s="76"/>
      <c r="BE1661" s="34"/>
      <c r="BF1661" s="34"/>
      <c r="BG1661" s="34"/>
      <c r="BH1661" s="34"/>
    </row>
    <row r="1662" spans="1:60" s="17" customFormat="1" ht="19.5" customHeight="1" thickBot="1" x14ac:dyDescent="0.45">
      <c r="A1662" s="41">
        <f>A1661</f>
        <v>45448</v>
      </c>
      <c r="B1662" s="139" t="str">
        <f>B1655</f>
        <v>Ense Biye</v>
      </c>
      <c r="C1662" s="140"/>
      <c r="D1662" s="40">
        <f>C1590/8</f>
        <v>500</v>
      </c>
      <c r="E1662" s="147">
        <f>SUM(E1655:H1661)</f>
        <v>0</v>
      </c>
      <c r="F1662" s="148"/>
      <c r="G1662" s="148"/>
      <c r="H1662" s="149"/>
      <c r="I1662" s="147">
        <f>SUM(I1655:L1661)</f>
        <v>0</v>
      </c>
      <c r="J1662" s="148"/>
      <c r="K1662" s="148"/>
      <c r="L1662" s="149"/>
      <c r="M1662" s="147">
        <f>SUM(M1655:P1661)</f>
        <v>0</v>
      </c>
      <c r="N1662" s="148"/>
      <c r="O1662" s="148"/>
      <c r="P1662" s="149"/>
      <c r="Q1662" s="147">
        <f>SUM(Q1655:U1661)</f>
        <v>0</v>
      </c>
      <c r="R1662" s="148"/>
      <c r="S1662" s="148"/>
      <c r="T1662" s="148"/>
      <c r="U1662" s="149"/>
      <c r="V1662" s="147">
        <f>SUM(V1655:Y1661)</f>
        <v>0</v>
      </c>
      <c r="W1662" s="148"/>
      <c r="X1662" s="148"/>
      <c r="Y1662" s="149"/>
      <c r="Z1662" s="147">
        <f>SUM(Z1655:AC1661)</f>
        <v>0</v>
      </c>
      <c r="AA1662" s="148"/>
      <c r="AB1662" s="148"/>
      <c r="AC1662" s="149"/>
      <c r="AD1662" s="147">
        <f>SUM(AD1655:AG1661)</f>
        <v>0</v>
      </c>
      <c r="AE1662" s="148"/>
      <c r="AF1662" s="148"/>
      <c r="AG1662" s="149"/>
      <c r="AH1662" s="147">
        <f>SUM(AH1655:AK1661)</f>
        <v>0</v>
      </c>
      <c r="AI1662" s="148"/>
      <c r="AJ1662" s="148"/>
      <c r="AK1662" s="149"/>
      <c r="AL1662" s="147">
        <f>SUM(AL1655:AO1661)</f>
        <v>0</v>
      </c>
      <c r="AM1662" s="148"/>
      <c r="AN1662" s="148"/>
      <c r="AO1662" s="149"/>
      <c r="AP1662" s="147">
        <f>SUM(AP1655:AS1661)</f>
        <v>0</v>
      </c>
      <c r="AQ1662" s="148"/>
      <c r="AR1662" s="148"/>
      <c r="AS1662" s="149"/>
      <c r="AT1662" s="147">
        <f>SUM(AT1655:AW1661)</f>
        <v>0</v>
      </c>
      <c r="AU1662" s="148"/>
      <c r="AV1662" s="148"/>
      <c r="AW1662" s="149"/>
      <c r="AX1662" s="87">
        <f>SUM(AX1655:AX1661)</f>
        <v>0</v>
      </c>
      <c r="AY1662" s="88">
        <f>IFERROR(AVERAGEIF(E1662:AV1662,"&lt;&gt;0",(E1662:AV1662)),)</f>
        <v>0</v>
      </c>
      <c r="AZ1662" s="46">
        <f>IFERROR(AX1662/BB1656,0)</f>
        <v>0</v>
      </c>
      <c r="BA1662" s="34"/>
      <c r="BB1662" s="34"/>
      <c r="BC1662" s="34"/>
      <c r="BD1662" s="76"/>
      <c r="BE1662" s="34"/>
      <c r="BF1662" s="34"/>
      <c r="BG1662" s="34"/>
      <c r="BH1662" s="34"/>
    </row>
    <row r="1663" spans="1:60" s="17" customFormat="1" ht="19.5" customHeight="1" thickBot="1" x14ac:dyDescent="0.4">
      <c r="A1663" s="42">
        <f>A1653</f>
        <v>45448</v>
      </c>
      <c r="B1663" s="38" t="str">
        <f>B1664</f>
        <v>Yaka Basma 1 Et.(Beden)</v>
      </c>
      <c r="C1663" s="39" t="s">
        <v>180</v>
      </c>
      <c r="D1663" s="69" t="s">
        <v>181</v>
      </c>
      <c r="E1663" s="48">
        <v>0.34375</v>
      </c>
      <c r="F1663" s="49">
        <v>0.35416666666666669</v>
      </c>
      <c r="G1663" s="49">
        <v>0.36458333333333331</v>
      </c>
      <c r="H1663" s="50">
        <v>0.375</v>
      </c>
      <c r="I1663" s="48">
        <v>0.38541666666666702</v>
      </c>
      <c r="J1663" s="49">
        <v>0.39583333333333298</v>
      </c>
      <c r="K1663" s="49">
        <v>0.40625</v>
      </c>
      <c r="L1663" s="50">
        <v>0.41666666666666702</v>
      </c>
      <c r="M1663" s="48">
        <v>0.4375</v>
      </c>
      <c r="N1663" s="49">
        <v>0.44791666666666702</v>
      </c>
      <c r="O1663" s="49">
        <v>0.45833333333333398</v>
      </c>
      <c r="P1663" s="50">
        <v>0.46875</v>
      </c>
      <c r="Q1663" s="48">
        <v>0.47916666666666702</v>
      </c>
      <c r="R1663" s="49">
        <v>0.48958333333333398</v>
      </c>
      <c r="S1663" s="49">
        <v>0.5</v>
      </c>
      <c r="T1663" s="50">
        <v>0.51041666666666696</v>
      </c>
      <c r="U1663" s="51">
        <v>0.52083333333333204</v>
      </c>
      <c r="V1663" s="48">
        <v>0.5625</v>
      </c>
      <c r="W1663" s="49">
        <v>0.57291666666666663</v>
      </c>
      <c r="X1663" s="49">
        <v>0.58333333333333304</v>
      </c>
      <c r="Y1663" s="50">
        <v>0.59375</v>
      </c>
      <c r="Z1663" s="48">
        <v>0.60416666666666696</v>
      </c>
      <c r="AA1663" s="49">
        <v>0.61458333333333304</v>
      </c>
      <c r="AB1663" s="49">
        <v>0.625</v>
      </c>
      <c r="AC1663" s="50">
        <v>0.63541666666666596</v>
      </c>
      <c r="AD1663" s="48">
        <v>0.65625</v>
      </c>
      <c r="AE1663" s="49">
        <v>0.66666666666666663</v>
      </c>
      <c r="AF1663" s="49">
        <v>0.67708333333333304</v>
      </c>
      <c r="AG1663" s="50">
        <v>0.6875</v>
      </c>
      <c r="AH1663" s="48">
        <v>0.69791666666666696</v>
      </c>
      <c r="AI1663" s="49">
        <v>0.70833333333333304</v>
      </c>
      <c r="AJ1663" s="49">
        <v>0.71875</v>
      </c>
      <c r="AK1663" s="50">
        <v>0.72916666666666696</v>
      </c>
      <c r="AL1663" s="48">
        <v>0.73958333333333404</v>
      </c>
      <c r="AM1663" s="49">
        <v>0.750000000000001</v>
      </c>
      <c r="AN1663" s="49">
        <v>0.76041666666666796</v>
      </c>
      <c r="AO1663" s="50">
        <v>0.77083333333333504</v>
      </c>
      <c r="AP1663" s="48">
        <v>0.781250000000002</v>
      </c>
      <c r="AQ1663" s="49">
        <v>0.79166666666666896</v>
      </c>
      <c r="AR1663" s="49">
        <v>0.80208333333333603</v>
      </c>
      <c r="AS1663" s="50">
        <v>0.812500000000003</v>
      </c>
      <c r="AT1663" s="48">
        <v>0.82291666666666996</v>
      </c>
      <c r="AU1663" s="49">
        <v>0.83333333333333703</v>
      </c>
      <c r="AV1663" s="49">
        <v>0.843750000000004</v>
      </c>
      <c r="AW1663" s="50">
        <v>0.85416666666666663</v>
      </c>
      <c r="AX1663" s="68" t="s">
        <v>260</v>
      </c>
      <c r="AY1663" s="28" t="s">
        <v>261</v>
      </c>
      <c r="AZ1663" s="29" t="s">
        <v>262</v>
      </c>
      <c r="BA1663" s="136" t="str">
        <f>B1664</f>
        <v>Yaka Basma 1 Et.(Beden)</v>
      </c>
      <c r="BB1663" s="137"/>
      <c r="BC1663" s="137"/>
      <c r="BD1663" s="137"/>
      <c r="BE1663" s="137"/>
      <c r="BF1663" s="137"/>
      <c r="BG1663" s="137"/>
      <c r="BH1663" s="138"/>
    </row>
    <row r="1664" spans="1:60" s="17" customFormat="1" ht="19.5" customHeight="1" thickBot="1" x14ac:dyDescent="0.4">
      <c r="A1664" s="41">
        <f t="shared" ref="A1664" si="1673">A1663</f>
        <v>45448</v>
      </c>
      <c r="B1664" s="37" t="str">
        <f>B1488</f>
        <v>Yaka Basma 1 Et.(Beden)</v>
      </c>
      <c r="C1664" s="65" t="str">
        <f>C1488</f>
        <v>NESRİN ALTUNSÖZ</v>
      </c>
      <c r="D1664" s="70">
        <f>D1488</f>
        <v>60</v>
      </c>
      <c r="E1664" s="63"/>
      <c r="F1664" s="55"/>
      <c r="G1664" s="55"/>
      <c r="H1664" s="56"/>
      <c r="I1664" s="63"/>
      <c r="J1664" s="55"/>
      <c r="K1664" s="55"/>
      <c r="L1664" s="56"/>
      <c r="M1664" s="63"/>
      <c r="N1664" s="55"/>
      <c r="O1664" s="55"/>
      <c r="P1664" s="56"/>
      <c r="Q1664" s="63"/>
      <c r="R1664" s="55"/>
      <c r="S1664" s="55"/>
      <c r="T1664" s="55"/>
      <c r="U1664" s="56"/>
      <c r="V1664" s="63"/>
      <c r="W1664" s="55"/>
      <c r="X1664" s="55"/>
      <c r="Y1664" s="56"/>
      <c r="Z1664" s="63"/>
      <c r="AA1664" s="55"/>
      <c r="AB1664" s="55"/>
      <c r="AC1664" s="56"/>
      <c r="AD1664" s="63"/>
      <c r="AE1664" s="55"/>
      <c r="AF1664" s="55"/>
      <c r="AG1664" s="56"/>
      <c r="AH1664" s="63"/>
      <c r="AI1664" s="55"/>
      <c r="AJ1664" s="55"/>
      <c r="AK1664" s="56"/>
      <c r="AL1664" s="63"/>
      <c r="AM1664" s="55"/>
      <c r="AN1664" s="55"/>
      <c r="AO1664" s="56"/>
      <c r="AP1664" s="63"/>
      <c r="AQ1664" s="55"/>
      <c r="AR1664" s="55"/>
      <c r="AS1664" s="56"/>
      <c r="AT1664" s="53"/>
      <c r="AU1664" s="54"/>
      <c r="AV1664" s="55"/>
      <c r="AW1664" s="56"/>
      <c r="AX1664" s="33">
        <f>SUM(E1664:AW1664)</f>
        <v>0</v>
      </c>
      <c r="AY1664" s="31">
        <f>IFERROR(AVERAGEIF(E1664:AW1664,"&lt;&gt;0",(E1664:AW1664)),)</f>
        <v>0</v>
      </c>
      <c r="AZ1664" s="30">
        <f>IFERROR(AY1664/D1664,0)</f>
        <v>0</v>
      </c>
      <c r="BA1664" s="103" t="s">
        <v>182</v>
      </c>
      <c r="BB1664" s="100" t="s">
        <v>183</v>
      </c>
      <c r="BC1664" s="100" t="s">
        <v>184</v>
      </c>
      <c r="BD1664" s="101" t="s">
        <v>185</v>
      </c>
      <c r="BE1664" s="100" t="s">
        <v>186</v>
      </c>
      <c r="BF1664" s="102" t="s">
        <v>187</v>
      </c>
      <c r="BG1664" s="100" t="s">
        <v>188</v>
      </c>
      <c r="BH1664" s="102" t="s">
        <v>189</v>
      </c>
    </row>
    <row r="1665" spans="1:60" s="17" customFormat="1" ht="19.5" customHeight="1" thickBot="1" x14ac:dyDescent="0.4">
      <c r="A1665" s="41">
        <f t="shared" ref="A1665:B1665" si="1674">A1664</f>
        <v>45448</v>
      </c>
      <c r="B1665" s="37" t="str">
        <f t="shared" si="1674"/>
        <v>Yaka Basma 1 Et.(Beden)</v>
      </c>
      <c r="C1665" s="65" t="str">
        <f t="shared" ref="C1665:C1670" si="1675">C1489</f>
        <v>SERPİL ÇİMEN</v>
      </c>
      <c r="D1665" s="67">
        <f t="shared" ref="D1665:D1670" si="1676">D1664</f>
        <v>60</v>
      </c>
      <c r="E1665" s="57"/>
      <c r="F1665" s="52"/>
      <c r="G1665" s="52"/>
      <c r="H1665" s="58"/>
      <c r="I1665" s="57"/>
      <c r="J1665" s="52"/>
      <c r="K1665" s="52"/>
      <c r="L1665" s="58"/>
      <c r="M1665" s="57"/>
      <c r="N1665" s="52"/>
      <c r="O1665" s="52"/>
      <c r="P1665" s="58"/>
      <c r="Q1665" s="57"/>
      <c r="R1665" s="52"/>
      <c r="S1665" s="52"/>
      <c r="T1665" s="52"/>
      <c r="U1665" s="58"/>
      <c r="V1665" s="57"/>
      <c r="W1665" s="52"/>
      <c r="X1665" s="52"/>
      <c r="Y1665" s="58"/>
      <c r="Z1665" s="57"/>
      <c r="AA1665" s="52"/>
      <c r="AB1665" s="52"/>
      <c r="AC1665" s="58"/>
      <c r="AD1665" s="57"/>
      <c r="AE1665" s="52"/>
      <c r="AF1665" s="52"/>
      <c r="AG1665" s="58"/>
      <c r="AH1665" s="57"/>
      <c r="AI1665" s="52"/>
      <c r="AJ1665" s="52"/>
      <c r="AK1665" s="58"/>
      <c r="AL1665" s="57"/>
      <c r="AM1665" s="52"/>
      <c r="AN1665" s="52"/>
      <c r="AO1665" s="58"/>
      <c r="AP1665" s="57"/>
      <c r="AQ1665" s="52"/>
      <c r="AR1665" s="52"/>
      <c r="AS1665" s="58"/>
      <c r="AT1665" s="57"/>
      <c r="AU1665" s="52"/>
      <c r="AV1665" s="52"/>
      <c r="AW1665" s="58"/>
      <c r="AX1665" s="33">
        <f t="shared" ref="AX1665:AX1670" si="1677">SUM(E1665:AW1665)</f>
        <v>0</v>
      </c>
      <c r="AY1665" s="31">
        <f t="shared" ref="AY1665:AY1670" si="1678">IFERROR(AVERAGEIF(E1665:AW1665,"&lt;&gt;0",(E1665:AW1665)),)</f>
        <v>0</v>
      </c>
      <c r="AZ1665" s="30">
        <f t="shared" ref="AZ1665:AZ1670" si="1679">IFERROR(AY1665/D1665,0)</f>
        <v>0</v>
      </c>
      <c r="BA1665" s="94">
        <f>AX1671+BA1489</f>
        <v>18053</v>
      </c>
      <c r="BB1665" s="95">
        <f>(D1671*8)</f>
        <v>4000</v>
      </c>
      <c r="BC1665" s="96">
        <f>C1589-BA1665</f>
        <v>24258</v>
      </c>
      <c r="BD1665" s="96">
        <f>BA1656-BA1665</f>
        <v>124</v>
      </c>
      <c r="BE1665" s="97">
        <f>IFERROR(BC1665/E1671,0)</f>
        <v>0</v>
      </c>
      <c r="BF1665" s="98">
        <f>IFERROR(BE1665/9,0)</f>
        <v>0</v>
      </c>
      <c r="BG1665" s="97">
        <f>IFERROR(BC1665/AY1671,0)</f>
        <v>0</v>
      </c>
      <c r="BH1665" s="97">
        <f>IFERROR(BG1665/9,0)</f>
        <v>0</v>
      </c>
    </row>
    <row r="1666" spans="1:60" s="17" customFormat="1" ht="19.5" customHeight="1" x14ac:dyDescent="0.35">
      <c r="A1666" s="41">
        <f t="shared" ref="A1666:B1666" si="1680">A1665</f>
        <v>45448</v>
      </c>
      <c r="B1666" s="37" t="str">
        <f t="shared" si="1680"/>
        <v>Yaka Basma 1 Et.(Beden)</v>
      </c>
      <c r="C1666" s="65" t="str">
        <f t="shared" si="1675"/>
        <v>ŞEFİKA KESKİN</v>
      </c>
      <c r="D1666" s="67">
        <f t="shared" si="1676"/>
        <v>60</v>
      </c>
      <c r="E1666" s="57"/>
      <c r="F1666" s="52"/>
      <c r="G1666" s="52"/>
      <c r="H1666" s="58"/>
      <c r="I1666" s="57"/>
      <c r="J1666" s="52"/>
      <c r="K1666" s="52"/>
      <c r="L1666" s="58"/>
      <c r="M1666" s="57"/>
      <c r="N1666" s="52"/>
      <c r="O1666" s="52"/>
      <c r="P1666" s="58"/>
      <c r="Q1666" s="57"/>
      <c r="R1666" s="52"/>
      <c r="S1666" s="52"/>
      <c r="T1666" s="52"/>
      <c r="U1666" s="58"/>
      <c r="V1666" s="57"/>
      <c r="W1666" s="52"/>
      <c r="X1666" s="52"/>
      <c r="Y1666" s="58"/>
      <c r="Z1666" s="57"/>
      <c r="AA1666" s="52"/>
      <c r="AB1666" s="52"/>
      <c r="AC1666" s="58"/>
      <c r="AD1666" s="57"/>
      <c r="AE1666" s="52"/>
      <c r="AF1666" s="52"/>
      <c r="AG1666" s="58"/>
      <c r="AH1666" s="57"/>
      <c r="AI1666" s="52"/>
      <c r="AJ1666" s="52"/>
      <c r="AK1666" s="58"/>
      <c r="AL1666" s="57"/>
      <c r="AM1666" s="52"/>
      <c r="AN1666" s="52"/>
      <c r="AO1666" s="58"/>
      <c r="AP1666" s="57"/>
      <c r="AQ1666" s="52"/>
      <c r="AR1666" s="52"/>
      <c r="AS1666" s="58"/>
      <c r="AT1666" s="57"/>
      <c r="AU1666" s="52"/>
      <c r="AV1666" s="52"/>
      <c r="AW1666" s="58"/>
      <c r="AX1666" s="33">
        <f t="shared" si="1677"/>
        <v>0</v>
      </c>
      <c r="AY1666" s="31">
        <f t="shared" si="1678"/>
        <v>0</v>
      </c>
      <c r="AZ1666" s="30">
        <f t="shared" si="1679"/>
        <v>0</v>
      </c>
      <c r="BA1666" s="34"/>
      <c r="BB1666" s="34"/>
      <c r="BC1666" s="34"/>
      <c r="BD1666" s="76"/>
      <c r="BE1666" s="34"/>
      <c r="BF1666" s="34"/>
      <c r="BG1666" s="34"/>
      <c r="BH1666" s="34"/>
    </row>
    <row r="1667" spans="1:60" s="17" customFormat="1" ht="19.5" customHeight="1" x14ac:dyDescent="0.35">
      <c r="A1667" s="41">
        <f t="shared" ref="A1667:B1668" si="1681">A1666</f>
        <v>45448</v>
      </c>
      <c r="B1667" s="37" t="str">
        <f t="shared" si="1681"/>
        <v>Yaka Basma 1 Et.(Beden)</v>
      </c>
      <c r="C1667" s="65">
        <f t="shared" si="1675"/>
        <v>0</v>
      </c>
      <c r="D1667" s="67">
        <f t="shared" si="1676"/>
        <v>60</v>
      </c>
      <c r="E1667" s="57"/>
      <c r="F1667" s="52"/>
      <c r="G1667" s="52"/>
      <c r="H1667" s="58"/>
      <c r="I1667" s="57"/>
      <c r="J1667" s="52"/>
      <c r="K1667" s="52"/>
      <c r="L1667" s="58"/>
      <c r="M1667" s="57"/>
      <c r="N1667" s="52"/>
      <c r="O1667" s="52"/>
      <c r="P1667" s="58"/>
      <c r="Q1667" s="57"/>
      <c r="R1667" s="52"/>
      <c r="S1667" s="52"/>
      <c r="T1667" s="52"/>
      <c r="U1667" s="58"/>
      <c r="V1667" s="57"/>
      <c r="W1667" s="52"/>
      <c r="X1667" s="52"/>
      <c r="Y1667" s="58"/>
      <c r="Z1667" s="57"/>
      <c r="AA1667" s="52"/>
      <c r="AB1667" s="52"/>
      <c r="AC1667" s="58"/>
      <c r="AD1667" s="57"/>
      <c r="AE1667" s="52"/>
      <c r="AF1667" s="52"/>
      <c r="AG1667" s="58"/>
      <c r="AH1667" s="57"/>
      <c r="AI1667" s="52"/>
      <c r="AJ1667" s="52"/>
      <c r="AK1667" s="58"/>
      <c r="AL1667" s="57"/>
      <c r="AM1667" s="52"/>
      <c r="AN1667" s="52"/>
      <c r="AO1667" s="58"/>
      <c r="AP1667" s="57"/>
      <c r="AQ1667" s="52"/>
      <c r="AR1667" s="52"/>
      <c r="AS1667" s="58"/>
      <c r="AT1667" s="57"/>
      <c r="AU1667" s="52"/>
      <c r="AV1667" s="52"/>
      <c r="AW1667" s="58"/>
      <c r="AX1667" s="33">
        <f t="shared" si="1677"/>
        <v>0</v>
      </c>
      <c r="AY1667" s="31">
        <f t="shared" si="1678"/>
        <v>0</v>
      </c>
      <c r="AZ1667" s="30">
        <f t="shared" si="1679"/>
        <v>0</v>
      </c>
      <c r="BA1667" s="34"/>
      <c r="BB1667" s="34"/>
      <c r="BC1667" s="34"/>
      <c r="BD1667" s="76"/>
      <c r="BE1667" s="34"/>
      <c r="BF1667" s="34"/>
      <c r="BG1667" s="34"/>
      <c r="BH1667" s="34"/>
    </row>
    <row r="1668" spans="1:60" s="17" customFormat="1" ht="19.5" customHeight="1" x14ac:dyDescent="0.35">
      <c r="A1668" s="41">
        <f>A1665</f>
        <v>45448</v>
      </c>
      <c r="B1668" s="37" t="str">
        <f t="shared" si="1681"/>
        <v>Yaka Basma 1 Et.(Beden)</v>
      </c>
      <c r="C1668" s="65">
        <f t="shared" si="1675"/>
        <v>0</v>
      </c>
      <c r="D1668" s="67">
        <f t="shared" si="1676"/>
        <v>60</v>
      </c>
      <c r="E1668" s="57"/>
      <c r="F1668" s="52"/>
      <c r="G1668" s="52"/>
      <c r="H1668" s="58"/>
      <c r="I1668" s="57"/>
      <c r="J1668" s="52"/>
      <c r="K1668" s="52"/>
      <c r="L1668" s="58"/>
      <c r="M1668" s="57"/>
      <c r="N1668" s="52"/>
      <c r="O1668" s="52"/>
      <c r="P1668" s="58"/>
      <c r="Q1668" s="57"/>
      <c r="R1668" s="52"/>
      <c r="S1668" s="52"/>
      <c r="T1668" s="52"/>
      <c r="U1668" s="58"/>
      <c r="V1668" s="57"/>
      <c r="W1668" s="52"/>
      <c r="X1668" s="52"/>
      <c r="Y1668" s="58"/>
      <c r="Z1668" s="57"/>
      <c r="AA1668" s="52"/>
      <c r="AB1668" s="52"/>
      <c r="AC1668" s="58"/>
      <c r="AD1668" s="57"/>
      <c r="AE1668" s="52"/>
      <c r="AF1668" s="52"/>
      <c r="AG1668" s="58"/>
      <c r="AH1668" s="57"/>
      <c r="AI1668" s="52"/>
      <c r="AJ1668" s="52"/>
      <c r="AK1668" s="58"/>
      <c r="AL1668" s="57"/>
      <c r="AM1668" s="52"/>
      <c r="AN1668" s="52"/>
      <c r="AO1668" s="58"/>
      <c r="AP1668" s="57"/>
      <c r="AQ1668" s="52"/>
      <c r="AR1668" s="52"/>
      <c r="AS1668" s="58"/>
      <c r="AT1668" s="57"/>
      <c r="AU1668" s="52"/>
      <c r="AV1668" s="52"/>
      <c r="AW1668" s="58"/>
      <c r="AX1668" s="33">
        <f t="shared" si="1677"/>
        <v>0</v>
      </c>
      <c r="AY1668" s="31">
        <f t="shared" si="1678"/>
        <v>0</v>
      </c>
      <c r="AZ1668" s="30">
        <f t="shared" si="1679"/>
        <v>0</v>
      </c>
      <c r="BA1668" s="34"/>
      <c r="BB1668" s="34"/>
      <c r="BC1668" s="34"/>
      <c r="BD1668" s="76"/>
      <c r="BE1668" s="34"/>
      <c r="BF1668" s="34"/>
      <c r="BG1668" s="34"/>
      <c r="BH1668" s="34"/>
    </row>
    <row r="1669" spans="1:60" s="17" customFormat="1" ht="19.5" customHeight="1" x14ac:dyDescent="0.35">
      <c r="A1669" s="41">
        <f t="shared" ref="A1669:B1669" si="1682">A1668</f>
        <v>45448</v>
      </c>
      <c r="B1669" s="37" t="str">
        <f t="shared" si="1682"/>
        <v>Yaka Basma 1 Et.(Beden)</v>
      </c>
      <c r="C1669" s="65">
        <f t="shared" si="1675"/>
        <v>0</v>
      </c>
      <c r="D1669" s="67">
        <f t="shared" si="1676"/>
        <v>60</v>
      </c>
      <c r="E1669" s="57"/>
      <c r="F1669" s="52"/>
      <c r="G1669" s="52"/>
      <c r="H1669" s="58"/>
      <c r="I1669" s="57"/>
      <c r="J1669" s="52"/>
      <c r="K1669" s="52"/>
      <c r="L1669" s="58"/>
      <c r="M1669" s="57"/>
      <c r="N1669" s="52"/>
      <c r="O1669" s="52"/>
      <c r="P1669" s="58"/>
      <c r="Q1669" s="57"/>
      <c r="R1669" s="52"/>
      <c r="S1669" s="52"/>
      <c r="T1669" s="52"/>
      <c r="U1669" s="58"/>
      <c r="V1669" s="57"/>
      <c r="W1669" s="52"/>
      <c r="X1669" s="52"/>
      <c r="Y1669" s="58"/>
      <c r="Z1669" s="57"/>
      <c r="AA1669" s="52"/>
      <c r="AB1669" s="52"/>
      <c r="AC1669" s="58"/>
      <c r="AD1669" s="57"/>
      <c r="AE1669" s="52"/>
      <c r="AF1669" s="52"/>
      <c r="AG1669" s="58"/>
      <c r="AH1669" s="57"/>
      <c r="AI1669" s="52"/>
      <c r="AJ1669" s="52"/>
      <c r="AK1669" s="58"/>
      <c r="AL1669" s="57"/>
      <c r="AM1669" s="52"/>
      <c r="AN1669" s="52"/>
      <c r="AO1669" s="58"/>
      <c r="AP1669" s="57"/>
      <c r="AQ1669" s="52"/>
      <c r="AR1669" s="52"/>
      <c r="AS1669" s="58"/>
      <c r="AT1669" s="57"/>
      <c r="AU1669" s="52"/>
      <c r="AV1669" s="52"/>
      <c r="AW1669" s="58"/>
      <c r="AX1669" s="33">
        <f t="shared" si="1677"/>
        <v>0</v>
      </c>
      <c r="AY1669" s="31">
        <f t="shared" si="1678"/>
        <v>0</v>
      </c>
      <c r="AZ1669" s="30">
        <f t="shared" si="1679"/>
        <v>0</v>
      </c>
      <c r="BA1669" s="34"/>
      <c r="BB1669" s="34"/>
      <c r="BC1669" s="34"/>
      <c r="BD1669" s="76"/>
      <c r="BE1669" s="34"/>
      <c r="BF1669" s="34"/>
      <c r="BG1669" s="34"/>
      <c r="BH1669" s="34"/>
    </row>
    <row r="1670" spans="1:60" s="17" customFormat="1" ht="19.5" customHeight="1" thickBot="1" x14ac:dyDescent="0.4">
      <c r="A1670" s="41">
        <f t="shared" ref="A1670:B1671" si="1683">A1669</f>
        <v>45448</v>
      </c>
      <c r="B1670" s="37" t="str">
        <f t="shared" si="1683"/>
        <v>Yaka Basma 1 Et.(Beden)</v>
      </c>
      <c r="C1670" s="65">
        <f t="shared" si="1675"/>
        <v>0</v>
      </c>
      <c r="D1670" s="67">
        <f t="shared" si="1676"/>
        <v>60</v>
      </c>
      <c r="E1670" s="59"/>
      <c r="F1670" s="60"/>
      <c r="G1670" s="61"/>
      <c r="H1670" s="62"/>
      <c r="I1670" s="59"/>
      <c r="J1670" s="60"/>
      <c r="K1670" s="61"/>
      <c r="L1670" s="62"/>
      <c r="M1670" s="59"/>
      <c r="N1670" s="60"/>
      <c r="O1670" s="61"/>
      <c r="P1670" s="62"/>
      <c r="Q1670" s="64"/>
      <c r="R1670" s="61"/>
      <c r="S1670" s="61"/>
      <c r="T1670" s="61"/>
      <c r="U1670" s="62"/>
      <c r="V1670" s="59"/>
      <c r="W1670" s="60"/>
      <c r="X1670" s="61"/>
      <c r="Y1670" s="62"/>
      <c r="Z1670" s="59"/>
      <c r="AA1670" s="60"/>
      <c r="AB1670" s="61"/>
      <c r="AC1670" s="62"/>
      <c r="AD1670" s="59"/>
      <c r="AE1670" s="60"/>
      <c r="AF1670" s="61"/>
      <c r="AG1670" s="62"/>
      <c r="AH1670" s="59"/>
      <c r="AI1670" s="60"/>
      <c r="AJ1670" s="61"/>
      <c r="AK1670" s="62"/>
      <c r="AL1670" s="59"/>
      <c r="AM1670" s="60"/>
      <c r="AN1670" s="61"/>
      <c r="AO1670" s="62"/>
      <c r="AP1670" s="59"/>
      <c r="AQ1670" s="60"/>
      <c r="AR1670" s="61"/>
      <c r="AS1670" s="62"/>
      <c r="AT1670" s="59"/>
      <c r="AU1670" s="60"/>
      <c r="AV1670" s="61"/>
      <c r="AW1670" s="62"/>
      <c r="AX1670" s="33">
        <f t="shared" si="1677"/>
        <v>0</v>
      </c>
      <c r="AY1670" s="31">
        <f t="shared" si="1678"/>
        <v>0</v>
      </c>
      <c r="AZ1670" s="30">
        <f t="shared" si="1679"/>
        <v>0</v>
      </c>
      <c r="BA1670" s="34"/>
      <c r="BB1670" s="34"/>
      <c r="BC1670" s="34"/>
      <c r="BD1670" s="76"/>
      <c r="BE1670" s="34"/>
      <c r="BF1670" s="34"/>
      <c r="BG1670" s="34"/>
      <c r="BH1670" s="34"/>
    </row>
    <row r="1671" spans="1:60" s="17" customFormat="1" ht="19.5" customHeight="1" thickBot="1" x14ac:dyDescent="0.45">
      <c r="A1671" s="41">
        <f t="shared" si="1683"/>
        <v>45448</v>
      </c>
      <c r="B1671" s="139" t="str">
        <f>B1664</f>
        <v>Yaka Basma 1 Et.(Beden)</v>
      </c>
      <c r="C1671" s="140"/>
      <c r="D1671" s="40">
        <f>C1590/8</f>
        <v>500</v>
      </c>
      <c r="E1671" s="147">
        <f>SUM(E1664:H1670)</f>
        <v>0</v>
      </c>
      <c r="F1671" s="148"/>
      <c r="G1671" s="148"/>
      <c r="H1671" s="149"/>
      <c r="I1671" s="147">
        <f>SUM(I1664:L1670)</f>
        <v>0</v>
      </c>
      <c r="J1671" s="148"/>
      <c r="K1671" s="148"/>
      <c r="L1671" s="149"/>
      <c r="M1671" s="147">
        <f>SUM(M1664:P1670)</f>
        <v>0</v>
      </c>
      <c r="N1671" s="148"/>
      <c r="O1671" s="148"/>
      <c r="P1671" s="149"/>
      <c r="Q1671" s="147">
        <f>SUM(Q1664:U1670)</f>
        <v>0</v>
      </c>
      <c r="R1671" s="148"/>
      <c r="S1671" s="148"/>
      <c r="T1671" s="148"/>
      <c r="U1671" s="149"/>
      <c r="V1671" s="147">
        <f>SUM(V1664:Y1670)</f>
        <v>0</v>
      </c>
      <c r="W1671" s="148"/>
      <c r="X1671" s="148"/>
      <c r="Y1671" s="149"/>
      <c r="Z1671" s="147">
        <f>SUM(Z1664:AC1670)</f>
        <v>0</v>
      </c>
      <c r="AA1671" s="148"/>
      <c r="AB1671" s="148"/>
      <c r="AC1671" s="149"/>
      <c r="AD1671" s="147">
        <f>SUM(AD1664:AG1670)</f>
        <v>0</v>
      </c>
      <c r="AE1671" s="148"/>
      <c r="AF1671" s="148"/>
      <c r="AG1671" s="149"/>
      <c r="AH1671" s="147">
        <f>SUM(AH1664:AK1670)</f>
        <v>0</v>
      </c>
      <c r="AI1671" s="148"/>
      <c r="AJ1671" s="148"/>
      <c r="AK1671" s="149"/>
      <c r="AL1671" s="147">
        <f>SUM(AL1664:AO1670)</f>
        <v>0</v>
      </c>
      <c r="AM1671" s="148"/>
      <c r="AN1671" s="148"/>
      <c r="AO1671" s="149"/>
      <c r="AP1671" s="147">
        <f>SUM(AP1664:AS1670)</f>
        <v>0</v>
      </c>
      <c r="AQ1671" s="148"/>
      <c r="AR1671" s="148"/>
      <c r="AS1671" s="149"/>
      <c r="AT1671" s="147">
        <f>SUM(AT1664:AW1670)</f>
        <v>0</v>
      </c>
      <c r="AU1671" s="148"/>
      <c r="AV1671" s="148"/>
      <c r="AW1671" s="149"/>
      <c r="AX1671" s="87">
        <f>SUM(AX1664:AX1670)</f>
        <v>0</v>
      </c>
      <c r="AY1671" s="88">
        <f>IFERROR(AVERAGEIF(E1671:AV1671,"&lt;&gt;0",(E1671:AV1671)),)</f>
        <v>0</v>
      </c>
      <c r="AZ1671" s="46">
        <f>IFERROR(AX1671/BB1665,0)</f>
        <v>0</v>
      </c>
      <c r="BA1671" s="34"/>
      <c r="BB1671" s="34"/>
      <c r="BC1671" s="34"/>
      <c r="BD1671" s="76"/>
      <c r="BE1671" s="34"/>
      <c r="BF1671" s="34"/>
      <c r="BG1671" s="34"/>
      <c r="BH1671" s="34"/>
    </row>
    <row r="1672" spans="1:60" s="17" customFormat="1" ht="19.5" customHeight="1" thickBot="1" x14ac:dyDescent="0.4">
      <c r="A1672" s="42">
        <f>A1663</f>
        <v>45448</v>
      </c>
      <c r="B1672" s="38" t="str">
        <f>B1673</f>
        <v>Yaka Çıma</v>
      </c>
      <c r="C1672" s="39" t="s">
        <v>180</v>
      </c>
      <c r="D1672" s="69" t="s">
        <v>181</v>
      </c>
      <c r="E1672" s="48">
        <v>0.34375</v>
      </c>
      <c r="F1672" s="49">
        <v>0.35416666666666669</v>
      </c>
      <c r="G1672" s="49">
        <v>0.36458333333333331</v>
      </c>
      <c r="H1672" s="50">
        <v>0.375</v>
      </c>
      <c r="I1672" s="48">
        <v>0.38541666666666702</v>
      </c>
      <c r="J1672" s="49">
        <v>0.39583333333333298</v>
      </c>
      <c r="K1672" s="49">
        <v>0.40625</v>
      </c>
      <c r="L1672" s="50">
        <v>0.41666666666666702</v>
      </c>
      <c r="M1672" s="48">
        <v>0.4375</v>
      </c>
      <c r="N1672" s="49">
        <v>0.44791666666666702</v>
      </c>
      <c r="O1672" s="49">
        <v>0.45833333333333398</v>
      </c>
      <c r="P1672" s="50">
        <v>0.46875</v>
      </c>
      <c r="Q1672" s="48">
        <v>0.47916666666666702</v>
      </c>
      <c r="R1672" s="49">
        <v>0.48958333333333398</v>
      </c>
      <c r="S1672" s="49">
        <v>0.5</v>
      </c>
      <c r="T1672" s="50">
        <v>0.51041666666666696</v>
      </c>
      <c r="U1672" s="51">
        <v>0.52083333333333204</v>
      </c>
      <c r="V1672" s="48">
        <v>0.5625</v>
      </c>
      <c r="W1672" s="49">
        <v>0.57291666666666663</v>
      </c>
      <c r="X1672" s="49">
        <v>0.58333333333333304</v>
      </c>
      <c r="Y1672" s="50">
        <v>0.59375</v>
      </c>
      <c r="Z1672" s="48">
        <v>0.60416666666666696</v>
      </c>
      <c r="AA1672" s="49">
        <v>0.61458333333333304</v>
      </c>
      <c r="AB1672" s="49">
        <v>0.625</v>
      </c>
      <c r="AC1672" s="50">
        <v>0.63541666666666596</v>
      </c>
      <c r="AD1672" s="48">
        <v>0.65625</v>
      </c>
      <c r="AE1672" s="49">
        <v>0.66666666666666663</v>
      </c>
      <c r="AF1672" s="49">
        <v>0.67708333333333304</v>
      </c>
      <c r="AG1672" s="50">
        <v>0.6875</v>
      </c>
      <c r="AH1672" s="48">
        <v>0.69791666666666696</v>
      </c>
      <c r="AI1672" s="49">
        <v>0.70833333333333304</v>
      </c>
      <c r="AJ1672" s="49">
        <v>0.71875</v>
      </c>
      <c r="AK1672" s="50">
        <v>0.72916666666666696</v>
      </c>
      <c r="AL1672" s="48">
        <v>0.73958333333333404</v>
      </c>
      <c r="AM1672" s="49">
        <v>0.750000000000001</v>
      </c>
      <c r="AN1672" s="49">
        <v>0.76041666666666796</v>
      </c>
      <c r="AO1672" s="50">
        <v>0.77083333333333504</v>
      </c>
      <c r="AP1672" s="48">
        <v>0.781250000000002</v>
      </c>
      <c r="AQ1672" s="49">
        <v>0.79166666666666896</v>
      </c>
      <c r="AR1672" s="49">
        <v>0.80208333333333603</v>
      </c>
      <c r="AS1672" s="50">
        <v>0.812500000000003</v>
      </c>
      <c r="AT1672" s="48">
        <v>0.82291666666666996</v>
      </c>
      <c r="AU1672" s="49">
        <v>0.83333333333333703</v>
      </c>
      <c r="AV1672" s="49">
        <v>0.843750000000004</v>
      </c>
      <c r="AW1672" s="50">
        <v>0.85416666666666663</v>
      </c>
      <c r="AX1672" s="68" t="s">
        <v>260</v>
      </c>
      <c r="AY1672" s="28" t="s">
        <v>261</v>
      </c>
      <c r="AZ1672" s="29" t="s">
        <v>262</v>
      </c>
      <c r="BA1672" s="136" t="str">
        <f>B1673</f>
        <v>Yaka Çıma</v>
      </c>
      <c r="BB1672" s="137"/>
      <c r="BC1672" s="137"/>
      <c r="BD1672" s="137"/>
      <c r="BE1672" s="137"/>
      <c r="BF1672" s="137"/>
      <c r="BG1672" s="137"/>
      <c r="BH1672" s="138"/>
    </row>
    <row r="1673" spans="1:60" s="17" customFormat="1" ht="19.5" customHeight="1" thickBot="1" x14ac:dyDescent="0.4">
      <c r="A1673" s="41">
        <f t="shared" ref="A1673" si="1684">A1672</f>
        <v>45448</v>
      </c>
      <c r="B1673" s="37" t="str">
        <f>B1497</f>
        <v>Yaka Çıma</v>
      </c>
      <c r="C1673" s="65" t="str">
        <f>C1497</f>
        <v>KADER ÖNLÜ</v>
      </c>
      <c r="D1673" s="70">
        <f>D1497</f>
        <v>120</v>
      </c>
      <c r="E1673" s="63"/>
      <c r="F1673" s="55"/>
      <c r="G1673" s="55"/>
      <c r="H1673" s="56"/>
      <c r="I1673" s="63"/>
      <c r="J1673" s="55"/>
      <c r="K1673" s="55"/>
      <c r="L1673" s="56"/>
      <c r="M1673" s="63"/>
      <c r="N1673" s="55"/>
      <c r="O1673" s="55"/>
      <c r="P1673" s="56"/>
      <c r="Q1673" s="63"/>
      <c r="R1673" s="55"/>
      <c r="S1673" s="55"/>
      <c r="T1673" s="55"/>
      <c r="U1673" s="56"/>
      <c r="V1673" s="63"/>
      <c r="W1673" s="55"/>
      <c r="X1673" s="55"/>
      <c r="Y1673" s="56"/>
      <c r="Z1673" s="63"/>
      <c r="AA1673" s="55"/>
      <c r="AB1673" s="55"/>
      <c r="AC1673" s="56"/>
      <c r="AD1673" s="63"/>
      <c r="AE1673" s="55"/>
      <c r="AF1673" s="55"/>
      <c r="AG1673" s="56"/>
      <c r="AH1673" s="63"/>
      <c r="AI1673" s="55"/>
      <c r="AJ1673" s="55"/>
      <c r="AK1673" s="56"/>
      <c r="AL1673" s="63"/>
      <c r="AM1673" s="55"/>
      <c r="AN1673" s="55"/>
      <c r="AO1673" s="56"/>
      <c r="AP1673" s="63"/>
      <c r="AQ1673" s="55"/>
      <c r="AR1673" s="55"/>
      <c r="AS1673" s="56"/>
      <c r="AT1673" s="53"/>
      <c r="AU1673" s="54"/>
      <c r="AV1673" s="55"/>
      <c r="AW1673" s="56"/>
      <c r="AX1673" s="33">
        <f>SUM(E1673:AW1673)</f>
        <v>0</v>
      </c>
      <c r="AY1673" s="31">
        <f>IFERROR(AVERAGEIF(E1673:AW1673,"&lt;&gt;0",(E1673:AW1673)),)</f>
        <v>0</v>
      </c>
      <c r="AZ1673" s="30">
        <f>IFERROR(AY1673/D1673,0)</f>
        <v>0</v>
      </c>
      <c r="BA1673" s="103" t="s">
        <v>182</v>
      </c>
      <c r="BB1673" s="100" t="s">
        <v>183</v>
      </c>
      <c r="BC1673" s="100" t="s">
        <v>184</v>
      </c>
      <c r="BD1673" s="101" t="s">
        <v>185</v>
      </c>
      <c r="BE1673" s="100" t="s">
        <v>186</v>
      </c>
      <c r="BF1673" s="102" t="s">
        <v>187</v>
      </c>
      <c r="BG1673" s="100" t="s">
        <v>188</v>
      </c>
      <c r="BH1673" s="102" t="s">
        <v>189</v>
      </c>
    </row>
    <row r="1674" spans="1:60" s="17" customFormat="1" ht="19.5" customHeight="1" thickBot="1" x14ac:dyDescent="0.4">
      <c r="A1674" s="41">
        <f t="shared" ref="A1674:B1674" si="1685">A1673</f>
        <v>45448</v>
      </c>
      <c r="B1674" s="37" t="str">
        <f t="shared" si="1685"/>
        <v>Yaka Çıma</v>
      </c>
      <c r="C1674" s="65" t="str">
        <f t="shared" ref="C1674:C1679" si="1686">C1498</f>
        <v>FADİME SAATÇİ</v>
      </c>
      <c r="D1674" s="67">
        <f t="shared" ref="D1674:D1679" si="1687">D1673</f>
        <v>120</v>
      </c>
      <c r="E1674" s="57"/>
      <c r="F1674" s="52"/>
      <c r="G1674" s="52"/>
      <c r="H1674" s="58"/>
      <c r="I1674" s="57"/>
      <c r="J1674" s="52"/>
      <c r="K1674" s="52"/>
      <c r="L1674" s="58"/>
      <c r="M1674" s="57"/>
      <c r="N1674" s="52"/>
      <c r="O1674" s="52"/>
      <c r="P1674" s="58"/>
      <c r="Q1674" s="57"/>
      <c r="R1674" s="52"/>
      <c r="S1674" s="52"/>
      <c r="T1674" s="52"/>
      <c r="U1674" s="58"/>
      <c r="V1674" s="57"/>
      <c r="W1674" s="52"/>
      <c r="X1674" s="52"/>
      <c r="Y1674" s="58"/>
      <c r="Z1674" s="57"/>
      <c r="AA1674" s="52"/>
      <c r="AB1674" s="52"/>
      <c r="AC1674" s="58"/>
      <c r="AD1674" s="57"/>
      <c r="AE1674" s="52"/>
      <c r="AF1674" s="52"/>
      <c r="AG1674" s="58"/>
      <c r="AH1674" s="57"/>
      <c r="AI1674" s="52"/>
      <c r="AJ1674" s="52"/>
      <c r="AK1674" s="58"/>
      <c r="AL1674" s="57"/>
      <c r="AM1674" s="52"/>
      <c r="AN1674" s="52"/>
      <c r="AO1674" s="58"/>
      <c r="AP1674" s="57"/>
      <c r="AQ1674" s="52"/>
      <c r="AR1674" s="52"/>
      <c r="AS1674" s="58"/>
      <c r="AT1674" s="57"/>
      <c r="AU1674" s="52"/>
      <c r="AV1674" s="52"/>
      <c r="AW1674" s="58"/>
      <c r="AX1674" s="33">
        <f t="shared" ref="AX1674:AX1679" si="1688">SUM(E1674:AW1674)</f>
        <v>0</v>
      </c>
      <c r="AY1674" s="31">
        <f t="shared" ref="AY1674:AY1679" si="1689">IFERROR(AVERAGEIF(E1674:AW1674,"&lt;&gt;0",(E1674:AW1674)),)</f>
        <v>0</v>
      </c>
      <c r="AZ1674" s="30">
        <f t="shared" ref="AZ1674:AZ1679" si="1690">IFERROR(AY1674/D1674,0)</f>
        <v>0</v>
      </c>
      <c r="BA1674" s="94">
        <f>AX1680+BA1498</f>
        <v>17551</v>
      </c>
      <c r="BB1674" s="95">
        <f>(D1680*8)</f>
        <v>4000</v>
      </c>
      <c r="BC1674" s="96">
        <f>C1589-BA1674</f>
        <v>24760</v>
      </c>
      <c r="BD1674" s="96">
        <f>BA1665-BA1674</f>
        <v>502</v>
      </c>
      <c r="BE1674" s="97">
        <f>IFERROR(BC1674/E1680,0)</f>
        <v>0</v>
      </c>
      <c r="BF1674" s="98">
        <f>IFERROR(BE1674/9,0)</f>
        <v>0</v>
      </c>
      <c r="BG1674" s="97">
        <f>IFERROR(BC1674/AY1680,0)</f>
        <v>0</v>
      </c>
      <c r="BH1674" s="97">
        <f>IFERROR(BG1674/9,0)</f>
        <v>0</v>
      </c>
    </row>
    <row r="1675" spans="1:60" s="17" customFormat="1" ht="19.5" customHeight="1" x14ac:dyDescent="0.35">
      <c r="A1675" s="41">
        <f t="shared" ref="A1675:B1675" si="1691">A1674</f>
        <v>45448</v>
      </c>
      <c r="B1675" s="37" t="str">
        <f t="shared" si="1691"/>
        <v>Yaka Çıma</v>
      </c>
      <c r="C1675" s="65">
        <f t="shared" si="1686"/>
        <v>0</v>
      </c>
      <c r="D1675" s="67">
        <f t="shared" si="1687"/>
        <v>120</v>
      </c>
      <c r="E1675" s="57"/>
      <c r="F1675" s="52"/>
      <c r="G1675" s="52"/>
      <c r="H1675" s="58"/>
      <c r="I1675" s="57"/>
      <c r="J1675" s="52"/>
      <c r="K1675" s="52"/>
      <c r="L1675" s="58"/>
      <c r="M1675" s="57"/>
      <c r="N1675" s="52"/>
      <c r="O1675" s="52"/>
      <c r="P1675" s="58"/>
      <c r="Q1675" s="57"/>
      <c r="R1675" s="52"/>
      <c r="S1675" s="52"/>
      <c r="T1675" s="52"/>
      <c r="U1675" s="58"/>
      <c r="V1675" s="57"/>
      <c r="W1675" s="52"/>
      <c r="X1675" s="52"/>
      <c r="Y1675" s="58"/>
      <c r="Z1675" s="57"/>
      <c r="AA1675" s="52"/>
      <c r="AB1675" s="52"/>
      <c r="AC1675" s="58"/>
      <c r="AD1675" s="57"/>
      <c r="AE1675" s="52"/>
      <c r="AF1675" s="52"/>
      <c r="AG1675" s="58"/>
      <c r="AH1675" s="57"/>
      <c r="AI1675" s="52"/>
      <c r="AJ1675" s="52"/>
      <c r="AK1675" s="58"/>
      <c r="AL1675" s="57"/>
      <c r="AM1675" s="52"/>
      <c r="AN1675" s="52"/>
      <c r="AO1675" s="58"/>
      <c r="AP1675" s="57"/>
      <c r="AQ1675" s="52"/>
      <c r="AR1675" s="52"/>
      <c r="AS1675" s="58"/>
      <c r="AT1675" s="57"/>
      <c r="AU1675" s="52"/>
      <c r="AV1675" s="52"/>
      <c r="AW1675" s="58"/>
      <c r="AX1675" s="33">
        <f t="shared" si="1688"/>
        <v>0</v>
      </c>
      <c r="AY1675" s="31">
        <f t="shared" si="1689"/>
        <v>0</v>
      </c>
      <c r="AZ1675" s="30">
        <f t="shared" si="1690"/>
        <v>0</v>
      </c>
      <c r="BA1675" s="34"/>
      <c r="BB1675" s="34"/>
      <c r="BC1675" s="34"/>
      <c r="BD1675" s="76"/>
      <c r="BE1675" s="34"/>
      <c r="BF1675" s="34"/>
      <c r="BG1675" s="34"/>
      <c r="BH1675" s="34"/>
    </row>
    <row r="1676" spans="1:60" s="17" customFormat="1" ht="19.5" customHeight="1" x14ac:dyDescent="0.35">
      <c r="A1676" s="41">
        <f t="shared" ref="A1676:B1677" si="1692">A1675</f>
        <v>45448</v>
      </c>
      <c r="B1676" s="37" t="str">
        <f t="shared" si="1692"/>
        <v>Yaka Çıma</v>
      </c>
      <c r="C1676" s="65">
        <f t="shared" si="1686"/>
        <v>0</v>
      </c>
      <c r="D1676" s="67">
        <f t="shared" si="1687"/>
        <v>120</v>
      </c>
      <c r="E1676" s="57"/>
      <c r="F1676" s="52"/>
      <c r="G1676" s="52"/>
      <c r="H1676" s="58"/>
      <c r="I1676" s="57"/>
      <c r="J1676" s="52"/>
      <c r="K1676" s="52"/>
      <c r="L1676" s="58"/>
      <c r="M1676" s="57"/>
      <c r="N1676" s="52"/>
      <c r="O1676" s="52"/>
      <c r="P1676" s="58"/>
      <c r="Q1676" s="57"/>
      <c r="R1676" s="52"/>
      <c r="S1676" s="52"/>
      <c r="T1676" s="52"/>
      <c r="U1676" s="58"/>
      <c r="V1676" s="57"/>
      <c r="W1676" s="52"/>
      <c r="X1676" s="52"/>
      <c r="Y1676" s="58"/>
      <c r="Z1676" s="57"/>
      <c r="AA1676" s="52"/>
      <c r="AB1676" s="52"/>
      <c r="AC1676" s="58"/>
      <c r="AD1676" s="57"/>
      <c r="AE1676" s="52"/>
      <c r="AF1676" s="52"/>
      <c r="AG1676" s="58"/>
      <c r="AH1676" s="57"/>
      <c r="AI1676" s="52"/>
      <c r="AJ1676" s="52"/>
      <c r="AK1676" s="58"/>
      <c r="AL1676" s="57"/>
      <c r="AM1676" s="52"/>
      <c r="AN1676" s="52"/>
      <c r="AO1676" s="58"/>
      <c r="AP1676" s="57"/>
      <c r="AQ1676" s="52"/>
      <c r="AR1676" s="52"/>
      <c r="AS1676" s="58"/>
      <c r="AT1676" s="57"/>
      <c r="AU1676" s="52"/>
      <c r="AV1676" s="52"/>
      <c r="AW1676" s="58"/>
      <c r="AX1676" s="33">
        <f t="shared" si="1688"/>
        <v>0</v>
      </c>
      <c r="AY1676" s="31">
        <f t="shared" si="1689"/>
        <v>0</v>
      </c>
      <c r="AZ1676" s="30">
        <f t="shared" si="1690"/>
        <v>0</v>
      </c>
      <c r="BA1676" s="34"/>
      <c r="BB1676" s="34"/>
      <c r="BC1676" s="34"/>
      <c r="BD1676" s="76"/>
      <c r="BE1676" s="34"/>
      <c r="BF1676" s="34"/>
      <c r="BG1676" s="34"/>
      <c r="BH1676" s="34"/>
    </row>
    <row r="1677" spans="1:60" s="17" customFormat="1" ht="19.5" customHeight="1" x14ac:dyDescent="0.35">
      <c r="A1677" s="41">
        <f>A1674</f>
        <v>45448</v>
      </c>
      <c r="B1677" s="37" t="str">
        <f t="shared" si="1692"/>
        <v>Yaka Çıma</v>
      </c>
      <c r="C1677" s="65">
        <f t="shared" si="1686"/>
        <v>0</v>
      </c>
      <c r="D1677" s="67">
        <f t="shared" si="1687"/>
        <v>120</v>
      </c>
      <c r="E1677" s="57"/>
      <c r="F1677" s="52"/>
      <c r="G1677" s="52"/>
      <c r="H1677" s="58"/>
      <c r="I1677" s="57"/>
      <c r="J1677" s="52"/>
      <c r="K1677" s="52"/>
      <c r="L1677" s="58"/>
      <c r="M1677" s="57"/>
      <c r="N1677" s="52"/>
      <c r="O1677" s="52"/>
      <c r="P1677" s="58"/>
      <c r="Q1677" s="57"/>
      <c r="R1677" s="52"/>
      <c r="S1677" s="52"/>
      <c r="T1677" s="52"/>
      <c r="U1677" s="58"/>
      <c r="V1677" s="57"/>
      <c r="W1677" s="52"/>
      <c r="X1677" s="52"/>
      <c r="Y1677" s="58"/>
      <c r="Z1677" s="57"/>
      <c r="AA1677" s="52"/>
      <c r="AB1677" s="52"/>
      <c r="AC1677" s="58"/>
      <c r="AD1677" s="57"/>
      <c r="AE1677" s="52"/>
      <c r="AF1677" s="52"/>
      <c r="AG1677" s="58"/>
      <c r="AH1677" s="57"/>
      <c r="AI1677" s="52"/>
      <c r="AJ1677" s="52"/>
      <c r="AK1677" s="58"/>
      <c r="AL1677" s="57"/>
      <c r="AM1677" s="52"/>
      <c r="AN1677" s="52"/>
      <c r="AO1677" s="58"/>
      <c r="AP1677" s="57"/>
      <c r="AQ1677" s="52"/>
      <c r="AR1677" s="52"/>
      <c r="AS1677" s="58"/>
      <c r="AT1677" s="57"/>
      <c r="AU1677" s="52"/>
      <c r="AV1677" s="52"/>
      <c r="AW1677" s="58"/>
      <c r="AX1677" s="33">
        <f t="shared" si="1688"/>
        <v>0</v>
      </c>
      <c r="AY1677" s="31">
        <f t="shared" si="1689"/>
        <v>0</v>
      </c>
      <c r="AZ1677" s="30">
        <f t="shared" si="1690"/>
        <v>0</v>
      </c>
      <c r="BA1677" s="34"/>
      <c r="BB1677" s="34"/>
      <c r="BC1677" s="34"/>
      <c r="BD1677" s="76"/>
      <c r="BE1677" s="34"/>
      <c r="BF1677" s="34"/>
      <c r="BG1677" s="34"/>
      <c r="BH1677" s="34"/>
    </row>
    <row r="1678" spans="1:60" s="17" customFormat="1" ht="19.5" customHeight="1" x14ac:dyDescent="0.35">
      <c r="A1678" s="41">
        <f t="shared" ref="A1678:B1678" si="1693">A1677</f>
        <v>45448</v>
      </c>
      <c r="B1678" s="37" t="str">
        <f t="shared" si="1693"/>
        <v>Yaka Çıma</v>
      </c>
      <c r="C1678" s="65">
        <f t="shared" si="1686"/>
        <v>0</v>
      </c>
      <c r="D1678" s="67">
        <f t="shared" si="1687"/>
        <v>120</v>
      </c>
      <c r="E1678" s="57"/>
      <c r="F1678" s="52"/>
      <c r="G1678" s="52"/>
      <c r="H1678" s="58"/>
      <c r="I1678" s="57"/>
      <c r="J1678" s="52"/>
      <c r="K1678" s="52"/>
      <c r="L1678" s="58"/>
      <c r="M1678" s="57"/>
      <c r="N1678" s="52"/>
      <c r="O1678" s="52"/>
      <c r="P1678" s="58"/>
      <c r="Q1678" s="57"/>
      <c r="R1678" s="52"/>
      <c r="S1678" s="52"/>
      <c r="T1678" s="52"/>
      <c r="U1678" s="58"/>
      <c r="V1678" s="57"/>
      <c r="W1678" s="52"/>
      <c r="X1678" s="52"/>
      <c r="Y1678" s="58"/>
      <c r="Z1678" s="57"/>
      <c r="AA1678" s="52"/>
      <c r="AB1678" s="52"/>
      <c r="AC1678" s="58"/>
      <c r="AD1678" s="57"/>
      <c r="AE1678" s="52"/>
      <c r="AF1678" s="52"/>
      <c r="AG1678" s="58"/>
      <c r="AH1678" s="57"/>
      <c r="AI1678" s="52"/>
      <c r="AJ1678" s="52"/>
      <c r="AK1678" s="58"/>
      <c r="AL1678" s="57"/>
      <c r="AM1678" s="52"/>
      <c r="AN1678" s="52"/>
      <c r="AO1678" s="58"/>
      <c r="AP1678" s="57"/>
      <c r="AQ1678" s="52"/>
      <c r="AR1678" s="52"/>
      <c r="AS1678" s="58"/>
      <c r="AT1678" s="57"/>
      <c r="AU1678" s="52"/>
      <c r="AV1678" s="52"/>
      <c r="AW1678" s="58"/>
      <c r="AX1678" s="33">
        <f t="shared" si="1688"/>
        <v>0</v>
      </c>
      <c r="AY1678" s="31">
        <f t="shared" si="1689"/>
        <v>0</v>
      </c>
      <c r="AZ1678" s="30">
        <f t="shared" si="1690"/>
        <v>0</v>
      </c>
      <c r="BA1678" s="34"/>
      <c r="BB1678" s="34"/>
      <c r="BC1678" s="34"/>
      <c r="BD1678" s="76"/>
      <c r="BE1678" s="34"/>
      <c r="BF1678" s="34"/>
      <c r="BG1678" s="34"/>
      <c r="BH1678" s="34"/>
    </row>
    <row r="1679" spans="1:60" s="17" customFormat="1" ht="19.5" customHeight="1" thickBot="1" x14ac:dyDescent="0.4">
      <c r="A1679" s="41">
        <f t="shared" ref="A1679:B1680" si="1694">A1678</f>
        <v>45448</v>
      </c>
      <c r="B1679" s="37" t="str">
        <f t="shared" si="1694"/>
        <v>Yaka Çıma</v>
      </c>
      <c r="C1679" s="65">
        <f t="shared" si="1686"/>
        <v>0</v>
      </c>
      <c r="D1679" s="67">
        <f t="shared" si="1687"/>
        <v>120</v>
      </c>
      <c r="E1679" s="59"/>
      <c r="F1679" s="60"/>
      <c r="G1679" s="61"/>
      <c r="H1679" s="62"/>
      <c r="I1679" s="59"/>
      <c r="J1679" s="60"/>
      <c r="K1679" s="61"/>
      <c r="L1679" s="62"/>
      <c r="M1679" s="59"/>
      <c r="N1679" s="60"/>
      <c r="O1679" s="61"/>
      <c r="P1679" s="62"/>
      <c r="Q1679" s="64"/>
      <c r="R1679" s="61"/>
      <c r="S1679" s="61"/>
      <c r="T1679" s="61"/>
      <c r="U1679" s="62"/>
      <c r="V1679" s="59"/>
      <c r="W1679" s="60"/>
      <c r="X1679" s="61"/>
      <c r="Y1679" s="62"/>
      <c r="Z1679" s="59"/>
      <c r="AA1679" s="60"/>
      <c r="AB1679" s="61"/>
      <c r="AC1679" s="62"/>
      <c r="AD1679" s="59"/>
      <c r="AE1679" s="60"/>
      <c r="AF1679" s="61"/>
      <c r="AG1679" s="62"/>
      <c r="AH1679" s="59"/>
      <c r="AI1679" s="60"/>
      <c r="AJ1679" s="61"/>
      <c r="AK1679" s="62"/>
      <c r="AL1679" s="59"/>
      <c r="AM1679" s="60"/>
      <c r="AN1679" s="61"/>
      <c r="AO1679" s="62"/>
      <c r="AP1679" s="59"/>
      <c r="AQ1679" s="60"/>
      <c r="AR1679" s="61"/>
      <c r="AS1679" s="62"/>
      <c r="AT1679" s="59"/>
      <c r="AU1679" s="60"/>
      <c r="AV1679" s="61"/>
      <c r="AW1679" s="62"/>
      <c r="AX1679" s="33">
        <f t="shared" si="1688"/>
        <v>0</v>
      </c>
      <c r="AY1679" s="31">
        <f t="shared" si="1689"/>
        <v>0</v>
      </c>
      <c r="AZ1679" s="30">
        <f t="shared" si="1690"/>
        <v>0</v>
      </c>
      <c r="BA1679" s="34"/>
      <c r="BB1679" s="34"/>
      <c r="BC1679" s="34"/>
      <c r="BD1679" s="76"/>
      <c r="BE1679" s="34"/>
      <c r="BF1679" s="34"/>
      <c r="BG1679" s="34"/>
      <c r="BH1679" s="34"/>
    </row>
    <row r="1680" spans="1:60" s="17" customFormat="1" ht="19.5" customHeight="1" thickBot="1" x14ac:dyDescent="0.45">
      <c r="A1680" s="41">
        <f t="shared" si="1694"/>
        <v>45448</v>
      </c>
      <c r="B1680" s="139" t="str">
        <f>B1673</f>
        <v>Yaka Çıma</v>
      </c>
      <c r="C1680" s="140"/>
      <c r="D1680" s="40">
        <f>C1590/8</f>
        <v>500</v>
      </c>
      <c r="E1680" s="147">
        <f>SUM(E1673:H1679)</f>
        <v>0</v>
      </c>
      <c r="F1680" s="148"/>
      <c r="G1680" s="148"/>
      <c r="H1680" s="149"/>
      <c r="I1680" s="147">
        <f>SUM(I1673:L1679)</f>
        <v>0</v>
      </c>
      <c r="J1680" s="148"/>
      <c r="K1680" s="148"/>
      <c r="L1680" s="149"/>
      <c r="M1680" s="147">
        <f>SUM(M1673:P1679)</f>
        <v>0</v>
      </c>
      <c r="N1680" s="148"/>
      <c r="O1680" s="148"/>
      <c r="P1680" s="149"/>
      <c r="Q1680" s="147">
        <f>SUM(Q1673:U1679)</f>
        <v>0</v>
      </c>
      <c r="R1680" s="148"/>
      <c r="S1680" s="148"/>
      <c r="T1680" s="148"/>
      <c r="U1680" s="149"/>
      <c r="V1680" s="147">
        <f>SUM(V1673:Y1679)</f>
        <v>0</v>
      </c>
      <c r="W1680" s="148"/>
      <c r="X1680" s="148"/>
      <c r="Y1680" s="149"/>
      <c r="Z1680" s="147">
        <f>SUM(Z1673:AC1679)</f>
        <v>0</v>
      </c>
      <c r="AA1680" s="148"/>
      <c r="AB1680" s="148"/>
      <c r="AC1680" s="149"/>
      <c r="AD1680" s="147">
        <f>SUM(AD1673:AG1679)</f>
        <v>0</v>
      </c>
      <c r="AE1680" s="148"/>
      <c r="AF1680" s="148"/>
      <c r="AG1680" s="149"/>
      <c r="AH1680" s="147">
        <f>SUM(AH1673:AK1679)</f>
        <v>0</v>
      </c>
      <c r="AI1680" s="148"/>
      <c r="AJ1680" s="148"/>
      <c r="AK1680" s="149"/>
      <c r="AL1680" s="147">
        <f>SUM(AL1673:AO1679)</f>
        <v>0</v>
      </c>
      <c r="AM1680" s="148"/>
      <c r="AN1680" s="148"/>
      <c r="AO1680" s="149"/>
      <c r="AP1680" s="147">
        <f>SUM(AP1673:AS1679)</f>
        <v>0</v>
      </c>
      <c r="AQ1680" s="148"/>
      <c r="AR1680" s="148"/>
      <c r="AS1680" s="149"/>
      <c r="AT1680" s="147">
        <f>SUM(AT1673:AW1679)</f>
        <v>0</v>
      </c>
      <c r="AU1680" s="148"/>
      <c r="AV1680" s="148"/>
      <c r="AW1680" s="149"/>
      <c r="AX1680" s="87">
        <f>SUM(AX1673:AX1679)</f>
        <v>0</v>
      </c>
      <c r="AY1680" s="88">
        <f>IFERROR(AVERAGEIF(E1680:AV1680,"&lt;&gt;0",(E1680:AV1680)),)</f>
        <v>0</v>
      </c>
      <c r="AZ1680" s="46">
        <f>IFERROR(AX1680/BB1674,0)</f>
        <v>0</v>
      </c>
      <c r="BA1680" s="34"/>
      <c r="BB1680" s="34"/>
      <c r="BC1680" s="34"/>
      <c r="BD1680" s="76"/>
      <c r="BE1680" s="34"/>
      <c r="BF1680" s="34"/>
      <c r="BG1680" s="34"/>
      <c r="BH1680" s="34"/>
    </row>
    <row r="1681" spans="1:60" s="17" customFormat="1" ht="19.5" customHeight="1" thickBot="1" x14ac:dyDescent="0.4">
      <c r="A1681" s="42">
        <f>A1663</f>
        <v>45448</v>
      </c>
      <c r="B1681" s="38" t="str">
        <f>B1682</f>
        <v>Kol Takma</v>
      </c>
      <c r="C1681" s="39" t="s">
        <v>180</v>
      </c>
      <c r="D1681" s="69" t="s">
        <v>181</v>
      </c>
      <c r="E1681" s="48">
        <v>0.34375</v>
      </c>
      <c r="F1681" s="49">
        <v>0.35416666666666669</v>
      </c>
      <c r="G1681" s="49">
        <v>0.36458333333333331</v>
      </c>
      <c r="H1681" s="50">
        <v>0.375</v>
      </c>
      <c r="I1681" s="48">
        <v>0.38541666666666702</v>
      </c>
      <c r="J1681" s="49">
        <v>0.39583333333333298</v>
      </c>
      <c r="K1681" s="49">
        <v>0.40625</v>
      </c>
      <c r="L1681" s="50">
        <v>0.41666666666666702</v>
      </c>
      <c r="M1681" s="48">
        <v>0.4375</v>
      </c>
      <c r="N1681" s="49">
        <v>0.44791666666666702</v>
      </c>
      <c r="O1681" s="49">
        <v>0.45833333333333398</v>
      </c>
      <c r="P1681" s="50">
        <v>0.46875</v>
      </c>
      <c r="Q1681" s="48">
        <v>0.47916666666666702</v>
      </c>
      <c r="R1681" s="49">
        <v>0.48958333333333398</v>
      </c>
      <c r="S1681" s="49">
        <v>0.5</v>
      </c>
      <c r="T1681" s="50">
        <v>0.51041666666666696</v>
      </c>
      <c r="U1681" s="51">
        <v>0.52083333333333204</v>
      </c>
      <c r="V1681" s="48">
        <v>0.5625</v>
      </c>
      <c r="W1681" s="49">
        <v>0.57291666666666663</v>
      </c>
      <c r="X1681" s="49">
        <v>0.58333333333333304</v>
      </c>
      <c r="Y1681" s="50">
        <v>0.59375</v>
      </c>
      <c r="Z1681" s="48">
        <v>0.60416666666666696</v>
      </c>
      <c r="AA1681" s="49">
        <v>0.61458333333333304</v>
      </c>
      <c r="AB1681" s="49">
        <v>0.625</v>
      </c>
      <c r="AC1681" s="50">
        <v>0.63541666666666596</v>
      </c>
      <c r="AD1681" s="48">
        <v>0.65625</v>
      </c>
      <c r="AE1681" s="49">
        <v>0.66666666666666663</v>
      </c>
      <c r="AF1681" s="49">
        <v>0.67708333333333304</v>
      </c>
      <c r="AG1681" s="50">
        <v>0.6875</v>
      </c>
      <c r="AH1681" s="48">
        <v>0.69791666666666696</v>
      </c>
      <c r="AI1681" s="49">
        <v>0.70833333333333304</v>
      </c>
      <c r="AJ1681" s="49">
        <v>0.71875</v>
      </c>
      <c r="AK1681" s="50">
        <v>0.72916666666666696</v>
      </c>
      <c r="AL1681" s="48">
        <v>0.73958333333333404</v>
      </c>
      <c r="AM1681" s="49">
        <v>0.750000000000001</v>
      </c>
      <c r="AN1681" s="49">
        <v>0.76041666666666796</v>
      </c>
      <c r="AO1681" s="50">
        <v>0.77083333333333504</v>
      </c>
      <c r="AP1681" s="48">
        <v>0.781250000000002</v>
      </c>
      <c r="AQ1681" s="49">
        <v>0.79166666666666896</v>
      </c>
      <c r="AR1681" s="49">
        <v>0.80208333333333603</v>
      </c>
      <c r="AS1681" s="50">
        <v>0.812500000000003</v>
      </c>
      <c r="AT1681" s="48">
        <v>0.82291666666666996</v>
      </c>
      <c r="AU1681" s="49">
        <v>0.83333333333333703</v>
      </c>
      <c r="AV1681" s="49">
        <v>0.843750000000004</v>
      </c>
      <c r="AW1681" s="50">
        <v>0.85416666666666663</v>
      </c>
      <c r="AX1681" s="68" t="s">
        <v>260</v>
      </c>
      <c r="AY1681" s="28" t="s">
        <v>261</v>
      </c>
      <c r="AZ1681" s="29" t="s">
        <v>262</v>
      </c>
      <c r="BA1681" s="136" t="str">
        <f>B1682</f>
        <v>Kol Takma</v>
      </c>
      <c r="BB1681" s="137"/>
      <c r="BC1681" s="137"/>
      <c r="BD1681" s="137"/>
      <c r="BE1681" s="137"/>
      <c r="BF1681" s="137"/>
      <c r="BG1681" s="137"/>
      <c r="BH1681" s="138"/>
    </row>
    <row r="1682" spans="1:60" s="17" customFormat="1" ht="19.5" customHeight="1" thickBot="1" x14ac:dyDescent="0.4">
      <c r="A1682" s="41">
        <f t="shared" ref="A1682" si="1695">A1681</f>
        <v>45448</v>
      </c>
      <c r="B1682" s="37" t="str">
        <f>B1506</f>
        <v>Kol Takma</v>
      </c>
      <c r="C1682" s="65" t="str">
        <f>C1506</f>
        <v>EBRU CANSU</v>
      </c>
      <c r="D1682" s="70">
        <f>D1506</f>
        <v>35</v>
      </c>
      <c r="E1682" s="63"/>
      <c r="F1682" s="55"/>
      <c r="G1682" s="55"/>
      <c r="H1682" s="56"/>
      <c r="I1682" s="63"/>
      <c r="J1682" s="55"/>
      <c r="K1682" s="55"/>
      <c r="L1682" s="56"/>
      <c r="M1682" s="63"/>
      <c r="N1682" s="55"/>
      <c r="O1682" s="55"/>
      <c r="P1682" s="56"/>
      <c r="Q1682" s="63"/>
      <c r="R1682" s="55"/>
      <c r="S1682" s="55"/>
      <c r="T1682" s="55"/>
      <c r="U1682" s="56"/>
      <c r="V1682" s="63"/>
      <c r="W1682" s="55"/>
      <c r="X1682" s="55"/>
      <c r="Y1682" s="56"/>
      <c r="Z1682" s="63"/>
      <c r="AA1682" s="55"/>
      <c r="AB1682" s="55"/>
      <c r="AC1682" s="56"/>
      <c r="AD1682" s="63"/>
      <c r="AE1682" s="55"/>
      <c r="AF1682" s="55"/>
      <c r="AG1682" s="56"/>
      <c r="AH1682" s="63"/>
      <c r="AI1682" s="55"/>
      <c r="AJ1682" s="55"/>
      <c r="AK1682" s="56"/>
      <c r="AL1682" s="63"/>
      <c r="AM1682" s="55"/>
      <c r="AN1682" s="55"/>
      <c r="AO1682" s="56"/>
      <c r="AP1682" s="63"/>
      <c r="AQ1682" s="55"/>
      <c r="AR1682" s="55"/>
      <c r="AS1682" s="56"/>
      <c r="AT1682" s="53"/>
      <c r="AU1682" s="54"/>
      <c r="AV1682" s="55"/>
      <c r="AW1682" s="56"/>
      <c r="AX1682" s="33">
        <f>SUM(E1682:AW1682)</f>
        <v>0</v>
      </c>
      <c r="AY1682" s="31">
        <f>IFERROR(AVERAGEIF(E1682:AW1682,"&lt;&gt;0",(E1682:AW1682)),)</f>
        <v>0</v>
      </c>
      <c r="AZ1682" s="30">
        <f>IFERROR(AY1682/D1682,0)</f>
        <v>0</v>
      </c>
      <c r="BA1682" s="103" t="s">
        <v>182</v>
      </c>
      <c r="BB1682" s="100" t="s">
        <v>183</v>
      </c>
      <c r="BC1682" s="100" t="s">
        <v>184</v>
      </c>
      <c r="BD1682" s="101" t="s">
        <v>185</v>
      </c>
      <c r="BE1682" s="100" t="s">
        <v>186</v>
      </c>
      <c r="BF1682" s="102" t="s">
        <v>187</v>
      </c>
      <c r="BG1682" s="100" t="s">
        <v>188</v>
      </c>
      <c r="BH1682" s="102" t="s">
        <v>189</v>
      </c>
    </row>
    <row r="1683" spans="1:60" s="17" customFormat="1" ht="19.5" customHeight="1" thickBot="1" x14ac:dyDescent="0.4">
      <c r="A1683" s="41">
        <f t="shared" ref="A1683:B1683" si="1696">A1682</f>
        <v>45448</v>
      </c>
      <c r="B1683" s="37" t="str">
        <f t="shared" si="1696"/>
        <v>Kol Takma</v>
      </c>
      <c r="C1683" s="65" t="str">
        <f t="shared" ref="C1683:C1688" si="1697">C1507</f>
        <v>GÜLER SAĞCAN</v>
      </c>
      <c r="D1683" s="67">
        <f t="shared" ref="D1683:D1688" si="1698">D1682</f>
        <v>35</v>
      </c>
      <c r="E1683" s="57"/>
      <c r="F1683" s="52"/>
      <c r="G1683" s="52"/>
      <c r="H1683" s="58"/>
      <c r="I1683" s="57"/>
      <c r="J1683" s="52"/>
      <c r="K1683" s="52"/>
      <c r="L1683" s="58"/>
      <c r="M1683" s="57"/>
      <c r="N1683" s="52"/>
      <c r="O1683" s="52"/>
      <c r="P1683" s="58"/>
      <c r="Q1683" s="57"/>
      <c r="R1683" s="52"/>
      <c r="S1683" s="52"/>
      <c r="T1683" s="52"/>
      <c r="U1683" s="58"/>
      <c r="V1683" s="57"/>
      <c r="W1683" s="52"/>
      <c r="X1683" s="52"/>
      <c r="Y1683" s="58"/>
      <c r="Z1683" s="57"/>
      <c r="AA1683" s="52"/>
      <c r="AB1683" s="52"/>
      <c r="AC1683" s="58"/>
      <c r="AD1683" s="57"/>
      <c r="AE1683" s="52"/>
      <c r="AF1683" s="52"/>
      <c r="AG1683" s="58"/>
      <c r="AH1683" s="57"/>
      <c r="AI1683" s="52"/>
      <c r="AJ1683" s="52"/>
      <c r="AK1683" s="58"/>
      <c r="AL1683" s="57"/>
      <c r="AM1683" s="52"/>
      <c r="AN1683" s="52"/>
      <c r="AO1683" s="58"/>
      <c r="AP1683" s="57"/>
      <c r="AQ1683" s="52"/>
      <c r="AR1683" s="52"/>
      <c r="AS1683" s="58"/>
      <c r="AT1683" s="57"/>
      <c r="AU1683" s="52"/>
      <c r="AV1683" s="52"/>
      <c r="AW1683" s="58"/>
      <c r="AX1683" s="33">
        <f t="shared" ref="AX1683:AX1688" si="1699">SUM(E1683:AW1683)</f>
        <v>0</v>
      </c>
      <c r="AY1683" s="31">
        <f t="shared" ref="AY1683:AY1688" si="1700">IFERROR(AVERAGEIF(E1683:AW1683,"&lt;&gt;0",(E1683:AW1683)),)</f>
        <v>0</v>
      </c>
      <c r="AZ1683" s="30">
        <f t="shared" ref="AZ1683:AZ1688" si="1701">IFERROR(AY1683/D1683,0)</f>
        <v>0</v>
      </c>
      <c r="BA1683" s="94">
        <f>AX1689+BA1507</f>
        <v>16475</v>
      </c>
      <c r="BB1683" s="95">
        <f>(D1689*8)</f>
        <v>4000</v>
      </c>
      <c r="BC1683" s="96">
        <f>C1589-BA1683</f>
        <v>25836</v>
      </c>
      <c r="BD1683" s="96">
        <f>BA1674-BA1683</f>
        <v>1076</v>
      </c>
      <c r="BE1683" s="97">
        <f>IFERROR(BC1683/E1689,0)</f>
        <v>0</v>
      </c>
      <c r="BF1683" s="98">
        <f>IFERROR(BE1683/9,0)</f>
        <v>0</v>
      </c>
      <c r="BG1683" s="97">
        <f>IFERROR(BC1683/AY1689,0)</f>
        <v>0</v>
      </c>
      <c r="BH1683" s="97">
        <f>IFERROR(BG1683/9,0)</f>
        <v>0</v>
      </c>
    </row>
    <row r="1684" spans="1:60" s="17" customFormat="1" ht="19.5" customHeight="1" x14ac:dyDescent="0.35">
      <c r="A1684" s="41">
        <f t="shared" ref="A1684:B1684" si="1702">A1683</f>
        <v>45448</v>
      </c>
      <c r="B1684" s="37" t="str">
        <f t="shared" si="1702"/>
        <v>Kol Takma</v>
      </c>
      <c r="C1684" s="65" t="str">
        <f t="shared" si="1697"/>
        <v>ÖZLEM KAHRAMAN</v>
      </c>
      <c r="D1684" s="67">
        <f t="shared" si="1698"/>
        <v>35</v>
      </c>
      <c r="E1684" s="57"/>
      <c r="F1684" s="52"/>
      <c r="G1684" s="52"/>
      <c r="H1684" s="58"/>
      <c r="I1684" s="57"/>
      <c r="J1684" s="52"/>
      <c r="K1684" s="52"/>
      <c r="L1684" s="58"/>
      <c r="M1684" s="57"/>
      <c r="N1684" s="52"/>
      <c r="O1684" s="52"/>
      <c r="P1684" s="58"/>
      <c r="Q1684" s="57"/>
      <c r="R1684" s="52"/>
      <c r="S1684" s="52"/>
      <c r="T1684" s="52"/>
      <c r="U1684" s="58"/>
      <c r="V1684" s="57"/>
      <c r="W1684" s="52"/>
      <c r="X1684" s="52"/>
      <c r="Y1684" s="58"/>
      <c r="Z1684" s="57"/>
      <c r="AA1684" s="52"/>
      <c r="AB1684" s="52"/>
      <c r="AC1684" s="58"/>
      <c r="AD1684" s="57"/>
      <c r="AE1684" s="52"/>
      <c r="AF1684" s="52"/>
      <c r="AG1684" s="58"/>
      <c r="AH1684" s="57"/>
      <c r="AI1684" s="52"/>
      <c r="AJ1684" s="52"/>
      <c r="AK1684" s="58"/>
      <c r="AL1684" s="57"/>
      <c r="AM1684" s="52"/>
      <c r="AN1684" s="52"/>
      <c r="AO1684" s="58"/>
      <c r="AP1684" s="57"/>
      <c r="AQ1684" s="52"/>
      <c r="AR1684" s="52"/>
      <c r="AS1684" s="58"/>
      <c r="AT1684" s="57"/>
      <c r="AU1684" s="52"/>
      <c r="AV1684" s="52"/>
      <c r="AW1684" s="58"/>
      <c r="AX1684" s="33">
        <f t="shared" si="1699"/>
        <v>0</v>
      </c>
      <c r="AY1684" s="31">
        <f t="shared" si="1700"/>
        <v>0</v>
      </c>
      <c r="AZ1684" s="30">
        <f t="shared" si="1701"/>
        <v>0</v>
      </c>
      <c r="BA1684" s="34"/>
      <c r="BB1684" s="34"/>
      <c r="BC1684" s="34"/>
      <c r="BD1684" s="76"/>
      <c r="BE1684" s="34"/>
      <c r="BF1684" s="34"/>
      <c r="BG1684" s="34"/>
      <c r="BH1684" s="34"/>
    </row>
    <row r="1685" spans="1:60" s="17" customFormat="1" ht="19.5" customHeight="1" x14ac:dyDescent="0.35">
      <c r="A1685" s="41">
        <f t="shared" ref="A1685:B1686" si="1703">A1684</f>
        <v>45448</v>
      </c>
      <c r="B1685" s="37" t="str">
        <f t="shared" si="1703"/>
        <v>Kol Takma</v>
      </c>
      <c r="C1685" s="65" t="str">
        <f t="shared" si="1697"/>
        <v>HATİCE ÖZDİL</v>
      </c>
      <c r="D1685" s="67">
        <f t="shared" si="1698"/>
        <v>35</v>
      </c>
      <c r="E1685" s="57"/>
      <c r="F1685" s="52"/>
      <c r="G1685" s="52"/>
      <c r="H1685" s="58"/>
      <c r="I1685" s="57"/>
      <c r="J1685" s="52"/>
      <c r="K1685" s="52"/>
      <c r="L1685" s="58"/>
      <c r="M1685" s="57"/>
      <c r="N1685" s="52"/>
      <c r="O1685" s="52"/>
      <c r="P1685" s="58"/>
      <c r="Q1685" s="57"/>
      <c r="R1685" s="52"/>
      <c r="S1685" s="52"/>
      <c r="T1685" s="52"/>
      <c r="U1685" s="58"/>
      <c r="V1685" s="57"/>
      <c r="W1685" s="52"/>
      <c r="X1685" s="52"/>
      <c r="Y1685" s="58"/>
      <c r="Z1685" s="57"/>
      <c r="AA1685" s="52"/>
      <c r="AB1685" s="52"/>
      <c r="AC1685" s="58"/>
      <c r="AD1685" s="57"/>
      <c r="AE1685" s="52"/>
      <c r="AF1685" s="52"/>
      <c r="AG1685" s="58"/>
      <c r="AH1685" s="57"/>
      <c r="AI1685" s="52"/>
      <c r="AJ1685" s="52"/>
      <c r="AK1685" s="58"/>
      <c r="AL1685" s="57"/>
      <c r="AM1685" s="52"/>
      <c r="AN1685" s="52"/>
      <c r="AO1685" s="58"/>
      <c r="AP1685" s="57"/>
      <c r="AQ1685" s="52"/>
      <c r="AR1685" s="52"/>
      <c r="AS1685" s="58"/>
      <c r="AT1685" s="57"/>
      <c r="AU1685" s="52"/>
      <c r="AV1685" s="52"/>
      <c r="AW1685" s="58"/>
      <c r="AX1685" s="33">
        <f t="shared" si="1699"/>
        <v>0</v>
      </c>
      <c r="AY1685" s="31">
        <f t="shared" si="1700"/>
        <v>0</v>
      </c>
      <c r="AZ1685" s="30">
        <f t="shared" si="1701"/>
        <v>0</v>
      </c>
      <c r="BA1685" s="34"/>
      <c r="BB1685" s="34"/>
      <c r="BC1685" s="34"/>
      <c r="BD1685" s="76"/>
      <c r="BE1685" s="34"/>
      <c r="BF1685" s="34"/>
      <c r="BG1685" s="34"/>
      <c r="BH1685" s="34"/>
    </row>
    <row r="1686" spans="1:60" s="17" customFormat="1" ht="19.5" customHeight="1" x14ac:dyDescent="0.35">
      <c r="A1686" s="41">
        <f>A1683</f>
        <v>45448</v>
      </c>
      <c r="B1686" s="37" t="str">
        <f t="shared" si="1703"/>
        <v>Kol Takma</v>
      </c>
      <c r="C1686" s="65" t="str">
        <f t="shared" si="1697"/>
        <v>HAVA SUBAŞI</v>
      </c>
      <c r="D1686" s="67">
        <f t="shared" si="1698"/>
        <v>35</v>
      </c>
      <c r="E1686" s="57"/>
      <c r="F1686" s="52"/>
      <c r="G1686" s="52"/>
      <c r="H1686" s="58"/>
      <c r="I1686" s="57"/>
      <c r="J1686" s="52"/>
      <c r="K1686" s="52"/>
      <c r="L1686" s="58"/>
      <c r="M1686" s="57"/>
      <c r="N1686" s="52"/>
      <c r="O1686" s="52"/>
      <c r="P1686" s="58"/>
      <c r="Q1686" s="57"/>
      <c r="R1686" s="52"/>
      <c r="S1686" s="52"/>
      <c r="T1686" s="52"/>
      <c r="U1686" s="58"/>
      <c r="V1686" s="57"/>
      <c r="W1686" s="52"/>
      <c r="X1686" s="52"/>
      <c r="Y1686" s="58"/>
      <c r="Z1686" s="57"/>
      <c r="AA1686" s="52"/>
      <c r="AB1686" s="52"/>
      <c r="AC1686" s="58"/>
      <c r="AD1686" s="57"/>
      <c r="AE1686" s="52"/>
      <c r="AF1686" s="52"/>
      <c r="AG1686" s="58"/>
      <c r="AH1686" s="57"/>
      <c r="AI1686" s="52"/>
      <c r="AJ1686" s="52"/>
      <c r="AK1686" s="58"/>
      <c r="AL1686" s="57"/>
      <c r="AM1686" s="52"/>
      <c r="AN1686" s="52"/>
      <c r="AO1686" s="58"/>
      <c r="AP1686" s="57"/>
      <c r="AQ1686" s="52"/>
      <c r="AR1686" s="52"/>
      <c r="AS1686" s="58"/>
      <c r="AT1686" s="57"/>
      <c r="AU1686" s="52"/>
      <c r="AV1686" s="52"/>
      <c r="AW1686" s="58"/>
      <c r="AX1686" s="33">
        <f t="shared" si="1699"/>
        <v>0</v>
      </c>
      <c r="AY1686" s="31">
        <f t="shared" si="1700"/>
        <v>0</v>
      </c>
      <c r="AZ1686" s="30">
        <f t="shared" si="1701"/>
        <v>0</v>
      </c>
      <c r="BA1686" s="34"/>
      <c r="BB1686" s="34"/>
      <c r="BC1686" s="34"/>
      <c r="BD1686" s="76"/>
      <c r="BE1686" s="34"/>
      <c r="BF1686" s="34"/>
      <c r="BG1686" s="34"/>
      <c r="BH1686" s="34"/>
    </row>
    <row r="1687" spans="1:60" s="17" customFormat="1" ht="19.5" customHeight="1" x14ac:dyDescent="0.35">
      <c r="A1687" s="41">
        <f t="shared" ref="A1687:B1687" si="1704">A1686</f>
        <v>45448</v>
      </c>
      <c r="B1687" s="37" t="str">
        <f t="shared" si="1704"/>
        <v>Kol Takma</v>
      </c>
      <c r="C1687" s="65">
        <f t="shared" si="1697"/>
        <v>0</v>
      </c>
      <c r="D1687" s="67">
        <f t="shared" si="1698"/>
        <v>35</v>
      </c>
      <c r="E1687" s="57"/>
      <c r="F1687" s="52"/>
      <c r="G1687" s="52"/>
      <c r="H1687" s="58"/>
      <c r="I1687" s="57"/>
      <c r="J1687" s="52"/>
      <c r="K1687" s="52"/>
      <c r="L1687" s="58"/>
      <c r="M1687" s="57"/>
      <c r="N1687" s="52"/>
      <c r="O1687" s="52"/>
      <c r="P1687" s="58"/>
      <c r="Q1687" s="57"/>
      <c r="R1687" s="52"/>
      <c r="S1687" s="52"/>
      <c r="T1687" s="52"/>
      <c r="U1687" s="58"/>
      <c r="V1687" s="57"/>
      <c r="W1687" s="52"/>
      <c r="X1687" s="52"/>
      <c r="Y1687" s="58"/>
      <c r="Z1687" s="57"/>
      <c r="AA1687" s="52"/>
      <c r="AB1687" s="52"/>
      <c r="AC1687" s="58"/>
      <c r="AD1687" s="57"/>
      <c r="AE1687" s="52"/>
      <c r="AF1687" s="52"/>
      <c r="AG1687" s="58"/>
      <c r="AH1687" s="57"/>
      <c r="AI1687" s="52"/>
      <c r="AJ1687" s="52"/>
      <c r="AK1687" s="58"/>
      <c r="AL1687" s="57"/>
      <c r="AM1687" s="52"/>
      <c r="AN1687" s="52"/>
      <c r="AO1687" s="58"/>
      <c r="AP1687" s="57"/>
      <c r="AQ1687" s="52"/>
      <c r="AR1687" s="52"/>
      <c r="AS1687" s="58"/>
      <c r="AT1687" s="57"/>
      <c r="AU1687" s="52"/>
      <c r="AV1687" s="52"/>
      <c r="AW1687" s="58"/>
      <c r="AX1687" s="33">
        <f t="shared" si="1699"/>
        <v>0</v>
      </c>
      <c r="AY1687" s="31">
        <f t="shared" si="1700"/>
        <v>0</v>
      </c>
      <c r="AZ1687" s="30">
        <f t="shared" si="1701"/>
        <v>0</v>
      </c>
      <c r="BA1687" s="34"/>
      <c r="BB1687" s="34"/>
      <c r="BC1687" s="34"/>
      <c r="BD1687" s="76"/>
      <c r="BE1687" s="34"/>
      <c r="BF1687" s="34"/>
      <c r="BG1687" s="34"/>
      <c r="BH1687" s="34"/>
    </row>
    <row r="1688" spans="1:60" s="17" customFormat="1" ht="19.5" customHeight="1" thickBot="1" x14ac:dyDescent="0.4">
      <c r="A1688" s="41">
        <f t="shared" ref="A1688:B1689" si="1705">A1687</f>
        <v>45448</v>
      </c>
      <c r="B1688" s="37" t="str">
        <f t="shared" si="1705"/>
        <v>Kol Takma</v>
      </c>
      <c r="C1688" s="65">
        <f t="shared" si="1697"/>
        <v>0</v>
      </c>
      <c r="D1688" s="67">
        <f t="shared" si="1698"/>
        <v>35</v>
      </c>
      <c r="E1688" s="59"/>
      <c r="F1688" s="60"/>
      <c r="G1688" s="61"/>
      <c r="H1688" s="62"/>
      <c r="I1688" s="59"/>
      <c r="J1688" s="60"/>
      <c r="K1688" s="61"/>
      <c r="L1688" s="62"/>
      <c r="M1688" s="59"/>
      <c r="N1688" s="60"/>
      <c r="O1688" s="61"/>
      <c r="P1688" s="62"/>
      <c r="Q1688" s="64"/>
      <c r="R1688" s="61"/>
      <c r="S1688" s="61"/>
      <c r="T1688" s="61"/>
      <c r="U1688" s="62"/>
      <c r="V1688" s="59"/>
      <c r="W1688" s="60"/>
      <c r="X1688" s="61"/>
      <c r="Y1688" s="62"/>
      <c r="Z1688" s="59"/>
      <c r="AA1688" s="60"/>
      <c r="AB1688" s="61"/>
      <c r="AC1688" s="62"/>
      <c r="AD1688" s="59"/>
      <c r="AE1688" s="60"/>
      <c r="AF1688" s="61"/>
      <c r="AG1688" s="62"/>
      <c r="AH1688" s="59"/>
      <c r="AI1688" s="60"/>
      <c r="AJ1688" s="61"/>
      <c r="AK1688" s="62"/>
      <c r="AL1688" s="59"/>
      <c r="AM1688" s="60"/>
      <c r="AN1688" s="61"/>
      <c r="AO1688" s="62"/>
      <c r="AP1688" s="59"/>
      <c r="AQ1688" s="60"/>
      <c r="AR1688" s="61"/>
      <c r="AS1688" s="62"/>
      <c r="AT1688" s="59"/>
      <c r="AU1688" s="60"/>
      <c r="AV1688" s="61"/>
      <c r="AW1688" s="62"/>
      <c r="AX1688" s="33">
        <f t="shared" si="1699"/>
        <v>0</v>
      </c>
      <c r="AY1688" s="31">
        <f t="shared" si="1700"/>
        <v>0</v>
      </c>
      <c r="AZ1688" s="30">
        <f t="shared" si="1701"/>
        <v>0</v>
      </c>
      <c r="BA1688" s="34"/>
      <c r="BB1688" s="34"/>
      <c r="BC1688" s="34"/>
      <c r="BD1688" s="76"/>
      <c r="BE1688" s="34"/>
      <c r="BF1688" s="34"/>
      <c r="BG1688" s="34"/>
      <c r="BH1688" s="34"/>
    </row>
    <row r="1689" spans="1:60" s="17" customFormat="1" ht="19.5" customHeight="1" thickBot="1" x14ac:dyDescent="0.45">
      <c r="A1689" s="41">
        <f t="shared" si="1705"/>
        <v>45448</v>
      </c>
      <c r="B1689" s="139" t="str">
        <f>B1682</f>
        <v>Kol Takma</v>
      </c>
      <c r="C1689" s="140"/>
      <c r="D1689" s="40">
        <f>C1590/8</f>
        <v>500</v>
      </c>
      <c r="E1689" s="147">
        <f>SUM(E1682:H1688)</f>
        <v>0</v>
      </c>
      <c r="F1689" s="148"/>
      <c r="G1689" s="148"/>
      <c r="H1689" s="149"/>
      <c r="I1689" s="147">
        <f>SUM(I1682:L1688)</f>
        <v>0</v>
      </c>
      <c r="J1689" s="148"/>
      <c r="K1689" s="148"/>
      <c r="L1689" s="149"/>
      <c r="M1689" s="147">
        <f>SUM(M1682:P1688)</f>
        <v>0</v>
      </c>
      <c r="N1689" s="148"/>
      <c r="O1689" s="148"/>
      <c r="P1689" s="149"/>
      <c r="Q1689" s="147">
        <f>SUM(Q1682:U1688)</f>
        <v>0</v>
      </c>
      <c r="R1689" s="148"/>
      <c r="S1689" s="148"/>
      <c r="T1689" s="148"/>
      <c r="U1689" s="149"/>
      <c r="V1689" s="147">
        <f>SUM(V1682:Y1688)</f>
        <v>0</v>
      </c>
      <c r="W1689" s="148"/>
      <c r="X1689" s="148"/>
      <c r="Y1689" s="149"/>
      <c r="Z1689" s="147">
        <f>SUM(Z1682:AC1688)</f>
        <v>0</v>
      </c>
      <c r="AA1689" s="148"/>
      <c r="AB1689" s="148"/>
      <c r="AC1689" s="149"/>
      <c r="AD1689" s="147">
        <f>SUM(AD1682:AG1688)</f>
        <v>0</v>
      </c>
      <c r="AE1689" s="148"/>
      <c r="AF1689" s="148"/>
      <c r="AG1689" s="149"/>
      <c r="AH1689" s="147">
        <f>SUM(AH1682:AK1688)</f>
        <v>0</v>
      </c>
      <c r="AI1689" s="148"/>
      <c r="AJ1689" s="148"/>
      <c r="AK1689" s="149"/>
      <c r="AL1689" s="147">
        <f>SUM(AL1682:AO1688)</f>
        <v>0</v>
      </c>
      <c r="AM1689" s="148"/>
      <c r="AN1689" s="148"/>
      <c r="AO1689" s="149"/>
      <c r="AP1689" s="147">
        <f>SUM(AP1682:AS1688)</f>
        <v>0</v>
      </c>
      <c r="AQ1689" s="148"/>
      <c r="AR1689" s="148"/>
      <c r="AS1689" s="149"/>
      <c r="AT1689" s="147">
        <f>SUM(AT1682:AW1688)</f>
        <v>0</v>
      </c>
      <c r="AU1689" s="148"/>
      <c r="AV1689" s="148"/>
      <c r="AW1689" s="149"/>
      <c r="AX1689" s="87">
        <f>SUM(AX1682:AX1688)</f>
        <v>0</v>
      </c>
      <c r="AY1689" s="88">
        <f>IFERROR(AVERAGEIF(E1689:AV1689,"&lt;&gt;0",(E1689:AV1689)),)</f>
        <v>0</v>
      </c>
      <c r="AZ1689" s="46">
        <f>IFERROR(AX1689/BB1683,0)</f>
        <v>0</v>
      </c>
      <c r="BA1689" s="34"/>
      <c r="BB1689" s="34"/>
      <c r="BC1689" s="34"/>
      <c r="BD1689" s="76"/>
      <c r="BE1689" s="34"/>
      <c r="BF1689" s="34"/>
      <c r="BG1689" s="34"/>
      <c r="BH1689" s="34"/>
    </row>
    <row r="1690" spans="1:60" s="17" customFormat="1" ht="19.5" customHeight="1" thickBot="1" x14ac:dyDescent="0.4">
      <c r="A1690" s="42">
        <f>A1681</f>
        <v>45448</v>
      </c>
      <c r="B1690" s="38" t="str">
        <f>B1691</f>
        <v>Yan Kapama</v>
      </c>
      <c r="C1690" s="39" t="s">
        <v>180</v>
      </c>
      <c r="D1690" s="69" t="s">
        <v>181</v>
      </c>
      <c r="E1690" s="48">
        <v>0.34375</v>
      </c>
      <c r="F1690" s="49">
        <v>0.35416666666666669</v>
      </c>
      <c r="G1690" s="49">
        <v>0.36458333333333331</v>
      </c>
      <c r="H1690" s="50">
        <v>0.375</v>
      </c>
      <c r="I1690" s="48">
        <v>0.38541666666666702</v>
      </c>
      <c r="J1690" s="49">
        <v>0.39583333333333298</v>
      </c>
      <c r="K1690" s="49">
        <v>0.40625</v>
      </c>
      <c r="L1690" s="50">
        <v>0.41666666666666702</v>
      </c>
      <c r="M1690" s="48">
        <v>0.4375</v>
      </c>
      <c r="N1690" s="49">
        <v>0.44791666666666702</v>
      </c>
      <c r="O1690" s="49">
        <v>0.45833333333333398</v>
      </c>
      <c r="P1690" s="50">
        <v>0.46875</v>
      </c>
      <c r="Q1690" s="82">
        <v>0.47916666666666702</v>
      </c>
      <c r="R1690" s="83">
        <v>0.48958333333333398</v>
      </c>
      <c r="S1690" s="83">
        <v>0.5</v>
      </c>
      <c r="T1690" s="84">
        <v>0.51041666666666696</v>
      </c>
      <c r="U1690" s="85">
        <v>0.52083333333333204</v>
      </c>
      <c r="V1690" s="48">
        <v>0.5625</v>
      </c>
      <c r="W1690" s="49">
        <v>0.57291666666666663</v>
      </c>
      <c r="X1690" s="49">
        <v>0.58333333333333304</v>
      </c>
      <c r="Y1690" s="50">
        <v>0.59375</v>
      </c>
      <c r="Z1690" s="48">
        <v>0.60416666666666696</v>
      </c>
      <c r="AA1690" s="49">
        <v>0.61458333333333304</v>
      </c>
      <c r="AB1690" s="49">
        <v>0.625</v>
      </c>
      <c r="AC1690" s="50">
        <v>0.63541666666666596</v>
      </c>
      <c r="AD1690" s="48">
        <v>0.65625</v>
      </c>
      <c r="AE1690" s="49">
        <v>0.66666666666666663</v>
      </c>
      <c r="AF1690" s="49">
        <v>0.67708333333333304</v>
      </c>
      <c r="AG1690" s="50">
        <v>0.6875</v>
      </c>
      <c r="AH1690" s="48">
        <v>0.69791666666666696</v>
      </c>
      <c r="AI1690" s="49">
        <v>0.70833333333333304</v>
      </c>
      <c r="AJ1690" s="49">
        <v>0.71875</v>
      </c>
      <c r="AK1690" s="50">
        <v>0.72916666666666696</v>
      </c>
      <c r="AL1690" s="48">
        <v>0.73958333333333404</v>
      </c>
      <c r="AM1690" s="49">
        <v>0.750000000000001</v>
      </c>
      <c r="AN1690" s="49">
        <v>0.76041666666666796</v>
      </c>
      <c r="AO1690" s="50">
        <v>0.77083333333333504</v>
      </c>
      <c r="AP1690" s="48">
        <v>0.781250000000002</v>
      </c>
      <c r="AQ1690" s="49">
        <v>0.79166666666666896</v>
      </c>
      <c r="AR1690" s="49">
        <v>0.80208333333333603</v>
      </c>
      <c r="AS1690" s="50">
        <v>0.812500000000003</v>
      </c>
      <c r="AT1690" s="48">
        <v>0.82291666666666996</v>
      </c>
      <c r="AU1690" s="49">
        <v>0.83333333333333703</v>
      </c>
      <c r="AV1690" s="49">
        <v>0.843750000000004</v>
      </c>
      <c r="AW1690" s="50">
        <v>0.85416666666666663</v>
      </c>
      <c r="AX1690" s="68" t="s">
        <v>260</v>
      </c>
      <c r="AY1690" s="28" t="s">
        <v>261</v>
      </c>
      <c r="AZ1690" s="29" t="s">
        <v>262</v>
      </c>
      <c r="BA1690" s="136" t="str">
        <f>B1691</f>
        <v>Yan Kapama</v>
      </c>
      <c r="BB1690" s="137"/>
      <c r="BC1690" s="137"/>
      <c r="BD1690" s="137"/>
      <c r="BE1690" s="137"/>
      <c r="BF1690" s="137"/>
      <c r="BG1690" s="137"/>
      <c r="BH1690" s="138"/>
    </row>
    <row r="1691" spans="1:60" s="17" customFormat="1" ht="19.5" customHeight="1" thickBot="1" x14ac:dyDescent="0.4">
      <c r="A1691" s="41">
        <f t="shared" ref="A1691" si="1706">A1690</f>
        <v>45448</v>
      </c>
      <c r="B1691" s="37" t="str">
        <f>B1515</f>
        <v>Yan Kapama</v>
      </c>
      <c r="C1691" s="65" t="str">
        <f>C1515</f>
        <v>HAVA SUBAŞI</v>
      </c>
      <c r="D1691" s="70">
        <f>D1515</f>
        <v>40</v>
      </c>
      <c r="E1691" s="63"/>
      <c r="F1691" s="55"/>
      <c r="G1691" s="55"/>
      <c r="H1691" s="56"/>
      <c r="I1691" s="63"/>
      <c r="J1691" s="55"/>
      <c r="K1691" s="55"/>
      <c r="L1691" s="56"/>
      <c r="M1691" s="63"/>
      <c r="N1691" s="55"/>
      <c r="O1691" s="55"/>
      <c r="P1691" s="56"/>
      <c r="Q1691" s="63"/>
      <c r="R1691" s="55"/>
      <c r="S1691" s="55"/>
      <c r="T1691" s="55"/>
      <c r="U1691" s="56"/>
      <c r="V1691" s="63"/>
      <c r="W1691" s="55"/>
      <c r="X1691" s="55"/>
      <c r="Y1691" s="56"/>
      <c r="Z1691" s="63"/>
      <c r="AA1691" s="55"/>
      <c r="AB1691" s="55"/>
      <c r="AC1691" s="56"/>
      <c r="AD1691" s="63"/>
      <c r="AE1691" s="55"/>
      <c r="AF1691" s="55"/>
      <c r="AG1691" s="56"/>
      <c r="AH1691" s="63"/>
      <c r="AI1691" s="55"/>
      <c r="AJ1691" s="55"/>
      <c r="AK1691" s="56"/>
      <c r="AL1691" s="53"/>
      <c r="AM1691" s="54"/>
      <c r="AN1691" s="55"/>
      <c r="AO1691" s="56"/>
      <c r="AP1691" s="53"/>
      <c r="AQ1691" s="54"/>
      <c r="AR1691" s="55"/>
      <c r="AS1691" s="56"/>
      <c r="AT1691" s="53"/>
      <c r="AU1691" s="54"/>
      <c r="AV1691" s="55"/>
      <c r="AW1691" s="56"/>
      <c r="AX1691" s="33">
        <f>SUM(E1691:AW1691)</f>
        <v>0</v>
      </c>
      <c r="AY1691" s="31">
        <f>IFERROR(AVERAGEIF(E1691:AW1691,"&lt;&gt;0",(E1691:AW1691)),)</f>
        <v>0</v>
      </c>
      <c r="AZ1691" s="30">
        <f>IFERROR(AY1691/D1691,0)</f>
        <v>0</v>
      </c>
      <c r="BA1691" s="103" t="s">
        <v>182</v>
      </c>
      <c r="BB1691" s="100" t="s">
        <v>183</v>
      </c>
      <c r="BC1691" s="100" t="s">
        <v>184</v>
      </c>
      <c r="BD1691" s="101" t="s">
        <v>185</v>
      </c>
      <c r="BE1691" s="100" t="s">
        <v>186</v>
      </c>
      <c r="BF1691" s="102" t="s">
        <v>187</v>
      </c>
      <c r="BG1691" s="100" t="s">
        <v>188</v>
      </c>
      <c r="BH1691" s="102" t="s">
        <v>189</v>
      </c>
    </row>
    <row r="1692" spans="1:60" s="17" customFormat="1" ht="19.5" customHeight="1" thickBot="1" x14ac:dyDescent="0.4">
      <c r="A1692" s="41">
        <f t="shared" ref="A1692:B1692" si="1707">A1691</f>
        <v>45448</v>
      </c>
      <c r="B1692" s="37" t="str">
        <f t="shared" si="1707"/>
        <v>Yan Kapama</v>
      </c>
      <c r="C1692" s="65" t="str">
        <f t="shared" ref="C1692:C1697" si="1708">C1516</f>
        <v>EMİNE GAPAYLAR</v>
      </c>
      <c r="D1692" s="67">
        <f t="shared" ref="D1692:D1697" si="1709">D1691</f>
        <v>40</v>
      </c>
      <c r="E1692" s="57"/>
      <c r="F1692" s="52"/>
      <c r="G1692" s="52"/>
      <c r="H1692" s="58"/>
      <c r="I1692" s="57"/>
      <c r="J1692" s="52"/>
      <c r="K1692" s="52"/>
      <c r="L1692" s="58"/>
      <c r="M1692" s="57"/>
      <c r="N1692" s="52"/>
      <c r="O1692" s="52"/>
      <c r="P1692" s="58"/>
      <c r="Q1692" s="57"/>
      <c r="R1692" s="52"/>
      <c r="S1692" s="52"/>
      <c r="T1692" s="52"/>
      <c r="U1692" s="58"/>
      <c r="V1692" s="57"/>
      <c r="W1692" s="52"/>
      <c r="X1692" s="52"/>
      <c r="Y1692" s="58"/>
      <c r="Z1692" s="57"/>
      <c r="AA1692" s="52"/>
      <c r="AB1692" s="52"/>
      <c r="AC1692" s="58"/>
      <c r="AD1692" s="57"/>
      <c r="AE1692" s="52"/>
      <c r="AF1692" s="52"/>
      <c r="AG1692" s="58"/>
      <c r="AH1692" s="57"/>
      <c r="AI1692" s="52"/>
      <c r="AJ1692" s="52"/>
      <c r="AK1692" s="58"/>
      <c r="AL1692" s="57"/>
      <c r="AM1692" s="52"/>
      <c r="AN1692" s="52"/>
      <c r="AO1692" s="58"/>
      <c r="AP1692" s="57"/>
      <c r="AQ1692" s="52"/>
      <c r="AR1692" s="52"/>
      <c r="AS1692" s="58"/>
      <c r="AT1692" s="57"/>
      <c r="AU1692" s="52"/>
      <c r="AV1692" s="52"/>
      <c r="AW1692" s="58"/>
      <c r="AX1692" s="33">
        <f t="shared" ref="AX1692:AX1697" si="1710">SUM(E1692:AW1692)</f>
        <v>0</v>
      </c>
      <c r="AY1692" s="31">
        <f t="shared" ref="AY1692:AY1697" si="1711">IFERROR(AVERAGEIF(E1692:AW1692,"&lt;&gt;0",(E1692:AW1692)),)</f>
        <v>0</v>
      </c>
      <c r="AZ1692" s="30">
        <f t="shared" ref="AZ1692:AZ1697" si="1712">IFERROR(AY1692/D1692,0)</f>
        <v>0</v>
      </c>
      <c r="BA1692" s="94">
        <f>AX1698+BA1516</f>
        <v>17293</v>
      </c>
      <c r="BB1692" s="95">
        <f>(D1698*8)</f>
        <v>4000</v>
      </c>
      <c r="BC1692" s="96">
        <f>C1589-BA1692</f>
        <v>25018</v>
      </c>
      <c r="BD1692" s="96">
        <f>BA1683-BA1692</f>
        <v>-818</v>
      </c>
      <c r="BE1692" s="97">
        <f>IFERROR(BC1692/E1698,0)</f>
        <v>0</v>
      </c>
      <c r="BF1692" s="98">
        <f>IFERROR(BE1692/9,0)</f>
        <v>0</v>
      </c>
      <c r="BG1692" s="97">
        <f>IFERROR(BC1692/AY1698,0)</f>
        <v>0</v>
      </c>
      <c r="BH1692" s="97">
        <f>IFERROR(BG1692/9,0)</f>
        <v>0</v>
      </c>
    </row>
    <row r="1693" spans="1:60" s="17" customFormat="1" ht="19.5" customHeight="1" x14ac:dyDescent="0.35">
      <c r="A1693" s="41">
        <f t="shared" ref="A1693:B1693" si="1713">A1692</f>
        <v>45448</v>
      </c>
      <c r="B1693" s="37" t="str">
        <f t="shared" si="1713"/>
        <v>Yan Kapama</v>
      </c>
      <c r="C1693" s="65" t="str">
        <f t="shared" si="1708"/>
        <v>SEVGİ APALAK</v>
      </c>
      <c r="D1693" s="67">
        <f t="shared" si="1709"/>
        <v>40</v>
      </c>
      <c r="E1693" s="57"/>
      <c r="F1693" s="52"/>
      <c r="G1693" s="52"/>
      <c r="H1693" s="58"/>
      <c r="I1693" s="57"/>
      <c r="J1693" s="52"/>
      <c r="K1693" s="52"/>
      <c r="L1693" s="58"/>
      <c r="M1693" s="57"/>
      <c r="N1693" s="52"/>
      <c r="O1693" s="52"/>
      <c r="P1693" s="58"/>
      <c r="Q1693" s="57"/>
      <c r="R1693" s="52"/>
      <c r="S1693" s="52"/>
      <c r="T1693" s="52"/>
      <c r="U1693" s="58"/>
      <c r="V1693" s="57"/>
      <c r="W1693" s="52"/>
      <c r="X1693" s="52"/>
      <c r="Y1693" s="58"/>
      <c r="Z1693" s="57"/>
      <c r="AA1693" s="52"/>
      <c r="AB1693" s="52"/>
      <c r="AC1693" s="58"/>
      <c r="AD1693" s="57"/>
      <c r="AE1693" s="52"/>
      <c r="AF1693" s="52"/>
      <c r="AG1693" s="58"/>
      <c r="AH1693" s="57"/>
      <c r="AI1693" s="52"/>
      <c r="AJ1693" s="52"/>
      <c r="AK1693" s="58"/>
      <c r="AL1693" s="57"/>
      <c r="AM1693" s="52"/>
      <c r="AN1693" s="52"/>
      <c r="AO1693" s="58"/>
      <c r="AP1693" s="57"/>
      <c r="AQ1693" s="52"/>
      <c r="AR1693" s="52"/>
      <c r="AS1693" s="58"/>
      <c r="AT1693" s="57"/>
      <c r="AU1693" s="52"/>
      <c r="AV1693" s="52"/>
      <c r="AW1693" s="58"/>
      <c r="AX1693" s="33">
        <f t="shared" si="1710"/>
        <v>0</v>
      </c>
      <c r="AY1693" s="31">
        <f t="shared" si="1711"/>
        <v>0</v>
      </c>
      <c r="AZ1693" s="30">
        <f t="shared" si="1712"/>
        <v>0</v>
      </c>
      <c r="BA1693" s="34"/>
      <c r="BB1693" s="34"/>
      <c r="BC1693" s="34"/>
      <c r="BD1693" s="76"/>
      <c r="BE1693" s="34"/>
      <c r="BF1693" s="34"/>
      <c r="BG1693" s="34"/>
      <c r="BH1693" s="34"/>
    </row>
    <row r="1694" spans="1:60" s="17" customFormat="1" ht="19.5" customHeight="1" x14ac:dyDescent="0.35">
      <c r="A1694" s="41">
        <f t="shared" ref="A1694:B1697" si="1714">A1693</f>
        <v>45448</v>
      </c>
      <c r="B1694" s="37" t="str">
        <f t="shared" si="1714"/>
        <v>Yan Kapama</v>
      </c>
      <c r="C1694" s="65" t="str">
        <f t="shared" si="1708"/>
        <v>SONGÜL BARLAS</v>
      </c>
      <c r="D1694" s="67">
        <f t="shared" si="1709"/>
        <v>40</v>
      </c>
      <c r="E1694" s="57"/>
      <c r="F1694" s="52"/>
      <c r="G1694" s="52"/>
      <c r="H1694" s="58"/>
      <c r="I1694" s="57"/>
      <c r="J1694" s="52"/>
      <c r="K1694" s="52"/>
      <c r="L1694" s="58"/>
      <c r="M1694" s="57"/>
      <c r="N1694" s="52"/>
      <c r="O1694" s="52"/>
      <c r="P1694" s="58"/>
      <c r="Q1694" s="57"/>
      <c r="R1694" s="52"/>
      <c r="S1694" s="52"/>
      <c r="T1694" s="52"/>
      <c r="U1694" s="58"/>
      <c r="V1694" s="57"/>
      <c r="W1694" s="52"/>
      <c r="X1694" s="52"/>
      <c r="Y1694" s="58"/>
      <c r="Z1694" s="57"/>
      <c r="AA1694" s="52"/>
      <c r="AB1694" s="52"/>
      <c r="AC1694" s="58"/>
      <c r="AD1694" s="57"/>
      <c r="AE1694" s="52"/>
      <c r="AF1694" s="52"/>
      <c r="AG1694" s="58"/>
      <c r="AH1694" s="57"/>
      <c r="AI1694" s="52"/>
      <c r="AJ1694" s="52"/>
      <c r="AK1694" s="58"/>
      <c r="AL1694" s="57"/>
      <c r="AM1694" s="52"/>
      <c r="AN1694" s="52"/>
      <c r="AO1694" s="58"/>
      <c r="AP1694" s="57"/>
      <c r="AQ1694" s="52"/>
      <c r="AR1694" s="52"/>
      <c r="AS1694" s="58"/>
      <c r="AT1694" s="57"/>
      <c r="AU1694" s="52"/>
      <c r="AV1694" s="52"/>
      <c r="AW1694" s="58"/>
      <c r="AX1694" s="33">
        <f t="shared" si="1710"/>
        <v>0</v>
      </c>
      <c r="AY1694" s="31">
        <f t="shared" si="1711"/>
        <v>0</v>
      </c>
      <c r="AZ1694" s="30">
        <f t="shared" si="1712"/>
        <v>0</v>
      </c>
      <c r="BA1694" s="34"/>
      <c r="BB1694" s="34"/>
      <c r="BC1694" s="34"/>
      <c r="BD1694" s="76"/>
      <c r="BE1694" s="34"/>
      <c r="BF1694" s="34"/>
      <c r="BG1694" s="34"/>
      <c r="BH1694" s="34"/>
    </row>
    <row r="1695" spans="1:60" s="17" customFormat="1" ht="19.5" customHeight="1" x14ac:dyDescent="0.35">
      <c r="A1695" s="41">
        <f>A1692</f>
        <v>45448</v>
      </c>
      <c r="B1695" s="37" t="str">
        <f t="shared" si="1714"/>
        <v>Yan Kapama</v>
      </c>
      <c r="C1695" s="65" t="str">
        <f t="shared" si="1708"/>
        <v>EMİNE BAYRAM</v>
      </c>
      <c r="D1695" s="67">
        <f t="shared" si="1709"/>
        <v>40</v>
      </c>
      <c r="E1695" s="57"/>
      <c r="F1695" s="52"/>
      <c r="G1695" s="52"/>
      <c r="H1695" s="58"/>
      <c r="I1695" s="57"/>
      <c r="J1695" s="52"/>
      <c r="K1695" s="52"/>
      <c r="L1695" s="58"/>
      <c r="M1695" s="57"/>
      <c r="N1695" s="52"/>
      <c r="O1695" s="52"/>
      <c r="P1695" s="58"/>
      <c r="Q1695" s="57"/>
      <c r="R1695" s="52"/>
      <c r="S1695" s="52"/>
      <c r="T1695" s="52"/>
      <c r="U1695" s="58"/>
      <c r="V1695" s="57"/>
      <c r="W1695" s="52"/>
      <c r="X1695" s="52"/>
      <c r="Y1695" s="58"/>
      <c r="Z1695" s="57"/>
      <c r="AA1695" s="52"/>
      <c r="AB1695" s="52"/>
      <c r="AC1695" s="58"/>
      <c r="AD1695" s="57"/>
      <c r="AE1695" s="52"/>
      <c r="AF1695" s="52"/>
      <c r="AG1695" s="58"/>
      <c r="AH1695" s="57"/>
      <c r="AI1695" s="52"/>
      <c r="AJ1695" s="52"/>
      <c r="AK1695" s="58"/>
      <c r="AL1695" s="57"/>
      <c r="AM1695" s="52"/>
      <c r="AN1695" s="52"/>
      <c r="AO1695" s="58"/>
      <c r="AP1695" s="57"/>
      <c r="AQ1695" s="52"/>
      <c r="AR1695" s="52"/>
      <c r="AS1695" s="58"/>
      <c r="AT1695" s="57"/>
      <c r="AU1695" s="52"/>
      <c r="AV1695" s="52"/>
      <c r="AW1695" s="58"/>
      <c r="AX1695" s="33">
        <f t="shared" si="1710"/>
        <v>0</v>
      </c>
      <c r="AY1695" s="31">
        <f t="shared" si="1711"/>
        <v>0</v>
      </c>
      <c r="AZ1695" s="30">
        <f t="shared" si="1712"/>
        <v>0</v>
      </c>
      <c r="BA1695" s="34"/>
      <c r="BB1695" s="34"/>
      <c r="BC1695" s="34"/>
      <c r="BD1695" s="76"/>
      <c r="BE1695" s="34"/>
      <c r="BF1695" s="34"/>
      <c r="BG1695" s="34"/>
      <c r="BH1695" s="34"/>
    </row>
    <row r="1696" spans="1:60" s="17" customFormat="1" ht="19.5" customHeight="1" x14ac:dyDescent="0.35">
      <c r="A1696" s="41">
        <f>A1695</f>
        <v>45448</v>
      </c>
      <c r="B1696" s="37" t="str">
        <f t="shared" si="1714"/>
        <v>Yan Kapama</v>
      </c>
      <c r="C1696" s="65">
        <f t="shared" si="1708"/>
        <v>0</v>
      </c>
      <c r="D1696" s="67">
        <f t="shared" si="1709"/>
        <v>40</v>
      </c>
      <c r="E1696" s="57"/>
      <c r="F1696" s="52"/>
      <c r="G1696" s="52"/>
      <c r="H1696" s="58"/>
      <c r="I1696" s="57"/>
      <c r="J1696" s="52"/>
      <c r="K1696" s="52"/>
      <c r="L1696" s="58"/>
      <c r="M1696" s="57"/>
      <c r="N1696" s="52"/>
      <c r="O1696" s="52"/>
      <c r="P1696" s="78"/>
      <c r="Q1696" s="57"/>
      <c r="R1696" s="52"/>
      <c r="S1696" s="52"/>
      <c r="T1696" s="52"/>
      <c r="U1696" s="58"/>
      <c r="V1696" s="80"/>
      <c r="W1696" s="52"/>
      <c r="X1696" s="52"/>
      <c r="Y1696" s="58"/>
      <c r="Z1696" s="57"/>
      <c r="AA1696" s="52"/>
      <c r="AB1696" s="52"/>
      <c r="AC1696" s="58"/>
      <c r="AD1696" s="57"/>
      <c r="AE1696" s="52"/>
      <c r="AF1696" s="52"/>
      <c r="AG1696" s="58"/>
      <c r="AH1696" s="57"/>
      <c r="AI1696" s="52"/>
      <c r="AJ1696" s="52"/>
      <c r="AK1696" s="58"/>
      <c r="AL1696" s="57"/>
      <c r="AM1696" s="52"/>
      <c r="AN1696" s="52"/>
      <c r="AO1696" s="58"/>
      <c r="AP1696" s="57"/>
      <c r="AQ1696" s="52"/>
      <c r="AR1696" s="52"/>
      <c r="AS1696" s="58"/>
      <c r="AT1696" s="57"/>
      <c r="AU1696" s="52"/>
      <c r="AV1696" s="52"/>
      <c r="AW1696" s="58"/>
      <c r="AX1696" s="33">
        <f t="shared" si="1710"/>
        <v>0</v>
      </c>
      <c r="AY1696" s="31">
        <f t="shared" si="1711"/>
        <v>0</v>
      </c>
      <c r="AZ1696" s="30">
        <f t="shared" si="1712"/>
        <v>0</v>
      </c>
      <c r="BA1696" s="34"/>
      <c r="BB1696" s="34"/>
      <c r="BC1696" s="34"/>
      <c r="BD1696" s="76"/>
      <c r="BE1696" s="34"/>
      <c r="BF1696" s="34"/>
      <c r="BG1696" s="34"/>
      <c r="BH1696" s="34"/>
    </row>
    <row r="1697" spans="1:60" s="17" customFormat="1" ht="19.5" customHeight="1" thickBot="1" x14ac:dyDescent="0.4">
      <c r="A1697" s="41">
        <f>A1696</f>
        <v>45448</v>
      </c>
      <c r="B1697" s="37" t="str">
        <f t="shared" si="1714"/>
        <v>Yan Kapama</v>
      </c>
      <c r="C1697" s="65">
        <f t="shared" si="1708"/>
        <v>0</v>
      </c>
      <c r="D1697" s="67">
        <f t="shared" si="1709"/>
        <v>40</v>
      </c>
      <c r="E1697" s="59"/>
      <c r="F1697" s="60"/>
      <c r="G1697" s="61"/>
      <c r="H1697" s="62"/>
      <c r="I1697" s="59"/>
      <c r="J1697" s="60"/>
      <c r="K1697" s="61"/>
      <c r="L1697" s="62"/>
      <c r="M1697" s="59"/>
      <c r="N1697" s="60"/>
      <c r="O1697" s="61"/>
      <c r="P1697" s="79"/>
      <c r="Q1697" s="64"/>
      <c r="R1697" s="61"/>
      <c r="S1697" s="61"/>
      <c r="T1697" s="61"/>
      <c r="U1697" s="62"/>
      <c r="V1697" s="81"/>
      <c r="W1697" s="60"/>
      <c r="X1697" s="61"/>
      <c r="Y1697" s="62"/>
      <c r="Z1697" s="59"/>
      <c r="AA1697" s="60"/>
      <c r="AB1697" s="61"/>
      <c r="AC1697" s="62"/>
      <c r="AD1697" s="59"/>
      <c r="AE1697" s="60"/>
      <c r="AF1697" s="61"/>
      <c r="AG1697" s="62"/>
      <c r="AH1697" s="59"/>
      <c r="AI1697" s="60"/>
      <c r="AJ1697" s="61"/>
      <c r="AK1697" s="62"/>
      <c r="AL1697" s="59"/>
      <c r="AM1697" s="60"/>
      <c r="AN1697" s="61"/>
      <c r="AO1697" s="62"/>
      <c r="AP1697" s="59"/>
      <c r="AQ1697" s="60"/>
      <c r="AR1697" s="61"/>
      <c r="AS1697" s="62"/>
      <c r="AT1697" s="59"/>
      <c r="AU1697" s="60"/>
      <c r="AV1697" s="61"/>
      <c r="AW1697" s="62"/>
      <c r="AX1697" s="33">
        <f t="shared" si="1710"/>
        <v>0</v>
      </c>
      <c r="AY1697" s="31">
        <f t="shared" si="1711"/>
        <v>0</v>
      </c>
      <c r="AZ1697" s="30">
        <f t="shared" si="1712"/>
        <v>0</v>
      </c>
      <c r="BA1697" s="34"/>
      <c r="BB1697" s="34"/>
      <c r="BC1697" s="34"/>
      <c r="BD1697" s="76"/>
      <c r="BE1697" s="34"/>
      <c r="BF1697" s="34"/>
      <c r="BG1697" s="34"/>
      <c r="BH1697" s="34"/>
    </row>
    <row r="1698" spans="1:60" s="17" customFormat="1" ht="19.5" customHeight="1" thickBot="1" x14ac:dyDescent="0.45">
      <c r="A1698" s="41">
        <f>A1697</f>
        <v>45448</v>
      </c>
      <c r="B1698" s="139" t="str">
        <f>B1691</f>
        <v>Yan Kapama</v>
      </c>
      <c r="C1698" s="140"/>
      <c r="D1698" s="40">
        <f>C1590/8</f>
        <v>500</v>
      </c>
      <c r="E1698" s="147">
        <f>SUM(E1691:H1697)</f>
        <v>0</v>
      </c>
      <c r="F1698" s="148"/>
      <c r="G1698" s="148"/>
      <c r="H1698" s="149"/>
      <c r="I1698" s="147">
        <f>SUM(I1691:L1697)</f>
        <v>0</v>
      </c>
      <c r="J1698" s="148"/>
      <c r="K1698" s="148"/>
      <c r="L1698" s="149"/>
      <c r="M1698" s="147">
        <f>SUM(M1691:P1697)</f>
        <v>0</v>
      </c>
      <c r="N1698" s="148"/>
      <c r="O1698" s="148"/>
      <c r="P1698" s="149"/>
      <c r="Q1698" s="151">
        <f>SUM(Q1691:U1697)</f>
        <v>0</v>
      </c>
      <c r="R1698" s="152"/>
      <c r="S1698" s="152"/>
      <c r="T1698" s="152"/>
      <c r="U1698" s="153"/>
      <c r="V1698" s="147">
        <f>SUM(V1691:Y1697)</f>
        <v>0</v>
      </c>
      <c r="W1698" s="148"/>
      <c r="X1698" s="148"/>
      <c r="Y1698" s="149"/>
      <c r="Z1698" s="147">
        <f>SUM(Z1691:AC1697)</f>
        <v>0</v>
      </c>
      <c r="AA1698" s="148"/>
      <c r="AB1698" s="148"/>
      <c r="AC1698" s="149"/>
      <c r="AD1698" s="147">
        <f>SUM(AD1691:AG1697)</f>
        <v>0</v>
      </c>
      <c r="AE1698" s="148"/>
      <c r="AF1698" s="148"/>
      <c r="AG1698" s="149"/>
      <c r="AH1698" s="147">
        <f>SUM(AH1691:AK1697)</f>
        <v>0</v>
      </c>
      <c r="AI1698" s="148"/>
      <c r="AJ1698" s="148"/>
      <c r="AK1698" s="149"/>
      <c r="AL1698" s="147">
        <f>SUM(AL1691:AO1697)</f>
        <v>0</v>
      </c>
      <c r="AM1698" s="148"/>
      <c r="AN1698" s="148"/>
      <c r="AO1698" s="149"/>
      <c r="AP1698" s="147">
        <f>SUM(AP1691:AS1697)</f>
        <v>0</v>
      </c>
      <c r="AQ1698" s="148"/>
      <c r="AR1698" s="148"/>
      <c r="AS1698" s="149"/>
      <c r="AT1698" s="147">
        <f>SUM(AT1691:AW1697)</f>
        <v>0</v>
      </c>
      <c r="AU1698" s="148"/>
      <c r="AV1698" s="148"/>
      <c r="AW1698" s="149"/>
      <c r="AX1698" s="87">
        <f>SUM(AX1691:AX1697)</f>
        <v>0</v>
      </c>
      <c r="AY1698" s="88">
        <f>IFERROR(AVERAGEIF(E1698:AV1698,"&lt;&gt;0",(E1698:AV1698)),)</f>
        <v>0</v>
      </c>
      <c r="AZ1698" s="46">
        <f>IFERROR(AX1698/BB1692,0)</f>
        <v>0</v>
      </c>
      <c r="BA1698" s="34"/>
      <c r="BB1698" s="34"/>
      <c r="BC1698" s="34"/>
      <c r="BD1698" s="76"/>
      <c r="BE1698" s="34"/>
      <c r="BF1698" s="34"/>
      <c r="BG1698" s="34"/>
      <c r="BH1698" s="34"/>
    </row>
    <row r="1699" spans="1:60" s="17" customFormat="1" ht="19.5" customHeight="1" thickBot="1" x14ac:dyDescent="0.4">
      <c r="A1699" s="42">
        <f>A1690</f>
        <v>45448</v>
      </c>
      <c r="B1699" s="38" t="str">
        <f>B1700</f>
        <v>Yıkama Takma</v>
      </c>
      <c r="C1699" s="39" t="s">
        <v>180</v>
      </c>
      <c r="D1699" s="69" t="s">
        <v>181</v>
      </c>
      <c r="E1699" s="48">
        <v>0.34375</v>
      </c>
      <c r="F1699" s="49">
        <v>0.35416666666666669</v>
      </c>
      <c r="G1699" s="49">
        <v>0.36458333333333331</v>
      </c>
      <c r="H1699" s="50">
        <v>0.375</v>
      </c>
      <c r="I1699" s="48">
        <v>0.38541666666666702</v>
      </c>
      <c r="J1699" s="49">
        <v>0.39583333333333298</v>
      </c>
      <c r="K1699" s="49">
        <v>0.40625</v>
      </c>
      <c r="L1699" s="50">
        <v>0.41666666666666702</v>
      </c>
      <c r="M1699" s="48">
        <v>0.4375</v>
      </c>
      <c r="N1699" s="49">
        <v>0.44791666666666702</v>
      </c>
      <c r="O1699" s="49">
        <v>0.45833333333333398</v>
      </c>
      <c r="P1699" s="50">
        <v>0.46875</v>
      </c>
      <c r="Q1699" s="48">
        <v>0.47916666666666702</v>
      </c>
      <c r="R1699" s="49">
        <v>0.48958333333333398</v>
      </c>
      <c r="S1699" s="49">
        <v>0.5</v>
      </c>
      <c r="T1699" s="50">
        <v>0.51041666666666696</v>
      </c>
      <c r="U1699" s="51">
        <v>0.52083333333333204</v>
      </c>
      <c r="V1699" s="48">
        <v>0.5625</v>
      </c>
      <c r="W1699" s="49">
        <v>0.57291666666666663</v>
      </c>
      <c r="X1699" s="49">
        <v>0.58333333333333304</v>
      </c>
      <c r="Y1699" s="50">
        <v>0.59375</v>
      </c>
      <c r="Z1699" s="48">
        <v>0.60416666666666696</v>
      </c>
      <c r="AA1699" s="49">
        <v>0.61458333333333304</v>
      </c>
      <c r="AB1699" s="49">
        <v>0.625</v>
      </c>
      <c r="AC1699" s="50">
        <v>0.63541666666666596</v>
      </c>
      <c r="AD1699" s="48">
        <v>0.65625</v>
      </c>
      <c r="AE1699" s="49">
        <v>0.66666666666666663</v>
      </c>
      <c r="AF1699" s="49">
        <v>0.67708333333333304</v>
      </c>
      <c r="AG1699" s="50">
        <v>0.6875</v>
      </c>
      <c r="AH1699" s="48">
        <v>0.69791666666666696</v>
      </c>
      <c r="AI1699" s="49">
        <v>0.70833333333333304</v>
      </c>
      <c r="AJ1699" s="49">
        <v>0.71875</v>
      </c>
      <c r="AK1699" s="50">
        <v>0.72916666666666696</v>
      </c>
      <c r="AL1699" s="48">
        <v>0.73958333333333404</v>
      </c>
      <c r="AM1699" s="49">
        <v>0.750000000000001</v>
      </c>
      <c r="AN1699" s="49">
        <v>0.76041666666666796</v>
      </c>
      <c r="AO1699" s="50">
        <v>0.77083333333333504</v>
      </c>
      <c r="AP1699" s="48">
        <v>0.781250000000002</v>
      </c>
      <c r="AQ1699" s="49">
        <v>0.79166666666666896</v>
      </c>
      <c r="AR1699" s="49">
        <v>0.80208333333333603</v>
      </c>
      <c r="AS1699" s="50">
        <v>0.812500000000003</v>
      </c>
      <c r="AT1699" s="48">
        <v>0.82291666666666996</v>
      </c>
      <c r="AU1699" s="49">
        <v>0.83333333333333703</v>
      </c>
      <c r="AV1699" s="49">
        <v>0.843750000000004</v>
      </c>
      <c r="AW1699" s="50">
        <v>0.85416666666666663</v>
      </c>
      <c r="AX1699" s="68" t="s">
        <v>260</v>
      </c>
      <c r="AY1699" s="28" t="s">
        <v>261</v>
      </c>
      <c r="AZ1699" s="29" t="s">
        <v>262</v>
      </c>
      <c r="BA1699" s="136" t="str">
        <f>B1700</f>
        <v>Yıkama Takma</v>
      </c>
      <c r="BB1699" s="137"/>
      <c r="BC1699" s="137"/>
      <c r="BD1699" s="137"/>
      <c r="BE1699" s="137"/>
      <c r="BF1699" s="137"/>
      <c r="BG1699" s="137"/>
      <c r="BH1699" s="138"/>
    </row>
    <row r="1700" spans="1:60" s="17" customFormat="1" ht="19.5" customHeight="1" thickBot="1" x14ac:dyDescent="0.4">
      <c r="A1700" s="41">
        <f t="shared" ref="A1700" si="1715">A1699</f>
        <v>45448</v>
      </c>
      <c r="B1700" s="37" t="str">
        <f>B1524</f>
        <v>Yıkama Takma</v>
      </c>
      <c r="C1700" s="65" t="str">
        <f>C1524</f>
        <v>MEHMET SAĞ</v>
      </c>
      <c r="D1700" s="70">
        <f>D1524</f>
        <v>125</v>
      </c>
      <c r="E1700" s="63"/>
      <c r="F1700" s="55"/>
      <c r="G1700" s="55"/>
      <c r="H1700" s="56"/>
      <c r="I1700" s="63"/>
      <c r="J1700" s="55"/>
      <c r="K1700" s="55"/>
      <c r="L1700" s="56"/>
      <c r="M1700" s="63"/>
      <c r="N1700" s="55"/>
      <c r="O1700" s="55"/>
      <c r="P1700" s="56"/>
      <c r="Q1700" s="63"/>
      <c r="R1700" s="55"/>
      <c r="S1700" s="55"/>
      <c r="T1700" s="55"/>
      <c r="U1700" s="56"/>
      <c r="V1700" s="63"/>
      <c r="W1700" s="55"/>
      <c r="X1700" s="55"/>
      <c r="Y1700" s="56"/>
      <c r="Z1700" s="63"/>
      <c r="AA1700" s="55"/>
      <c r="AB1700" s="55"/>
      <c r="AC1700" s="56"/>
      <c r="AD1700" s="63"/>
      <c r="AE1700" s="55"/>
      <c r="AF1700" s="55"/>
      <c r="AG1700" s="56"/>
      <c r="AH1700" s="63"/>
      <c r="AI1700" s="55"/>
      <c r="AJ1700" s="55"/>
      <c r="AK1700" s="56"/>
      <c r="AL1700" s="63"/>
      <c r="AM1700" s="55"/>
      <c r="AN1700" s="55"/>
      <c r="AO1700" s="56"/>
      <c r="AP1700" s="63"/>
      <c r="AQ1700" s="55"/>
      <c r="AR1700" s="55"/>
      <c r="AS1700" s="56"/>
      <c r="AT1700" s="53"/>
      <c r="AU1700" s="54"/>
      <c r="AV1700" s="55"/>
      <c r="AW1700" s="56"/>
      <c r="AX1700" s="33">
        <f>SUM(E1700:AW1700)</f>
        <v>0</v>
      </c>
      <c r="AY1700" s="31">
        <f>IFERROR(AVERAGEIF(E1700:AW1700,"&lt;&gt;0",(E1700:AW1700)),)</f>
        <v>0</v>
      </c>
      <c r="AZ1700" s="30">
        <f>IFERROR(AY1700/D1700,0)</f>
        <v>0</v>
      </c>
      <c r="BA1700" s="103" t="s">
        <v>182</v>
      </c>
      <c r="BB1700" s="100" t="s">
        <v>183</v>
      </c>
      <c r="BC1700" s="100" t="s">
        <v>184</v>
      </c>
      <c r="BD1700" s="101" t="s">
        <v>185</v>
      </c>
      <c r="BE1700" s="100" t="s">
        <v>186</v>
      </c>
      <c r="BF1700" s="102" t="s">
        <v>187</v>
      </c>
      <c r="BG1700" s="100" t="s">
        <v>188</v>
      </c>
      <c r="BH1700" s="102" t="s">
        <v>189</v>
      </c>
    </row>
    <row r="1701" spans="1:60" s="17" customFormat="1" ht="19.5" customHeight="1" thickBot="1" x14ac:dyDescent="0.4">
      <c r="A1701" s="41">
        <f t="shared" ref="A1701:B1701" si="1716">A1700</f>
        <v>45448</v>
      </c>
      <c r="B1701" s="37" t="str">
        <f t="shared" si="1716"/>
        <v>Yıkama Takma</v>
      </c>
      <c r="C1701" s="65">
        <f t="shared" ref="C1701:C1706" si="1717">C1525</f>
        <v>0</v>
      </c>
      <c r="D1701" s="67">
        <f t="shared" ref="D1701:D1706" si="1718">D1700</f>
        <v>125</v>
      </c>
      <c r="E1701" s="57"/>
      <c r="F1701" s="52"/>
      <c r="G1701" s="52"/>
      <c r="H1701" s="58"/>
      <c r="I1701" s="57"/>
      <c r="J1701" s="52"/>
      <c r="K1701" s="52"/>
      <c r="L1701" s="58"/>
      <c r="M1701" s="57"/>
      <c r="N1701" s="52"/>
      <c r="O1701" s="52"/>
      <c r="P1701" s="58"/>
      <c r="Q1701" s="57"/>
      <c r="R1701" s="52"/>
      <c r="S1701" s="52"/>
      <c r="T1701" s="52"/>
      <c r="U1701" s="58"/>
      <c r="V1701" s="57"/>
      <c r="W1701" s="52"/>
      <c r="X1701" s="52"/>
      <c r="Y1701" s="58"/>
      <c r="Z1701" s="57"/>
      <c r="AA1701" s="52"/>
      <c r="AB1701" s="52"/>
      <c r="AC1701" s="58"/>
      <c r="AD1701" s="57"/>
      <c r="AE1701" s="52"/>
      <c r="AF1701" s="52"/>
      <c r="AG1701" s="58"/>
      <c r="AH1701" s="57"/>
      <c r="AI1701" s="52"/>
      <c r="AJ1701" s="52"/>
      <c r="AK1701" s="58"/>
      <c r="AL1701" s="57"/>
      <c r="AM1701" s="52"/>
      <c r="AN1701" s="52"/>
      <c r="AO1701" s="58"/>
      <c r="AP1701" s="57"/>
      <c r="AQ1701" s="52"/>
      <c r="AR1701" s="52"/>
      <c r="AS1701" s="58"/>
      <c r="AT1701" s="57"/>
      <c r="AU1701" s="52"/>
      <c r="AV1701" s="52"/>
      <c r="AW1701" s="58"/>
      <c r="AX1701" s="33">
        <f t="shared" ref="AX1701:AX1706" si="1719">SUM(E1701:AW1701)</f>
        <v>0</v>
      </c>
      <c r="AY1701" s="31">
        <f t="shared" ref="AY1701:AY1706" si="1720">IFERROR(AVERAGEIF(E1701:AW1701,"&lt;&gt;0",(E1701:AW1701)),)</f>
        <v>0</v>
      </c>
      <c r="AZ1701" s="30">
        <f t="shared" ref="AZ1701:AZ1706" si="1721">IFERROR(AY1701/D1701,0)</f>
        <v>0</v>
      </c>
      <c r="BA1701" s="94">
        <f>AX1707+BA1525</f>
        <v>15950</v>
      </c>
      <c r="BB1701" s="95">
        <f>(D1707*8)</f>
        <v>4000</v>
      </c>
      <c r="BC1701" s="96">
        <f>C1589-BA1701</f>
        <v>26361</v>
      </c>
      <c r="BD1701" s="96">
        <f>BA1692-BA1701</f>
        <v>1343</v>
      </c>
      <c r="BE1701" s="97">
        <f>IFERROR(BC1701/E1707,0)</f>
        <v>0</v>
      </c>
      <c r="BF1701" s="98">
        <f>IFERROR(BE1701/9,0)</f>
        <v>0</v>
      </c>
      <c r="BG1701" s="97">
        <f>IFERROR(BC1701/AY1707,0)</f>
        <v>0</v>
      </c>
      <c r="BH1701" s="97">
        <f>IFERROR(BG1701/9,0)</f>
        <v>0</v>
      </c>
    </row>
    <row r="1702" spans="1:60" s="17" customFormat="1" ht="19.5" customHeight="1" x14ac:dyDescent="0.35">
      <c r="A1702" s="41">
        <f t="shared" ref="A1702:B1702" si="1722">A1701</f>
        <v>45448</v>
      </c>
      <c r="B1702" s="37" t="str">
        <f t="shared" si="1722"/>
        <v>Yıkama Takma</v>
      </c>
      <c r="C1702" s="65">
        <f t="shared" si="1717"/>
        <v>0</v>
      </c>
      <c r="D1702" s="67">
        <f t="shared" si="1718"/>
        <v>125</v>
      </c>
      <c r="E1702" s="57"/>
      <c r="F1702" s="52"/>
      <c r="G1702" s="52"/>
      <c r="H1702" s="58"/>
      <c r="I1702" s="57"/>
      <c r="J1702" s="52"/>
      <c r="K1702" s="52"/>
      <c r="L1702" s="58"/>
      <c r="M1702" s="57"/>
      <c r="N1702" s="52"/>
      <c r="O1702" s="52"/>
      <c r="P1702" s="58"/>
      <c r="Q1702" s="57"/>
      <c r="R1702" s="52"/>
      <c r="S1702" s="52"/>
      <c r="T1702" s="52"/>
      <c r="U1702" s="58"/>
      <c r="V1702" s="57"/>
      <c r="W1702" s="52"/>
      <c r="X1702" s="52"/>
      <c r="Y1702" s="58"/>
      <c r="Z1702" s="57"/>
      <c r="AA1702" s="52"/>
      <c r="AB1702" s="52"/>
      <c r="AC1702" s="58"/>
      <c r="AD1702" s="57"/>
      <c r="AE1702" s="52"/>
      <c r="AF1702" s="52"/>
      <c r="AG1702" s="58"/>
      <c r="AH1702" s="57"/>
      <c r="AI1702" s="52"/>
      <c r="AJ1702" s="52"/>
      <c r="AK1702" s="58"/>
      <c r="AL1702" s="57"/>
      <c r="AM1702" s="52"/>
      <c r="AN1702" s="52"/>
      <c r="AO1702" s="58"/>
      <c r="AP1702" s="57"/>
      <c r="AQ1702" s="52"/>
      <c r="AR1702" s="52"/>
      <c r="AS1702" s="58"/>
      <c r="AT1702" s="57"/>
      <c r="AU1702" s="52"/>
      <c r="AV1702" s="52"/>
      <c r="AW1702" s="58"/>
      <c r="AX1702" s="33">
        <f t="shared" si="1719"/>
        <v>0</v>
      </c>
      <c r="AY1702" s="31">
        <f t="shared" si="1720"/>
        <v>0</v>
      </c>
      <c r="AZ1702" s="30">
        <f t="shared" si="1721"/>
        <v>0</v>
      </c>
      <c r="BA1702" s="34"/>
      <c r="BB1702" s="34"/>
      <c r="BC1702" s="34"/>
      <c r="BD1702" s="76"/>
      <c r="BE1702" s="34"/>
      <c r="BF1702" s="34"/>
      <c r="BG1702" s="34"/>
      <c r="BH1702" s="34"/>
    </row>
    <row r="1703" spans="1:60" s="17" customFormat="1" ht="19.5" customHeight="1" x14ac:dyDescent="0.35">
      <c r="A1703" s="41">
        <f t="shared" ref="A1703:B1704" si="1723">A1702</f>
        <v>45448</v>
      </c>
      <c r="B1703" s="37" t="str">
        <f t="shared" si="1723"/>
        <v>Yıkama Takma</v>
      </c>
      <c r="C1703" s="65">
        <f t="shared" si="1717"/>
        <v>0</v>
      </c>
      <c r="D1703" s="67">
        <f t="shared" si="1718"/>
        <v>125</v>
      </c>
      <c r="E1703" s="57"/>
      <c r="F1703" s="52"/>
      <c r="G1703" s="52"/>
      <c r="H1703" s="58"/>
      <c r="I1703" s="57"/>
      <c r="J1703" s="52"/>
      <c r="K1703" s="52"/>
      <c r="L1703" s="58"/>
      <c r="M1703" s="57"/>
      <c r="N1703" s="52"/>
      <c r="O1703" s="52"/>
      <c r="P1703" s="58"/>
      <c r="Q1703" s="57"/>
      <c r="R1703" s="52"/>
      <c r="S1703" s="52"/>
      <c r="T1703" s="52"/>
      <c r="U1703" s="58"/>
      <c r="V1703" s="57"/>
      <c r="W1703" s="52"/>
      <c r="X1703" s="52"/>
      <c r="Y1703" s="58"/>
      <c r="Z1703" s="57"/>
      <c r="AA1703" s="52"/>
      <c r="AB1703" s="52"/>
      <c r="AC1703" s="58"/>
      <c r="AD1703" s="57"/>
      <c r="AE1703" s="52"/>
      <c r="AF1703" s="52"/>
      <c r="AG1703" s="58"/>
      <c r="AH1703" s="57"/>
      <c r="AI1703" s="52"/>
      <c r="AJ1703" s="52"/>
      <c r="AK1703" s="58"/>
      <c r="AL1703" s="57"/>
      <c r="AM1703" s="52"/>
      <c r="AN1703" s="52"/>
      <c r="AO1703" s="58"/>
      <c r="AP1703" s="57"/>
      <c r="AQ1703" s="52"/>
      <c r="AR1703" s="52"/>
      <c r="AS1703" s="58"/>
      <c r="AT1703" s="57"/>
      <c r="AU1703" s="52"/>
      <c r="AV1703" s="52"/>
      <c r="AW1703" s="58"/>
      <c r="AX1703" s="33">
        <f t="shared" si="1719"/>
        <v>0</v>
      </c>
      <c r="AY1703" s="31">
        <f t="shared" si="1720"/>
        <v>0</v>
      </c>
      <c r="AZ1703" s="30">
        <f t="shared" si="1721"/>
        <v>0</v>
      </c>
      <c r="BA1703" s="34"/>
      <c r="BB1703" s="34"/>
      <c r="BC1703" s="34"/>
      <c r="BD1703" s="76"/>
      <c r="BE1703" s="34"/>
      <c r="BF1703" s="34"/>
      <c r="BG1703" s="34"/>
      <c r="BH1703" s="34"/>
    </row>
    <row r="1704" spans="1:60" s="17" customFormat="1" ht="19.5" customHeight="1" x14ac:dyDescent="0.35">
      <c r="A1704" s="41">
        <f>A1701</f>
        <v>45448</v>
      </c>
      <c r="B1704" s="37" t="str">
        <f t="shared" si="1723"/>
        <v>Yıkama Takma</v>
      </c>
      <c r="C1704" s="65">
        <f t="shared" si="1717"/>
        <v>0</v>
      </c>
      <c r="D1704" s="67">
        <f t="shared" si="1718"/>
        <v>125</v>
      </c>
      <c r="E1704" s="57"/>
      <c r="F1704" s="52"/>
      <c r="G1704" s="52"/>
      <c r="H1704" s="58"/>
      <c r="I1704" s="57"/>
      <c r="J1704" s="52"/>
      <c r="K1704" s="52"/>
      <c r="L1704" s="58"/>
      <c r="M1704" s="57"/>
      <c r="N1704" s="52"/>
      <c r="O1704" s="52"/>
      <c r="P1704" s="58"/>
      <c r="Q1704" s="57"/>
      <c r="R1704" s="52"/>
      <c r="S1704" s="52"/>
      <c r="T1704" s="52"/>
      <c r="U1704" s="58"/>
      <c r="V1704" s="57"/>
      <c r="W1704" s="52"/>
      <c r="X1704" s="52"/>
      <c r="Y1704" s="58"/>
      <c r="Z1704" s="57"/>
      <c r="AA1704" s="52"/>
      <c r="AB1704" s="52"/>
      <c r="AC1704" s="58"/>
      <c r="AD1704" s="57"/>
      <c r="AE1704" s="52"/>
      <c r="AF1704" s="52"/>
      <c r="AG1704" s="58"/>
      <c r="AH1704" s="57"/>
      <c r="AI1704" s="52"/>
      <c r="AJ1704" s="52"/>
      <c r="AK1704" s="58"/>
      <c r="AL1704" s="57"/>
      <c r="AM1704" s="52"/>
      <c r="AN1704" s="52"/>
      <c r="AO1704" s="58"/>
      <c r="AP1704" s="57"/>
      <c r="AQ1704" s="52"/>
      <c r="AR1704" s="52"/>
      <c r="AS1704" s="58"/>
      <c r="AT1704" s="57"/>
      <c r="AU1704" s="52"/>
      <c r="AV1704" s="52"/>
      <c r="AW1704" s="58"/>
      <c r="AX1704" s="33">
        <f t="shared" si="1719"/>
        <v>0</v>
      </c>
      <c r="AY1704" s="31">
        <f t="shared" si="1720"/>
        <v>0</v>
      </c>
      <c r="AZ1704" s="30">
        <f t="shared" si="1721"/>
        <v>0</v>
      </c>
      <c r="BA1704" s="34"/>
      <c r="BB1704" s="34"/>
      <c r="BC1704" s="34"/>
      <c r="BD1704" s="76"/>
      <c r="BE1704" s="34"/>
      <c r="BF1704" s="34"/>
      <c r="BG1704" s="34"/>
      <c r="BH1704" s="34"/>
    </row>
    <row r="1705" spans="1:60" s="17" customFormat="1" ht="19.5" customHeight="1" x14ac:dyDescent="0.35">
      <c r="A1705" s="41">
        <f t="shared" ref="A1705:B1705" si="1724">A1704</f>
        <v>45448</v>
      </c>
      <c r="B1705" s="37" t="str">
        <f t="shared" si="1724"/>
        <v>Yıkama Takma</v>
      </c>
      <c r="C1705" s="65">
        <f t="shared" si="1717"/>
        <v>0</v>
      </c>
      <c r="D1705" s="67">
        <f t="shared" si="1718"/>
        <v>125</v>
      </c>
      <c r="E1705" s="57"/>
      <c r="F1705" s="52"/>
      <c r="G1705" s="52"/>
      <c r="H1705" s="58"/>
      <c r="I1705" s="57"/>
      <c r="J1705" s="52"/>
      <c r="K1705" s="52"/>
      <c r="L1705" s="58"/>
      <c r="M1705" s="57"/>
      <c r="N1705" s="52"/>
      <c r="O1705" s="52"/>
      <c r="P1705" s="58"/>
      <c r="Q1705" s="57"/>
      <c r="R1705" s="52"/>
      <c r="S1705" s="52"/>
      <c r="T1705" s="52"/>
      <c r="U1705" s="58"/>
      <c r="V1705" s="57"/>
      <c r="W1705" s="52"/>
      <c r="X1705" s="52"/>
      <c r="Y1705" s="58"/>
      <c r="Z1705" s="57"/>
      <c r="AA1705" s="52"/>
      <c r="AB1705" s="52"/>
      <c r="AC1705" s="58"/>
      <c r="AD1705" s="57"/>
      <c r="AE1705" s="52"/>
      <c r="AF1705" s="52"/>
      <c r="AG1705" s="58"/>
      <c r="AH1705" s="57"/>
      <c r="AI1705" s="52"/>
      <c r="AJ1705" s="52"/>
      <c r="AK1705" s="58"/>
      <c r="AL1705" s="57"/>
      <c r="AM1705" s="52"/>
      <c r="AN1705" s="52"/>
      <c r="AO1705" s="58"/>
      <c r="AP1705" s="57"/>
      <c r="AQ1705" s="52"/>
      <c r="AR1705" s="52"/>
      <c r="AS1705" s="58"/>
      <c r="AT1705" s="57"/>
      <c r="AU1705" s="52"/>
      <c r="AV1705" s="52"/>
      <c r="AW1705" s="58"/>
      <c r="AX1705" s="33">
        <f t="shared" si="1719"/>
        <v>0</v>
      </c>
      <c r="AY1705" s="31">
        <f t="shared" si="1720"/>
        <v>0</v>
      </c>
      <c r="AZ1705" s="30">
        <f t="shared" si="1721"/>
        <v>0</v>
      </c>
      <c r="BA1705" s="34"/>
      <c r="BB1705" s="34"/>
      <c r="BC1705" s="34"/>
      <c r="BD1705" s="76"/>
      <c r="BE1705" s="34"/>
      <c r="BF1705" s="34"/>
      <c r="BG1705" s="34"/>
      <c r="BH1705" s="34"/>
    </row>
    <row r="1706" spans="1:60" s="17" customFormat="1" ht="19.5" customHeight="1" thickBot="1" x14ac:dyDescent="0.4">
      <c r="A1706" s="41">
        <f t="shared" ref="A1706:B1707" si="1725">A1705</f>
        <v>45448</v>
      </c>
      <c r="B1706" s="37" t="str">
        <f t="shared" si="1725"/>
        <v>Yıkama Takma</v>
      </c>
      <c r="C1706" s="65">
        <f t="shared" si="1717"/>
        <v>0</v>
      </c>
      <c r="D1706" s="67">
        <f t="shared" si="1718"/>
        <v>125</v>
      </c>
      <c r="E1706" s="59"/>
      <c r="F1706" s="60"/>
      <c r="G1706" s="61"/>
      <c r="H1706" s="62"/>
      <c r="I1706" s="59"/>
      <c r="J1706" s="60"/>
      <c r="K1706" s="61"/>
      <c r="L1706" s="62"/>
      <c r="M1706" s="59"/>
      <c r="N1706" s="60"/>
      <c r="O1706" s="61"/>
      <c r="P1706" s="62"/>
      <c r="Q1706" s="64"/>
      <c r="R1706" s="61"/>
      <c r="S1706" s="61"/>
      <c r="T1706" s="61"/>
      <c r="U1706" s="62"/>
      <c r="V1706" s="59"/>
      <c r="W1706" s="60"/>
      <c r="X1706" s="61"/>
      <c r="Y1706" s="62"/>
      <c r="Z1706" s="59"/>
      <c r="AA1706" s="60"/>
      <c r="AB1706" s="61"/>
      <c r="AC1706" s="62"/>
      <c r="AD1706" s="59"/>
      <c r="AE1706" s="60"/>
      <c r="AF1706" s="61"/>
      <c r="AG1706" s="62"/>
      <c r="AH1706" s="59"/>
      <c r="AI1706" s="60"/>
      <c r="AJ1706" s="61"/>
      <c r="AK1706" s="62"/>
      <c r="AL1706" s="59"/>
      <c r="AM1706" s="60"/>
      <c r="AN1706" s="61"/>
      <c r="AO1706" s="62"/>
      <c r="AP1706" s="59"/>
      <c r="AQ1706" s="60"/>
      <c r="AR1706" s="61"/>
      <c r="AS1706" s="62"/>
      <c r="AT1706" s="59"/>
      <c r="AU1706" s="60"/>
      <c r="AV1706" s="61"/>
      <c r="AW1706" s="62"/>
      <c r="AX1706" s="33">
        <f t="shared" si="1719"/>
        <v>0</v>
      </c>
      <c r="AY1706" s="31">
        <f t="shared" si="1720"/>
        <v>0</v>
      </c>
      <c r="AZ1706" s="30">
        <f t="shared" si="1721"/>
        <v>0</v>
      </c>
      <c r="BA1706" s="34"/>
      <c r="BB1706" s="34"/>
      <c r="BC1706" s="34"/>
      <c r="BD1706" s="76"/>
      <c r="BE1706" s="34"/>
      <c r="BF1706" s="34"/>
      <c r="BG1706" s="34"/>
      <c r="BH1706" s="34"/>
    </row>
    <row r="1707" spans="1:60" s="17" customFormat="1" ht="19.5" customHeight="1" thickBot="1" x14ac:dyDescent="0.45">
      <c r="A1707" s="41">
        <f t="shared" si="1725"/>
        <v>45448</v>
      </c>
      <c r="B1707" s="139" t="str">
        <f>B1700</f>
        <v>Yıkama Takma</v>
      </c>
      <c r="C1707" s="140"/>
      <c r="D1707" s="40">
        <f>C1590/8</f>
        <v>500</v>
      </c>
      <c r="E1707" s="147">
        <f>SUM(E1700:H1706)</f>
        <v>0</v>
      </c>
      <c r="F1707" s="148"/>
      <c r="G1707" s="148"/>
      <c r="H1707" s="149"/>
      <c r="I1707" s="147">
        <f>SUM(I1700:L1706)</f>
        <v>0</v>
      </c>
      <c r="J1707" s="148"/>
      <c r="K1707" s="148"/>
      <c r="L1707" s="149"/>
      <c r="M1707" s="147">
        <f>SUM(M1700:P1706)</f>
        <v>0</v>
      </c>
      <c r="N1707" s="148"/>
      <c r="O1707" s="148"/>
      <c r="P1707" s="149"/>
      <c r="Q1707" s="147">
        <f>SUM(Q1700:U1706)</f>
        <v>0</v>
      </c>
      <c r="R1707" s="148"/>
      <c r="S1707" s="148"/>
      <c r="T1707" s="148"/>
      <c r="U1707" s="149"/>
      <c r="V1707" s="147">
        <f>SUM(V1700:Y1706)</f>
        <v>0</v>
      </c>
      <c r="W1707" s="148"/>
      <c r="X1707" s="148"/>
      <c r="Y1707" s="149"/>
      <c r="Z1707" s="147">
        <f>SUM(Z1700:AC1706)</f>
        <v>0</v>
      </c>
      <c r="AA1707" s="148"/>
      <c r="AB1707" s="148"/>
      <c r="AC1707" s="149"/>
      <c r="AD1707" s="147">
        <f>SUM(AD1700:AG1706)</f>
        <v>0</v>
      </c>
      <c r="AE1707" s="148"/>
      <c r="AF1707" s="148"/>
      <c r="AG1707" s="149"/>
      <c r="AH1707" s="147">
        <f>SUM(AH1700:AK1706)</f>
        <v>0</v>
      </c>
      <c r="AI1707" s="148"/>
      <c r="AJ1707" s="148"/>
      <c r="AK1707" s="149"/>
      <c r="AL1707" s="147">
        <f>SUM(AL1700:AO1706)</f>
        <v>0</v>
      </c>
      <c r="AM1707" s="148"/>
      <c r="AN1707" s="148"/>
      <c r="AO1707" s="149"/>
      <c r="AP1707" s="147">
        <f>SUM(AP1700:AS1706)</f>
        <v>0</v>
      </c>
      <c r="AQ1707" s="148"/>
      <c r="AR1707" s="148"/>
      <c r="AS1707" s="149"/>
      <c r="AT1707" s="147">
        <f>SUM(AT1700:AW1706)</f>
        <v>0</v>
      </c>
      <c r="AU1707" s="148"/>
      <c r="AV1707" s="148"/>
      <c r="AW1707" s="149"/>
      <c r="AX1707" s="87">
        <f>SUM(AX1700:AX1706)</f>
        <v>0</v>
      </c>
      <c r="AY1707" s="88">
        <f>IFERROR(AVERAGEIF(E1707:AV1707,"&lt;&gt;0",(E1707:AV1707)),)</f>
        <v>0</v>
      </c>
      <c r="AZ1707" s="46">
        <f>IFERROR(AX1707/BB1701,0)</f>
        <v>0</v>
      </c>
      <c r="BA1707" s="34"/>
      <c r="BB1707" s="34"/>
      <c r="BC1707" s="34"/>
      <c r="BD1707" s="76"/>
      <c r="BE1707" s="34"/>
      <c r="BF1707" s="34"/>
      <c r="BG1707" s="34"/>
      <c r="BH1707" s="34"/>
    </row>
    <row r="1708" spans="1:60" s="17" customFormat="1" ht="19.5" customHeight="1" thickBot="1" x14ac:dyDescent="0.4">
      <c r="A1708" s="42">
        <f>A1699</f>
        <v>45448</v>
      </c>
      <c r="B1708" s="38" t="str">
        <f>B1709</f>
        <v>Kol Reçme</v>
      </c>
      <c r="C1708" s="39" t="s">
        <v>180</v>
      </c>
      <c r="D1708" s="69" t="s">
        <v>181</v>
      </c>
      <c r="E1708" s="48">
        <v>0.34375</v>
      </c>
      <c r="F1708" s="49">
        <v>0.35416666666666669</v>
      </c>
      <c r="G1708" s="49">
        <v>0.36458333333333331</v>
      </c>
      <c r="H1708" s="50">
        <v>0.375</v>
      </c>
      <c r="I1708" s="48">
        <v>0.38541666666666702</v>
      </c>
      <c r="J1708" s="49">
        <v>0.39583333333333298</v>
      </c>
      <c r="K1708" s="49">
        <v>0.40625</v>
      </c>
      <c r="L1708" s="50">
        <v>0.41666666666666702</v>
      </c>
      <c r="M1708" s="48">
        <v>0.4375</v>
      </c>
      <c r="N1708" s="49">
        <v>0.44791666666666702</v>
      </c>
      <c r="O1708" s="49">
        <v>0.45833333333333398</v>
      </c>
      <c r="P1708" s="50">
        <v>0.46875</v>
      </c>
      <c r="Q1708" s="82">
        <v>0.47916666666666702</v>
      </c>
      <c r="R1708" s="83">
        <v>0.48958333333333398</v>
      </c>
      <c r="S1708" s="83">
        <v>0.5</v>
      </c>
      <c r="T1708" s="84">
        <v>0.51041666666666696</v>
      </c>
      <c r="U1708" s="85">
        <v>0.52083333333333204</v>
      </c>
      <c r="V1708" s="48">
        <v>0.5625</v>
      </c>
      <c r="W1708" s="49">
        <v>0.57291666666666663</v>
      </c>
      <c r="X1708" s="49">
        <v>0.58333333333333304</v>
      </c>
      <c r="Y1708" s="50">
        <v>0.59375</v>
      </c>
      <c r="Z1708" s="48">
        <v>0.60416666666666696</v>
      </c>
      <c r="AA1708" s="49">
        <v>0.61458333333333304</v>
      </c>
      <c r="AB1708" s="49">
        <v>0.625</v>
      </c>
      <c r="AC1708" s="50">
        <v>0.63541666666666596</v>
      </c>
      <c r="AD1708" s="48">
        <v>0.65625</v>
      </c>
      <c r="AE1708" s="49">
        <v>0.66666666666666663</v>
      </c>
      <c r="AF1708" s="49">
        <v>0.67708333333333304</v>
      </c>
      <c r="AG1708" s="50">
        <v>0.6875</v>
      </c>
      <c r="AH1708" s="48">
        <v>0.69791666666666696</v>
      </c>
      <c r="AI1708" s="49">
        <v>0.70833333333333304</v>
      </c>
      <c r="AJ1708" s="49">
        <v>0.71875</v>
      </c>
      <c r="AK1708" s="50">
        <v>0.72916666666666696</v>
      </c>
      <c r="AL1708" s="48">
        <v>0.73958333333333404</v>
      </c>
      <c r="AM1708" s="49">
        <v>0.750000000000001</v>
      </c>
      <c r="AN1708" s="49">
        <v>0.76041666666666796</v>
      </c>
      <c r="AO1708" s="50">
        <v>0.77083333333333504</v>
      </c>
      <c r="AP1708" s="48">
        <v>0.781250000000002</v>
      </c>
      <c r="AQ1708" s="49">
        <v>0.79166666666666896</v>
      </c>
      <c r="AR1708" s="49">
        <v>0.80208333333333603</v>
      </c>
      <c r="AS1708" s="50">
        <v>0.812500000000003</v>
      </c>
      <c r="AT1708" s="48">
        <v>0.82291666666666996</v>
      </c>
      <c r="AU1708" s="49">
        <v>0.83333333333333703</v>
      </c>
      <c r="AV1708" s="49">
        <v>0.843750000000004</v>
      </c>
      <c r="AW1708" s="50">
        <v>0.85416666666666663</v>
      </c>
      <c r="AX1708" s="68" t="s">
        <v>260</v>
      </c>
      <c r="AY1708" s="28" t="s">
        <v>261</v>
      </c>
      <c r="AZ1708" s="29" t="s">
        <v>262</v>
      </c>
      <c r="BA1708" s="136" t="str">
        <f>B1709</f>
        <v>Kol Reçme</v>
      </c>
      <c r="BB1708" s="137"/>
      <c r="BC1708" s="137"/>
      <c r="BD1708" s="137"/>
      <c r="BE1708" s="137"/>
      <c r="BF1708" s="137"/>
      <c r="BG1708" s="137"/>
      <c r="BH1708" s="138"/>
    </row>
    <row r="1709" spans="1:60" s="17" customFormat="1" ht="19.5" customHeight="1" thickBot="1" x14ac:dyDescent="0.4">
      <c r="A1709" s="41">
        <f t="shared" ref="A1709" si="1726">A1708</f>
        <v>45448</v>
      </c>
      <c r="B1709" s="37" t="str">
        <f>B1533</f>
        <v>Kol Reçme</v>
      </c>
      <c r="C1709" s="65" t="str">
        <f>C1533</f>
        <v>LEYLA ERDOĞAN</v>
      </c>
      <c r="D1709" s="70">
        <f>D1533</f>
        <v>60</v>
      </c>
      <c r="E1709" s="63"/>
      <c r="F1709" s="55"/>
      <c r="G1709" s="55"/>
      <c r="H1709" s="56"/>
      <c r="I1709" s="63"/>
      <c r="J1709" s="55"/>
      <c r="K1709" s="55"/>
      <c r="L1709" s="56"/>
      <c r="M1709" s="63"/>
      <c r="N1709" s="55"/>
      <c r="O1709" s="55"/>
      <c r="P1709" s="56"/>
      <c r="Q1709" s="63"/>
      <c r="R1709" s="55"/>
      <c r="S1709" s="55"/>
      <c r="T1709" s="55"/>
      <c r="U1709" s="56"/>
      <c r="V1709" s="63"/>
      <c r="W1709" s="55"/>
      <c r="X1709" s="55"/>
      <c r="Y1709" s="56"/>
      <c r="Z1709" s="63"/>
      <c r="AA1709" s="55"/>
      <c r="AB1709" s="55"/>
      <c r="AC1709" s="56"/>
      <c r="AD1709" s="63"/>
      <c r="AE1709" s="55"/>
      <c r="AF1709" s="55"/>
      <c r="AG1709" s="56"/>
      <c r="AH1709" s="63"/>
      <c r="AI1709" s="55"/>
      <c r="AJ1709" s="55"/>
      <c r="AK1709" s="56"/>
      <c r="AL1709" s="53"/>
      <c r="AM1709" s="54"/>
      <c r="AN1709" s="55"/>
      <c r="AO1709" s="56"/>
      <c r="AP1709" s="53"/>
      <c r="AQ1709" s="54"/>
      <c r="AR1709" s="55"/>
      <c r="AS1709" s="56"/>
      <c r="AT1709" s="53"/>
      <c r="AU1709" s="54"/>
      <c r="AV1709" s="55"/>
      <c r="AW1709" s="56"/>
      <c r="AX1709" s="33">
        <f>SUM(E1709:AW1709)</f>
        <v>0</v>
      </c>
      <c r="AY1709" s="31">
        <f>IFERROR(AVERAGEIF(E1709:AW1709,"&lt;&gt;0",(E1709:AW1709)),)</f>
        <v>0</v>
      </c>
      <c r="AZ1709" s="30">
        <f>IFERROR(AY1709/D1709,0)</f>
        <v>0</v>
      </c>
      <c r="BA1709" s="103" t="s">
        <v>182</v>
      </c>
      <c r="BB1709" s="100" t="s">
        <v>183</v>
      </c>
      <c r="BC1709" s="100" t="s">
        <v>184</v>
      </c>
      <c r="BD1709" s="101" t="s">
        <v>185</v>
      </c>
      <c r="BE1709" s="100" t="s">
        <v>186</v>
      </c>
      <c r="BF1709" s="102" t="s">
        <v>187</v>
      </c>
      <c r="BG1709" s="100" t="s">
        <v>188</v>
      </c>
      <c r="BH1709" s="102" t="s">
        <v>189</v>
      </c>
    </row>
    <row r="1710" spans="1:60" s="17" customFormat="1" ht="19.5" customHeight="1" thickBot="1" x14ac:dyDescent="0.4">
      <c r="A1710" s="41">
        <f t="shared" ref="A1710:B1710" si="1727">A1709</f>
        <v>45448</v>
      </c>
      <c r="B1710" s="37" t="str">
        <f t="shared" si="1727"/>
        <v>Kol Reçme</v>
      </c>
      <c r="C1710" s="65" t="str">
        <f t="shared" ref="C1710:C1715" si="1728">C1534</f>
        <v>SEMA GEZGİNCİ</v>
      </c>
      <c r="D1710" s="67">
        <f t="shared" ref="D1710:D1715" si="1729">D1709</f>
        <v>60</v>
      </c>
      <c r="E1710" s="57"/>
      <c r="F1710" s="52"/>
      <c r="G1710" s="52"/>
      <c r="H1710" s="58"/>
      <c r="I1710" s="57"/>
      <c r="J1710" s="52"/>
      <c r="K1710" s="52"/>
      <c r="L1710" s="58"/>
      <c r="M1710" s="57"/>
      <c r="N1710" s="52"/>
      <c r="O1710" s="52"/>
      <c r="P1710" s="58"/>
      <c r="Q1710" s="57"/>
      <c r="R1710" s="52"/>
      <c r="S1710" s="52"/>
      <c r="T1710" s="52"/>
      <c r="U1710" s="58"/>
      <c r="V1710" s="57"/>
      <c r="W1710" s="52"/>
      <c r="X1710" s="52"/>
      <c r="Y1710" s="58"/>
      <c r="Z1710" s="57"/>
      <c r="AA1710" s="52"/>
      <c r="AB1710" s="52"/>
      <c r="AC1710" s="58"/>
      <c r="AD1710" s="57"/>
      <c r="AE1710" s="52"/>
      <c r="AF1710" s="52"/>
      <c r="AG1710" s="58"/>
      <c r="AH1710" s="57"/>
      <c r="AI1710" s="52"/>
      <c r="AJ1710" s="52"/>
      <c r="AK1710" s="58"/>
      <c r="AL1710" s="57"/>
      <c r="AM1710" s="52"/>
      <c r="AN1710" s="52"/>
      <c r="AO1710" s="58"/>
      <c r="AP1710" s="57"/>
      <c r="AQ1710" s="52"/>
      <c r="AR1710" s="52"/>
      <c r="AS1710" s="58"/>
      <c r="AT1710" s="57"/>
      <c r="AU1710" s="52"/>
      <c r="AV1710" s="52"/>
      <c r="AW1710" s="58"/>
      <c r="AX1710" s="33">
        <f t="shared" ref="AX1710:AX1715" si="1730">SUM(E1710:AW1710)</f>
        <v>0</v>
      </c>
      <c r="AY1710" s="31">
        <f t="shared" ref="AY1710:AY1715" si="1731">IFERROR(AVERAGEIF(E1710:AW1710,"&lt;&gt;0",(E1710:AW1710)),)</f>
        <v>0</v>
      </c>
      <c r="AZ1710" s="30">
        <f t="shared" ref="AZ1710:AZ1715" si="1732">IFERROR(AY1710/D1710,0)</f>
        <v>0</v>
      </c>
      <c r="BA1710" s="94">
        <f>AX1716+BA1534</f>
        <v>15828</v>
      </c>
      <c r="BB1710" s="95">
        <f>(D1716*8)</f>
        <v>4000</v>
      </c>
      <c r="BC1710" s="96">
        <f>C1589-BA1710</f>
        <v>26483</v>
      </c>
      <c r="BD1710" s="96">
        <f>BA1701-BA1710</f>
        <v>122</v>
      </c>
      <c r="BE1710" s="97">
        <f>IFERROR(BC1710/E1716,0)</f>
        <v>0</v>
      </c>
      <c r="BF1710" s="98">
        <f>IFERROR(BE1710/9,0)</f>
        <v>0</v>
      </c>
      <c r="BG1710" s="97">
        <f>IFERROR(BC1710/AY1716,0)</f>
        <v>0</v>
      </c>
      <c r="BH1710" s="97">
        <f>IFERROR(BG1710/9,0)</f>
        <v>0</v>
      </c>
    </row>
    <row r="1711" spans="1:60" s="17" customFormat="1" ht="19.5" customHeight="1" x14ac:dyDescent="0.35">
      <c r="A1711" s="41">
        <f t="shared" ref="A1711:B1711" si="1733">A1710</f>
        <v>45448</v>
      </c>
      <c r="B1711" s="37" t="str">
        <f t="shared" si="1733"/>
        <v>Kol Reçme</v>
      </c>
      <c r="C1711" s="65" t="str">
        <f t="shared" si="1728"/>
        <v>BEYZANUR ERTÜRK</v>
      </c>
      <c r="D1711" s="67">
        <f t="shared" si="1729"/>
        <v>60</v>
      </c>
      <c r="E1711" s="57"/>
      <c r="F1711" s="52"/>
      <c r="G1711" s="52"/>
      <c r="H1711" s="58"/>
      <c r="I1711" s="57"/>
      <c r="J1711" s="52"/>
      <c r="K1711" s="52"/>
      <c r="L1711" s="58"/>
      <c r="M1711" s="57"/>
      <c r="N1711" s="52"/>
      <c r="O1711" s="52"/>
      <c r="P1711" s="58"/>
      <c r="Q1711" s="57"/>
      <c r="R1711" s="52"/>
      <c r="S1711" s="52"/>
      <c r="T1711" s="52"/>
      <c r="U1711" s="58"/>
      <c r="V1711" s="57"/>
      <c r="W1711" s="52"/>
      <c r="X1711" s="52"/>
      <c r="Y1711" s="58"/>
      <c r="Z1711" s="57"/>
      <c r="AA1711" s="52"/>
      <c r="AB1711" s="52"/>
      <c r="AC1711" s="58"/>
      <c r="AD1711" s="57"/>
      <c r="AE1711" s="52"/>
      <c r="AF1711" s="52"/>
      <c r="AG1711" s="58"/>
      <c r="AH1711" s="57"/>
      <c r="AI1711" s="52"/>
      <c r="AJ1711" s="52"/>
      <c r="AK1711" s="58"/>
      <c r="AL1711" s="57"/>
      <c r="AM1711" s="52"/>
      <c r="AN1711" s="52"/>
      <c r="AO1711" s="58"/>
      <c r="AP1711" s="57"/>
      <c r="AQ1711" s="52"/>
      <c r="AR1711" s="52"/>
      <c r="AS1711" s="58"/>
      <c r="AT1711" s="57"/>
      <c r="AU1711" s="52"/>
      <c r="AV1711" s="52"/>
      <c r="AW1711" s="58"/>
      <c r="AX1711" s="33">
        <f t="shared" si="1730"/>
        <v>0</v>
      </c>
      <c r="AY1711" s="31">
        <f t="shared" si="1731"/>
        <v>0</v>
      </c>
      <c r="AZ1711" s="30">
        <f t="shared" si="1732"/>
        <v>0</v>
      </c>
      <c r="BA1711" s="34"/>
      <c r="BB1711" s="34"/>
      <c r="BC1711" s="34"/>
      <c r="BD1711" s="76"/>
      <c r="BE1711" s="34"/>
      <c r="BF1711" s="34"/>
      <c r="BG1711" s="34"/>
      <c r="BH1711" s="34"/>
    </row>
    <row r="1712" spans="1:60" s="17" customFormat="1" ht="19.5" customHeight="1" x14ac:dyDescent="0.35">
      <c r="A1712" s="41">
        <f t="shared" ref="A1712:B1713" si="1734">A1711</f>
        <v>45448</v>
      </c>
      <c r="B1712" s="37" t="str">
        <f t="shared" si="1734"/>
        <v>Kol Reçme</v>
      </c>
      <c r="C1712" s="65" t="str">
        <f t="shared" si="1728"/>
        <v>SEVİNÇ KUNDAKÇI</v>
      </c>
      <c r="D1712" s="67">
        <f t="shared" si="1729"/>
        <v>60</v>
      </c>
      <c r="E1712" s="57"/>
      <c r="F1712" s="52"/>
      <c r="G1712" s="52"/>
      <c r="H1712" s="58"/>
      <c r="I1712" s="57"/>
      <c r="J1712" s="52"/>
      <c r="K1712" s="52"/>
      <c r="L1712" s="58"/>
      <c r="M1712" s="57"/>
      <c r="N1712" s="52"/>
      <c r="O1712" s="52"/>
      <c r="P1712" s="58"/>
      <c r="Q1712" s="57"/>
      <c r="R1712" s="52"/>
      <c r="S1712" s="52"/>
      <c r="T1712" s="52"/>
      <c r="U1712" s="58"/>
      <c r="V1712" s="57"/>
      <c r="W1712" s="52"/>
      <c r="X1712" s="52"/>
      <c r="Y1712" s="58"/>
      <c r="Z1712" s="57"/>
      <c r="AA1712" s="52"/>
      <c r="AB1712" s="52"/>
      <c r="AC1712" s="58"/>
      <c r="AD1712" s="57"/>
      <c r="AE1712" s="52"/>
      <c r="AF1712" s="52"/>
      <c r="AG1712" s="58"/>
      <c r="AH1712" s="57"/>
      <c r="AI1712" s="52"/>
      <c r="AJ1712" s="52"/>
      <c r="AK1712" s="58"/>
      <c r="AL1712" s="57"/>
      <c r="AM1712" s="52"/>
      <c r="AN1712" s="52"/>
      <c r="AO1712" s="58"/>
      <c r="AP1712" s="57"/>
      <c r="AQ1712" s="52"/>
      <c r="AR1712" s="52"/>
      <c r="AS1712" s="58"/>
      <c r="AT1712" s="57"/>
      <c r="AU1712" s="52"/>
      <c r="AV1712" s="52"/>
      <c r="AW1712" s="58"/>
      <c r="AX1712" s="33">
        <f t="shared" si="1730"/>
        <v>0</v>
      </c>
      <c r="AY1712" s="31">
        <f t="shared" si="1731"/>
        <v>0</v>
      </c>
      <c r="AZ1712" s="30">
        <f t="shared" si="1732"/>
        <v>0</v>
      </c>
      <c r="BA1712" s="34"/>
      <c r="BB1712" s="34"/>
      <c r="BC1712" s="34"/>
      <c r="BD1712" s="76"/>
      <c r="BE1712" s="34"/>
      <c r="BF1712" s="34"/>
      <c r="BG1712" s="34"/>
      <c r="BH1712" s="34"/>
    </row>
    <row r="1713" spans="1:60" s="17" customFormat="1" ht="19.5" customHeight="1" x14ac:dyDescent="0.35">
      <c r="A1713" s="41">
        <f>A1710</f>
        <v>45448</v>
      </c>
      <c r="B1713" s="37" t="str">
        <f t="shared" si="1734"/>
        <v>Kol Reçme</v>
      </c>
      <c r="C1713" s="65">
        <f t="shared" si="1728"/>
        <v>0</v>
      </c>
      <c r="D1713" s="67">
        <f t="shared" si="1729"/>
        <v>60</v>
      </c>
      <c r="E1713" s="57"/>
      <c r="F1713" s="52"/>
      <c r="G1713" s="52"/>
      <c r="H1713" s="58"/>
      <c r="I1713" s="57"/>
      <c r="J1713" s="52"/>
      <c r="K1713" s="52"/>
      <c r="L1713" s="58"/>
      <c r="M1713" s="57"/>
      <c r="N1713" s="52"/>
      <c r="O1713" s="52"/>
      <c r="P1713" s="58"/>
      <c r="Q1713" s="57"/>
      <c r="R1713" s="52"/>
      <c r="S1713" s="52"/>
      <c r="T1713" s="52"/>
      <c r="U1713" s="58"/>
      <c r="V1713" s="57"/>
      <c r="W1713" s="52"/>
      <c r="X1713" s="52"/>
      <c r="Y1713" s="58"/>
      <c r="Z1713" s="57"/>
      <c r="AA1713" s="52"/>
      <c r="AB1713" s="52"/>
      <c r="AC1713" s="58"/>
      <c r="AD1713" s="57"/>
      <c r="AE1713" s="52"/>
      <c r="AF1713" s="52"/>
      <c r="AG1713" s="58"/>
      <c r="AH1713" s="57"/>
      <c r="AI1713" s="52"/>
      <c r="AJ1713" s="52"/>
      <c r="AK1713" s="58"/>
      <c r="AL1713" s="57"/>
      <c r="AM1713" s="52"/>
      <c r="AN1713" s="52"/>
      <c r="AO1713" s="58"/>
      <c r="AP1713" s="57"/>
      <c r="AQ1713" s="52"/>
      <c r="AR1713" s="52"/>
      <c r="AS1713" s="58"/>
      <c r="AT1713" s="57"/>
      <c r="AU1713" s="52"/>
      <c r="AV1713" s="52"/>
      <c r="AW1713" s="58"/>
      <c r="AX1713" s="33">
        <f t="shared" si="1730"/>
        <v>0</v>
      </c>
      <c r="AY1713" s="31">
        <f t="shared" si="1731"/>
        <v>0</v>
      </c>
      <c r="AZ1713" s="30">
        <f t="shared" si="1732"/>
        <v>0</v>
      </c>
      <c r="BA1713" s="34"/>
      <c r="BB1713" s="34"/>
      <c r="BC1713" s="34"/>
      <c r="BD1713" s="76"/>
      <c r="BE1713" s="34"/>
      <c r="BF1713" s="34"/>
      <c r="BG1713" s="34"/>
      <c r="BH1713" s="34"/>
    </row>
    <row r="1714" spans="1:60" s="17" customFormat="1" ht="19.5" customHeight="1" x14ac:dyDescent="0.35">
      <c r="A1714" s="41">
        <f t="shared" ref="A1714:B1714" si="1735">A1713</f>
        <v>45448</v>
      </c>
      <c r="B1714" s="37" t="str">
        <f t="shared" si="1735"/>
        <v>Kol Reçme</v>
      </c>
      <c r="C1714" s="65">
        <f t="shared" si="1728"/>
        <v>0</v>
      </c>
      <c r="D1714" s="67">
        <f t="shared" si="1729"/>
        <v>60</v>
      </c>
      <c r="E1714" s="57"/>
      <c r="F1714" s="52"/>
      <c r="G1714" s="52"/>
      <c r="H1714" s="58"/>
      <c r="I1714" s="57"/>
      <c r="J1714" s="52"/>
      <c r="K1714" s="52"/>
      <c r="L1714" s="58"/>
      <c r="M1714" s="57"/>
      <c r="N1714" s="52"/>
      <c r="O1714" s="52"/>
      <c r="P1714" s="78"/>
      <c r="Q1714" s="57"/>
      <c r="R1714" s="52"/>
      <c r="S1714" s="52"/>
      <c r="T1714" s="52"/>
      <c r="U1714" s="58"/>
      <c r="V1714" s="80"/>
      <c r="W1714" s="52"/>
      <c r="X1714" s="52"/>
      <c r="Y1714" s="58"/>
      <c r="Z1714" s="57"/>
      <c r="AA1714" s="52"/>
      <c r="AB1714" s="52"/>
      <c r="AC1714" s="58"/>
      <c r="AD1714" s="57"/>
      <c r="AE1714" s="52"/>
      <c r="AF1714" s="52"/>
      <c r="AG1714" s="58"/>
      <c r="AH1714" s="57"/>
      <c r="AI1714" s="52"/>
      <c r="AJ1714" s="52"/>
      <c r="AK1714" s="58"/>
      <c r="AL1714" s="57"/>
      <c r="AM1714" s="52"/>
      <c r="AN1714" s="52"/>
      <c r="AO1714" s="58"/>
      <c r="AP1714" s="57"/>
      <c r="AQ1714" s="52"/>
      <c r="AR1714" s="52"/>
      <c r="AS1714" s="58"/>
      <c r="AT1714" s="57"/>
      <c r="AU1714" s="52"/>
      <c r="AV1714" s="52"/>
      <c r="AW1714" s="58"/>
      <c r="AX1714" s="33">
        <f t="shared" si="1730"/>
        <v>0</v>
      </c>
      <c r="AY1714" s="31">
        <f t="shared" si="1731"/>
        <v>0</v>
      </c>
      <c r="AZ1714" s="30">
        <f t="shared" si="1732"/>
        <v>0</v>
      </c>
      <c r="BA1714" s="34"/>
      <c r="BB1714" s="34"/>
      <c r="BC1714" s="34"/>
      <c r="BD1714" s="76"/>
      <c r="BE1714" s="34"/>
      <c r="BF1714" s="34"/>
      <c r="BG1714" s="34"/>
      <c r="BH1714" s="34"/>
    </row>
    <row r="1715" spans="1:60" s="17" customFormat="1" ht="19.5" customHeight="1" thickBot="1" x14ac:dyDescent="0.4">
      <c r="A1715" s="41">
        <f t="shared" ref="A1715:B1716" si="1736">A1714</f>
        <v>45448</v>
      </c>
      <c r="B1715" s="37" t="str">
        <f t="shared" si="1736"/>
        <v>Kol Reçme</v>
      </c>
      <c r="C1715" s="65">
        <f t="shared" si="1728"/>
        <v>0</v>
      </c>
      <c r="D1715" s="67">
        <f t="shared" si="1729"/>
        <v>60</v>
      </c>
      <c r="E1715" s="59"/>
      <c r="F1715" s="60"/>
      <c r="G1715" s="61"/>
      <c r="H1715" s="62"/>
      <c r="I1715" s="59"/>
      <c r="J1715" s="60"/>
      <c r="K1715" s="61"/>
      <c r="L1715" s="62"/>
      <c r="M1715" s="59"/>
      <c r="N1715" s="60"/>
      <c r="O1715" s="61"/>
      <c r="P1715" s="79"/>
      <c r="Q1715" s="64"/>
      <c r="R1715" s="61"/>
      <c r="S1715" s="61"/>
      <c r="T1715" s="61"/>
      <c r="U1715" s="62"/>
      <c r="V1715" s="81"/>
      <c r="W1715" s="60"/>
      <c r="X1715" s="61"/>
      <c r="Y1715" s="62"/>
      <c r="Z1715" s="59"/>
      <c r="AA1715" s="60"/>
      <c r="AB1715" s="61"/>
      <c r="AC1715" s="62"/>
      <c r="AD1715" s="59"/>
      <c r="AE1715" s="60"/>
      <c r="AF1715" s="61"/>
      <c r="AG1715" s="62"/>
      <c r="AH1715" s="59"/>
      <c r="AI1715" s="60"/>
      <c r="AJ1715" s="61"/>
      <c r="AK1715" s="62"/>
      <c r="AL1715" s="59"/>
      <c r="AM1715" s="60"/>
      <c r="AN1715" s="61"/>
      <c r="AO1715" s="62"/>
      <c r="AP1715" s="59"/>
      <c r="AQ1715" s="60"/>
      <c r="AR1715" s="61"/>
      <c r="AS1715" s="62"/>
      <c r="AT1715" s="59"/>
      <c r="AU1715" s="60"/>
      <c r="AV1715" s="61"/>
      <c r="AW1715" s="62"/>
      <c r="AX1715" s="33">
        <f t="shared" si="1730"/>
        <v>0</v>
      </c>
      <c r="AY1715" s="31">
        <f t="shared" si="1731"/>
        <v>0</v>
      </c>
      <c r="AZ1715" s="30">
        <f t="shared" si="1732"/>
        <v>0</v>
      </c>
      <c r="BA1715" s="34"/>
      <c r="BB1715" s="34"/>
      <c r="BC1715" s="34"/>
      <c r="BD1715" s="76"/>
      <c r="BE1715" s="34"/>
      <c r="BF1715" s="34"/>
      <c r="BG1715" s="34"/>
      <c r="BH1715" s="34"/>
    </row>
    <row r="1716" spans="1:60" s="17" customFormat="1" ht="19.5" customHeight="1" thickBot="1" x14ac:dyDescent="0.45">
      <c r="A1716" s="41">
        <f t="shared" si="1736"/>
        <v>45448</v>
      </c>
      <c r="B1716" s="139" t="str">
        <f>B1709</f>
        <v>Kol Reçme</v>
      </c>
      <c r="C1716" s="140"/>
      <c r="D1716" s="40">
        <f>C1590/8</f>
        <v>500</v>
      </c>
      <c r="E1716" s="147">
        <f>SUM(E1709:H1715)</f>
        <v>0</v>
      </c>
      <c r="F1716" s="148"/>
      <c r="G1716" s="148"/>
      <c r="H1716" s="149"/>
      <c r="I1716" s="147">
        <f>SUM(I1709:L1715)</f>
        <v>0</v>
      </c>
      <c r="J1716" s="148"/>
      <c r="K1716" s="148"/>
      <c r="L1716" s="149"/>
      <c r="M1716" s="147">
        <f>SUM(M1709:P1715)</f>
        <v>0</v>
      </c>
      <c r="N1716" s="148"/>
      <c r="O1716" s="148"/>
      <c r="P1716" s="149"/>
      <c r="Q1716" s="151">
        <f>SUM(Q1709:U1715)</f>
        <v>0</v>
      </c>
      <c r="R1716" s="152"/>
      <c r="S1716" s="152"/>
      <c r="T1716" s="152"/>
      <c r="U1716" s="153"/>
      <c r="V1716" s="147">
        <f>SUM(V1709:Y1715)</f>
        <v>0</v>
      </c>
      <c r="W1716" s="148"/>
      <c r="X1716" s="148"/>
      <c r="Y1716" s="149"/>
      <c r="Z1716" s="147">
        <f>SUM(Z1709:AC1715)</f>
        <v>0</v>
      </c>
      <c r="AA1716" s="148"/>
      <c r="AB1716" s="148"/>
      <c r="AC1716" s="149"/>
      <c r="AD1716" s="147">
        <f>SUM(AD1709:AG1715)</f>
        <v>0</v>
      </c>
      <c r="AE1716" s="148"/>
      <c r="AF1716" s="148"/>
      <c r="AG1716" s="149"/>
      <c r="AH1716" s="147">
        <f>SUM(AH1709:AK1715)</f>
        <v>0</v>
      </c>
      <c r="AI1716" s="148"/>
      <c r="AJ1716" s="148"/>
      <c r="AK1716" s="149"/>
      <c r="AL1716" s="147">
        <f>SUM(AL1709:AO1715)</f>
        <v>0</v>
      </c>
      <c r="AM1716" s="148"/>
      <c r="AN1716" s="148"/>
      <c r="AO1716" s="149"/>
      <c r="AP1716" s="147">
        <f>SUM(AP1709:AS1715)</f>
        <v>0</v>
      </c>
      <c r="AQ1716" s="148"/>
      <c r="AR1716" s="148"/>
      <c r="AS1716" s="149"/>
      <c r="AT1716" s="147">
        <f>SUM(AT1709:AW1715)</f>
        <v>0</v>
      </c>
      <c r="AU1716" s="148"/>
      <c r="AV1716" s="148"/>
      <c r="AW1716" s="149"/>
      <c r="AX1716" s="87">
        <f>SUM(AX1709:AX1715)</f>
        <v>0</v>
      </c>
      <c r="AY1716" s="88">
        <f>IFERROR(AVERAGEIF(E1716:AV1716,"&lt;&gt;0",(E1716:AV1716)),)</f>
        <v>0</v>
      </c>
      <c r="AZ1716" s="46">
        <f>IFERROR(AX1716/BB1710,0)</f>
        <v>0</v>
      </c>
      <c r="BA1716" s="34"/>
      <c r="BB1716" s="34"/>
      <c r="BC1716" s="34"/>
      <c r="BD1716" s="76"/>
      <c r="BE1716" s="34"/>
      <c r="BF1716" s="34"/>
      <c r="BG1716" s="34"/>
      <c r="BH1716" s="34"/>
    </row>
    <row r="1717" spans="1:60" s="17" customFormat="1" ht="19.5" customHeight="1" thickBot="1" x14ac:dyDescent="0.4">
      <c r="A1717" s="42">
        <f>A1708</f>
        <v>45448</v>
      </c>
      <c r="B1717" s="38" t="str">
        <f>B1718</f>
        <v>Etek Reçme</v>
      </c>
      <c r="C1717" s="39" t="s">
        <v>180</v>
      </c>
      <c r="D1717" s="69" t="s">
        <v>181</v>
      </c>
      <c r="E1717" s="48">
        <v>0.34375</v>
      </c>
      <c r="F1717" s="49">
        <v>0.35416666666666669</v>
      </c>
      <c r="G1717" s="49">
        <v>0.36458333333333331</v>
      </c>
      <c r="H1717" s="50">
        <v>0.375</v>
      </c>
      <c r="I1717" s="48">
        <v>0.38541666666666702</v>
      </c>
      <c r="J1717" s="49">
        <v>0.39583333333333298</v>
      </c>
      <c r="K1717" s="49">
        <v>0.40625</v>
      </c>
      <c r="L1717" s="50">
        <v>0.41666666666666702</v>
      </c>
      <c r="M1717" s="48">
        <v>0.4375</v>
      </c>
      <c r="N1717" s="49">
        <v>0.44791666666666702</v>
      </c>
      <c r="O1717" s="49">
        <v>0.45833333333333398</v>
      </c>
      <c r="P1717" s="50">
        <v>0.46875</v>
      </c>
      <c r="Q1717" s="82">
        <v>0.47916666666666702</v>
      </c>
      <c r="R1717" s="83">
        <v>0.48958333333333398</v>
      </c>
      <c r="S1717" s="83">
        <v>0.5</v>
      </c>
      <c r="T1717" s="84">
        <v>0.51041666666666696</v>
      </c>
      <c r="U1717" s="85">
        <v>0.52083333333333204</v>
      </c>
      <c r="V1717" s="48">
        <v>0.5625</v>
      </c>
      <c r="W1717" s="49">
        <v>0.57291666666666663</v>
      </c>
      <c r="X1717" s="49">
        <v>0.58333333333333304</v>
      </c>
      <c r="Y1717" s="50">
        <v>0.59375</v>
      </c>
      <c r="Z1717" s="48">
        <v>0.60416666666666696</v>
      </c>
      <c r="AA1717" s="49">
        <v>0.61458333333333304</v>
      </c>
      <c r="AB1717" s="49">
        <v>0.625</v>
      </c>
      <c r="AC1717" s="50">
        <v>0.63541666666666596</v>
      </c>
      <c r="AD1717" s="48">
        <v>0.65625</v>
      </c>
      <c r="AE1717" s="49">
        <v>0.66666666666666663</v>
      </c>
      <c r="AF1717" s="49">
        <v>0.67708333333333304</v>
      </c>
      <c r="AG1717" s="50">
        <v>0.6875</v>
      </c>
      <c r="AH1717" s="48">
        <v>0.69791666666666696</v>
      </c>
      <c r="AI1717" s="49">
        <v>0.70833333333333304</v>
      </c>
      <c r="AJ1717" s="49">
        <v>0.71875</v>
      </c>
      <c r="AK1717" s="50">
        <v>0.72916666666666696</v>
      </c>
      <c r="AL1717" s="48">
        <v>0.73958333333333404</v>
      </c>
      <c r="AM1717" s="49">
        <v>0.750000000000001</v>
      </c>
      <c r="AN1717" s="49">
        <v>0.76041666666666796</v>
      </c>
      <c r="AO1717" s="50">
        <v>0.77083333333333504</v>
      </c>
      <c r="AP1717" s="48">
        <v>0.781250000000002</v>
      </c>
      <c r="AQ1717" s="49">
        <v>0.79166666666666896</v>
      </c>
      <c r="AR1717" s="49">
        <v>0.80208333333333603</v>
      </c>
      <c r="AS1717" s="50">
        <v>0.812500000000003</v>
      </c>
      <c r="AT1717" s="48">
        <v>0.82291666666666996</v>
      </c>
      <c r="AU1717" s="49">
        <v>0.83333333333333703</v>
      </c>
      <c r="AV1717" s="49">
        <v>0.843750000000004</v>
      </c>
      <c r="AW1717" s="50">
        <v>0.85416666666666663</v>
      </c>
      <c r="AX1717" s="68" t="s">
        <v>260</v>
      </c>
      <c r="AY1717" s="28" t="s">
        <v>261</v>
      </c>
      <c r="AZ1717" s="29" t="s">
        <v>262</v>
      </c>
      <c r="BA1717" s="136" t="str">
        <f>B1718</f>
        <v>Etek Reçme</v>
      </c>
      <c r="BB1717" s="137"/>
      <c r="BC1717" s="137"/>
      <c r="BD1717" s="137"/>
      <c r="BE1717" s="137"/>
      <c r="BF1717" s="137"/>
      <c r="BG1717" s="137"/>
      <c r="BH1717" s="138"/>
    </row>
    <row r="1718" spans="1:60" s="17" customFormat="1" ht="19.5" customHeight="1" thickBot="1" x14ac:dyDescent="0.4">
      <c r="A1718" s="41">
        <f t="shared" ref="A1718" si="1737">A1717</f>
        <v>45448</v>
      </c>
      <c r="B1718" s="37" t="str">
        <f>B1542</f>
        <v>Etek Reçme</v>
      </c>
      <c r="C1718" s="65" t="str">
        <f>C1542</f>
        <v>BEGÜM DURMAZ</v>
      </c>
      <c r="D1718" s="70">
        <f>D1542</f>
        <v>120</v>
      </c>
      <c r="E1718" s="63"/>
      <c r="F1718" s="55"/>
      <c r="G1718" s="55"/>
      <c r="H1718" s="56"/>
      <c r="I1718" s="63"/>
      <c r="J1718" s="55"/>
      <c r="K1718" s="55"/>
      <c r="L1718" s="56"/>
      <c r="M1718" s="63"/>
      <c r="N1718" s="55"/>
      <c r="O1718" s="55"/>
      <c r="P1718" s="56"/>
      <c r="Q1718" s="63"/>
      <c r="R1718" s="55"/>
      <c r="S1718" s="55"/>
      <c r="T1718" s="55"/>
      <c r="U1718" s="56"/>
      <c r="V1718" s="63"/>
      <c r="W1718" s="55"/>
      <c r="X1718" s="55"/>
      <c r="Y1718" s="56"/>
      <c r="Z1718" s="63"/>
      <c r="AA1718" s="55"/>
      <c r="AB1718" s="55"/>
      <c r="AC1718" s="56"/>
      <c r="AD1718" s="63"/>
      <c r="AE1718" s="55"/>
      <c r="AF1718" s="55"/>
      <c r="AG1718" s="56"/>
      <c r="AH1718" s="63"/>
      <c r="AI1718" s="55"/>
      <c r="AJ1718" s="55"/>
      <c r="AK1718" s="56"/>
      <c r="AL1718" s="53"/>
      <c r="AM1718" s="54"/>
      <c r="AN1718" s="55"/>
      <c r="AO1718" s="56"/>
      <c r="AP1718" s="53"/>
      <c r="AQ1718" s="54"/>
      <c r="AR1718" s="55"/>
      <c r="AS1718" s="56"/>
      <c r="AT1718" s="53"/>
      <c r="AU1718" s="54"/>
      <c r="AV1718" s="55"/>
      <c r="AW1718" s="56"/>
      <c r="AX1718" s="33">
        <f>SUM(E1718:AW1718)</f>
        <v>0</v>
      </c>
      <c r="AY1718" s="31">
        <f>IFERROR(AVERAGEIF(E1718:AW1718,"&lt;&gt;0",(E1718:AW1718)),)</f>
        <v>0</v>
      </c>
      <c r="AZ1718" s="30">
        <f>IFERROR(AY1718/D1718,0)</f>
        <v>0</v>
      </c>
      <c r="BA1718" s="103" t="s">
        <v>182</v>
      </c>
      <c r="BB1718" s="100" t="s">
        <v>183</v>
      </c>
      <c r="BC1718" s="100" t="s">
        <v>184</v>
      </c>
      <c r="BD1718" s="101" t="s">
        <v>185</v>
      </c>
      <c r="BE1718" s="100" t="s">
        <v>186</v>
      </c>
      <c r="BF1718" s="102" t="s">
        <v>187</v>
      </c>
      <c r="BG1718" s="100" t="s">
        <v>188</v>
      </c>
      <c r="BH1718" s="102" t="s">
        <v>189</v>
      </c>
    </row>
    <row r="1719" spans="1:60" s="17" customFormat="1" ht="19.5" customHeight="1" thickBot="1" x14ac:dyDescent="0.4">
      <c r="A1719" s="41">
        <f t="shared" ref="A1719:B1719" si="1738">A1718</f>
        <v>45448</v>
      </c>
      <c r="B1719" s="37" t="str">
        <f t="shared" si="1738"/>
        <v>Etek Reçme</v>
      </c>
      <c r="C1719" s="65">
        <f t="shared" ref="C1719:C1724" si="1739">C1543</f>
        <v>0</v>
      </c>
      <c r="D1719" s="67">
        <f t="shared" ref="D1719:D1724" si="1740">D1718</f>
        <v>120</v>
      </c>
      <c r="E1719" s="57"/>
      <c r="F1719" s="52"/>
      <c r="G1719" s="52"/>
      <c r="H1719" s="58"/>
      <c r="I1719" s="57"/>
      <c r="J1719" s="52"/>
      <c r="K1719" s="52"/>
      <c r="L1719" s="58"/>
      <c r="M1719" s="57"/>
      <c r="N1719" s="52"/>
      <c r="O1719" s="52"/>
      <c r="P1719" s="58"/>
      <c r="Q1719" s="57"/>
      <c r="R1719" s="52"/>
      <c r="S1719" s="52"/>
      <c r="T1719" s="52"/>
      <c r="U1719" s="58"/>
      <c r="V1719" s="57"/>
      <c r="W1719" s="52"/>
      <c r="X1719" s="52"/>
      <c r="Y1719" s="58"/>
      <c r="Z1719" s="57"/>
      <c r="AA1719" s="52"/>
      <c r="AB1719" s="52"/>
      <c r="AC1719" s="58"/>
      <c r="AD1719" s="57"/>
      <c r="AE1719" s="52"/>
      <c r="AF1719" s="52"/>
      <c r="AG1719" s="58"/>
      <c r="AH1719" s="57"/>
      <c r="AI1719" s="52"/>
      <c r="AJ1719" s="52"/>
      <c r="AK1719" s="58"/>
      <c r="AL1719" s="57"/>
      <c r="AM1719" s="52"/>
      <c r="AN1719" s="52"/>
      <c r="AO1719" s="58"/>
      <c r="AP1719" s="57"/>
      <c r="AQ1719" s="52"/>
      <c r="AR1719" s="52"/>
      <c r="AS1719" s="58"/>
      <c r="AT1719" s="57"/>
      <c r="AU1719" s="52"/>
      <c r="AV1719" s="52"/>
      <c r="AW1719" s="58"/>
      <c r="AX1719" s="33">
        <f t="shared" ref="AX1719:AX1724" si="1741">SUM(E1719:AW1719)</f>
        <v>0</v>
      </c>
      <c r="AY1719" s="31">
        <f t="shared" ref="AY1719:AY1724" si="1742">IFERROR(AVERAGEIF(E1719:AW1719,"&lt;&gt;0",(E1719:AW1719)),)</f>
        <v>0</v>
      </c>
      <c r="AZ1719" s="30">
        <f t="shared" ref="AZ1719:AZ1724" si="1743">IFERROR(AY1719/D1719,0)</f>
        <v>0</v>
      </c>
      <c r="BA1719" s="94">
        <f>AX1725+BA1543</f>
        <v>15508</v>
      </c>
      <c r="BB1719" s="95">
        <f>(D1725*8)</f>
        <v>4000</v>
      </c>
      <c r="BC1719" s="96">
        <f>C1589-BA1719</f>
        <v>26803</v>
      </c>
      <c r="BD1719" s="96">
        <f>BA1710-BA1719</f>
        <v>320</v>
      </c>
      <c r="BE1719" s="97">
        <f>IFERROR(BC1719/E1725,0)</f>
        <v>0</v>
      </c>
      <c r="BF1719" s="98">
        <f>IFERROR(BE1719/9,0)</f>
        <v>0</v>
      </c>
      <c r="BG1719" s="97">
        <f>IFERROR(BC1719/AY1725,0)</f>
        <v>0</v>
      </c>
      <c r="BH1719" s="97">
        <f>IFERROR(BG1719/9,0)</f>
        <v>0</v>
      </c>
    </row>
    <row r="1720" spans="1:60" s="17" customFormat="1" ht="19.5" customHeight="1" x14ac:dyDescent="0.35">
      <c r="A1720" s="41">
        <f t="shared" ref="A1720:B1720" si="1744">A1719</f>
        <v>45448</v>
      </c>
      <c r="B1720" s="37" t="str">
        <f t="shared" si="1744"/>
        <v>Etek Reçme</v>
      </c>
      <c r="C1720" s="65">
        <f t="shared" si="1739"/>
        <v>0</v>
      </c>
      <c r="D1720" s="67">
        <f t="shared" si="1740"/>
        <v>120</v>
      </c>
      <c r="E1720" s="57"/>
      <c r="F1720" s="52"/>
      <c r="G1720" s="52"/>
      <c r="H1720" s="58"/>
      <c r="I1720" s="57"/>
      <c r="J1720" s="52"/>
      <c r="K1720" s="52"/>
      <c r="L1720" s="58"/>
      <c r="M1720" s="57"/>
      <c r="N1720" s="52"/>
      <c r="O1720" s="52"/>
      <c r="P1720" s="58"/>
      <c r="Q1720" s="57"/>
      <c r="R1720" s="52"/>
      <c r="S1720" s="52"/>
      <c r="T1720" s="52"/>
      <c r="U1720" s="58"/>
      <c r="V1720" s="57"/>
      <c r="W1720" s="52"/>
      <c r="X1720" s="52"/>
      <c r="Y1720" s="58"/>
      <c r="Z1720" s="57"/>
      <c r="AA1720" s="52"/>
      <c r="AB1720" s="52"/>
      <c r="AC1720" s="58"/>
      <c r="AD1720" s="57"/>
      <c r="AE1720" s="52"/>
      <c r="AF1720" s="52"/>
      <c r="AG1720" s="58"/>
      <c r="AH1720" s="57"/>
      <c r="AI1720" s="52"/>
      <c r="AJ1720" s="52"/>
      <c r="AK1720" s="58"/>
      <c r="AL1720" s="57"/>
      <c r="AM1720" s="52"/>
      <c r="AN1720" s="52"/>
      <c r="AO1720" s="58"/>
      <c r="AP1720" s="57"/>
      <c r="AQ1720" s="52"/>
      <c r="AR1720" s="52"/>
      <c r="AS1720" s="58"/>
      <c r="AT1720" s="57"/>
      <c r="AU1720" s="52"/>
      <c r="AV1720" s="52"/>
      <c r="AW1720" s="58"/>
      <c r="AX1720" s="33">
        <f t="shared" si="1741"/>
        <v>0</v>
      </c>
      <c r="AY1720" s="31">
        <f t="shared" si="1742"/>
        <v>0</v>
      </c>
      <c r="AZ1720" s="30">
        <f t="shared" si="1743"/>
        <v>0</v>
      </c>
      <c r="BA1720" s="34"/>
      <c r="BB1720" s="34"/>
      <c r="BC1720" s="34"/>
      <c r="BD1720" s="76"/>
      <c r="BE1720" s="34"/>
      <c r="BF1720" s="34"/>
      <c r="BG1720" s="34"/>
      <c r="BH1720" s="34"/>
    </row>
    <row r="1721" spans="1:60" s="17" customFormat="1" ht="19.5" customHeight="1" x14ac:dyDescent="0.35">
      <c r="A1721" s="41">
        <f t="shared" ref="A1721:B1722" si="1745">A1720</f>
        <v>45448</v>
      </c>
      <c r="B1721" s="37" t="str">
        <f t="shared" si="1745"/>
        <v>Etek Reçme</v>
      </c>
      <c r="C1721" s="65">
        <f t="shared" si="1739"/>
        <v>0</v>
      </c>
      <c r="D1721" s="67">
        <f t="shared" si="1740"/>
        <v>120</v>
      </c>
      <c r="E1721" s="57"/>
      <c r="F1721" s="52"/>
      <c r="G1721" s="52"/>
      <c r="H1721" s="58"/>
      <c r="I1721" s="57"/>
      <c r="J1721" s="52"/>
      <c r="K1721" s="52"/>
      <c r="L1721" s="58"/>
      <c r="M1721" s="57"/>
      <c r="N1721" s="52"/>
      <c r="O1721" s="52"/>
      <c r="P1721" s="58"/>
      <c r="Q1721" s="57"/>
      <c r="R1721" s="52"/>
      <c r="S1721" s="52"/>
      <c r="T1721" s="52"/>
      <c r="U1721" s="58"/>
      <c r="V1721" s="57"/>
      <c r="W1721" s="52"/>
      <c r="X1721" s="52"/>
      <c r="Y1721" s="58"/>
      <c r="Z1721" s="57"/>
      <c r="AA1721" s="52"/>
      <c r="AB1721" s="52"/>
      <c r="AC1721" s="58"/>
      <c r="AD1721" s="57"/>
      <c r="AE1721" s="52"/>
      <c r="AF1721" s="52"/>
      <c r="AG1721" s="58"/>
      <c r="AH1721" s="57"/>
      <c r="AI1721" s="52"/>
      <c r="AJ1721" s="52"/>
      <c r="AK1721" s="58"/>
      <c r="AL1721" s="57"/>
      <c r="AM1721" s="52"/>
      <c r="AN1721" s="52"/>
      <c r="AO1721" s="58"/>
      <c r="AP1721" s="57"/>
      <c r="AQ1721" s="52"/>
      <c r="AR1721" s="52"/>
      <c r="AS1721" s="58"/>
      <c r="AT1721" s="57"/>
      <c r="AU1721" s="52"/>
      <c r="AV1721" s="52"/>
      <c r="AW1721" s="58"/>
      <c r="AX1721" s="33">
        <f t="shared" si="1741"/>
        <v>0</v>
      </c>
      <c r="AY1721" s="31">
        <f t="shared" si="1742"/>
        <v>0</v>
      </c>
      <c r="AZ1721" s="30">
        <f t="shared" si="1743"/>
        <v>0</v>
      </c>
      <c r="BA1721" s="34"/>
      <c r="BB1721" s="34"/>
      <c r="BC1721" s="34"/>
      <c r="BD1721" s="76"/>
      <c r="BE1721" s="34"/>
      <c r="BF1721" s="34"/>
      <c r="BG1721" s="34"/>
      <c r="BH1721" s="34"/>
    </row>
    <row r="1722" spans="1:60" s="17" customFormat="1" ht="19.5" customHeight="1" x14ac:dyDescent="0.35">
      <c r="A1722" s="41">
        <f>A1719</f>
        <v>45448</v>
      </c>
      <c r="B1722" s="37" t="str">
        <f t="shared" si="1745"/>
        <v>Etek Reçme</v>
      </c>
      <c r="C1722" s="65">
        <f t="shared" si="1739"/>
        <v>0</v>
      </c>
      <c r="D1722" s="67">
        <f t="shared" si="1740"/>
        <v>120</v>
      </c>
      <c r="E1722" s="57"/>
      <c r="F1722" s="52"/>
      <c r="G1722" s="52"/>
      <c r="H1722" s="58"/>
      <c r="I1722" s="57"/>
      <c r="J1722" s="52"/>
      <c r="K1722" s="52"/>
      <c r="L1722" s="58"/>
      <c r="M1722" s="57"/>
      <c r="N1722" s="52"/>
      <c r="O1722" s="52"/>
      <c r="P1722" s="58"/>
      <c r="Q1722" s="57"/>
      <c r="R1722" s="52"/>
      <c r="S1722" s="52"/>
      <c r="T1722" s="52"/>
      <c r="U1722" s="58"/>
      <c r="V1722" s="57"/>
      <c r="W1722" s="52"/>
      <c r="X1722" s="52"/>
      <c r="Y1722" s="58"/>
      <c r="Z1722" s="57"/>
      <c r="AA1722" s="52"/>
      <c r="AB1722" s="52"/>
      <c r="AC1722" s="58"/>
      <c r="AD1722" s="57"/>
      <c r="AE1722" s="52"/>
      <c r="AF1722" s="52"/>
      <c r="AG1722" s="58"/>
      <c r="AH1722" s="57"/>
      <c r="AI1722" s="52"/>
      <c r="AJ1722" s="52"/>
      <c r="AK1722" s="58"/>
      <c r="AL1722" s="57"/>
      <c r="AM1722" s="52"/>
      <c r="AN1722" s="52"/>
      <c r="AO1722" s="58"/>
      <c r="AP1722" s="57"/>
      <c r="AQ1722" s="52"/>
      <c r="AR1722" s="52"/>
      <c r="AS1722" s="58"/>
      <c r="AT1722" s="57"/>
      <c r="AU1722" s="52"/>
      <c r="AV1722" s="52"/>
      <c r="AW1722" s="58"/>
      <c r="AX1722" s="33">
        <f t="shared" si="1741"/>
        <v>0</v>
      </c>
      <c r="AY1722" s="31">
        <f t="shared" si="1742"/>
        <v>0</v>
      </c>
      <c r="AZ1722" s="30">
        <f t="shared" si="1743"/>
        <v>0</v>
      </c>
      <c r="BA1722" s="34"/>
      <c r="BB1722" s="34"/>
      <c r="BC1722" s="34"/>
      <c r="BD1722" s="76"/>
      <c r="BE1722" s="34"/>
      <c r="BF1722" s="34"/>
      <c r="BG1722" s="34"/>
      <c r="BH1722" s="34"/>
    </row>
    <row r="1723" spans="1:60" s="17" customFormat="1" ht="19.5" customHeight="1" x14ac:dyDescent="0.35">
      <c r="A1723" s="41">
        <f t="shared" ref="A1723:B1723" si="1746">A1722</f>
        <v>45448</v>
      </c>
      <c r="B1723" s="37" t="str">
        <f t="shared" si="1746"/>
        <v>Etek Reçme</v>
      </c>
      <c r="C1723" s="65">
        <f t="shared" si="1739"/>
        <v>0</v>
      </c>
      <c r="D1723" s="67">
        <f t="shared" si="1740"/>
        <v>120</v>
      </c>
      <c r="E1723" s="57"/>
      <c r="F1723" s="52"/>
      <c r="G1723" s="52"/>
      <c r="H1723" s="58"/>
      <c r="I1723" s="57"/>
      <c r="J1723" s="52"/>
      <c r="K1723" s="52"/>
      <c r="L1723" s="58"/>
      <c r="M1723" s="57"/>
      <c r="N1723" s="52"/>
      <c r="O1723" s="52"/>
      <c r="P1723" s="78"/>
      <c r="Q1723" s="57"/>
      <c r="R1723" s="52"/>
      <c r="S1723" s="52"/>
      <c r="T1723" s="52"/>
      <c r="U1723" s="58"/>
      <c r="V1723" s="80"/>
      <c r="W1723" s="52"/>
      <c r="X1723" s="52"/>
      <c r="Y1723" s="58"/>
      <c r="Z1723" s="57"/>
      <c r="AA1723" s="52"/>
      <c r="AB1723" s="52"/>
      <c r="AC1723" s="58"/>
      <c r="AD1723" s="57"/>
      <c r="AE1723" s="52"/>
      <c r="AF1723" s="52"/>
      <c r="AG1723" s="58"/>
      <c r="AH1723" s="57"/>
      <c r="AI1723" s="52"/>
      <c r="AJ1723" s="52"/>
      <c r="AK1723" s="58"/>
      <c r="AL1723" s="57"/>
      <c r="AM1723" s="52"/>
      <c r="AN1723" s="52"/>
      <c r="AO1723" s="58"/>
      <c r="AP1723" s="57"/>
      <c r="AQ1723" s="52"/>
      <c r="AR1723" s="52"/>
      <c r="AS1723" s="58"/>
      <c r="AT1723" s="57"/>
      <c r="AU1723" s="52"/>
      <c r="AV1723" s="52"/>
      <c r="AW1723" s="58"/>
      <c r="AX1723" s="33">
        <f t="shared" si="1741"/>
        <v>0</v>
      </c>
      <c r="AY1723" s="31">
        <f t="shared" si="1742"/>
        <v>0</v>
      </c>
      <c r="AZ1723" s="30">
        <f t="shared" si="1743"/>
        <v>0</v>
      </c>
      <c r="BA1723" s="34"/>
      <c r="BB1723" s="34"/>
      <c r="BC1723" s="34"/>
      <c r="BD1723" s="76"/>
      <c r="BE1723" s="34"/>
      <c r="BF1723" s="34"/>
      <c r="BG1723" s="34"/>
      <c r="BH1723" s="34"/>
    </row>
    <row r="1724" spans="1:60" s="17" customFormat="1" ht="19.5" customHeight="1" thickBot="1" x14ac:dyDescent="0.4">
      <c r="A1724" s="41">
        <f t="shared" ref="A1724:B1725" si="1747">A1723</f>
        <v>45448</v>
      </c>
      <c r="B1724" s="37" t="str">
        <f t="shared" si="1747"/>
        <v>Etek Reçme</v>
      </c>
      <c r="C1724" s="65">
        <f t="shared" si="1739"/>
        <v>0</v>
      </c>
      <c r="D1724" s="67">
        <f t="shared" si="1740"/>
        <v>120</v>
      </c>
      <c r="E1724" s="59"/>
      <c r="F1724" s="60"/>
      <c r="G1724" s="61"/>
      <c r="H1724" s="62"/>
      <c r="I1724" s="59"/>
      <c r="J1724" s="60"/>
      <c r="K1724" s="61"/>
      <c r="L1724" s="62"/>
      <c r="M1724" s="59"/>
      <c r="N1724" s="60"/>
      <c r="O1724" s="61"/>
      <c r="P1724" s="79"/>
      <c r="Q1724" s="64"/>
      <c r="R1724" s="61"/>
      <c r="S1724" s="61"/>
      <c r="T1724" s="61"/>
      <c r="U1724" s="62"/>
      <c r="V1724" s="81"/>
      <c r="W1724" s="60"/>
      <c r="X1724" s="61"/>
      <c r="Y1724" s="62"/>
      <c r="Z1724" s="59"/>
      <c r="AA1724" s="60"/>
      <c r="AB1724" s="61"/>
      <c r="AC1724" s="62"/>
      <c r="AD1724" s="59"/>
      <c r="AE1724" s="60"/>
      <c r="AF1724" s="61"/>
      <c r="AG1724" s="62"/>
      <c r="AH1724" s="59"/>
      <c r="AI1724" s="60"/>
      <c r="AJ1724" s="61"/>
      <c r="AK1724" s="62"/>
      <c r="AL1724" s="59"/>
      <c r="AM1724" s="60"/>
      <c r="AN1724" s="61"/>
      <c r="AO1724" s="62"/>
      <c r="AP1724" s="59"/>
      <c r="AQ1724" s="60"/>
      <c r="AR1724" s="61"/>
      <c r="AS1724" s="62"/>
      <c r="AT1724" s="59"/>
      <c r="AU1724" s="60"/>
      <c r="AV1724" s="61"/>
      <c r="AW1724" s="62"/>
      <c r="AX1724" s="33">
        <f t="shared" si="1741"/>
        <v>0</v>
      </c>
      <c r="AY1724" s="31">
        <f t="shared" si="1742"/>
        <v>0</v>
      </c>
      <c r="AZ1724" s="30">
        <f t="shared" si="1743"/>
        <v>0</v>
      </c>
      <c r="BA1724" s="34"/>
      <c r="BB1724" s="34"/>
      <c r="BC1724" s="34"/>
      <c r="BD1724" s="76"/>
      <c r="BE1724" s="34"/>
      <c r="BF1724" s="34"/>
      <c r="BG1724" s="34"/>
      <c r="BH1724" s="34"/>
    </row>
    <row r="1725" spans="1:60" s="17" customFormat="1" ht="19.5" customHeight="1" thickBot="1" x14ac:dyDescent="0.45">
      <c r="A1725" s="41">
        <f t="shared" si="1747"/>
        <v>45448</v>
      </c>
      <c r="B1725" s="139" t="str">
        <f>B1718</f>
        <v>Etek Reçme</v>
      </c>
      <c r="C1725" s="140"/>
      <c r="D1725" s="40">
        <f>C1590/8</f>
        <v>500</v>
      </c>
      <c r="E1725" s="147">
        <f>SUM(E1718:H1724)</f>
        <v>0</v>
      </c>
      <c r="F1725" s="148"/>
      <c r="G1725" s="148"/>
      <c r="H1725" s="149"/>
      <c r="I1725" s="147">
        <f>SUM(I1718:L1724)</f>
        <v>0</v>
      </c>
      <c r="J1725" s="148"/>
      <c r="K1725" s="148"/>
      <c r="L1725" s="149"/>
      <c r="M1725" s="147">
        <f>SUM(M1718:P1724)</f>
        <v>0</v>
      </c>
      <c r="N1725" s="148"/>
      <c r="O1725" s="148"/>
      <c r="P1725" s="149"/>
      <c r="Q1725" s="151">
        <f>SUM(Q1718:U1724)</f>
        <v>0</v>
      </c>
      <c r="R1725" s="152"/>
      <c r="S1725" s="152"/>
      <c r="T1725" s="152"/>
      <c r="U1725" s="153"/>
      <c r="V1725" s="147">
        <f>SUM(V1718:Y1724)</f>
        <v>0</v>
      </c>
      <c r="W1725" s="148"/>
      <c r="X1725" s="148"/>
      <c r="Y1725" s="149"/>
      <c r="Z1725" s="147">
        <f>SUM(Z1718:AC1724)</f>
        <v>0</v>
      </c>
      <c r="AA1725" s="148"/>
      <c r="AB1725" s="148"/>
      <c r="AC1725" s="149"/>
      <c r="AD1725" s="147">
        <f>SUM(AD1718:AG1724)</f>
        <v>0</v>
      </c>
      <c r="AE1725" s="148"/>
      <c r="AF1725" s="148"/>
      <c r="AG1725" s="149"/>
      <c r="AH1725" s="147">
        <f>SUM(AH1718:AK1724)</f>
        <v>0</v>
      </c>
      <c r="AI1725" s="148"/>
      <c r="AJ1725" s="148"/>
      <c r="AK1725" s="149"/>
      <c r="AL1725" s="147">
        <f>SUM(AL1718:AO1724)</f>
        <v>0</v>
      </c>
      <c r="AM1725" s="148"/>
      <c r="AN1725" s="148"/>
      <c r="AO1725" s="149"/>
      <c r="AP1725" s="147">
        <f>SUM(AP1718:AS1724)</f>
        <v>0</v>
      </c>
      <c r="AQ1725" s="148"/>
      <c r="AR1725" s="148"/>
      <c r="AS1725" s="149"/>
      <c r="AT1725" s="147">
        <f>SUM(AT1718:AW1724)</f>
        <v>0</v>
      </c>
      <c r="AU1725" s="148"/>
      <c r="AV1725" s="148"/>
      <c r="AW1725" s="149"/>
      <c r="AX1725" s="87">
        <f>SUM(AX1718:AX1724)</f>
        <v>0</v>
      </c>
      <c r="AY1725" s="88">
        <f>IFERROR(AVERAGEIF(E1725:AV1725,"&lt;&gt;0",(E1725:AV1725)),)</f>
        <v>0</v>
      </c>
      <c r="AZ1725" s="46">
        <f>IFERROR(AX1725/BB1719,0)</f>
        <v>0</v>
      </c>
      <c r="BA1725" s="34"/>
      <c r="BB1725" s="34"/>
      <c r="BC1725" s="34"/>
      <c r="BD1725" s="76"/>
      <c r="BE1725" s="34"/>
      <c r="BF1725" s="34"/>
      <c r="BG1725" s="34"/>
      <c r="BH1725" s="34"/>
    </row>
    <row r="1726" spans="1:60" s="17" customFormat="1" ht="19.5" customHeight="1" thickBot="1" x14ac:dyDescent="0.4">
      <c r="A1726" s="42">
        <f>A1690</f>
        <v>45448</v>
      </c>
      <c r="B1726" s="38" t="str">
        <f>B1727</f>
        <v>Çevirme</v>
      </c>
      <c r="C1726" s="39" t="s">
        <v>180</v>
      </c>
      <c r="D1726" s="69" t="s">
        <v>181</v>
      </c>
      <c r="E1726" s="48">
        <v>0.34375</v>
      </c>
      <c r="F1726" s="49">
        <v>0.35416666666666669</v>
      </c>
      <c r="G1726" s="49">
        <v>0.36458333333333331</v>
      </c>
      <c r="H1726" s="50">
        <v>0.375</v>
      </c>
      <c r="I1726" s="48">
        <v>0.38541666666666702</v>
      </c>
      <c r="J1726" s="49">
        <v>0.39583333333333298</v>
      </c>
      <c r="K1726" s="49">
        <v>0.40625</v>
      </c>
      <c r="L1726" s="50">
        <v>0.41666666666666702</v>
      </c>
      <c r="M1726" s="48">
        <v>0.4375</v>
      </c>
      <c r="N1726" s="49">
        <v>0.44791666666666702</v>
      </c>
      <c r="O1726" s="49">
        <v>0.45833333333333398</v>
      </c>
      <c r="P1726" s="50">
        <v>0.46875</v>
      </c>
      <c r="Q1726" s="48">
        <v>0.47916666666666702</v>
      </c>
      <c r="R1726" s="49">
        <v>0.48958333333333398</v>
      </c>
      <c r="S1726" s="49">
        <v>0.5</v>
      </c>
      <c r="T1726" s="50">
        <v>0.51041666666666696</v>
      </c>
      <c r="U1726" s="51">
        <v>0.52083333333333204</v>
      </c>
      <c r="V1726" s="48">
        <v>0.5625</v>
      </c>
      <c r="W1726" s="49">
        <v>0.57291666666666663</v>
      </c>
      <c r="X1726" s="49">
        <v>0.58333333333333304</v>
      </c>
      <c r="Y1726" s="50">
        <v>0.59375</v>
      </c>
      <c r="Z1726" s="48">
        <v>0.60416666666666696</v>
      </c>
      <c r="AA1726" s="49">
        <v>0.61458333333333304</v>
      </c>
      <c r="AB1726" s="49">
        <v>0.625</v>
      </c>
      <c r="AC1726" s="50">
        <v>0.63541666666666596</v>
      </c>
      <c r="AD1726" s="48">
        <v>0.65625</v>
      </c>
      <c r="AE1726" s="49">
        <v>0.66666666666666663</v>
      </c>
      <c r="AF1726" s="49">
        <v>0.67708333333333304</v>
      </c>
      <c r="AG1726" s="50">
        <v>0.6875</v>
      </c>
      <c r="AH1726" s="48">
        <v>0.69791666666666696</v>
      </c>
      <c r="AI1726" s="49">
        <v>0.70833333333333304</v>
      </c>
      <c r="AJ1726" s="49">
        <v>0.71875</v>
      </c>
      <c r="AK1726" s="50">
        <v>0.72916666666666696</v>
      </c>
      <c r="AL1726" s="48">
        <v>0.73958333333333404</v>
      </c>
      <c r="AM1726" s="49">
        <v>0.750000000000001</v>
      </c>
      <c r="AN1726" s="49">
        <v>0.76041666666666796</v>
      </c>
      <c r="AO1726" s="50">
        <v>0.77083333333333504</v>
      </c>
      <c r="AP1726" s="48">
        <v>0.781250000000002</v>
      </c>
      <c r="AQ1726" s="49">
        <v>0.79166666666666896</v>
      </c>
      <c r="AR1726" s="49">
        <v>0.80208333333333603</v>
      </c>
      <c r="AS1726" s="50">
        <v>0.812500000000003</v>
      </c>
      <c r="AT1726" s="48">
        <v>0.82291666666666996</v>
      </c>
      <c r="AU1726" s="49">
        <v>0.83333333333333703</v>
      </c>
      <c r="AV1726" s="49">
        <v>0.843750000000004</v>
      </c>
      <c r="AW1726" s="50">
        <v>0.85416666666666663</v>
      </c>
      <c r="AX1726" s="68" t="s">
        <v>260</v>
      </c>
      <c r="AY1726" s="28" t="s">
        <v>261</v>
      </c>
      <c r="AZ1726" s="29" t="s">
        <v>262</v>
      </c>
      <c r="BA1726" s="136" t="str">
        <f>B1727</f>
        <v>Çevirme</v>
      </c>
      <c r="BB1726" s="137"/>
      <c r="BC1726" s="137"/>
      <c r="BD1726" s="137"/>
      <c r="BE1726" s="137"/>
      <c r="BF1726" s="137"/>
      <c r="BG1726" s="137"/>
      <c r="BH1726" s="138"/>
    </row>
    <row r="1727" spans="1:60" s="17" customFormat="1" ht="19.5" customHeight="1" thickBot="1" x14ac:dyDescent="0.4">
      <c r="A1727" s="41">
        <f t="shared" ref="A1727" si="1748">A1726</f>
        <v>45448</v>
      </c>
      <c r="B1727" s="37" t="str">
        <f>B1551</f>
        <v>Çevirme</v>
      </c>
      <c r="C1727" s="65" t="str">
        <f>C1551</f>
        <v>SEZER BOZKURT</v>
      </c>
      <c r="D1727" s="70">
        <f>D1515</f>
        <v>40</v>
      </c>
      <c r="E1727" s="63"/>
      <c r="F1727" s="55"/>
      <c r="G1727" s="55"/>
      <c r="H1727" s="56"/>
      <c r="I1727" s="63"/>
      <c r="J1727" s="55"/>
      <c r="K1727" s="55"/>
      <c r="L1727" s="56"/>
      <c r="M1727" s="63"/>
      <c r="N1727" s="55"/>
      <c r="O1727" s="55"/>
      <c r="P1727" s="56"/>
      <c r="Q1727" s="63"/>
      <c r="R1727" s="55"/>
      <c r="S1727" s="55"/>
      <c r="T1727" s="55"/>
      <c r="U1727" s="56"/>
      <c r="V1727" s="63"/>
      <c r="W1727" s="55"/>
      <c r="X1727" s="55"/>
      <c r="Y1727" s="56"/>
      <c r="Z1727" s="63"/>
      <c r="AA1727" s="55"/>
      <c r="AB1727" s="55"/>
      <c r="AC1727" s="56"/>
      <c r="AD1727" s="63"/>
      <c r="AE1727" s="55"/>
      <c r="AF1727" s="55"/>
      <c r="AG1727" s="56"/>
      <c r="AH1727" s="63"/>
      <c r="AI1727" s="55"/>
      <c r="AJ1727" s="55"/>
      <c r="AK1727" s="56"/>
      <c r="AL1727" s="63"/>
      <c r="AM1727" s="55"/>
      <c r="AN1727" s="55"/>
      <c r="AO1727" s="56"/>
      <c r="AP1727" s="63"/>
      <c r="AQ1727" s="55"/>
      <c r="AR1727" s="55"/>
      <c r="AS1727" s="56"/>
      <c r="AT1727" s="53"/>
      <c r="AU1727" s="54"/>
      <c r="AV1727" s="55"/>
      <c r="AW1727" s="56"/>
      <c r="AX1727" s="33">
        <f>SUM(E1727:AW1727)</f>
        <v>0</v>
      </c>
      <c r="AY1727" s="31">
        <f>IFERROR(AVERAGEIF(E1727:AW1727,"&lt;&gt;0",(E1727:AW1727)),)</f>
        <v>0</v>
      </c>
      <c r="AZ1727" s="30">
        <f>IFERROR(AY1727/D1727,0)</f>
        <v>0</v>
      </c>
      <c r="BA1727" s="103" t="s">
        <v>182</v>
      </c>
      <c r="BB1727" s="100" t="s">
        <v>183</v>
      </c>
      <c r="BC1727" s="100" t="s">
        <v>184</v>
      </c>
      <c r="BD1727" s="101" t="s">
        <v>185</v>
      </c>
      <c r="BE1727" s="100" t="s">
        <v>186</v>
      </c>
      <c r="BF1727" s="102" t="s">
        <v>187</v>
      </c>
      <c r="BG1727" s="100" t="s">
        <v>188</v>
      </c>
      <c r="BH1727" s="102" t="s">
        <v>189</v>
      </c>
    </row>
    <row r="1728" spans="1:60" s="17" customFormat="1" ht="19.5" customHeight="1" thickBot="1" x14ac:dyDescent="0.4">
      <c r="A1728" s="41">
        <f t="shared" ref="A1728:B1728" si="1749">A1727</f>
        <v>45448</v>
      </c>
      <c r="B1728" s="37" t="str">
        <f t="shared" si="1749"/>
        <v>Çevirme</v>
      </c>
      <c r="C1728" s="65" t="str">
        <f t="shared" ref="C1728:C1733" si="1750">C1552</f>
        <v>SEMRA ARAZ</v>
      </c>
      <c r="D1728" s="67">
        <f t="shared" ref="D1728:D1733" si="1751">D1727</f>
        <v>40</v>
      </c>
      <c r="E1728" s="57"/>
      <c r="F1728" s="52"/>
      <c r="G1728" s="52"/>
      <c r="H1728" s="58"/>
      <c r="I1728" s="57"/>
      <c r="J1728" s="52"/>
      <c r="K1728" s="52"/>
      <c r="L1728" s="58"/>
      <c r="M1728" s="57"/>
      <c r="N1728" s="52"/>
      <c r="O1728" s="52"/>
      <c r="P1728" s="58"/>
      <c r="Q1728" s="57"/>
      <c r="R1728" s="52"/>
      <c r="S1728" s="52"/>
      <c r="T1728" s="52"/>
      <c r="U1728" s="58"/>
      <c r="V1728" s="57"/>
      <c r="W1728" s="52"/>
      <c r="X1728" s="52"/>
      <c r="Y1728" s="58"/>
      <c r="Z1728" s="57"/>
      <c r="AA1728" s="52"/>
      <c r="AB1728" s="52"/>
      <c r="AC1728" s="58"/>
      <c r="AD1728" s="57"/>
      <c r="AE1728" s="52"/>
      <c r="AF1728" s="52"/>
      <c r="AG1728" s="58"/>
      <c r="AH1728" s="57"/>
      <c r="AI1728" s="52"/>
      <c r="AJ1728" s="52"/>
      <c r="AK1728" s="58"/>
      <c r="AL1728" s="57"/>
      <c r="AM1728" s="52"/>
      <c r="AN1728" s="52"/>
      <c r="AO1728" s="58"/>
      <c r="AP1728" s="57"/>
      <c r="AQ1728" s="52"/>
      <c r="AR1728" s="52"/>
      <c r="AS1728" s="58"/>
      <c r="AT1728" s="57"/>
      <c r="AU1728" s="52"/>
      <c r="AV1728" s="52"/>
      <c r="AW1728" s="58"/>
      <c r="AX1728" s="33">
        <f t="shared" ref="AX1728:AX1733" si="1752">SUM(E1728:AW1728)</f>
        <v>0</v>
      </c>
      <c r="AY1728" s="31">
        <f t="shared" ref="AY1728:AY1733" si="1753">IFERROR(AVERAGEIF(E1728:AW1728,"&lt;&gt;0",(E1728:AW1728)),)</f>
        <v>0</v>
      </c>
      <c r="AZ1728" s="30">
        <f t="shared" ref="AZ1728:AZ1733" si="1754">IFERROR(AY1728/D1728,0)</f>
        <v>0</v>
      </c>
      <c r="BA1728" s="94">
        <f>AX1734+BA1552</f>
        <v>12121</v>
      </c>
      <c r="BB1728" s="95">
        <f>(D1734*8)</f>
        <v>4000</v>
      </c>
      <c r="BC1728" s="96">
        <f>C1589-BA1728</f>
        <v>30190</v>
      </c>
      <c r="BD1728" s="96">
        <f>BA1710-BA1728</f>
        <v>3707</v>
      </c>
      <c r="BE1728" s="97">
        <f>IFERROR(BC1728/E1734,0)</f>
        <v>0</v>
      </c>
      <c r="BF1728" s="98">
        <f>IFERROR(BE1728/9,0)</f>
        <v>0</v>
      </c>
      <c r="BG1728" s="97">
        <f>IFERROR(BC1728/AY1734,0)</f>
        <v>0</v>
      </c>
      <c r="BH1728" s="97">
        <f>IFERROR(BG1728/9,0)</f>
        <v>0</v>
      </c>
    </row>
    <row r="1729" spans="1:60" s="17" customFormat="1" ht="19.5" customHeight="1" x14ac:dyDescent="0.35">
      <c r="A1729" s="41">
        <f t="shared" ref="A1729:B1729" si="1755">A1728</f>
        <v>45448</v>
      </c>
      <c r="B1729" s="37" t="str">
        <f t="shared" si="1755"/>
        <v>Çevirme</v>
      </c>
      <c r="C1729" s="65" t="str">
        <f t="shared" si="1750"/>
        <v>NECLA KOÇ</v>
      </c>
      <c r="D1729" s="67">
        <f t="shared" si="1751"/>
        <v>40</v>
      </c>
      <c r="E1729" s="57"/>
      <c r="F1729" s="52"/>
      <c r="G1729" s="52"/>
      <c r="H1729" s="58"/>
      <c r="I1729" s="57"/>
      <c r="J1729" s="52"/>
      <c r="K1729" s="52"/>
      <c r="L1729" s="58"/>
      <c r="M1729" s="57"/>
      <c r="N1729" s="52"/>
      <c r="O1729" s="52"/>
      <c r="P1729" s="58"/>
      <c r="Q1729" s="57"/>
      <c r="R1729" s="52"/>
      <c r="S1729" s="52"/>
      <c r="T1729" s="52"/>
      <c r="U1729" s="58"/>
      <c r="V1729" s="57"/>
      <c r="W1729" s="52"/>
      <c r="X1729" s="52"/>
      <c r="Y1729" s="58"/>
      <c r="Z1729" s="57"/>
      <c r="AA1729" s="52"/>
      <c r="AB1729" s="52"/>
      <c r="AC1729" s="58"/>
      <c r="AD1729" s="57"/>
      <c r="AE1729" s="52"/>
      <c r="AF1729" s="52"/>
      <c r="AG1729" s="58"/>
      <c r="AH1729" s="57"/>
      <c r="AI1729" s="52"/>
      <c r="AJ1729" s="52"/>
      <c r="AK1729" s="58"/>
      <c r="AL1729" s="57"/>
      <c r="AM1729" s="52"/>
      <c r="AN1729" s="52"/>
      <c r="AO1729" s="58"/>
      <c r="AP1729" s="57"/>
      <c r="AQ1729" s="52"/>
      <c r="AR1729" s="52"/>
      <c r="AS1729" s="58"/>
      <c r="AT1729" s="57"/>
      <c r="AU1729" s="52"/>
      <c r="AV1729" s="52"/>
      <c r="AW1729" s="58"/>
      <c r="AX1729" s="33">
        <f t="shared" si="1752"/>
        <v>0</v>
      </c>
      <c r="AY1729" s="31">
        <f t="shared" si="1753"/>
        <v>0</v>
      </c>
      <c r="AZ1729" s="30">
        <f t="shared" si="1754"/>
        <v>0</v>
      </c>
      <c r="BA1729" s="34"/>
      <c r="BB1729" s="34"/>
      <c r="BC1729" s="34"/>
      <c r="BD1729" s="76"/>
      <c r="BE1729" s="34"/>
      <c r="BF1729" s="34"/>
      <c r="BG1729" s="34"/>
      <c r="BH1729" s="34"/>
    </row>
    <row r="1730" spans="1:60" s="17" customFormat="1" ht="19.5" customHeight="1" x14ac:dyDescent="0.35">
      <c r="A1730" s="41">
        <f t="shared" ref="A1730:B1731" si="1756">A1729</f>
        <v>45448</v>
      </c>
      <c r="B1730" s="37" t="str">
        <f t="shared" si="1756"/>
        <v>Çevirme</v>
      </c>
      <c r="C1730" s="65" t="str">
        <f t="shared" si="1750"/>
        <v>ARZU ÖZÇAĞLAYAN</v>
      </c>
      <c r="D1730" s="67">
        <f t="shared" si="1751"/>
        <v>40</v>
      </c>
      <c r="E1730" s="57"/>
      <c r="F1730" s="52"/>
      <c r="G1730" s="52"/>
      <c r="H1730" s="58"/>
      <c r="I1730" s="57"/>
      <c r="J1730" s="52"/>
      <c r="K1730" s="52"/>
      <c r="L1730" s="58"/>
      <c r="M1730" s="57"/>
      <c r="N1730" s="52"/>
      <c r="O1730" s="52"/>
      <c r="P1730" s="58"/>
      <c r="Q1730" s="57"/>
      <c r="R1730" s="52"/>
      <c r="S1730" s="52"/>
      <c r="T1730" s="52"/>
      <c r="U1730" s="58"/>
      <c r="V1730" s="57"/>
      <c r="W1730" s="52"/>
      <c r="X1730" s="52"/>
      <c r="Y1730" s="58"/>
      <c r="Z1730" s="57"/>
      <c r="AA1730" s="52"/>
      <c r="AB1730" s="52"/>
      <c r="AC1730" s="58"/>
      <c r="AD1730" s="57"/>
      <c r="AE1730" s="52"/>
      <c r="AF1730" s="52"/>
      <c r="AG1730" s="58"/>
      <c r="AH1730" s="57"/>
      <c r="AI1730" s="52"/>
      <c r="AJ1730" s="52"/>
      <c r="AK1730" s="58"/>
      <c r="AL1730" s="57"/>
      <c r="AM1730" s="52"/>
      <c r="AN1730" s="52"/>
      <c r="AO1730" s="58"/>
      <c r="AP1730" s="57"/>
      <c r="AQ1730" s="52"/>
      <c r="AR1730" s="52"/>
      <c r="AS1730" s="58"/>
      <c r="AT1730" s="57"/>
      <c r="AU1730" s="52"/>
      <c r="AV1730" s="52"/>
      <c r="AW1730" s="58"/>
      <c r="AX1730" s="33">
        <f t="shared" si="1752"/>
        <v>0</v>
      </c>
      <c r="AY1730" s="31">
        <f t="shared" si="1753"/>
        <v>0</v>
      </c>
      <c r="AZ1730" s="30">
        <f t="shared" si="1754"/>
        <v>0</v>
      </c>
      <c r="BA1730" s="34"/>
      <c r="BB1730" s="34"/>
      <c r="BC1730" s="34"/>
      <c r="BD1730" s="76"/>
      <c r="BE1730" s="34"/>
      <c r="BF1730" s="34"/>
      <c r="BG1730" s="34"/>
      <c r="BH1730" s="34"/>
    </row>
    <row r="1731" spans="1:60" s="17" customFormat="1" ht="19.5" customHeight="1" x14ac:dyDescent="0.35">
      <c r="A1731" s="41">
        <f>A1728</f>
        <v>45448</v>
      </c>
      <c r="B1731" s="37" t="str">
        <f t="shared" si="1756"/>
        <v>Çevirme</v>
      </c>
      <c r="C1731" s="65">
        <f t="shared" si="1750"/>
        <v>0</v>
      </c>
      <c r="D1731" s="67">
        <f t="shared" si="1751"/>
        <v>40</v>
      </c>
      <c r="E1731" s="57"/>
      <c r="F1731" s="52"/>
      <c r="G1731" s="52"/>
      <c r="H1731" s="58"/>
      <c r="I1731" s="57"/>
      <c r="J1731" s="52"/>
      <c r="K1731" s="52"/>
      <c r="L1731" s="58"/>
      <c r="M1731" s="57"/>
      <c r="N1731" s="52"/>
      <c r="O1731" s="52"/>
      <c r="P1731" s="58"/>
      <c r="Q1731" s="57"/>
      <c r="R1731" s="52"/>
      <c r="S1731" s="52"/>
      <c r="T1731" s="52"/>
      <c r="U1731" s="58"/>
      <c r="V1731" s="57"/>
      <c r="W1731" s="52"/>
      <c r="X1731" s="52"/>
      <c r="Y1731" s="58"/>
      <c r="Z1731" s="57"/>
      <c r="AA1731" s="52"/>
      <c r="AB1731" s="52"/>
      <c r="AC1731" s="58"/>
      <c r="AD1731" s="57"/>
      <c r="AE1731" s="52"/>
      <c r="AF1731" s="52"/>
      <c r="AG1731" s="58"/>
      <c r="AH1731" s="57"/>
      <c r="AI1731" s="52"/>
      <c r="AJ1731" s="52"/>
      <c r="AK1731" s="58"/>
      <c r="AL1731" s="57"/>
      <c r="AM1731" s="52"/>
      <c r="AN1731" s="52"/>
      <c r="AO1731" s="58"/>
      <c r="AP1731" s="57"/>
      <c r="AQ1731" s="52"/>
      <c r="AR1731" s="52"/>
      <c r="AS1731" s="58"/>
      <c r="AT1731" s="57"/>
      <c r="AU1731" s="52"/>
      <c r="AV1731" s="52"/>
      <c r="AW1731" s="58"/>
      <c r="AX1731" s="33">
        <f t="shared" si="1752"/>
        <v>0</v>
      </c>
      <c r="AY1731" s="31">
        <f t="shared" si="1753"/>
        <v>0</v>
      </c>
      <c r="AZ1731" s="30">
        <f t="shared" si="1754"/>
        <v>0</v>
      </c>
      <c r="BA1731" s="34"/>
      <c r="BB1731" s="34"/>
      <c r="BC1731" s="34"/>
      <c r="BD1731" s="76"/>
      <c r="BE1731" s="34"/>
      <c r="BF1731" s="34"/>
      <c r="BG1731" s="34"/>
      <c r="BH1731" s="34"/>
    </row>
    <row r="1732" spans="1:60" s="17" customFormat="1" ht="19.5" customHeight="1" x14ac:dyDescent="0.35">
      <c r="A1732" s="41">
        <f t="shared" ref="A1732:B1732" si="1757">A1731</f>
        <v>45448</v>
      </c>
      <c r="B1732" s="37" t="str">
        <f t="shared" si="1757"/>
        <v>Çevirme</v>
      </c>
      <c r="C1732" s="65">
        <f t="shared" si="1750"/>
        <v>0</v>
      </c>
      <c r="D1732" s="67">
        <f t="shared" si="1751"/>
        <v>40</v>
      </c>
      <c r="E1732" s="57"/>
      <c r="F1732" s="52"/>
      <c r="G1732" s="52"/>
      <c r="H1732" s="58"/>
      <c r="I1732" s="57"/>
      <c r="J1732" s="52"/>
      <c r="K1732" s="52"/>
      <c r="L1732" s="58"/>
      <c r="M1732" s="57"/>
      <c r="N1732" s="52"/>
      <c r="O1732" s="52"/>
      <c r="P1732" s="58"/>
      <c r="Q1732" s="57"/>
      <c r="R1732" s="52"/>
      <c r="S1732" s="52"/>
      <c r="T1732" s="52"/>
      <c r="U1732" s="58"/>
      <c r="V1732" s="57"/>
      <c r="W1732" s="52"/>
      <c r="X1732" s="52"/>
      <c r="Y1732" s="58"/>
      <c r="Z1732" s="57"/>
      <c r="AA1732" s="52"/>
      <c r="AB1732" s="52"/>
      <c r="AC1732" s="58"/>
      <c r="AD1732" s="57"/>
      <c r="AE1732" s="52"/>
      <c r="AF1732" s="52"/>
      <c r="AG1732" s="58"/>
      <c r="AH1732" s="57"/>
      <c r="AI1732" s="52"/>
      <c r="AJ1732" s="52"/>
      <c r="AK1732" s="58"/>
      <c r="AL1732" s="57"/>
      <c r="AM1732" s="52"/>
      <c r="AN1732" s="52"/>
      <c r="AO1732" s="58"/>
      <c r="AP1732" s="57"/>
      <c r="AQ1732" s="52"/>
      <c r="AR1732" s="52"/>
      <c r="AS1732" s="58"/>
      <c r="AT1732" s="57"/>
      <c r="AU1732" s="52"/>
      <c r="AV1732" s="52"/>
      <c r="AW1732" s="58"/>
      <c r="AX1732" s="33">
        <f t="shared" si="1752"/>
        <v>0</v>
      </c>
      <c r="AY1732" s="31">
        <f t="shared" si="1753"/>
        <v>0</v>
      </c>
      <c r="AZ1732" s="30">
        <f t="shared" si="1754"/>
        <v>0</v>
      </c>
      <c r="BA1732" s="34"/>
      <c r="BB1732" s="34"/>
      <c r="BC1732" s="34"/>
      <c r="BD1732" s="76"/>
      <c r="BE1732" s="34"/>
      <c r="BF1732" s="34"/>
      <c r="BG1732" s="34"/>
      <c r="BH1732" s="34"/>
    </row>
    <row r="1733" spans="1:60" s="17" customFormat="1" ht="19.5" customHeight="1" thickBot="1" x14ac:dyDescent="0.4">
      <c r="A1733" s="41">
        <f t="shared" ref="A1733:B1734" si="1758">A1732</f>
        <v>45448</v>
      </c>
      <c r="B1733" s="37" t="str">
        <f t="shared" si="1758"/>
        <v>Çevirme</v>
      </c>
      <c r="C1733" s="65">
        <f t="shared" si="1750"/>
        <v>0</v>
      </c>
      <c r="D1733" s="67">
        <f t="shared" si="1751"/>
        <v>40</v>
      </c>
      <c r="E1733" s="59"/>
      <c r="F1733" s="60"/>
      <c r="G1733" s="61"/>
      <c r="H1733" s="62"/>
      <c r="I1733" s="59"/>
      <c r="J1733" s="60"/>
      <c r="K1733" s="61"/>
      <c r="L1733" s="62"/>
      <c r="M1733" s="59"/>
      <c r="N1733" s="60"/>
      <c r="O1733" s="61"/>
      <c r="P1733" s="62"/>
      <c r="Q1733" s="64"/>
      <c r="R1733" s="61"/>
      <c r="S1733" s="61"/>
      <c r="T1733" s="61"/>
      <c r="U1733" s="62"/>
      <c r="V1733" s="59"/>
      <c r="W1733" s="60"/>
      <c r="X1733" s="61"/>
      <c r="Y1733" s="62"/>
      <c r="Z1733" s="59"/>
      <c r="AA1733" s="60"/>
      <c r="AB1733" s="61"/>
      <c r="AC1733" s="62"/>
      <c r="AD1733" s="59"/>
      <c r="AE1733" s="60"/>
      <c r="AF1733" s="61"/>
      <c r="AG1733" s="62"/>
      <c r="AH1733" s="59"/>
      <c r="AI1733" s="60"/>
      <c r="AJ1733" s="61"/>
      <c r="AK1733" s="62"/>
      <c r="AL1733" s="59"/>
      <c r="AM1733" s="60"/>
      <c r="AN1733" s="61"/>
      <c r="AO1733" s="62"/>
      <c r="AP1733" s="59"/>
      <c r="AQ1733" s="60"/>
      <c r="AR1733" s="61"/>
      <c r="AS1733" s="62"/>
      <c r="AT1733" s="59"/>
      <c r="AU1733" s="60"/>
      <c r="AV1733" s="61"/>
      <c r="AW1733" s="62"/>
      <c r="AX1733" s="33">
        <f t="shared" si="1752"/>
        <v>0</v>
      </c>
      <c r="AY1733" s="31">
        <f t="shared" si="1753"/>
        <v>0</v>
      </c>
      <c r="AZ1733" s="30">
        <f t="shared" si="1754"/>
        <v>0</v>
      </c>
      <c r="BA1733" s="34"/>
      <c r="BB1733" s="34"/>
      <c r="BC1733" s="34"/>
      <c r="BD1733" s="76"/>
      <c r="BE1733" s="34"/>
      <c r="BF1733" s="34"/>
      <c r="BG1733" s="34"/>
      <c r="BH1733" s="34"/>
    </row>
    <row r="1734" spans="1:60" s="17" customFormat="1" ht="19.5" customHeight="1" thickBot="1" x14ac:dyDescent="0.45">
      <c r="A1734" s="41">
        <f t="shared" si="1758"/>
        <v>45448</v>
      </c>
      <c r="B1734" s="139" t="str">
        <f>B1727</f>
        <v>Çevirme</v>
      </c>
      <c r="C1734" s="140"/>
      <c r="D1734" s="40">
        <f>C1590/8</f>
        <v>500</v>
      </c>
      <c r="E1734" s="147">
        <f>SUM(E1727:H1733)</f>
        <v>0</v>
      </c>
      <c r="F1734" s="148"/>
      <c r="G1734" s="148"/>
      <c r="H1734" s="149"/>
      <c r="I1734" s="147">
        <f>SUM(I1727:L1733)</f>
        <v>0</v>
      </c>
      <c r="J1734" s="148"/>
      <c r="K1734" s="148"/>
      <c r="L1734" s="149"/>
      <c r="M1734" s="147">
        <f>SUM(M1727:P1733)</f>
        <v>0</v>
      </c>
      <c r="N1734" s="148"/>
      <c r="O1734" s="148"/>
      <c r="P1734" s="149"/>
      <c r="Q1734" s="147">
        <f>SUM(Q1727:U1733)</f>
        <v>0</v>
      </c>
      <c r="R1734" s="148"/>
      <c r="S1734" s="148"/>
      <c r="T1734" s="148"/>
      <c r="U1734" s="149"/>
      <c r="V1734" s="147">
        <f>SUM(V1727:Y1733)</f>
        <v>0</v>
      </c>
      <c r="W1734" s="148"/>
      <c r="X1734" s="148"/>
      <c r="Y1734" s="149"/>
      <c r="Z1734" s="147">
        <f>SUM(Z1727:AC1733)</f>
        <v>0</v>
      </c>
      <c r="AA1734" s="148"/>
      <c r="AB1734" s="148"/>
      <c r="AC1734" s="149"/>
      <c r="AD1734" s="147">
        <f>SUM(AD1727:AG1733)</f>
        <v>0</v>
      </c>
      <c r="AE1734" s="148"/>
      <c r="AF1734" s="148"/>
      <c r="AG1734" s="149"/>
      <c r="AH1734" s="147">
        <f>SUM(AH1727:AK1733)</f>
        <v>0</v>
      </c>
      <c r="AI1734" s="148"/>
      <c r="AJ1734" s="148"/>
      <c r="AK1734" s="149"/>
      <c r="AL1734" s="147">
        <f>SUM(AL1727:AO1733)</f>
        <v>0</v>
      </c>
      <c r="AM1734" s="148"/>
      <c r="AN1734" s="148"/>
      <c r="AO1734" s="149"/>
      <c r="AP1734" s="147">
        <f>SUM(AP1727:AS1733)</f>
        <v>0</v>
      </c>
      <c r="AQ1734" s="148"/>
      <c r="AR1734" s="148"/>
      <c r="AS1734" s="149"/>
      <c r="AT1734" s="147">
        <f>SUM(AT1727:AW1733)</f>
        <v>0</v>
      </c>
      <c r="AU1734" s="148"/>
      <c r="AV1734" s="148"/>
      <c r="AW1734" s="149"/>
      <c r="AX1734" s="87">
        <f>SUM(AX1727:AX1733)</f>
        <v>0</v>
      </c>
      <c r="AY1734" s="88">
        <f>IFERROR(AVERAGEIF(E1734:AV1734,"&lt;&gt;0",(E1734:AV1734)),)</f>
        <v>0</v>
      </c>
      <c r="AZ1734" s="46">
        <f>IFERROR(AX1734/BB1728,0)</f>
        <v>0</v>
      </c>
      <c r="BA1734" s="34"/>
      <c r="BB1734" s="34"/>
      <c r="BC1734" s="34"/>
      <c r="BD1734" s="76"/>
      <c r="BE1734" s="34"/>
      <c r="BF1734" s="34"/>
      <c r="BG1734" s="34"/>
      <c r="BH1734" s="34"/>
    </row>
    <row r="1735" spans="1:60" s="17" customFormat="1" ht="19.5" customHeight="1" thickBot="1" x14ac:dyDescent="0.4">
      <c r="A1735" s="42">
        <f>A1726</f>
        <v>45448</v>
      </c>
      <c r="B1735" s="38" t="str">
        <f>B1736</f>
        <v>ÇEVİRME BEDEN</v>
      </c>
      <c r="C1735" s="39" t="s">
        <v>180</v>
      </c>
      <c r="D1735" s="69" t="s">
        <v>181</v>
      </c>
      <c r="E1735" s="48">
        <v>0.34375</v>
      </c>
      <c r="F1735" s="49">
        <v>0.35416666666666669</v>
      </c>
      <c r="G1735" s="49">
        <v>0.36458333333333331</v>
      </c>
      <c r="H1735" s="50">
        <v>0.375</v>
      </c>
      <c r="I1735" s="48">
        <v>0.38541666666666702</v>
      </c>
      <c r="J1735" s="49">
        <v>0.39583333333333298</v>
      </c>
      <c r="K1735" s="49">
        <v>0.40625</v>
      </c>
      <c r="L1735" s="50">
        <v>0.41666666666666702</v>
      </c>
      <c r="M1735" s="48">
        <v>0.4375</v>
      </c>
      <c r="N1735" s="49">
        <v>0.44791666666666702</v>
      </c>
      <c r="O1735" s="49">
        <v>0.45833333333333398</v>
      </c>
      <c r="P1735" s="50">
        <v>0.46875</v>
      </c>
      <c r="Q1735" s="48">
        <v>0.47916666666666702</v>
      </c>
      <c r="R1735" s="49">
        <v>0.48958333333333398</v>
      </c>
      <c r="S1735" s="49">
        <v>0.5</v>
      </c>
      <c r="T1735" s="50">
        <v>0.51041666666666696</v>
      </c>
      <c r="U1735" s="51">
        <v>0.52083333333333204</v>
      </c>
      <c r="V1735" s="48">
        <v>0.5625</v>
      </c>
      <c r="W1735" s="49">
        <v>0.57291666666666663</v>
      </c>
      <c r="X1735" s="49">
        <v>0.58333333333333304</v>
      </c>
      <c r="Y1735" s="50">
        <v>0.59375</v>
      </c>
      <c r="Z1735" s="48">
        <v>0.60416666666666696</v>
      </c>
      <c r="AA1735" s="49">
        <v>0.61458333333333304</v>
      </c>
      <c r="AB1735" s="49">
        <v>0.625</v>
      </c>
      <c r="AC1735" s="50">
        <v>0.63541666666666596</v>
      </c>
      <c r="AD1735" s="48">
        <v>0.65625</v>
      </c>
      <c r="AE1735" s="49">
        <v>0.66666666666666663</v>
      </c>
      <c r="AF1735" s="49">
        <v>0.67708333333333304</v>
      </c>
      <c r="AG1735" s="50">
        <v>0.6875</v>
      </c>
      <c r="AH1735" s="48">
        <v>0.69791666666666696</v>
      </c>
      <c r="AI1735" s="49">
        <v>0.70833333333333304</v>
      </c>
      <c r="AJ1735" s="49">
        <v>0.71875</v>
      </c>
      <c r="AK1735" s="50">
        <v>0.72916666666666696</v>
      </c>
      <c r="AL1735" s="48">
        <v>0.73958333333333404</v>
      </c>
      <c r="AM1735" s="49">
        <v>0.750000000000001</v>
      </c>
      <c r="AN1735" s="49">
        <v>0.76041666666666796</v>
      </c>
      <c r="AO1735" s="50">
        <v>0.77083333333333504</v>
      </c>
      <c r="AP1735" s="48">
        <v>0.781250000000002</v>
      </c>
      <c r="AQ1735" s="49">
        <v>0.79166666666666896</v>
      </c>
      <c r="AR1735" s="49">
        <v>0.80208333333333603</v>
      </c>
      <c r="AS1735" s="50">
        <v>0.812500000000003</v>
      </c>
      <c r="AT1735" s="48">
        <v>0.82291666666666996</v>
      </c>
      <c r="AU1735" s="49">
        <v>0.83333333333333703</v>
      </c>
      <c r="AV1735" s="49">
        <v>0.843750000000004</v>
      </c>
      <c r="AW1735" s="50">
        <v>0.85416666666666663</v>
      </c>
      <c r="AX1735" s="68" t="s">
        <v>260</v>
      </c>
      <c r="AY1735" s="28" t="s">
        <v>261</v>
      </c>
      <c r="AZ1735" s="29" t="s">
        <v>262</v>
      </c>
      <c r="BA1735" s="136" t="str">
        <f>B1736</f>
        <v>ÇEVİRME BEDEN</v>
      </c>
      <c r="BB1735" s="137"/>
      <c r="BC1735" s="137"/>
      <c r="BD1735" s="137"/>
      <c r="BE1735" s="137"/>
      <c r="BF1735" s="137"/>
      <c r="BG1735" s="137"/>
      <c r="BH1735" s="138"/>
    </row>
    <row r="1736" spans="1:60" s="17" customFormat="1" ht="19.5" customHeight="1" thickBot="1" x14ac:dyDescent="0.4">
      <c r="A1736" s="41">
        <f t="shared" ref="A1736" si="1759">A1735</f>
        <v>45448</v>
      </c>
      <c r="B1736" s="37" t="str">
        <f>B1560</f>
        <v>ÇEVİRME BEDEN</v>
      </c>
      <c r="C1736" s="65" t="str">
        <f>C1560</f>
        <v>ARZU ÖZÇAĞLAYAN</v>
      </c>
      <c r="D1736" s="70">
        <f>D1551</f>
        <v>40</v>
      </c>
      <c r="E1736" s="63"/>
      <c r="F1736" s="55"/>
      <c r="G1736" s="55"/>
      <c r="H1736" s="56"/>
      <c r="I1736" s="63"/>
      <c r="J1736" s="55"/>
      <c r="K1736" s="55"/>
      <c r="L1736" s="56"/>
      <c r="M1736" s="63"/>
      <c r="N1736" s="55"/>
      <c r="O1736" s="55"/>
      <c r="P1736" s="56"/>
      <c r="Q1736" s="63"/>
      <c r="R1736" s="55"/>
      <c r="S1736" s="55"/>
      <c r="T1736" s="55"/>
      <c r="U1736" s="56"/>
      <c r="V1736" s="63"/>
      <c r="W1736" s="55"/>
      <c r="X1736" s="55"/>
      <c r="Y1736" s="56"/>
      <c r="Z1736" s="63"/>
      <c r="AA1736" s="55"/>
      <c r="AB1736" s="55"/>
      <c r="AC1736" s="56"/>
      <c r="AD1736" s="63"/>
      <c r="AE1736" s="55"/>
      <c r="AF1736" s="55"/>
      <c r="AG1736" s="56"/>
      <c r="AH1736" s="63"/>
      <c r="AI1736" s="55"/>
      <c r="AJ1736" s="55"/>
      <c r="AK1736" s="56"/>
      <c r="AL1736" s="63"/>
      <c r="AM1736" s="55"/>
      <c r="AN1736" s="55"/>
      <c r="AO1736" s="56"/>
      <c r="AP1736" s="63"/>
      <c r="AQ1736" s="55"/>
      <c r="AR1736" s="55"/>
      <c r="AS1736" s="56"/>
      <c r="AT1736" s="53"/>
      <c r="AU1736" s="54"/>
      <c r="AV1736" s="55"/>
      <c r="AW1736" s="56"/>
      <c r="AX1736" s="33">
        <f>SUM(E1736:AW1736)</f>
        <v>0</v>
      </c>
      <c r="AY1736" s="31">
        <f>IFERROR(AVERAGEIF(E1736:AW1736,"&lt;&gt;0",(E1736:AW1736)),)</f>
        <v>0</v>
      </c>
      <c r="AZ1736" s="30">
        <f>IFERROR(AY1736/D1736,0)</f>
        <v>0</v>
      </c>
      <c r="BA1736" s="93"/>
      <c r="BB1736" s="93" t="str">
        <f t="shared" ref="BB1736" si="1760">BA1590</f>
        <v>XS</v>
      </c>
      <c r="BC1736" s="93" t="str">
        <f t="shared" ref="BC1736" si="1761">BB1590</f>
        <v>S</v>
      </c>
      <c r="BD1736" s="93" t="str">
        <f t="shared" ref="BD1736" si="1762">BC1590</f>
        <v>M</v>
      </c>
      <c r="BE1736" s="93" t="str">
        <f t="shared" ref="BE1736" si="1763">BD1590</f>
        <v>L</v>
      </c>
      <c r="BF1736" s="93" t="str">
        <f t="shared" ref="BF1736" si="1764">BE1590</f>
        <v>XL</v>
      </c>
      <c r="BG1736" s="93" t="str">
        <f t="shared" ref="BG1736" si="1765">BF1590</f>
        <v>XXL</v>
      </c>
      <c r="BH1736" s="93"/>
    </row>
    <row r="1737" spans="1:60" s="17" customFormat="1" ht="19.5" customHeight="1" thickBot="1" x14ac:dyDescent="0.4">
      <c r="A1737" s="41">
        <f t="shared" ref="A1737:B1737" si="1766">A1736</f>
        <v>45448</v>
      </c>
      <c r="B1737" s="37" t="str">
        <f t="shared" si="1766"/>
        <v>ÇEVİRME BEDEN</v>
      </c>
      <c r="C1737" s="65" t="str">
        <f t="shared" ref="C1737:C1742" si="1767">C1561</f>
        <v>NECLA KOÇ</v>
      </c>
      <c r="D1737" s="67">
        <f t="shared" ref="D1737:D1742" si="1768">D1736</f>
        <v>40</v>
      </c>
      <c r="E1737" s="57"/>
      <c r="F1737" s="52"/>
      <c r="G1737" s="52"/>
      <c r="H1737" s="58"/>
      <c r="I1737" s="57"/>
      <c r="J1737" s="52"/>
      <c r="K1737" s="52"/>
      <c r="L1737" s="58"/>
      <c r="M1737" s="57"/>
      <c r="N1737" s="52"/>
      <c r="O1737" s="52"/>
      <c r="P1737" s="58"/>
      <c r="Q1737" s="57"/>
      <c r="R1737" s="52"/>
      <c r="S1737" s="52"/>
      <c r="T1737" s="52"/>
      <c r="U1737" s="58"/>
      <c r="V1737" s="57"/>
      <c r="W1737" s="52"/>
      <c r="X1737" s="52"/>
      <c r="Y1737" s="58"/>
      <c r="Z1737" s="57"/>
      <c r="AA1737" s="52"/>
      <c r="AB1737" s="52"/>
      <c r="AC1737" s="58"/>
      <c r="AD1737" s="57"/>
      <c r="AE1737" s="52"/>
      <c r="AF1737" s="52"/>
      <c r="AG1737" s="58"/>
      <c r="AH1737" s="57"/>
      <c r="AI1737" s="52"/>
      <c r="AJ1737" s="52"/>
      <c r="AK1737" s="58"/>
      <c r="AL1737" s="57"/>
      <c r="AM1737" s="52"/>
      <c r="AN1737" s="52"/>
      <c r="AO1737" s="58"/>
      <c r="AP1737" s="57"/>
      <c r="AQ1737" s="52"/>
      <c r="AR1737" s="52"/>
      <c r="AS1737" s="58"/>
      <c r="AT1737" s="57"/>
      <c r="AU1737" s="52"/>
      <c r="AV1737" s="52"/>
      <c r="AW1737" s="58"/>
      <c r="AX1737" s="33">
        <f t="shared" ref="AX1737:AX1742" si="1769">SUM(E1737:AW1737)</f>
        <v>0</v>
      </c>
      <c r="AY1737" s="31">
        <f t="shared" ref="AY1737:AY1742" si="1770">IFERROR(AVERAGEIF(E1737:AW1737,"&lt;&gt;0",(E1737:AW1737)),)</f>
        <v>0</v>
      </c>
      <c r="AZ1737" s="30">
        <f t="shared" ref="AZ1737:AZ1742" si="1771">IFERROR(AY1737/D1737,0)</f>
        <v>0</v>
      </c>
      <c r="BA1737" s="94" t="s">
        <v>194</v>
      </c>
      <c r="BB1737" s="96">
        <f t="shared" ref="BB1737:BG1737" si="1772">BB1629</f>
        <v>0</v>
      </c>
      <c r="BC1737" s="96">
        <f t="shared" si="1772"/>
        <v>0</v>
      </c>
      <c r="BD1737" s="96">
        <f t="shared" si="1772"/>
        <v>0</v>
      </c>
      <c r="BE1737" s="96">
        <f t="shared" si="1772"/>
        <v>0</v>
      </c>
      <c r="BF1737" s="96">
        <f t="shared" si="1772"/>
        <v>0</v>
      </c>
      <c r="BG1737" s="96">
        <f t="shared" si="1772"/>
        <v>0</v>
      </c>
      <c r="BH1737" s="99">
        <f>SUM(BB1737:BG1737)</f>
        <v>0</v>
      </c>
    </row>
    <row r="1738" spans="1:60" s="17" customFormat="1" ht="19.5" customHeight="1" thickBot="1" x14ac:dyDescent="0.4">
      <c r="A1738" s="41">
        <f t="shared" ref="A1738:B1738" si="1773">A1737</f>
        <v>45448</v>
      </c>
      <c r="B1738" s="37" t="str">
        <f t="shared" si="1773"/>
        <v>ÇEVİRME BEDEN</v>
      </c>
      <c r="C1738" s="65" t="str">
        <f t="shared" si="1767"/>
        <v>SEZER BOZKURT</v>
      </c>
      <c r="D1738" s="67">
        <f t="shared" si="1768"/>
        <v>40</v>
      </c>
      <c r="E1738" s="57"/>
      <c r="F1738" s="52"/>
      <c r="G1738" s="52"/>
      <c r="H1738" s="58"/>
      <c r="I1738" s="57"/>
      <c r="J1738" s="52"/>
      <c r="K1738" s="52"/>
      <c r="L1738" s="58"/>
      <c r="M1738" s="57"/>
      <c r="N1738" s="52"/>
      <c r="O1738" s="52"/>
      <c r="P1738" s="58"/>
      <c r="Q1738" s="57"/>
      <c r="R1738" s="52"/>
      <c r="S1738" s="52"/>
      <c r="T1738" s="52"/>
      <c r="U1738" s="58"/>
      <c r="V1738" s="57"/>
      <c r="W1738" s="52"/>
      <c r="X1738" s="52"/>
      <c r="Y1738" s="58"/>
      <c r="Z1738" s="57"/>
      <c r="AA1738" s="52"/>
      <c r="AB1738" s="52"/>
      <c r="AC1738" s="58"/>
      <c r="AD1738" s="57"/>
      <c r="AE1738" s="52"/>
      <c r="AF1738" s="52"/>
      <c r="AG1738" s="58"/>
      <c r="AH1738" s="57"/>
      <c r="AI1738" s="52"/>
      <c r="AJ1738" s="52"/>
      <c r="AK1738" s="58"/>
      <c r="AL1738" s="57"/>
      <c r="AM1738" s="52"/>
      <c r="AN1738" s="52"/>
      <c r="AO1738" s="58"/>
      <c r="AP1738" s="57"/>
      <c r="AQ1738" s="52"/>
      <c r="AR1738" s="52"/>
      <c r="AS1738" s="58"/>
      <c r="AT1738" s="57"/>
      <c r="AU1738" s="52"/>
      <c r="AV1738" s="52"/>
      <c r="AW1738" s="58"/>
      <c r="AX1738" s="33">
        <f t="shared" si="1769"/>
        <v>0</v>
      </c>
      <c r="AY1738" s="31">
        <f t="shared" si="1770"/>
        <v>0</v>
      </c>
      <c r="AZ1738" s="30">
        <f t="shared" si="1771"/>
        <v>0</v>
      </c>
      <c r="BA1738" s="94" t="s">
        <v>195</v>
      </c>
      <c r="BB1738" s="96">
        <f>SUMIF(C1736:C1742,BB1736,AX1736:AX1742)+BB1562</f>
        <v>0</v>
      </c>
      <c r="BC1738" s="96">
        <f>SUMIF(C1736:C1742,BC1736,AX1736:AX1742)+BC1562</f>
        <v>0</v>
      </c>
      <c r="BD1738" s="96">
        <f>SUMIF(C1736:C1742,BD1736,AX1736:AX1742)+BD1562</f>
        <v>0</v>
      </c>
      <c r="BE1738" s="96">
        <f>SUMIF(C1736:C1742,BE1736,AX1736:AX1742)+BE1562</f>
        <v>0</v>
      </c>
      <c r="BF1738" s="96">
        <f>SUMIF(C1736:C1742,BF1736,AX1736:AX1742)+BF1562</f>
        <v>0</v>
      </c>
      <c r="BG1738" s="96">
        <f>SUMIF(C1736:C1742,BG1736,AX1736:AX1742)+BG1562</f>
        <v>0</v>
      </c>
      <c r="BH1738" s="99">
        <f>SUM(BB1738:BG1738)</f>
        <v>0</v>
      </c>
    </row>
    <row r="1739" spans="1:60" s="17" customFormat="1" ht="19.5" customHeight="1" thickBot="1" x14ac:dyDescent="0.4">
      <c r="A1739" s="41">
        <f t="shared" ref="A1739:B1740" si="1774">A1738</f>
        <v>45448</v>
      </c>
      <c r="B1739" s="37" t="str">
        <f t="shared" si="1774"/>
        <v>ÇEVİRME BEDEN</v>
      </c>
      <c r="C1739" s="65" t="str">
        <f t="shared" si="1767"/>
        <v>MELAHAT EROL</v>
      </c>
      <c r="D1739" s="67">
        <f t="shared" si="1768"/>
        <v>40</v>
      </c>
      <c r="E1739" s="57"/>
      <c r="F1739" s="52"/>
      <c r="G1739" s="52"/>
      <c r="H1739" s="58"/>
      <c r="I1739" s="57"/>
      <c r="J1739" s="52"/>
      <c r="K1739" s="52"/>
      <c r="L1739" s="58"/>
      <c r="M1739" s="57"/>
      <c r="N1739" s="52"/>
      <c r="O1739" s="52"/>
      <c r="P1739" s="58"/>
      <c r="Q1739" s="57"/>
      <c r="R1739" s="52"/>
      <c r="S1739" s="52"/>
      <c r="T1739" s="52"/>
      <c r="U1739" s="58"/>
      <c r="V1739" s="57"/>
      <c r="W1739" s="52"/>
      <c r="X1739" s="52"/>
      <c r="Y1739" s="58"/>
      <c r="Z1739" s="57"/>
      <c r="AA1739" s="52"/>
      <c r="AB1739" s="52"/>
      <c r="AC1739" s="58"/>
      <c r="AD1739" s="57"/>
      <c r="AE1739" s="52"/>
      <c r="AF1739" s="52"/>
      <c r="AG1739" s="58"/>
      <c r="AH1739" s="57"/>
      <c r="AI1739" s="52"/>
      <c r="AJ1739" s="52"/>
      <c r="AK1739" s="58"/>
      <c r="AL1739" s="57"/>
      <c r="AM1739" s="52"/>
      <c r="AN1739" s="52"/>
      <c r="AO1739" s="58"/>
      <c r="AP1739" s="57"/>
      <c r="AQ1739" s="52"/>
      <c r="AR1739" s="52"/>
      <c r="AS1739" s="58"/>
      <c r="AT1739" s="57"/>
      <c r="AU1739" s="52"/>
      <c r="AV1739" s="52"/>
      <c r="AW1739" s="58"/>
      <c r="AX1739" s="33">
        <f t="shared" si="1769"/>
        <v>0</v>
      </c>
      <c r="AY1739" s="31">
        <f t="shared" si="1770"/>
        <v>0</v>
      </c>
      <c r="AZ1739" s="30">
        <f t="shared" si="1771"/>
        <v>0</v>
      </c>
      <c r="BA1739" s="94" t="s">
        <v>196</v>
      </c>
      <c r="BB1739" s="96">
        <f t="shared" ref="BB1739:BG1739" si="1775">BB1737-BB1738</f>
        <v>0</v>
      </c>
      <c r="BC1739" s="96">
        <f t="shared" si="1775"/>
        <v>0</v>
      </c>
      <c r="BD1739" s="96">
        <f t="shared" si="1775"/>
        <v>0</v>
      </c>
      <c r="BE1739" s="96">
        <f t="shared" si="1775"/>
        <v>0</v>
      </c>
      <c r="BF1739" s="96">
        <f t="shared" si="1775"/>
        <v>0</v>
      </c>
      <c r="BG1739" s="96">
        <f t="shared" si="1775"/>
        <v>0</v>
      </c>
      <c r="BH1739" s="99">
        <f>SUM(BB1739:BG1739)</f>
        <v>0</v>
      </c>
    </row>
    <row r="1740" spans="1:60" s="17" customFormat="1" ht="19.5" customHeight="1" x14ac:dyDescent="0.35">
      <c r="A1740" s="41">
        <f>A1737</f>
        <v>45448</v>
      </c>
      <c r="B1740" s="37" t="str">
        <f t="shared" si="1774"/>
        <v>ÇEVİRME BEDEN</v>
      </c>
      <c r="C1740" s="65" t="str">
        <f t="shared" si="1767"/>
        <v>DERYA KESKİN</v>
      </c>
      <c r="D1740" s="67">
        <f t="shared" si="1768"/>
        <v>40</v>
      </c>
      <c r="E1740" s="57"/>
      <c r="F1740" s="52"/>
      <c r="G1740" s="52"/>
      <c r="H1740" s="58"/>
      <c r="I1740" s="57"/>
      <c r="J1740" s="52"/>
      <c r="K1740" s="52"/>
      <c r="L1740" s="58"/>
      <c r="M1740" s="57"/>
      <c r="N1740" s="52"/>
      <c r="O1740" s="52"/>
      <c r="P1740" s="58"/>
      <c r="Q1740" s="57"/>
      <c r="R1740" s="52"/>
      <c r="S1740" s="52"/>
      <c r="T1740" s="52"/>
      <c r="U1740" s="58"/>
      <c r="V1740" s="57"/>
      <c r="W1740" s="52"/>
      <c r="X1740" s="52"/>
      <c r="Y1740" s="58"/>
      <c r="Z1740" s="57"/>
      <c r="AA1740" s="52"/>
      <c r="AB1740" s="52"/>
      <c r="AC1740" s="58"/>
      <c r="AD1740" s="57"/>
      <c r="AE1740" s="52"/>
      <c r="AF1740" s="52"/>
      <c r="AG1740" s="58"/>
      <c r="AH1740" s="57"/>
      <c r="AI1740" s="52"/>
      <c r="AJ1740" s="52"/>
      <c r="AK1740" s="58"/>
      <c r="AL1740" s="57"/>
      <c r="AM1740" s="52"/>
      <c r="AN1740" s="52"/>
      <c r="AO1740" s="58"/>
      <c r="AP1740" s="57"/>
      <c r="AQ1740" s="52"/>
      <c r="AR1740" s="52"/>
      <c r="AS1740" s="58"/>
      <c r="AT1740" s="57"/>
      <c r="AU1740" s="52"/>
      <c r="AV1740" s="52"/>
      <c r="AW1740" s="58"/>
      <c r="AX1740" s="33">
        <f t="shared" si="1769"/>
        <v>0</v>
      </c>
      <c r="AY1740" s="31">
        <f t="shared" si="1770"/>
        <v>0</v>
      </c>
      <c r="AZ1740" s="30">
        <f t="shared" si="1771"/>
        <v>0</v>
      </c>
      <c r="BA1740" s="34"/>
      <c r="BB1740" s="34"/>
      <c r="BC1740" s="34"/>
      <c r="BD1740" s="76"/>
      <c r="BE1740" s="34"/>
      <c r="BF1740" s="34"/>
      <c r="BG1740" s="34"/>
      <c r="BH1740" s="34"/>
    </row>
    <row r="1741" spans="1:60" s="17" customFormat="1" ht="19.5" customHeight="1" x14ac:dyDescent="0.35">
      <c r="A1741" s="41">
        <f t="shared" ref="A1741:B1741" si="1776">A1740</f>
        <v>45448</v>
      </c>
      <c r="B1741" s="37" t="str">
        <f t="shared" si="1776"/>
        <v>ÇEVİRME BEDEN</v>
      </c>
      <c r="C1741" s="65">
        <f t="shared" si="1767"/>
        <v>0</v>
      </c>
      <c r="D1741" s="67">
        <f t="shared" si="1768"/>
        <v>40</v>
      </c>
      <c r="E1741" s="57"/>
      <c r="F1741" s="52"/>
      <c r="G1741" s="52"/>
      <c r="H1741" s="58"/>
      <c r="I1741" s="57"/>
      <c r="J1741" s="52"/>
      <c r="K1741" s="52"/>
      <c r="L1741" s="58"/>
      <c r="M1741" s="57"/>
      <c r="N1741" s="52"/>
      <c r="O1741" s="52"/>
      <c r="P1741" s="58"/>
      <c r="Q1741" s="57"/>
      <c r="R1741" s="52"/>
      <c r="S1741" s="52"/>
      <c r="T1741" s="52"/>
      <c r="U1741" s="58"/>
      <c r="V1741" s="57"/>
      <c r="W1741" s="52"/>
      <c r="X1741" s="52"/>
      <c r="Y1741" s="58"/>
      <c r="Z1741" s="57"/>
      <c r="AA1741" s="52"/>
      <c r="AB1741" s="52"/>
      <c r="AC1741" s="58"/>
      <c r="AD1741" s="57"/>
      <c r="AE1741" s="52"/>
      <c r="AF1741" s="52"/>
      <c r="AG1741" s="58"/>
      <c r="AH1741" s="57"/>
      <c r="AI1741" s="52"/>
      <c r="AJ1741" s="52"/>
      <c r="AK1741" s="58"/>
      <c r="AL1741" s="57"/>
      <c r="AM1741" s="52"/>
      <c r="AN1741" s="52"/>
      <c r="AO1741" s="58"/>
      <c r="AP1741" s="57"/>
      <c r="AQ1741" s="52"/>
      <c r="AR1741" s="52"/>
      <c r="AS1741" s="58"/>
      <c r="AT1741" s="57"/>
      <c r="AU1741" s="52"/>
      <c r="AV1741" s="52"/>
      <c r="AW1741" s="58"/>
      <c r="AX1741" s="33">
        <f t="shared" si="1769"/>
        <v>0</v>
      </c>
      <c r="AY1741" s="31">
        <f t="shared" si="1770"/>
        <v>0</v>
      </c>
      <c r="AZ1741" s="30">
        <f t="shared" si="1771"/>
        <v>0</v>
      </c>
      <c r="BA1741" s="34"/>
      <c r="BB1741" s="34"/>
      <c r="BC1741" s="34"/>
      <c r="BD1741" s="76"/>
      <c r="BE1741" s="34"/>
      <c r="BF1741" s="34"/>
      <c r="BG1741" s="34"/>
      <c r="BH1741" s="34"/>
    </row>
    <row r="1742" spans="1:60" s="17" customFormat="1" ht="19.5" customHeight="1" thickBot="1" x14ac:dyDescent="0.4">
      <c r="A1742" s="41">
        <f t="shared" ref="A1742:B1743" si="1777">A1741</f>
        <v>45448</v>
      </c>
      <c r="B1742" s="37" t="str">
        <f t="shared" si="1777"/>
        <v>ÇEVİRME BEDEN</v>
      </c>
      <c r="C1742" s="65">
        <f t="shared" si="1767"/>
        <v>0</v>
      </c>
      <c r="D1742" s="67">
        <f t="shared" si="1768"/>
        <v>40</v>
      </c>
      <c r="E1742" s="59"/>
      <c r="F1742" s="60"/>
      <c r="G1742" s="61"/>
      <c r="H1742" s="62"/>
      <c r="I1742" s="59"/>
      <c r="J1742" s="60"/>
      <c r="K1742" s="61"/>
      <c r="L1742" s="62"/>
      <c r="M1742" s="59"/>
      <c r="N1742" s="60"/>
      <c r="O1742" s="61"/>
      <c r="P1742" s="62"/>
      <c r="Q1742" s="64"/>
      <c r="R1742" s="61"/>
      <c r="S1742" s="61"/>
      <c r="T1742" s="61"/>
      <c r="U1742" s="62"/>
      <c r="V1742" s="59"/>
      <c r="W1742" s="60"/>
      <c r="X1742" s="61"/>
      <c r="Y1742" s="62"/>
      <c r="Z1742" s="59"/>
      <c r="AA1742" s="60"/>
      <c r="AB1742" s="61"/>
      <c r="AC1742" s="62"/>
      <c r="AD1742" s="59"/>
      <c r="AE1742" s="60"/>
      <c r="AF1742" s="61"/>
      <c r="AG1742" s="62"/>
      <c r="AH1742" s="59"/>
      <c r="AI1742" s="60"/>
      <c r="AJ1742" s="61"/>
      <c r="AK1742" s="62"/>
      <c r="AL1742" s="59"/>
      <c r="AM1742" s="60"/>
      <c r="AN1742" s="61"/>
      <c r="AO1742" s="62"/>
      <c r="AP1742" s="59"/>
      <c r="AQ1742" s="60"/>
      <c r="AR1742" s="61"/>
      <c r="AS1742" s="62"/>
      <c r="AT1742" s="59"/>
      <c r="AU1742" s="60"/>
      <c r="AV1742" s="61"/>
      <c r="AW1742" s="62"/>
      <c r="AX1742" s="33">
        <f t="shared" si="1769"/>
        <v>0</v>
      </c>
      <c r="AY1742" s="31">
        <f t="shared" si="1770"/>
        <v>0</v>
      </c>
      <c r="AZ1742" s="30">
        <f t="shared" si="1771"/>
        <v>0</v>
      </c>
      <c r="BA1742" s="34"/>
      <c r="BB1742" s="34"/>
      <c r="BC1742" s="34"/>
      <c r="BD1742" s="76"/>
      <c r="BE1742" s="34"/>
      <c r="BF1742" s="34"/>
      <c r="BG1742" s="34"/>
      <c r="BH1742" s="34"/>
    </row>
    <row r="1743" spans="1:60" s="17" customFormat="1" ht="19.5" customHeight="1" thickBot="1" x14ac:dyDescent="0.45">
      <c r="A1743" s="41">
        <f t="shared" si="1777"/>
        <v>45448</v>
      </c>
      <c r="B1743" s="139" t="str">
        <f>B1736</f>
        <v>ÇEVİRME BEDEN</v>
      </c>
      <c r="C1743" s="140"/>
      <c r="D1743" s="40">
        <f>C1590/8</f>
        <v>500</v>
      </c>
      <c r="E1743" s="147">
        <f>SUM(E1736:H1742)</f>
        <v>0</v>
      </c>
      <c r="F1743" s="148"/>
      <c r="G1743" s="148"/>
      <c r="H1743" s="149"/>
      <c r="I1743" s="147">
        <f>SUM(I1736:L1742)</f>
        <v>0</v>
      </c>
      <c r="J1743" s="148"/>
      <c r="K1743" s="148"/>
      <c r="L1743" s="149"/>
      <c r="M1743" s="147">
        <f>SUM(M1736:P1742)</f>
        <v>0</v>
      </c>
      <c r="N1743" s="148"/>
      <c r="O1743" s="148"/>
      <c r="P1743" s="149"/>
      <c r="Q1743" s="147">
        <f>SUM(Q1736:U1742)</f>
        <v>0</v>
      </c>
      <c r="R1743" s="148"/>
      <c r="S1743" s="148"/>
      <c r="T1743" s="148"/>
      <c r="U1743" s="149"/>
      <c r="V1743" s="147">
        <f>SUM(V1736:Y1742)</f>
        <v>0</v>
      </c>
      <c r="W1743" s="148"/>
      <c r="X1743" s="148"/>
      <c r="Y1743" s="149"/>
      <c r="Z1743" s="147">
        <f>SUM(Z1736:AC1742)</f>
        <v>0</v>
      </c>
      <c r="AA1743" s="148"/>
      <c r="AB1743" s="148"/>
      <c r="AC1743" s="149"/>
      <c r="AD1743" s="147">
        <f>SUM(AD1736:AG1742)</f>
        <v>0</v>
      </c>
      <c r="AE1743" s="148"/>
      <c r="AF1743" s="148"/>
      <c r="AG1743" s="149"/>
      <c r="AH1743" s="147">
        <f>SUM(AH1736:AK1742)</f>
        <v>0</v>
      </c>
      <c r="AI1743" s="148"/>
      <c r="AJ1743" s="148"/>
      <c r="AK1743" s="149"/>
      <c r="AL1743" s="147">
        <f>SUM(AL1736:AO1742)</f>
        <v>0</v>
      </c>
      <c r="AM1743" s="148"/>
      <c r="AN1743" s="148"/>
      <c r="AO1743" s="149"/>
      <c r="AP1743" s="147">
        <f>SUM(AP1736:AS1742)</f>
        <v>0</v>
      </c>
      <c r="AQ1743" s="148"/>
      <c r="AR1743" s="148"/>
      <c r="AS1743" s="149"/>
      <c r="AT1743" s="147">
        <f>SUM(AT1736:AW1742)</f>
        <v>0</v>
      </c>
      <c r="AU1743" s="148"/>
      <c r="AV1743" s="148"/>
      <c r="AW1743" s="149"/>
      <c r="AX1743" s="87">
        <f>SUM(AX1736:AX1742)</f>
        <v>0</v>
      </c>
      <c r="AY1743" s="88">
        <f>IFERROR(AVERAGEIF(E1743:AV1743,"&lt;&gt;0",(E1743:AV1743)),)</f>
        <v>0</v>
      </c>
      <c r="AZ1743" s="46">
        <f>IFERROR(AX1743/BB1737,0)</f>
        <v>0</v>
      </c>
      <c r="BA1743" s="34"/>
      <c r="BB1743" s="34"/>
      <c r="BC1743" s="34"/>
      <c r="BD1743" s="76"/>
      <c r="BE1743" s="34"/>
      <c r="BF1743" s="34"/>
      <c r="BG1743" s="34"/>
      <c r="BH1743" s="34"/>
    </row>
    <row r="1744" spans="1:60" s="17" customFormat="1" ht="19.5" customHeight="1" thickBot="1" x14ac:dyDescent="0.4">
      <c r="A1744" s="42">
        <f>A1735</f>
        <v>45448</v>
      </c>
      <c r="B1744" s="38">
        <v>50</v>
      </c>
      <c r="C1744" s="39" t="s">
        <v>180</v>
      </c>
      <c r="D1744" s="69" t="s">
        <v>181</v>
      </c>
      <c r="E1744" s="48">
        <v>0.34375</v>
      </c>
      <c r="F1744" s="49">
        <v>0.35416666666666669</v>
      </c>
      <c r="G1744" s="49">
        <v>0.36458333333333331</v>
      </c>
      <c r="H1744" s="50">
        <v>0.375</v>
      </c>
      <c r="I1744" s="48">
        <v>0.38541666666666702</v>
      </c>
      <c r="J1744" s="49">
        <v>0.39583333333333298</v>
      </c>
      <c r="K1744" s="49">
        <v>0.40625</v>
      </c>
      <c r="L1744" s="50">
        <v>0.41666666666666702</v>
      </c>
      <c r="M1744" s="48">
        <v>0.4375</v>
      </c>
      <c r="N1744" s="49">
        <v>0.44791666666666702</v>
      </c>
      <c r="O1744" s="49">
        <v>0.45833333333333398</v>
      </c>
      <c r="P1744" s="50">
        <v>0.46875</v>
      </c>
      <c r="Q1744" s="82">
        <v>0.47916666666666702</v>
      </c>
      <c r="R1744" s="83">
        <v>0.48958333333333398</v>
      </c>
      <c r="S1744" s="83">
        <v>0.5</v>
      </c>
      <c r="T1744" s="84">
        <v>0.51041666666666696</v>
      </c>
      <c r="U1744" s="85">
        <v>0.52083333333333204</v>
      </c>
      <c r="V1744" s="48">
        <v>0.5625</v>
      </c>
      <c r="W1744" s="49">
        <v>0.57291666666666663</v>
      </c>
      <c r="X1744" s="49">
        <v>0.58333333333333304</v>
      </c>
      <c r="Y1744" s="50">
        <v>0.59375</v>
      </c>
      <c r="Z1744" s="48">
        <v>0.60416666666666696</v>
      </c>
      <c r="AA1744" s="49">
        <v>0.61458333333333304</v>
      </c>
      <c r="AB1744" s="49">
        <v>0.625</v>
      </c>
      <c r="AC1744" s="50">
        <v>0.63541666666666596</v>
      </c>
      <c r="AD1744" s="48">
        <v>0.65625</v>
      </c>
      <c r="AE1744" s="49">
        <v>0.66666666666666663</v>
      </c>
      <c r="AF1744" s="49">
        <v>0.67708333333333304</v>
      </c>
      <c r="AG1744" s="50">
        <v>0.6875</v>
      </c>
      <c r="AH1744" s="48">
        <v>0.69791666666666696</v>
      </c>
      <c r="AI1744" s="49">
        <v>0.70833333333333304</v>
      </c>
      <c r="AJ1744" s="49">
        <v>0.71875</v>
      </c>
      <c r="AK1744" s="50">
        <v>0.72916666666666696</v>
      </c>
      <c r="AL1744" s="48">
        <v>0.73958333333333404</v>
      </c>
      <c r="AM1744" s="49">
        <v>0.750000000000001</v>
      </c>
      <c r="AN1744" s="49">
        <v>0.76041666666666796</v>
      </c>
      <c r="AO1744" s="50">
        <v>0.77083333333333504</v>
      </c>
      <c r="AP1744" s="48">
        <v>0.781250000000002</v>
      </c>
      <c r="AQ1744" s="49">
        <v>0.79166666666666896</v>
      </c>
      <c r="AR1744" s="49">
        <v>0.80208333333333603</v>
      </c>
      <c r="AS1744" s="50">
        <v>0.812500000000003</v>
      </c>
      <c r="AT1744" s="48">
        <v>0.82291666666666996</v>
      </c>
      <c r="AU1744" s="49">
        <v>0.83333333333333703</v>
      </c>
      <c r="AV1744" s="49">
        <v>0.843750000000004</v>
      </c>
      <c r="AW1744" s="50">
        <v>0.85416666666666663</v>
      </c>
      <c r="AX1744" s="68" t="s">
        <v>260</v>
      </c>
      <c r="AY1744" s="28" t="s">
        <v>261</v>
      </c>
      <c r="AZ1744" s="29" t="s">
        <v>262</v>
      </c>
      <c r="BA1744" s="136" t="str">
        <f>B1745</f>
        <v>Ütü</v>
      </c>
      <c r="BB1744" s="137"/>
      <c r="BC1744" s="137"/>
      <c r="BD1744" s="137"/>
      <c r="BE1744" s="137"/>
      <c r="BF1744" s="137"/>
      <c r="BG1744" s="137"/>
      <c r="BH1744" s="138"/>
    </row>
    <row r="1745" spans="1:60" s="17" customFormat="1" ht="19.5" customHeight="1" thickBot="1" x14ac:dyDescent="0.4">
      <c r="A1745" s="41">
        <f t="shared" ref="A1745" si="1778">A1744</f>
        <v>45448</v>
      </c>
      <c r="B1745" s="37" t="str">
        <f>B1569</f>
        <v>Ütü</v>
      </c>
      <c r="C1745" s="65" t="str">
        <f>C1569</f>
        <v>FARUK BİÇER</v>
      </c>
      <c r="D1745" s="70">
        <f>D1569</f>
        <v>45</v>
      </c>
      <c r="E1745" s="63"/>
      <c r="F1745" s="55"/>
      <c r="G1745" s="55"/>
      <c r="H1745" s="56"/>
      <c r="I1745" s="63"/>
      <c r="J1745" s="55"/>
      <c r="K1745" s="55"/>
      <c r="L1745" s="56"/>
      <c r="M1745" s="63"/>
      <c r="N1745" s="55"/>
      <c r="O1745" s="55"/>
      <c r="P1745" s="56"/>
      <c r="Q1745" s="63"/>
      <c r="R1745" s="55"/>
      <c r="S1745" s="55"/>
      <c r="T1745" s="55"/>
      <c r="U1745" s="56"/>
      <c r="V1745" s="63"/>
      <c r="W1745" s="55"/>
      <c r="X1745" s="55"/>
      <c r="Y1745" s="56"/>
      <c r="Z1745" s="63"/>
      <c r="AA1745" s="55"/>
      <c r="AB1745" s="55"/>
      <c r="AC1745" s="56"/>
      <c r="AD1745" s="63"/>
      <c r="AE1745" s="55"/>
      <c r="AF1745" s="55"/>
      <c r="AG1745" s="56"/>
      <c r="AH1745" s="63"/>
      <c r="AI1745" s="55"/>
      <c r="AJ1745" s="55"/>
      <c r="AK1745" s="56"/>
      <c r="AL1745" s="53"/>
      <c r="AM1745" s="54"/>
      <c r="AN1745" s="55"/>
      <c r="AO1745" s="56"/>
      <c r="AP1745" s="53"/>
      <c r="AQ1745" s="54"/>
      <c r="AR1745" s="55"/>
      <c r="AS1745" s="56"/>
      <c r="AT1745" s="53"/>
      <c r="AU1745" s="54"/>
      <c r="AV1745" s="55"/>
      <c r="AW1745" s="56"/>
      <c r="AX1745" s="33">
        <f>SUM(E1745:AW1745)</f>
        <v>0</v>
      </c>
      <c r="AY1745" s="31">
        <f>IFERROR(AVERAGEIF(E1745:AW1745,"&lt;&gt;0",(E1745:AW1745)),)</f>
        <v>0</v>
      </c>
      <c r="AZ1745" s="30">
        <f>IFERROR(AY1745/D1745,0)</f>
        <v>0</v>
      </c>
      <c r="BA1745" s="103" t="s">
        <v>182</v>
      </c>
      <c r="BB1745" s="100" t="s">
        <v>183</v>
      </c>
      <c r="BC1745" s="100" t="s">
        <v>184</v>
      </c>
      <c r="BD1745" s="101" t="s">
        <v>185</v>
      </c>
      <c r="BE1745" s="100" t="s">
        <v>186</v>
      </c>
      <c r="BF1745" s="102" t="s">
        <v>187</v>
      </c>
      <c r="BG1745" s="100" t="s">
        <v>188</v>
      </c>
      <c r="BH1745" s="102" t="s">
        <v>189</v>
      </c>
    </row>
    <row r="1746" spans="1:60" s="17" customFormat="1" ht="19.5" customHeight="1" thickBot="1" x14ac:dyDescent="0.4">
      <c r="A1746" s="41">
        <f t="shared" ref="A1746:B1746" si="1779">A1745</f>
        <v>45448</v>
      </c>
      <c r="B1746" s="37" t="str">
        <f t="shared" si="1779"/>
        <v>Ütü</v>
      </c>
      <c r="C1746" s="65" t="str">
        <f t="shared" ref="C1746:C1751" si="1780">C1570</f>
        <v>HANİFE BOZKURT</v>
      </c>
      <c r="D1746" s="67">
        <f t="shared" ref="D1746:D1751" si="1781">D1745</f>
        <v>45</v>
      </c>
      <c r="E1746" s="57"/>
      <c r="F1746" s="52"/>
      <c r="G1746" s="52"/>
      <c r="H1746" s="58"/>
      <c r="I1746" s="57"/>
      <c r="J1746" s="52"/>
      <c r="K1746" s="52"/>
      <c r="L1746" s="58"/>
      <c r="M1746" s="57"/>
      <c r="N1746" s="52"/>
      <c r="O1746" s="52"/>
      <c r="P1746" s="58"/>
      <c r="Q1746" s="57"/>
      <c r="R1746" s="52"/>
      <c r="S1746" s="52"/>
      <c r="T1746" s="52"/>
      <c r="U1746" s="58"/>
      <c r="V1746" s="57"/>
      <c r="W1746" s="52"/>
      <c r="X1746" s="52"/>
      <c r="Y1746" s="58"/>
      <c r="Z1746" s="57"/>
      <c r="AA1746" s="52"/>
      <c r="AB1746" s="52"/>
      <c r="AC1746" s="58"/>
      <c r="AD1746" s="57"/>
      <c r="AE1746" s="52"/>
      <c r="AF1746" s="52"/>
      <c r="AG1746" s="58"/>
      <c r="AH1746" s="57"/>
      <c r="AI1746" s="52"/>
      <c r="AJ1746" s="52"/>
      <c r="AK1746" s="58"/>
      <c r="AL1746" s="57"/>
      <c r="AM1746" s="52"/>
      <c r="AN1746" s="52"/>
      <c r="AO1746" s="58"/>
      <c r="AP1746" s="57"/>
      <c r="AQ1746" s="52"/>
      <c r="AR1746" s="52"/>
      <c r="AS1746" s="58"/>
      <c r="AT1746" s="57"/>
      <c r="AU1746" s="52"/>
      <c r="AV1746" s="52"/>
      <c r="AW1746" s="58"/>
      <c r="AX1746" s="33">
        <f t="shared" ref="AX1746:AX1751" si="1782">SUM(E1746:AW1746)</f>
        <v>0</v>
      </c>
      <c r="AY1746" s="31">
        <f t="shared" ref="AY1746:AY1751" si="1783">IFERROR(AVERAGEIF(E1746:AW1746,"&lt;&gt;0",(E1746:AW1746)),)</f>
        <v>0</v>
      </c>
      <c r="AZ1746" s="30">
        <f t="shared" ref="AZ1746:AZ1751" si="1784">IFERROR(AY1746/D1746,0)</f>
        <v>0</v>
      </c>
      <c r="BA1746" s="94">
        <f>AX1752+BA1570</f>
        <v>10947</v>
      </c>
      <c r="BB1746" s="95">
        <f>(D1734*8)</f>
        <v>4000</v>
      </c>
      <c r="BC1746" s="96">
        <f>C1589-BA1746</f>
        <v>31364</v>
      </c>
      <c r="BD1746" s="96">
        <f>BA1719-BA1746</f>
        <v>4561</v>
      </c>
      <c r="BE1746" s="97">
        <f>IFERROR(BC1746/E1752,0)</f>
        <v>0</v>
      </c>
      <c r="BF1746" s="98">
        <f>IFERROR(BE1746/9,0)</f>
        <v>0</v>
      </c>
      <c r="BG1746" s="97">
        <f>IFERROR(BC1746/AY1752,0)</f>
        <v>0</v>
      </c>
      <c r="BH1746" s="97">
        <f>IFERROR(BG1746/9,0)</f>
        <v>0</v>
      </c>
    </row>
    <row r="1747" spans="1:60" s="17" customFormat="1" ht="19.5" customHeight="1" x14ac:dyDescent="0.35">
      <c r="A1747" s="41">
        <f t="shared" ref="A1747:B1747" si="1785">A1746</f>
        <v>45448</v>
      </c>
      <c r="B1747" s="37" t="str">
        <f t="shared" si="1785"/>
        <v>Ütü</v>
      </c>
      <c r="C1747" s="65" t="str">
        <f t="shared" si="1780"/>
        <v>BAİSE KURTULDU</v>
      </c>
      <c r="D1747" s="67">
        <f t="shared" si="1781"/>
        <v>45</v>
      </c>
      <c r="E1747" s="57"/>
      <c r="F1747" s="52"/>
      <c r="G1747" s="52"/>
      <c r="H1747" s="58"/>
      <c r="I1747" s="57"/>
      <c r="J1747" s="52"/>
      <c r="K1747" s="52"/>
      <c r="L1747" s="58"/>
      <c r="M1747" s="57"/>
      <c r="N1747" s="52"/>
      <c r="O1747" s="52"/>
      <c r="P1747" s="58"/>
      <c r="Q1747" s="57"/>
      <c r="R1747" s="52"/>
      <c r="S1747" s="52"/>
      <c r="T1747" s="52"/>
      <c r="U1747" s="58"/>
      <c r="V1747" s="57"/>
      <c r="W1747" s="52"/>
      <c r="X1747" s="52"/>
      <c r="Y1747" s="58"/>
      <c r="Z1747" s="57"/>
      <c r="AA1747" s="52"/>
      <c r="AB1747" s="52"/>
      <c r="AC1747" s="58"/>
      <c r="AD1747" s="57"/>
      <c r="AE1747" s="52"/>
      <c r="AF1747" s="52"/>
      <c r="AG1747" s="58"/>
      <c r="AH1747" s="57"/>
      <c r="AI1747" s="52"/>
      <c r="AJ1747" s="52"/>
      <c r="AK1747" s="58"/>
      <c r="AL1747" s="57"/>
      <c r="AM1747" s="52"/>
      <c r="AN1747" s="52"/>
      <c r="AO1747" s="58"/>
      <c r="AP1747" s="57"/>
      <c r="AQ1747" s="52"/>
      <c r="AR1747" s="52"/>
      <c r="AS1747" s="58"/>
      <c r="AT1747" s="57"/>
      <c r="AU1747" s="52"/>
      <c r="AV1747" s="52"/>
      <c r="AW1747" s="58"/>
      <c r="AX1747" s="33">
        <f t="shared" si="1782"/>
        <v>0</v>
      </c>
      <c r="AY1747" s="31">
        <f t="shared" si="1783"/>
        <v>0</v>
      </c>
      <c r="AZ1747" s="30">
        <f t="shared" si="1784"/>
        <v>0</v>
      </c>
      <c r="BA1747" s="34"/>
      <c r="BB1747" s="34"/>
      <c r="BC1747" s="34"/>
      <c r="BD1747" s="76"/>
      <c r="BE1747" s="34"/>
      <c r="BF1747" s="34"/>
      <c r="BG1747" s="34"/>
      <c r="BH1747" s="34"/>
    </row>
    <row r="1748" spans="1:60" s="17" customFormat="1" ht="19.5" customHeight="1" x14ac:dyDescent="0.35">
      <c r="A1748" s="41">
        <f t="shared" ref="A1748:B1749" si="1786">A1747</f>
        <v>45448</v>
      </c>
      <c r="B1748" s="37" t="str">
        <f t="shared" si="1786"/>
        <v>Ütü</v>
      </c>
      <c r="C1748" s="65" t="str">
        <f t="shared" si="1780"/>
        <v>DERYA KESKİN</v>
      </c>
      <c r="D1748" s="67">
        <f t="shared" si="1781"/>
        <v>45</v>
      </c>
      <c r="E1748" s="57"/>
      <c r="F1748" s="52"/>
      <c r="G1748" s="52"/>
      <c r="H1748" s="58"/>
      <c r="I1748" s="57"/>
      <c r="J1748" s="52"/>
      <c r="K1748" s="52"/>
      <c r="L1748" s="58"/>
      <c r="M1748" s="57"/>
      <c r="N1748" s="52"/>
      <c r="O1748" s="52"/>
      <c r="P1748" s="58"/>
      <c r="Q1748" s="57"/>
      <c r="R1748" s="52"/>
      <c r="S1748" s="52"/>
      <c r="T1748" s="52"/>
      <c r="U1748" s="58"/>
      <c r="V1748" s="57"/>
      <c r="W1748" s="52"/>
      <c r="X1748" s="52"/>
      <c r="Y1748" s="58"/>
      <c r="Z1748" s="57"/>
      <c r="AA1748" s="52"/>
      <c r="AB1748" s="52"/>
      <c r="AC1748" s="58"/>
      <c r="AD1748" s="57"/>
      <c r="AE1748" s="52"/>
      <c r="AF1748" s="52"/>
      <c r="AG1748" s="58"/>
      <c r="AH1748" s="57"/>
      <c r="AI1748" s="52"/>
      <c r="AJ1748" s="52"/>
      <c r="AK1748" s="58"/>
      <c r="AL1748" s="57"/>
      <c r="AM1748" s="52"/>
      <c r="AN1748" s="52"/>
      <c r="AO1748" s="58"/>
      <c r="AP1748" s="57"/>
      <c r="AQ1748" s="52"/>
      <c r="AR1748" s="52"/>
      <c r="AS1748" s="58"/>
      <c r="AT1748" s="57"/>
      <c r="AU1748" s="52"/>
      <c r="AV1748" s="52"/>
      <c r="AW1748" s="58"/>
      <c r="AX1748" s="33">
        <f t="shared" si="1782"/>
        <v>0</v>
      </c>
      <c r="AY1748" s="31">
        <f t="shared" si="1783"/>
        <v>0</v>
      </c>
      <c r="AZ1748" s="30">
        <f t="shared" si="1784"/>
        <v>0</v>
      </c>
      <c r="BA1748" s="34"/>
      <c r="BB1748" s="34"/>
      <c r="BC1748" s="34"/>
      <c r="BD1748" s="76"/>
      <c r="BE1748" s="34"/>
      <c r="BF1748" s="34"/>
      <c r="BG1748" s="34"/>
      <c r="BH1748" s="34"/>
    </row>
    <row r="1749" spans="1:60" s="17" customFormat="1" ht="19.5" customHeight="1" x14ac:dyDescent="0.35">
      <c r="A1749" s="41">
        <f>A1746</f>
        <v>45448</v>
      </c>
      <c r="B1749" s="37" t="str">
        <f t="shared" si="1786"/>
        <v>Ütü</v>
      </c>
      <c r="C1749" s="65" t="str">
        <f t="shared" si="1780"/>
        <v>NEDİME KÖSE</v>
      </c>
      <c r="D1749" s="67">
        <f t="shared" si="1781"/>
        <v>45</v>
      </c>
      <c r="E1749" s="57"/>
      <c r="F1749" s="52"/>
      <c r="G1749" s="52"/>
      <c r="H1749" s="58"/>
      <c r="I1749" s="57"/>
      <c r="J1749" s="52"/>
      <c r="K1749" s="52"/>
      <c r="L1749" s="58"/>
      <c r="M1749" s="57"/>
      <c r="N1749" s="52"/>
      <c r="O1749" s="52"/>
      <c r="P1749" s="58"/>
      <c r="Q1749" s="57"/>
      <c r="R1749" s="52"/>
      <c r="S1749" s="52"/>
      <c r="T1749" s="52"/>
      <c r="U1749" s="58"/>
      <c r="V1749" s="57"/>
      <c r="W1749" s="52"/>
      <c r="X1749" s="52"/>
      <c r="Y1749" s="58"/>
      <c r="Z1749" s="57"/>
      <c r="AA1749" s="52"/>
      <c r="AB1749" s="52"/>
      <c r="AC1749" s="58"/>
      <c r="AD1749" s="57"/>
      <c r="AE1749" s="52"/>
      <c r="AF1749" s="52"/>
      <c r="AG1749" s="58"/>
      <c r="AH1749" s="57"/>
      <c r="AI1749" s="52"/>
      <c r="AJ1749" s="52"/>
      <c r="AK1749" s="58"/>
      <c r="AL1749" s="57"/>
      <c r="AM1749" s="52"/>
      <c r="AN1749" s="52"/>
      <c r="AO1749" s="58"/>
      <c r="AP1749" s="57"/>
      <c r="AQ1749" s="52"/>
      <c r="AR1749" s="52"/>
      <c r="AS1749" s="58"/>
      <c r="AT1749" s="57"/>
      <c r="AU1749" s="52"/>
      <c r="AV1749" s="52"/>
      <c r="AW1749" s="58"/>
      <c r="AX1749" s="33">
        <f t="shared" si="1782"/>
        <v>0</v>
      </c>
      <c r="AY1749" s="31">
        <f t="shared" si="1783"/>
        <v>0</v>
      </c>
      <c r="AZ1749" s="30">
        <f t="shared" si="1784"/>
        <v>0</v>
      </c>
      <c r="BA1749" s="34"/>
      <c r="BB1749" s="34"/>
      <c r="BC1749" s="34"/>
      <c r="BD1749" s="76"/>
      <c r="BE1749" s="34"/>
      <c r="BF1749" s="34"/>
      <c r="BG1749" s="34"/>
      <c r="BH1749" s="34"/>
    </row>
    <row r="1750" spans="1:60" s="17" customFormat="1" ht="19.5" customHeight="1" x14ac:dyDescent="0.35">
      <c r="A1750" s="41">
        <f t="shared" ref="A1750:B1750" si="1787">A1749</f>
        <v>45448</v>
      </c>
      <c r="B1750" s="37" t="str">
        <f t="shared" si="1787"/>
        <v>Ütü</v>
      </c>
      <c r="C1750" s="65">
        <f t="shared" si="1780"/>
        <v>0</v>
      </c>
      <c r="D1750" s="67">
        <f t="shared" si="1781"/>
        <v>45</v>
      </c>
      <c r="E1750" s="57"/>
      <c r="F1750" s="52"/>
      <c r="G1750" s="52"/>
      <c r="H1750" s="58"/>
      <c r="I1750" s="57"/>
      <c r="J1750" s="52"/>
      <c r="K1750" s="52"/>
      <c r="L1750" s="58"/>
      <c r="M1750" s="57"/>
      <c r="N1750" s="52"/>
      <c r="O1750" s="52"/>
      <c r="P1750" s="78"/>
      <c r="Q1750" s="57"/>
      <c r="R1750" s="52"/>
      <c r="S1750" s="52"/>
      <c r="T1750" s="52"/>
      <c r="U1750" s="58"/>
      <c r="V1750" s="80"/>
      <c r="W1750" s="52"/>
      <c r="X1750" s="52"/>
      <c r="Y1750" s="58"/>
      <c r="Z1750" s="57"/>
      <c r="AA1750" s="52"/>
      <c r="AB1750" s="52"/>
      <c r="AC1750" s="58"/>
      <c r="AD1750" s="57"/>
      <c r="AE1750" s="52"/>
      <c r="AF1750" s="52"/>
      <c r="AG1750" s="58"/>
      <c r="AH1750" s="57"/>
      <c r="AI1750" s="52"/>
      <c r="AJ1750" s="52"/>
      <c r="AK1750" s="58"/>
      <c r="AL1750" s="57"/>
      <c r="AM1750" s="52"/>
      <c r="AN1750" s="52"/>
      <c r="AO1750" s="58"/>
      <c r="AP1750" s="57"/>
      <c r="AQ1750" s="52"/>
      <c r="AR1750" s="52"/>
      <c r="AS1750" s="58"/>
      <c r="AT1750" s="57"/>
      <c r="AU1750" s="52"/>
      <c r="AV1750" s="52"/>
      <c r="AW1750" s="58"/>
      <c r="AX1750" s="33">
        <f t="shared" si="1782"/>
        <v>0</v>
      </c>
      <c r="AY1750" s="31">
        <f t="shared" si="1783"/>
        <v>0</v>
      </c>
      <c r="AZ1750" s="30">
        <f t="shared" si="1784"/>
        <v>0</v>
      </c>
      <c r="BA1750" s="34"/>
      <c r="BB1750" s="34"/>
      <c r="BC1750" s="34"/>
      <c r="BD1750" s="76"/>
      <c r="BE1750" s="34"/>
      <c r="BF1750" s="34"/>
      <c r="BG1750" s="34"/>
      <c r="BH1750" s="34"/>
    </row>
    <row r="1751" spans="1:60" s="17" customFormat="1" ht="19.5" customHeight="1" thickBot="1" x14ac:dyDescent="0.4">
      <c r="A1751" s="41">
        <f t="shared" ref="A1751:B1752" si="1788">A1750</f>
        <v>45448</v>
      </c>
      <c r="B1751" s="37" t="str">
        <f t="shared" si="1788"/>
        <v>Ütü</v>
      </c>
      <c r="C1751" s="65">
        <f t="shared" si="1780"/>
        <v>0</v>
      </c>
      <c r="D1751" s="67">
        <f t="shared" si="1781"/>
        <v>45</v>
      </c>
      <c r="E1751" s="59"/>
      <c r="F1751" s="60"/>
      <c r="G1751" s="61"/>
      <c r="H1751" s="62"/>
      <c r="I1751" s="59"/>
      <c r="J1751" s="60"/>
      <c r="K1751" s="61"/>
      <c r="L1751" s="62"/>
      <c r="M1751" s="59"/>
      <c r="N1751" s="60"/>
      <c r="O1751" s="61"/>
      <c r="P1751" s="79"/>
      <c r="Q1751" s="64"/>
      <c r="R1751" s="61"/>
      <c r="S1751" s="61"/>
      <c r="T1751" s="61"/>
      <c r="U1751" s="62"/>
      <c r="V1751" s="81"/>
      <c r="W1751" s="60"/>
      <c r="X1751" s="61"/>
      <c r="Y1751" s="62"/>
      <c r="Z1751" s="59"/>
      <c r="AA1751" s="60"/>
      <c r="AB1751" s="61"/>
      <c r="AC1751" s="62"/>
      <c r="AD1751" s="59"/>
      <c r="AE1751" s="60"/>
      <c r="AF1751" s="61"/>
      <c r="AG1751" s="62"/>
      <c r="AH1751" s="59"/>
      <c r="AI1751" s="60"/>
      <c r="AJ1751" s="61"/>
      <c r="AK1751" s="62"/>
      <c r="AL1751" s="59"/>
      <c r="AM1751" s="60"/>
      <c r="AN1751" s="61"/>
      <c r="AO1751" s="62"/>
      <c r="AP1751" s="59"/>
      <c r="AQ1751" s="60"/>
      <c r="AR1751" s="61"/>
      <c r="AS1751" s="62"/>
      <c r="AT1751" s="59"/>
      <c r="AU1751" s="60"/>
      <c r="AV1751" s="61"/>
      <c r="AW1751" s="62"/>
      <c r="AX1751" s="33">
        <f t="shared" si="1782"/>
        <v>0</v>
      </c>
      <c r="AY1751" s="31">
        <f t="shared" si="1783"/>
        <v>0</v>
      </c>
      <c r="AZ1751" s="30">
        <f t="shared" si="1784"/>
        <v>0</v>
      </c>
      <c r="BA1751" s="34"/>
      <c r="BB1751" s="34"/>
      <c r="BC1751" s="34"/>
      <c r="BD1751" s="76"/>
      <c r="BE1751" s="34"/>
      <c r="BF1751" s="34"/>
      <c r="BG1751" s="34"/>
      <c r="BH1751" s="34"/>
    </row>
    <row r="1752" spans="1:60" s="17" customFormat="1" ht="19.5" customHeight="1" thickBot="1" x14ac:dyDescent="0.45">
      <c r="A1752" s="41">
        <f t="shared" si="1788"/>
        <v>45448</v>
      </c>
      <c r="B1752" s="139" t="str">
        <f>B1745</f>
        <v>Ütü</v>
      </c>
      <c r="C1752" s="140"/>
      <c r="D1752" s="40">
        <f>C1590/8</f>
        <v>500</v>
      </c>
      <c r="E1752" s="141">
        <f>SUM(E1745:H1751)</f>
        <v>0</v>
      </c>
      <c r="F1752" s="142"/>
      <c r="G1752" s="142"/>
      <c r="H1752" s="143"/>
      <c r="I1752" s="141">
        <f>SUM(I1745:L1751)</f>
        <v>0</v>
      </c>
      <c r="J1752" s="142"/>
      <c r="K1752" s="142"/>
      <c r="L1752" s="143"/>
      <c r="M1752" s="141">
        <f>SUM(M1745:P1751)</f>
        <v>0</v>
      </c>
      <c r="N1752" s="142"/>
      <c r="O1752" s="142"/>
      <c r="P1752" s="143"/>
      <c r="Q1752" s="144">
        <f>SUM(Q1745:U1751)</f>
        <v>0</v>
      </c>
      <c r="R1752" s="145"/>
      <c r="S1752" s="145"/>
      <c r="T1752" s="145"/>
      <c r="U1752" s="146"/>
      <c r="V1752" s="141">
        <f>SUM(V1745:Y1751)</f>
        <v>0</v>
      </c>
      <c r="W1752" s="142"/>
      <c r="X1752" s="142"/>
      <c r="Y1752" s="143"/>
      <c r="Z1752" s="141">
        <f>SUM(Z1745:AC1751)</f>
        <v>0</v>
      </c>
      <c r="AA1752" s="142"/>
      <c r="AB1752" s="142"/>
      <c r="AC1752" s="143"/>
      <c r="AD1752" s="147">
        <f>SUM(AD1745:AG1751)</f>
        <v>0</v>
      </c>
      <c r="AE1752" s="148"/>
      <c r="AF1752" s="148"/>
      <c r="AG1752" s="149"/>
      <c r="AH1752" s="147">
        <f>SUM(AH1745:AK1751)</f>
        <v>0</v>
      </c>
      <c r="AI1752" s="148"/>
      <c r="AJ1752" s="148"/>
      <c r="AK1752" s="149"/>
      <c r="AL1752" s="147">
        <f>SUM(AL1745:AO1751)</f>
        <v>0</v>
      </c>
      <c r="AM1752" s="148"/>
      <c r="AN1752" s="148"/>
      <c r="AO1752" s="149"/>
      <c r="AP1752" s="147">
        <f>SUM(AP1745:AS1751)</f>
        <v>0</v>
      </c>
      <c r="AQ1752" s="148"/>
      <c r="AR1752" s="148"/>
      <c r="AS1752" s="149"/>
      <c r="AT1752" s="147">
        <f>SUM(AT1745:AW1751)</f>
        <v>0</v>
      </c>
      <c r="AU1752" s="148"/>
      <c r="AV1752" s="148"/>
      <c r="AW1752" s="149"/>
      <c r="AX1752" s="87">
        <f>SUM(AX1745:AX1751)</f>
        <v>0</v>
      </c>
      <c r="AY1752" s="88">
        <f>IFERROR(AVERAGEIF(E1752:AV1752,"&lt;&gt;0",(E1752:AV1752)),)</f>
        <v>0</v>
      </c>
      <c r="AZ1752" s="46">
        <f>IFERROR(AX1752/BB1746,0)</f>
        <v>0</v>
      </c>
      <c r="BA1752" s="34"/>
      <c r="BB1752" s="34"/>
      <c r="BC1752" s="34"/>
      <c r="BD1752" s="76"/>
      <c r="BE1752" s="34"/>
      <c r="BF1752" s="34"/>
      <c r="BG1752" s="34"/>
      <c r="BH1752" s="34"/>
    </row>
    <row r="1753" spans="1:60" s="17" customFormat="1" ht="19.5" customHeight="1" thickBot="1" x14ac:dyDescent="0.4">
      <c r="A1753" s="115">
        <f>A1744</f>
        <v>45448</v>
      </c>
      <c r="B1753" s="113" t="str">
        <f>B1754</f>
        <v>Kalite</v>
      </c>
      <c r="C1753" s="39" t="s">
        <v>180</v>
      </c>
      <c r="D1753" s="69" t="s">
        <v>181</v>
      </c>
      <c r="E1753" s="48">
        <v>0.34375</v>
      </c>
      <c r="F1753" s="49">
        <v>0.35416666666666669</v>
      </c>
      <c r="G1753" s="49">
        <v>0.36458333333333331</v>
      </c>
      <c r="H1753" s="50">
        <v>0.375</v>
      </c>
      <c r="I1753" s="48">
        <v>0.38541666666666702</v>
      </c>
      <c r="J1753" s="49">
        <v>0.39583333333333298</v>
      </c>
      <c r="K1753" s="49">
        <v>0.40625</v>
      </c>
      <c r="L1753" s="50">
        <v>0.41666666666666702</v>
      </c>
      <c r="M1753" s="48">
        <v>0.4375</v>
      </c>
      <c r="N1753" s="49">
        <v>0.44791666666666702</v>
      </c>
      <c r="O1753" s="49">
        <v>0.45833333333333398</v>
      </c>
      <c r="P1753" s="50">
        <v>0.46875</v>
      </c>
      <c r="Q1753" s="82">
        <v>0.47916666666666702</v>
      </c>
      <c r="R1753" s="83">
        <v>0.48958333333333398</v>
      </c>
      <c r="S1753" s="83">
        <v>0.5</v>
      </c>
      <c r="T1753" s="84">
        <v>0.51041666666666696</v>
      </c>
      <c r="U1753" s="85">
        <v>0.52083333333333204</v>
      </c>
      <c r="V1753" s="48">
        <v>0.5625</v>
      </c>
      <c r="W1753" s="49">
        <v>0.57291666666666663</v>
      </c>
      <c r="X1753" s="49">
        <v>0.58333333333333304</v>
      </c>
      <c r="Y1753" s="50">
        <v>0.59375</v>
      </c>
      <c r="Z1753" s="48">
        <v>0.60416666666666696</v>
      </c>
      <c r="AA1753" s="49">
        <v>0.61458333333333304</v>
      </c>
      <c r="AB1753" s="49">
        <v>0.625</v>
      </c>
      <c r="AC1753" s="50">
        <v>0.63541666666666596</v>
      </c>
      <c r="AD1753" s="48">
        <v>0.65625</v>
      </c>
      <c r="AE1753" s="49">
        <v>0.66666666666666663</v>
      </c>
      <c r="AF1753" s="49">
        <v>0.67708333333333304</v>
      </c>
      <c r="AG1753" s="50">
        <v>0.6875</v>
      </c>
      <c r="AH1753" s="48">
        <v>0.69791666666666696</v>
      </c>
      <c r="AI1753" s="49">
        <v>0.70833333333333304</v>
      </c>
      <c r="AJ1753" s="49">
        <v>0.71875</v>
      </c>
      <c r="AK1753" s="50">
        <v>0.72916666666666696</v>
      </c>
      <c r="AL1753" s="48">
        <v>0.73958333333333404</v>
      </c>
      <c r="AM1753" s="49">
        <v>0.750000000000001</v>
      </c>
      <c r="AN1753" s="49">
        <v>0.76041666666666796</v>
      </c>
      <c r="AO1753" s="50">
        <v>0.77083333333333504</v>
      </c>
      <c r="AP1753" s="48">
        <v>0.781250000000002</v>
      </c>
      <c r="AQ1753" s="49">
        <v>0.79166666666666896</v>
      </c>
      <c r="AR1753" s="49">
        <v>0.80208333333333603</v>
      </c>
      <c r="AS1753" s="50">
        <v>0.812500000000003</v>
      </c>
      <c r="AT1753" s="48">
        <v>0.82291666666666996</v>
      </c>
      <c r="AU1753" s="49">
        <v>0.83333333333333703</v>
      </c>
      <c r="AV1753" s="49">
        <v>0.843750000000004</v>
      </c>
      <c r="AW1753" s="50">
        <v>0.85416666666666663</v>
      </c>
      <c r="AX1753" s="68" t="s">
        <v>260</v>
      </c>
      <c r="AY1753" s="28" t="s">
        <v>261</v>
      </c>
      <c r="AZ1753" s="29" t="s">
        <v>262</v>
      </c>
      <c r="BA1753" s="136" t="str">
        <f>B1754</f>
        <v>Kalite</v>
      </c>
      <c r="BB1753" s="137"/>
      <c r="BC1753" s="137"/>
      <c r="BD1753" s="137"/>
      <c r="BE1753" s="137"/>
      <c r="BF1753" s="137"/>
      <c r="BG1753" s="137"/>
      <c r="BH1753" s="138"/>
    </row>
    <row r="1754" spans="1:60" s="17" customFormat="1" ht="19.5" customHeight="1" thickBot="1" x14ac:dyDescent="0.4">
      <c r="A1754" s="116">
        <f t="shared" ref="A1754" si="1789">A1753</f>
        <v>45448</v>
      </c>
      <c r="B1754" s="114" t="str">
        <f>B1578</f>
        <v>Kalite</v>
      </c>
      <c r="C1754" s="65" t="str">
        <f>C1578</f>
        <v>MELAHAT EROL</v>
      </c>
      <c r="D1754" s="70">
        <f>D1578</f>
        <v>28</v>
      </c>
      <c r="E1754" s="63"/>
      <c r="F1754" s="55"/>
      <c r="G1754" s="55"/>
      <c r="H1754" s="56"/>
      <c r="I1754" s="63"/>
      <c r="J1754" s="55"/>
      <c r="K1754" s="55"/>
      <c r="L1754" s="56"/>
      <c r="M1754" s="63"/>
      <c r="N1754" s="55"/>
      <c r="O1754" s="55"/>
      <c r="P1754" s="56"/>
      <c r="Q1754" s="63"/>
      <c r="R1754" s="55"/>
      <c r="S1754" s="55"/>
      <c r="T1754" s="55"/>
      <c r="U1754" s="56"/>
      <c r="V1754" s="63"/>
      <c r="W1754" s="55"/>
      <c r="X1754" s="55"/>
      <c r="Y1754" s="56"/>
      <c r="Z1754" s="63"/>
      <c r="AA1754" s="55"/>
      <c r="AB1754" s="55"/>
      <c r="AC1754" s="56"/>
      <c r="AD1754" s="63"/>
      <c r="AE1754" s="55"/>
      <c r="AF1754" s="55"/>
      <c r="AG1754" s="56"/>
      <c r="AH1754" s="63"/>
      <c r="AI1754" s="55"/>
      <c r="AJ1754" s="55"/>
      <c r="AK1754" s="56"/>
      <c r="AL1754" s="53"/>
      <c r="AM1754" s="54"/>
      <c r="AN1754" s="55"/>
      <c r="AO1754" s="56"/>
      <c r="AP1754" s="53"/>
      <c r="AQ1754" s="54"/>
      <c r="AR1754" s="55"/>
      <c r="AS1754" s="56"/>
      <c r="AT1754" s="53"/>
      <c r="AU1754" s="54"/>
      <c r="AV1754" s="55"/>
      <c r="AW1754" s="56"/>
      <c r="AX1754" s="33">
        <f>SUM(E1754:AW1754)</f>
        <v>0</v>
      </c>
      <c r="AY1754" s="31">
        <f>IFERROR(AVERAGEIF(E1754:AW1754,"&lt;&gt;0",(E1754:AW1754)),)</f>
        <v>0</v>
      </c>
      <c r="AZ1754" s="30">
        <f>IFERROR(AY1754/D1754,0)</f>
        <v>0</v>
      </c>
      <c r="BA1754" s="103" t="s">
        <v>182</v>
      </c>
      <c r="BB1754" s="100" t="s">
        <v>183</v>
      </c>
      <c r="BC1754" s="100" t="s">
        <v>184</v>
      </c>
      <c r="BD1754" s="101" t="s">
        <v>185</v>
      </c>
      <c r="BE1754" s="100" t="s">
        <v>186</v>
      </c>
      <c r="BF1754" s="102" t="s">
        <v>187</v>
      </c>
      <c r="BG1754" s="100" t="s">
        <v>188</v>
      </c>
      <c r="BH1754" s="102" t="s">
        <v>189</v>
      </c>
    </row>
    <row r="1755" spans="1:60" s="17" customFormat="1" ht="19.5" customHeight="1" thickBot="1" x14ac:dyDescent="0.4">
      <c r="A1755" s="116">
        <f t="shared" ref="A1755:B1755" si="1790">A1754</f>
        <v>45448</v>
      </c>
      <c r="B1755" s="114" t="str">
        <f t="shared" si="1790"/>
        <v>Kalite</v>
      </c>
      <c r="C1755" s="65" t="str">
        <f t="shared" ref="C1755:C1760" si="1791">C1579</f>
        <v>DERYA KESKİN</v>
      </c>
      <c r="D1755" s="67">
        <f t="shared" ref="D1755:D1760" si="1792">D1754</f>
        <v>28</v>
      </c>
      <c r="E1755" s="57"/>
      <c r="F1755" s="52"/>
      <c r="G1755" s="52"/>
      <c r="H1755" s="58"/>
      <c r="I1755" s="57"/>
      <c r="J1755" s="52"/>
      <c r="K1755" s="52"/>
      <c r="L1755" s="58"/>
      <c r="M1755" s="57"/>
      <c r="N1755" s="52"/>
      <c r="O1755" s="52"/>
      <c r="P1755" s="58"/>
      <c r="Q1755" s="57"/>
      <c r="R1755" s="52"/>
      <c r="S1755" s="52"/>
      <c r="T1755" s="52"/>
      <c r="U1755" s="58"/>
      <c r="V1755" s="57"/>
      <c r="W1755" s="52"/>
      <c r="X1755" s="52"/>
      <c r="Y1755" s="58"/>
      <c r="Z1755" s="57"/>
      <c r="AA1755" s="52"/>
      <c r="AB1755" s="52"/>
      <c r="AC1755" s="58"/>
      <c r="AD1755" s="57"/>
      <c r="AE1755" s="52"/>
      <c r="AF1755" s="52"/>
      <c r="AG1755" s="58"/>
      <c r="AH1755" s="57"/>
      <c r="AI1755" s="52"/>
      <c r="AJ1755" s="52"/>
      <c r="AK1755" s="58"/>
      <c r="AL1755" s="57"/>
      <c r="AM1755" s="52"/>
      <c r="AN1755" s="52"/>
      <c r="AO1755" s="58"/>
      <c r="AP1755" s="57"/>
      <c r="AQ1755" s="52"/>
      <c r="AR1755" s="52"/>
      <c r="AS1755" s="58"/>
      <c r="AT1755" s="57"/>
      <c r="AU1755" s="52"/>
      <c r="AV1755" s="52"/>
      <c r="AW1755" s="58"/>
      <c r="AX1755" s="33">
        <f t="shared" ref="AX1755:AX1760" si="1793">SUM(E1755:AW1755)</f>
        <v>0</v>
      </c>
      <c r="AY1755" s="31">
        <f t="shared" ref="AY1755:AY1760" si="1794">IFERROR(AVERAGEIF(E1755:AW1755,"&lt;&gt;0",(E1755:AW1755)),)</f>
        <v>0</v>
      </c>
      <c r="AZ1755" s="30">
        <f t="shared" ref="AZ1755:AZ1760" si="1795">IFERROR(AY1755/D1755,0)</f>
        <v>0</v>
      </c>
      <c r="BA1755" s="94">
        <f>AX1761+BA1579</f>
        <v>10543</v>
      </c>
      <c r="BB1755" s="95">
        <f>(D1761*8)</f>
        <v>4000</v>
      </c>
      <c r="BC1755" s="96">
        <f>C1589-BA1755</f>
        <v>31768</v>
      </c>
      <c r="BD1755" s="96">
        <f>BA1746-BA1755</f>
        <v>404</v>
      </c>
      <c r="BE1755" s="97">
        <f>IFERROR(BC1755/E1761,0)</f>
        <v>0</v>
      </c>
      <c r="BF1755" s="98">
        <f>IFERROR(BE1755/9,0)</f>
        <v>0</v>
      </c>
      <c r="BG1755" s="97">
        <f>IFERROR(BC1755/AY1761,0)</f>
        <v>0</v>
      </c>
      <c r="BH1755" s="97">
        <f>IFERROR(BG1755/9,0)</f>
        <v>0</v>
      </c>
    </row>
    <row r="1756" spans="1:60" s="17" customFormat="1" ht="19.5" customHeight="1" x14ac:dyDescent="0.35">
      <c r="A1756" s="116">
        <f t="shared" ref="A1756:B1756" si="1796">A1755</f>
        <v>45448</v>
      </c>
      <c r="B1756" s="114" t="str">
        <f t="shared" si="1796"/>
        <v>Kalite</v>
      </c>
      <c r="C1756" s="65" t="str">
        <f t="shared" si="1791"/>
        <v>GÜLCAN MUHTANCI</v>
      </c>
      <c r="D1756" s="67">
        <f t="shared" si="1792"/>
        <v>28</v>
      </c>
      <c r="E1756" s="57"/>
      <c r="F1756" s="52"/>
      <c r="G1756" s="52"/>
      <c r="H1756" s="58"/>
      <c r="I1756" s="57"/>
      <c r="J1756" s="52"/>
      <c r="K1756" s="52"/>
      <c r="L1756" s="58"/>
      <c r="M1756" s="57"/>
      <c r="N1756" s="52"/>
      <c r="O1756" s="52"/>
      <c r="P1756" s="58"/>
      <c r="Q1756" s="57"/>
      <c r="R1756" s="52"/>
      <c r="S1756" s="52"/>
      <c r="T1756" s="52"/>
      <c r="U1756" s="58"/>
      <c r="V1756" s="57"/>
      <c r="W1756" s="52"/>
      <c r="X1756" s="52"/>
      <c r="Y1756" s="58"/>
      <c r="Z1756" s="57"/>
      <c r="AA1756" s="52"/>
      <c r="AB1756" s="52"/>
      <c r="AC1756" s="58"/>
      <c r="AD1756" s="57"/>
      <c r="AE1756" s="52"/>
      <c r="AF1756" s="52"/>
      <c r="AG1756" s="58"/>
      <c r="AH1756" s="57"/>
      <c r="AI1756" s="52"/>
      <c r="AJ1756" s="52"/>
      <c r="AK1756" s="58"/>
      <c r="AL1756" s="57"/>
      <c r="AM1756" s="52"/>
      <c r="AN1756" s="52"/>
      <c r="AO1756" s="58"/>
      <c r="AP1756" s="57"/>
      <c r="AQ1756" s="52"/>
      <c r="AR1756" s="52"/>
      <c r="AS1756" s="58"/>
      <c r="AT1756" s="57"/>
      <c r="AU1756" s="52"/>
      <c r="AV1756" s="52"/>
      <c r="AW1756" s="58"/>
      <c r="AX1756" s="33">
        <f t="shared" si="1793"/>
        <v>0</v>
      </c>
      <c r="AY1756" s="31">
        <f t="shared" si="1794"/>
        <v>0</v>
      </c>
      <c r="AZ1756" s="30">
        <f t="shared" si="1795"/>
        <v>0</v>
      </c>
      <c r="BA1756" s="34"/>
      <c r="BB1756" s="34"/>
      <c r="BC1756" s="34"/>
      <c r="BD1756" s="76"/>
      <c r="BE1756" s="34"/>
      <c r="BF1756" s="34"/>
      <c r="BG1756" s="34"/>
      <c r="BH1756" s="34"/>
    </row>
    <row r="1757" spans="1:60" s="17" customFormat="1" ht="19.5" customHeight="1" x14ac:dyDescent="0.35">
      <c r="A1757" s="116">
        <f t="shared" ref="A1757:B1758" si="1797">A1756</f>
        <v>45448</v>
      </c>
      <c r="B1757" s="114" t="str">
        <f t="shared" si="1797"/>
        <v>Kalite</v>
      </c>
      <c r="C1757" s="65" t="str">
        <f t="shared" si="1791"/>
        <v>NEZAHAT ALTIN</v>
      </c>
      <c r="D1757" s="67">
        <f t="shared" si="1792"/>
        <v>28</v>
      </c>
      <c r="E1757" s="57"/>
      <c r="F1757" s="52"/>
      <c r="G1757" s="52"/>
      <c r="H1757" s="58"/>
      <c r="I1757" s="57"/>
      <c r="J1757" s="52"/>
      <c r="K1757" s="52"/>
      <c r="L1757" s="58"/>
      <c r="M1757" s="57"/>
      <c r="N1757" s="52"/>
      <c r="O1757" s="52"/>
      <c r="P1757" s="58"/>
      <c r="Q1757" s="57"/>
      <c r="R1757" s="52"/>
      <c r="S1757" s="52"/>
      <c r="T1757" s="52"/>
      <c r="U1757" s="58"/>
      <c r="V1757" s="57"/>
      <c r="W1757" s="52"/>
      <c r="X1757" s="52"/>
      <c r="Y1757" s="58"/>
      <c r="Z1757" s="57"/>
      <c r="AA1757" s="52"/>
      <c r="AB1757" s="52"/>
      <c r="AC1757" s="58"/>
      <c r="AD1757" s="57"/>
      <c r="AE1757" s="52"/>
      <c r="AF1757" s="52"/>
      <c r="AG1757" s="58"/>
      <c r="AH1757" s="57"/>
      <c r="AI1757" s="52"/>
      <c r="AJ1757" s="52"/>
      <c r="AK1757" s="58"/>
      <c r="AL1757" s="57"/>
      <c r="AM1757" s="52"/>
      <c r="AN1757" s="52"/>
      <c r="AO1757" s="58"/>
      <c r="AP1757" s="57"/>
      <c r="AQ1757" s="52"/>
      <c r="AR1757" s="52"/>
      <c r="AS1757" s="58"/>
      <c r="AT1757" s="57"/>
      <c r="AU1757" s="52"/>
      <c r="AV1757" s="52"/>
      <c r="AW1757" s="58"/>
      <c r="AX1757" s="33">
        <f t="shared" si="1793"/>
        <v>0</v>
      </c>
      <c r="AY1757" s="31">
        <f t="shared" si="1794"/>
        <v>0</v>
      </c>
      <c r="AZ1757" s="30">
        <f t="shared" si="1795"/>
        <v>0</v>
      </c>
      <c r="BA1757" s="34"/>
      <c r="BB1757" s="34"/>
      <c r="BC1757" s="34"/>
      <c r="BD1757" s="76"/>
      <c r="BE1757" s="34"/>
      <c r="BF1757" s="34"/>
      <c r="BG1757" s="34"/>
      <c r="BH1757" s="34"/>
    </row>
    <row r="1758" spans="1:60" s="17" customFormat="1" ht="19.5" customHeight="1" x14ac:dyDescent="0.35">
      <c r="A1758" s="116">
        <f>A1755</f>
        <v>45448</v>
      </c>
      <c r="B1758" s="114" t="str">
        <f t="shared" si="1797"/>
        <v>Kalite</v>
      </c>
      <c r="C1758" s="65" t="str">
        <f t="shared" si="1791"/>
        <v>NEDİME KÖSE</v>
      </c>
      <c r="D1758" s="67">
        <f t="shared" si="1792"/>
        <v>28</v>
      </c>
      <c r="E1758" s="57"/>
      <c r="F1758" s="52"/>
      <c r="G1758" s="52"/>
      <c r="H1758" s="58"/>
      <c r="I1758" s="57"/>
      <c r="J1758" s="52"/>
      <c r="K1758" s="52"/>
      <c r="L1758" s="58"/>
      <c r="M1758" s="57"/>
      <c r="N1758" s="52"/>
      <c r="O1758" s="52"/>
      <c r="P1758" s="58"/>
      <c r="Q1758" s="57"/>
      <c r="R1758" s="52"/>
      <c r="S1758" s="52"/>
      <c r="T1758" s="52"/>
      <c r="U1758" s="58"/>
      <c r="V1758" s="57"/>
      <c r="W1758" s="52"/>
      <c r="X1758" s="52"/>
      <c r="Y1758" s="58"/>
      <c r="Z1758" s="57"/>
      <c r="AA1758" s="52"/>
      <c r="AB1758" s="52"/>
      <c r="AC1758" s="58"/>
      <c r="AD1758" s="57"/>
      <c r="AE1758" s="52"/>
      <c r="AF1758" s="52"/>
      <c r="AG1758" s="58"/>
      <c r="AH1758" s="57"/>
      <c r="AI1758" s="52"/>
      <c r="AJ1758" s="52"/>
      <c r="AK1758" s="58"/>
      <c r="AL1758" s="57"/>
      <c r="AM1758" s="52"/>
      <c r="AN1758" s="52"/>
      <c r="AO1758" s="58"/>
      <c r="AP1758" s="57"/>
      <c r="AQ1758" s="52"/>
      <c r="AR1758" s="52"/>
      <c r="AS1758" s="58"/>
      <c r="AT1758" s="57"/>
      <c r="AU1758" s="52"/>
      <c r="AV1758" s="52"/>
      <c r="AW1758" s="58"/>
      <c r="AX1758" s="33">
        <f t="shared" si="1793"/>
        <v>0</v>
      </c>
      <c r="AY1758" s="31">
        <f t="shared" si="1794"/>
        <v>0</v>
      </c>
      <c r="AZ1758" s="30">
        <f t="shared" si="1795"/>
        <v>0</v>
      </c>
      <c r="BA1758" s="34"/>
      <c r="BB1758" s="34"/>
      <c r="BC1758" s="34"/>
      <c r="BD1758" s="76"/>
      <c r="BE1758" s="34"/>
      <c r="BF1758" s="34"/>
      <c r="BG1758" s="34"/>
      <c r="BH1758" s="34"/>
    </row>
    <row r="1759" spans="1:60" s="17" customFormat="1" ht="19.5" customHeight="1" x14ac:dyDescent="0.35">
      <c r="A1759" s="116">
        <f t="shared" ref="A1759:B1759" si="1798">A1758</f>
        <v>45448</v>
      </c>
      <c r="B1759" s="114" t="str">
        <f t="shared" si="1798"/>
        <v>Kalite</v>
      </c>
      <c r="C1759" s="65" t="str">
        <f t="shared" si="1791"/>
        <v>ESRA DURSUN</v>
      </c>
      <c r="D1759" s="67">
        <f t="shared" si="1792"/>
        <v>28</v>
      </c>
      <c r="E1759" s="57"/>
      <c r="F1759" s="52"/>
      <c r="G1759" s="52"/>
      <c r="H1759" s="58"/>
      <c r="I1759" s="57"/>
      <c r="J1759" s="52"/>
      <c r="K1759" s="52"/>
      <c r="L1759" s="58"/>
      <c r="M1759" s="57"/>
      <c r="N1759" s="52"/>
      <c r="O1759" s="52"/>
      <c r="P1759" s="78"/>
      <c r="Q1759" s="57"/>
      <c r="R1759" s="52"/>
      <c r="S1759" s="52"/>
      <c r="T1759" s="52"/>
      <c r="U1759" s="58"/>
      <c r="V1759" s="80"/>
      <c r="W1759" s="52"/>
      <c r="X1759" s="52"/>
      <c r="Y1759" s="58"/>
      <c r="Z1759" s="57"/>
      <c r="AA1759" s="52"/>
      <c r="AB1759" s="52"/>
      <c r="AC1759" s="58"/>
      <c r="AD1759" s="57"/>
      <c r="AE1759" s="52"/>
      <c r="AF1759" s="52"/>
      <c r="AG1759" s="58"/>
      <c r="AH1759" s="57"/>
      <c r="AI1759" s="52"/>
      <c r="AJ1759" s="52"/>
      <c r="AK1759" s="58"/>
      <c r="AL1759" s="57"/>
      <c r="AM1759" s="52"/>
      <c r="AN1759" s="52"/>
      <c r="AO1759" s="58"/>
      <c r="AP1759" s="57"/>
      <c r="AQ1759" s="52"/>
      <c r="AR1759" s="52"/>
      <c r="AS1759" s="58"/>
      <c r="AT1759" s="57"/>
      <c r="AU1759" s="52"/>
      <c r="AV1759" s="52"/>
      <c r="AW1759" s="58"/>
      <c r="AX1759" s="33">
        <f t="shared" si="1793"/>
        <v>0</v>
      </c>
      <c r="AY1759" s="31">
        <f t="shared" si="1794"/>
        <v>0</v>
      </c>
      <c r="AZ1759" s="30">
        <f t="shared" si="1795"/>
        <v>0</v>
      </c>
      <c r="BA1759" s="34"/>
      <c r="BB1759" s="34"/>
      <c r="BC1759" s="34"/>
      <c r="BD1759" s="76"/>
      <c r="BE1759" s="34"/>
      <c r="BF1759" s="34"/>
      <c r="BG1759" s="34"/>
      <c r="BH1759" s="34"/>
    </row>
    <row r="1760" spans="1:60" s="17" customFormat="1" ht="19.5" customHeight="1" thickBot="1" x14ac:dyDescent="0.4">
      <c r="A1760" s="116">
        <f t="shared" ref="A1760:B1761" si="1799">A1759</f>
        <v>45448</v>
      </c>
      <c r="B1760" s="114" t="str">
        <f t="shared" si="1799"/>
        <v>Kalite</v>
      </c>
      <c r="C1760" s="65" t="str">
        <f t="shared" si="1791"/>
        <v>NECLA KOÇ</v>
      </c>
      <c r="D1760" s="67">
        <f t="shared" si="1792"/>
        <v>28</v>
      </c>
      <c r="E1760" s="59"/>
      <c r="F1760" s="60"/>
      <c r="G1760" s="61"/>
      <c r="H1760" s="62"/>
      <c r="I1760" s="59"/>
      <c r="J1760" s="60"/>
      <c r="K1760" s="61"/>
      <c r="L1760" s="62"/>
      <c r="M1760" s="59"/>
      <c r="N1760" s="60"/>
      <c r="O1760" s="61"/>
      <c r="P1760" s="79"/>
      <c r="Q1760" s="64"/>
      <c r="R1760" s="61"/>
      <c r="S1760" s="61"/>
      <c r="T1760" s="61"/>
      <c r="U1760" s="62"/>
      <c r="V1760" s="81"/>
      <c r="W1760" s="60"/>
      <c r="X1760" s="61"/>
      <c r="Y1760" s="62"/>
      <c r="Z1760" s="59"/>
      <c r="AA1760" s="60"/>
      <c r="AB1760" s="61"/>
      <c r="AC1760" s="62"/>
      <c r="AD1760" s="59"/>
      <c r="AE1760" s="60"/>
      <c r="AF1760" s="61"/>
      <c r="AG1760" s="62"/>
      <c r="AH1760" s="59"/>
      <c r="AI1760" s="60"/>
      <c r="AJ1760" s="61"/>
      <c r="AK1760" s="62"/>
      <c r="AL1760" s="59"/>
      <c r="AM1760" s="60"/>
      <c r="AN1760" s="61"/>
      <c r="AO1760" s="62"/>
      <c r="AP1760" s="59"/>
      <c r="AQ1760" s="60"/>
      <c r="AR1760" s="61"/>
      <c r="AS1760" s="62"/>
      <c r="AT1760" s="59"/>
      <c r="AU1760" s="60"/>
      <c r="AV1760" s="61"/>
      <c r="AW1760" s="62"/>
      <c r="AX1760" s="33">
        <f t="shared" si="1793"/>
        <v>0</v>
      </c>
      <c r="AY1760" s="31">
        <f t="shared" si="1794"/>
        <v>0</v>
      </c>
      <c r="AZ1760" s="30">
        <f t="shared" si="1795"/>
        <v>0</v>
      </c>
      <c r="BA1760" s="34"/>
      <c r="BB1760" s="34"/>
      <c r="BC1760" s="34"/>
      <c r="BD1760" s="76"/>
      <c r="BE1760" s="34"/>
      <c r="BF1760" s="34"/>
      <c r="BG1760" s="34"/>
      <c r="BH1760" s="34"/>
    </row>
    <row r="1761" spans="1:60" s="17" customFormat="1" ht="19.5" customHeight="1" thickBot="1" x14ac:dyDescent="0.45">
      <c r="A1761" s="117">
        <f t="shared" si="1799"/>
        <v>45448</v>
      </c>
      <c r="B1761" s="150" t="str">
        <f>B1754</f>
        <v>Kalite</v>
      </c>
      <c r="C1761" s="140"/>
      <c r="D1761" s="40">
        <f>C1590/8</f>
        <v>500</v>
      </c>
      <c r="E1761" s="147">
        <f>SUM(E1754:H1760)</f>
        <v>0</v>
      </c>
      <c r="F1761" s="148"/>
      <c r="G1761" s="148"/>
      <c r="H1761" s="149"/>
      <c r="I1761" s="147">
        <f>SUM(I1754:L1760)</f>
        <v>0</v>
      </c>
      <c r="J1761" s="148"/>
      <c r="K1761" s="148"/>
      <c r="L1761" s="149"/>
      <c r="M1761" s="147">
        <f>SUM(M1754:P1760)</f>
        <v>0</v>
      </c>
      <c r="N1761" s="148"/>
      <c r="O1761" s="148"/>
      <c r="P1761" s="149"/>
      <c r="Q1761" s="147">
        <f>SUM(Q1754:U1760)</f>
        <v>0</v>
      </c>
      <c r="R1761" s="148"/>
      <c r="S1761" s="148"/>
      <c r="T1761" s="148"/>
      <c r="U1761" s="149"/>
      <c r="V1761" s="147">
        <f>SUM(V1754:Y1760)</f>
        <v>0</v>
      </c>
      <c r="W1761" s="148"/>
      <c r="X1761" s="148"/>
      <c r="Y1761" s="149"/>
      <c r="Z1761" s="147">
        <f>SUM(Z1754:AC1760)</f>
        <v>0</v>
      </c>
      <c r="AA1761" s="148"/>
      <c r="AB1761" s="148"/>
      <c r="AC1761" s="149"/>
      <c r="AD1761" s="147">
        <f>SUM(AD1754:AG1760)</f>
        <v>0</v>
      </c>
      <c r="AE1761" s="148"/>
      <c r="AF1761" s="148"/>
      <c r="AG1761" s="149"/>
      <c r="AH1761" s="147">
        <f>SUM(AH1754:AK1760)</f>
        <v>0</v>
      </c>
      <c r="AI1761" s="148"/>
      <c r="AJ1761" s="148"/>
      <c r="AK1761" s="149"/>
      <c r="AL1761" s="147">
        <f>SUM(AL1754:AO1760)</f>
        <v>0</v>
      </c>
      <c r="AM1761" s="148"/>
      <c r="AN1761" s="148"/>
      <c r="AO1761" s="149"/>
      <c r="AP1761" s="147">
        <f>SUM(AP1754:AS1760)</f>
        <v>0</v>
      </c>
      <c r="AQ1761" s="148"/>
      <c r="AR1761" s="148"/>
      <c r="AS1761" s="149"/>
      <c r="AT1761" s="147">
        <f>SUM(AT1754:AW1760)</f>
        <v>0</v>
      </c>
      <c r="AU1761" s="148"/>
      <c r="AV1761" s="148"/>
      <c r="AW1761" s="149"/>
      <c r="AX1761" s="87">
        <f>SUM(AX1754:AX1760)</f>
        <v>0</v>
      </c>
      <c r="AY1761" s="88">
        <f>IFERROR(AVERAGEIF(E1761:AV1761,"&lt;&gt;0",(E1761:AV1761)),)</f>
        <v>0</v>
      </c>
      <c r="AZ1761" s="46">
        <f>IFERROR(AX1761/BB1755,0)</f>
        <v>0</v>
      </c>
      <c r="BA1761" s="34"/>
      <c r="BB1761" s="34"/>
      <c r="BC1761" s="34"/>
      <c r="BD1761" s="76"/>
      <c r="BE1761" s="34"/>
      <c r="BF1761" s="34"/>
      <c r="BG1761" s="34"/>
      <c r="BH1761" s="34"/>
    </row>
    <row r="1762" spans="1:60" s="17" customFormat="1" ht="19.5" customHeight="1" x14ac:dyDescent="0.35">
      <c r="A1762" s="109"/>
      <c r="B1762" s="35" t="s">
        <v>168</v>
      </c>
      <c r="C1762" s="24">
        <v>45449</v>
      </c>
      <c r="D1762" s="109"/>
      <c r="E1762" s="109"/>
      <c r="F1762" s="109"/>
      <c r="G1762" s="109"/>
      <c r="H1762" s="109"/>
      <c r="I1762" s="109"/>
      <c r="J1762" s="109"/>
      <c r="K1762" s="109"/>
      <c r="L1762" s="109"/>
      <c r="M1762" s="109"/>
      <c r="N1762" s="109"/>
      <c r="O1762" s="109"/>
      <c r="P1762" s="109"/>
      <c r="Q1762" s="109"/>
      <c r="R1762" s="109"/>
      <c r="S1762" s="109"/>
      <c r="T1762" s="109"/>
      <c r="U1762" s="109"/>
      <c r="V1762" s="109"/>
      <c r="W1762" s="109"/>
      <c r="X1762" s="109"/>
      <c r="Y1762" s="109"/>
      <c r="Z1762" s="109"/>
      <c r="AA1762" s="109"/>
      <c r="AB1762" s="109"/>
      <c r="AC1762" s="109"/>
      <c r="AD1762" s="109"/>
      <c r="AE1762" s="109"/>
      <c r="AF1762" s="109"/>
      <c r="AG1762" s="109"/>
      <c r="AH1762" s="109"/>
      <c r="AI1762" s="109"/>
      <c r="AJ1762" s="109"/>
      <c r="AK1762" s="109"/>
      <c r="AL1762" s="109"/>
      <c r="AM1762" s="109"/>
      <c r="AN1762" s="109"/>
      <c r="AO1762" s="109"/>
      <c r="AP1762" s="109"/>
      <c r="AQ1762" s="109"/>
      <c r="AR1762" s="109"/>
      <c r="AS1762" s="109"/>
      <c r="AT1762" s="109"/>
      <c r="AU1762" s="109"/>
      <c r="AV1762" s="109"/>
      <c r="AW1762" s="109"/>
      <c r="AX1762" s="109"/>
      <c r="AY1762" s="109"/>
      <c r="AZ1762" s="109"/>
      <c r="BA1762" s="109"/>
      <c r="BB1762" s="109"/>
      <c r="BC1762" s="109"/>
      <c r="BD1762" s="110"/>
      <c r="BE1762" s="109"/>
      <c r="BF1762" s="109"/>
      <c r="BG1762" s="109"/>
      <c r="BH1762" s="109"/>
    </row>
    <row r="1763" spans="1:60" s="17" customFormat="1" ht="19.5" customHeight="1" x14ac:dyDescent="0.35">
      <c r="A1763" s="109"/>
      <c r="B1763" s="35" t="s">
        <v>169</v>
      </c>
      <c r="C1763" s="77">
        <f>C1587</f>
        <v>0</v>
      </c>
      <c r="D1763" s="109"/>
      <c r="E1763" s="109"/>
      <c r="F1763" s="109"/>
      <c r="G1763" s="109"/>
      <c r="H1763" s="109"/>
      <c r="I1763" s="109"/>
      <c r="J1763" s="109"/>
      <c r="K1763" s="109"/>
      <c r="L1763" s="109"/>
      <c r="M1763" s="109"/>
      <c r="N1763" s="109"/>
      <c r="O1763" s="109"/>
      <c r="P1763" s="109"/>
      <c r="Q1763" s="109"/>
      <c r="R1763" s="109"/>
      <c r="S1763" s="109"/>
      <c r="T1763" s="109"/>
      <c r="U1763" s="109"/>
      <c r="V1763" s="109"/>
      <c r="W1763" s="109"/>
      <c r="X1763" s="109"/>
      <c r="Y1763" s="109"/>
      <c r="Z1763" s="109"/>
      <c r="AA1763" s="109"/>
      <c r="AB1763" s="109"/>
      <c r="AC1763" s="109"/>
      <c r="AD1763" s="109"/>
      <c r="AE1763" s="109"/>
      <c r="AF1763" s="109"/>
      <c r="AG1763" s="109"/>
      <c r="AH1763" s="109"/>
      <c r="AI1763" s="109"/>
      <c r="AJ1763" s="109"/>
      <c r="AK1763" s="109"/>
      <c r="AL1763" s="109"/>
      <c r="AM1763" s="109"/>
      <c r="AN1763" s="109"/>
      <c r="AO1763" s="109"/>
      <c r="AP1763" s="109"/>
      <c r="AQ1763" s="109"/>
      <c r="AR1763" s="109"/>
      <c r="AS1763" s="109"/>
      <c r="AT1763" s="109"/>
      <c r="AU1763" s="109"/>
      <c r="AV1763" s="109"/>
      <c r="AW1763" s="109"/>
      <c r="AX1763" s="109"/>
      <c r="AY1763" s="109"/>
      <c r="AZ1763" s="109"/>
      <c r="BA1763" s="20" t="s">
        <v>170</v>
      </c>
      <c r="BB1763" s="21" t="s">
        <v>171</v>
      </c>
      <c r="BC1763" s="26" t="s">
        <v>172</v>
      </c>
      <c r="BD1763" s="110"/>
      <c r="BE1763" s="109"/>
      <c r="BF1763" s="109"/>
      <c r="BG1763" s="109"/>
      <c r="BH1763" s="109"/>
    </row>
    <row r="1764" spans="1:60" s="17" customFormat="1" ht="19.5" customHeight="1" x14ac:dyDescent="0.35">
      <c r="A1764" s="109"/>
      <c r="B1764" s="35" t="s">
        <v>173</v>
      </c>
      <c r="C1764" s="77" t="str">
        <f>C1588</f>
        <v>H&amp;M MAN</v>
      </c>
      <c r="D1764" s="109"/>
      <c r="E1764" s="109"/>
      <c r="F1764" s="109"/>
      <c r="G1764" s="109"/>
      <c r="H1764" s="109"/>
      <c r="I1764" s="109"/>
      <c r="J1764" s="109"/>
      <c r="K1764" s="109"/>
      <c r="L1764" s="109"/>
      <c r="M1764" s="109"/>
      <c r="N1764" s="109"/>
      <c r="O1764" s="109"/>
      <c r="P1764" s="109"/>
      <c r="Q1764" s="109"/>
      <c r="R1764" s="109"/>
      <c r="S1764" s="109"/>
      <c r="T1764" s="109"/>
      <c r="U1764" s="109"/>
      <c r="V1764" s="109"/>
      <c r="W1764" s="109"/>
      <c r="X1764" s="109"/>
      <c r="Y1764" s="109"/>
      <c r="Z1764" s="109"/>
      <c r="AA1764" s="109"/>
      <c r="AB1764" s="109"/>
      <c r="AC1764" s="109"/>
      <c r="AD1764" s="109"/>
      <c r="AE1764" s="109"/>
      <c r="AF1764" s="109"/>
      <c r="AG1764" s="109"/>
      <c r="AH1764" s="109"/>
      <c r="AI1764" s="109"/>
      <c r="AJ1764" s="109"/>
      <c r="AK1764" s="109"/>
      <c r="AL1764" s="109"/>
      <c r="AM1764" s="109"/>
      <c r="AN1764" s="109"/>
      <c r="AO1764" s="109"/>
      <c r="AP1764" s="109"/>
      <c r="AQ1764" s="109"/>
      <c r="AR1764" s="109"/>
      <c r="AS1764" s="109"/>
      <c r="AT1764" s="109"/>
      <c r="AU1764" s="109"/>
      <c r="AV1764" s="109"/>
      <c r="AW1764" s="109"/>
      <c r="AX1764" s="109"/>
      <c r="AY1764" s="109"/>
      <c r="AZ1764" s="109"/>
      <c r="BA1764" s="32" t="s">
        <v>174</v>
      </c>
      <c r="BB1764" s="22" t="s">
        <v>175</v>
      </c>
      <c r="BC1764" s="109"/>
      <c r="BD1764" s="110"/>
      <c r="BE1764" s="109"/>
      <c r="BF1764" s="109"/>
      <c r="BG1764" s="109"/>
      <c r="BH1764" s="109"/>
    </row>
    <row r="1765" spans="1:60" s="17" customFormat="1" ht="19.5" customHeight="1" thickBot="1" x14ac:dyDescent="0.4">
      <c r="A1765" s="109"/>
      <c r="B1765" s="35" t="s">
        <v>176</v>
      </c>
      <c r="C1765" s="25">
        <f>C1589</f>
        <v>42311</v>
      </c>
      <c r="D1765" s="109"/>
      <c r="E1765" s="109"/>
      <c r="F1765" s="109"/>
      <c r="G1765" s="109"/>
      <c r="H1765" s="109"/>
      <c r="I1765" s="109"/>
      <c r="J1765" s="109"/>
      <c r="K1765" s="109"/>
      <c r="L1765" s="109"/>
      <c r="M1765" s="109"/>
      <c r="N1765" s="109"/>
      <c r="O1765" s="109"/>
      <c r="P1765" s="109"/>
      <c r="Q1765" s="109"/>
      <c r="R1765" s="109"/>
      <c r="S1765" s="109"/>
      <c r="T1765" s="109"/>
      <c r="U1765" s="109"/>
      <c r="V1765" s="109"/>
      <c r="W1765" s="109"/>
      <c r="X1765" s="109"/>
      <c r="Y1765" s="109"/>
      <c r="Z1765" s="109"/>
      <c r="AA1765" s="109"/>
      <c r="AB1765" s="109"/>
      <c r="AC1765" s="109"/>
      <c r="AD1765" s="109"/>
      <c r="AE1765" s="109"/>
      <c r="AF1765" s="109"/>
      <c r="AG1765" s="109"/>
      <c r="AH1765" s="109"/>
      <c r="AI1765" s="109"/>
      <c r="AJ1765" s="109"/>
      <c r="AK1765" s="109"/>
      <c r="AL1765" s="109"/>
      <c r="AM1765" s="109"/>
      <c r="AN1765" s="109"/>
      <c r="AO1765" s="109"/>
      <c r="AP1765" s="109"/>
      <c r="AQ1765" s="109"/>
      <c r="AR1765" s="109"/>
      <c r="AS1765" s="109"/>
      <c r="AT1765" s="109"/>
      <c r="AU1765" s="109"/>
      <c r="AV1765" s="109"/>
      <c r="AW1765" s="109"/>
      <c r="AX1765" s="109"/>
      <c r="AY1765" s="109"/>
      <c r="AZ1765" s="109"/>
      <c r="BA1765" s="27" t="s">
        <v>177</v>
      </c>
      <c r="BB1765" s="23" t="s">
        <v>178</v>
      </c>
      <c r="BC1765" s="109"/>
      <c r="BD1765" s="110"/>
      <c r="BE1765" s="109"/>
      <c r="BF1765" s="109"/>
      <c r="BG1765" s="109"/>
      <c r="BH1765" s="109"/>
    </row>
    <row r="1766" spans="1:60" s="17" customFormat="1" ht="19.5" customHeight="1" x14ac:dyDescent="0.35">
      <c r="A1766" s="109"/>
      <c r="B1766" s="36" t="s">
        <v>179</v>
      </c>
      <c r="C1766" s="25">
        <f>C1590</f>
        <v>4000</v>
      </c>
      <c r="D1766" s="109"/>
      <c r="E1766" s="109"/>
      <c r="F1766" s="109"/>
      <c r="G1766" s="109"/>
      <c r="H1766" s="109"/>
      <c r="I1766" s="109"/>
      <c r="J1766" s="109"/>
      <c r="K1766" s="109"/>
      <c r="L1766" s="109"/>
      <c r="M1766" s="109"/>
      <c r="N1766" s="109"/>
      <c r="O1766" s="109"/>
      <c r="P1766" s="109"/>
      <c r="Q1766" s="109"/>
      <c r="R1766" s="109"/>
      <c r="S1766" s="109"/>
      <c r="T1766" s="109"/>
      <c r="U1766" s="109"/>
      <c r="V1766" s="109"/>
      <c r="W1766" s="109"/>
      <c r="X1766" s="109"/>
      <c r="Y1766" s="109"/>
      <c r="Z1766" s="109"/>
      <c r="AA1766" s="109"/>
      <c r="AB1766" s="109"/>
      <c r="AC1766" s="109"/>
      <c r="AD1766" s="109"/>
      <c r="AE1766" s="109"/>
      <c r="AF1766" s="109"/>
      <c r="AG1766" s="109"/>
      <c r="AH1766" s="109"/>
      <c r="AI1766" s="109"/>
      <c r="AJ1766" s="109"/>
      <c r="AK1766" s="109"/>
      <c r="AL1766" s="109"/>
      <c r="AM1766" s="109"/>
      <c r="AN1766" s="109"/>
      <c r="AO1766" s="109"/>
      <c r="AP1766" s="109"/>
      <c r="AQ1766" s="109"/>
      <c r="AR1766" s="109"/>
      <c r="AS1766" s="109"/>
      <c r="AT1766" s="109"/>
      <c r="AU1766" s="109"/>
      <c r="AV1766" s="109"/>
      <c r="AW1766" s="109"/>
      <c r="AX1766" s="109"/>
      <c r="AY1766" s="109"/>
      <c r="AZ1766" s="109"/>
      <c r="BA1766" s="12" t="str">
        <f t="shared" ref="BA1766:BG1766" si="1800">BA1590</f>
        <v>XS</v>
      </c>
      <c r="BB1766" s="12" t="str">
        <f t="shared" si="1800"/>
        <v>S</v>
      </c>
      <c r="BC1766" s="12" t="str">
        <f t="shared" si="1800"/>
        <v>M</v>
      </c>
      <c r="BD1766" s="12" t="str">
        <f t="shared" si="1800"/>
        <v>L</v>
      </c>
      <c r="BE1766" s="12" t="str">
        <f t="shared" si="1800"/>
        <v>XL</v>
      </c>
      <c r="BF1766" s="12" t="str">
        <f t="shared" si="1800"/>
        <v>XXL</v>
      </c>
      <c r="BG1766" s="12">
        <f t="shared" si="1800"/>
        <v>0</v>
      </c>
      <c r="BH1766" s="13"/>
    </row>
    <row r="1767" spans="1:60" s="17" customFormat="1" ht="19.5" customHeight="1" thickBot="1" x14ac:dyDescent="0.4">
      <c r="A1767" s="109"/>
      <c r="B1767" s="36" t="s">
        <v>197</v>
      </c>
      <c r="C1767" s="25" t="str">
        <f>C1591</f>
        <v>EKRU</v>
      </c>
      <c r="D1767" s="109"/>
      <c r="E1767" s="109"/>
      <c r="F1767" s="109"/>
      <c r="G1767" s="109"/>
      <c r="H1767" s="109"/>
      <c r="I1767" s="109"/>
      <c r="J1767" s="109"/>
      <c r="K1767" s="109"/>
      <c r="L1767" s="109"/>
      <c r="M1767" s="109"/>
      <c r="N1767" s="109"/>
      <c r="O1767" s="109"/>
      <c r="P1767" s="109"/>
      <c r="Q1767" s="109"/>
      <c r="R1767" s="109"/>
      <c r="S1767" s="109"/>
      <c r="T1767" s="109"/>
      <c r="U1767" s="109"/>
      <c r="V1767" s="109"/>
      <c r="W1767" s="109"/>
      <c r="X1767" s="109"/>
      <c r="Y1767" s="109"/>
      <c r="Z1767" s="109"/>
      <c r="AA1767" s="109"/>
      <c r="AB1767" s="109"/>
      <c r="AC1767" s="109"/>
      <c r="AD1767" s="109"/>
      <c r="AE1767" s="109"/>
      <c r="AF1767" s="109"/>
      <c r="AG1767" s="109"/>
      <c r="AH1767" s="109"/>
      <c r="AI1767" s="109"/>
      <c r="AJ1767" s="109"/>
      <c r="AK1767" s="109"/>
      <c r="AL1767" s="109"/>
      <c r="AM1767" s="109"/>
      <c r="AN1767" s="109"/>
      <c r="AO1767" s="109"/>
      <c r="AP1767" s="109"/>
      <c r="AQ1767" s="109"/>
      <c r="AR1767" s="109"/>
      <c r="AS1767" s="109"/>
      <c r="AT1767" s="109"/>
      <c r="AU1767" s="109"/>
      <c r="AV1767" s="109"/>
      <c r="AW1767" s="109"/>
      <c r="AX1767" s="109"/>
      <c r="AY1767" s="109"/>
      <c r="AZ1767" s="109"/>
      <c r="BA1767" s="14">
        <f t="shared" ref="BA1767:BG1767" si="1801">BA1591</f>
        <v>492</v>
      </c>
      <c r="BB1767" s="14">
        <f t="shared" si="1801"/>
        <v>11438</v>
      </c>
      <c r="BC1767" s="14">
        <f t="shared" si="1801"/>
        <v>13689</v>
      </c>
      <c r="BD1767" s="14">
        <f t="shared" si="1801"/>
        <v>9760</v>
      </c>
      <c r="BE1767" s="14">
        <f t="shared" si="1801"/>
        <v>4794</v>
      </c>
      <c r="BF1767" s="14">
        <f t="shared" si="1801"/>
        <v>2138</v>
      </c>
      <c r="BG1767" s="14">
        <f t="shared" si="1801"/>
        <v>0</v>
      </c>
      <c r="BH1767" s="15">
        <f>SUM(BA1767:BG1767)</f>
        <v>42311</v>
      </c>
    </row>
    <row r="1768" spans="1:60" s="17" customFormat="1" ht="19.5" customHeight="1" thickBot="1" x14ac:dyDescent="0.4">
      <c r="A1768" s="42">
        <f>C1762</f>
        <v>45449</v>
      </c>
      <c r="B1768" s="38" t="str">
        <f>B1769</f>
        <v>Yaka İç Dikiş</v>
      </c>
      <c r="C1768" s="39" t="s">
        <v>180</v>
      </c>
      <c r="D1768" s="69" t="s">
        <v>181</v>
      </c>
      <c r="E1768" s="48">
        <v>0.34375</v>
      </c>
      <c r="F1768" s="49">
        <v>0.35416666666666669</v>
      </c>
      <c r="G1768" s="49">
        <v>0.36458333333333331</v>
      </c>
      <c r="H1768" s="50">
        <v>0.375</v>
      </c>
      <c r="I1768" s="48">
        <v>0.38541666666666702</v>
      </c>
      <c r="J1768" s="49">
        <v>0.39583333333333298</v>
      </c>
      <c r="K1768" s="49">
        <v>0.40625</v>
      </c>
      <c r="L1768" s="50">
        <v>0.41666666666666702</v>
      </c>
      <c r="M1768" s="48">
        <v>0.4375</v>
      </c>
      <c r="N1768" s="49">
        <v>0.44791666666666702</v>
      </c>
      <c r="O1768" s="49">
        <v>0.45833333333333398</v>
      </c>
      <c r="P1768" s="50">
        <v>0.46875</v>
      </c>
      <c r="Q1768" s="48">
        <v>0.47916666666666702</v>
      </c>
      <c r="R1768" s="49">
        <v>0.48958333333333398</v>
      </c>
      <c r="S1768" s="49">
        <v>0.5</v>
      </c>
      <c r="T1768" s="50">
        <v>0.51041666666666696</v>
      </c>
      <c r="U1768" s="51">
        <v>0.52083333333333204</v>
      </c>
      <c r="V1768" s="48">
        <v>0.5625</v>
      </c>
      <c r="W1768" s="49">
        <v>0.57291666666666663</v>
      </c>
      <c r="X1768" s="49">
        <v>0.58333333333333304</v>
      </c>
      <c r="Y1768" s="50">
        <v>0.59375</v>
      </c>
      <c r="Z1768" s="48">
        <v>0.60416666666666696</v>
      </c>
      <c r="AA1768" s="49">
        <v>0.61458333333333304</v>
      </c>
      <c r="AB1768" s="49">
        <v>0.625</v>
      </c>
      <c r="AC1768" s="50">
        <v>0.63541666666666596</v>
      </c>
      <c r="AD1768" s="48">
        <v>0.65625</v>
      </c>
      <c r="AE1768" s="49">
        <v>0.66666666666666663</v>
      </c>
      <c r="AF1768" s="49">
        <v>0.67708333333333304</v>
      </c>
      <c r="AG1768" s="50">
        <v>0.6875</v>
      </c>
      <c r="AH1768" s="48">
        <v>0.69791666666666696</v>
      </c>
      <c r="AI1768" s="49">
        <v>0.70833333333333304</v>
      </c>
      <c r="AJ1768" s="49">
        <v>0.71875</v>
      </c>
      <c r="AK1768" s="50">
        <v>0.72916666666666696</v>
      </c>
      <c r="AL1768" s="48">
        <v>0.73958333333333404</v>
      </c>
      <c r="AM1768" s="49">
        <v>0.750000000000001</v>
      </c>
      <c r="AN1768" s="49">
        <v>0.76041666666666796</v>
      </c>
      <c r="AO1768" s="50">
        <v>0.77083333333333504</v>
      </c>
      <c r="AP1768" s="48">
        <v>0.781250000000002</v>
      </c>
      <c r="AQ1768" s="49">
        <v>0.79166666666666896</v>
      </c>
      <c r="AR1768" s="49">
        <v>0.80208333333333603</v>
      </c>
      <c r="AS1768" s="50">
        <v>0.812500000000003</v>
      </c>
      <c r="AT1768" s="48">
        <v>0.82291666666666996</v>
      </c>
      <c r="AU1768" s="49">
        <v>0.83333333333333703</v>
      </c>
      <c r="AV1768" s="49">
        <v>0.843750000000004</v>
      </c>
      <c r="AW1768" s="50">
        <v>0.85416666666666663</v>
      </c>
      <c r="AX1768" s="68" t="s">
        <v>260</v>
      </c>
      <c r="AY1768" s="28" t="s">
        <v>261</v>
      </c>
      <c r="AZ1768" s="29" t="s">
        <v>262</v>
      </c>
      <c r="BA1768" s="136" t="str">
        <f>B1769</f>
        <v>Yaka İç Dikiş</v>
      </c>
      <c r="BB1768" s="137"/>
      <c r="BC1768" s="137"/>
      <c r="BD1768" s="137"/>
      <c r="BE1768" s="137"/>
      <c r="BF1768" s="137"/>
      <c r="BG1768" s="137"/>
      <c r="BH1768" s="138"/>
    </row>
    <row r="1769" spans="1:60" s="17" customFormat="1" ht="19.5" customHeight="1" thickBot="1" x14ac:dyDescent="0.4">
      <c r="A1769" s="41">
        <f t="shared" ref="A1769:A1774" si="1802">A1768</f>
        <v>45449</v>
      </c>
      <c r="B1769" s="37" t="str">
        <f>B1593</f>
        <v>Yaka İç Dikiş</v>
      </c>
      <c r="C1769" s="66" t="str">
        <f>C1593</f>
        <v>HAZİME AVCİ</v>
      </c>
      <c r="D1769" s="70">
        <f>D1593</f>
        <v>200</v>
      </c>
      <c r="E1769" s="63"/>
      <c r="F1769" s="55"/>
      <c r="G1769" s="55"/>
      <c r="H1769" s="56"/>
      <c r="I1769" s="63"/>
      <c r="J1769" s="55"/>
      <c r="K1769" s="55"/>
      <c r="L1769" s="56"/>
      <c r="M1769" s="63"/>
      <c r="N1769" s="55"/>
      <c r="O1769" s="55"/>
      <c r="P1769" s="56"/>
      <c r="Q1769" s="63"/>
      <c r="R1769" s="55"/>
      <c r="S1769" s="55"/>
      <c r="T1769" s="55"/>
      <c r="U1769" s="56"/>
      <c r="V1769" s="63"/>
      <c r="W1769" s="55"/>
      <c r="X1769" s="55"/>
      <c r="Y1769" s="56"/>
      <c r="Z1769" s="63"/>
      <c r="AA1769" s="55"/>
      <c r="AB1769" s="55"/>
      <c r="AC1769" s="56"/>
      <c r="AD1769" s="63"/>
      <c r="AE1769" s="55"/>
      <c r="AF1769" s="55"/>
      <c r="AG1769" s="56"/>
      <c r="AH1769" s="63"/>
      <c r="AI1769" s="55"/>
      <c r="AJ1769" s="55"/>
      <c r="AK1769" s="56"/>
      <c r="AL1769" s="63"/>
      <c r="AM1769" s="55"/>
      <c r="AN1769" s="55"/>
      <c r="AO1769" s="56"/>
      <c r="AP1769" s="63"/>
      <c r="AQ1769" s="54"/>
      <c r="AR1769" s="55"/>
      <c r="AS1769" s="56"/>
      <c r="AT1769" s="53"/>
      <c r="AU1769" s="54"/>
      <c r="AV1769" s="55"/>
      <c r="AW1769" s="56"/>
      <c r="AX1769" s="33">
        <f>SUM(E1769:AW1769)</f>
        <v>0</v>
      </c>
      <c r="AY1769" s="31">
        <f>IFERROR(AVERAGEIF(E1769:AW1769,"&lt;&gt;0",(E1769:AW1769)),)</f>
        <v>0</v>
      </c>
      <c r="AZ1769" s="30">
        <f>IFERROR(AY1769/D1769,0)</f>
        <v>0</v>
      </c>
      <c r="BA1769" s="103" t="s">
        <v>182</v>
      </c>
      <c r="BB1769" s="100" t="s">
        <v>183</v>
      </c>
      <c r="BC1769" s="100" t="s">
        <v>184</v>
      </c>
      <c r="BD1769" s="101" t="s">
        <v>185</v>
      </c>
      <c r="BE1769" s="100" t="s">
        <v>186</v>
      </c>
      <c r="BF1769" s="102" t="s">
        <v>187</v>
      </c>
      <c r="BG1769" s="100" t="s">
        <v>188</v>
      </c>
      <c r="BH1769" s="102" t="s">
        <v>189</v>
      </c>
    </row>
    <row r="1770" spans="1:60" s="17" customFormat="1" ht="19.5" customHeight="1" thickBot="1" x14ac:dyDescent="0.4">
      <c r="A1770" s="41">
        <f t="shared" si="1802"/>
        <v>45449</v>
      </c>
      <c r="B1770" s="37" t="str">
        <f>B1769</f>
        <v>Yaka İç Dikiş</v>
      </c>
      <c r="C1770" s="66">
        <f>C1594</f>
        <v>0</v>
      </c>
      <c r="D1770" s="67">
        <f>D1769</f>
        <v>200</v>
      </c>
      <c r="E1770" s="57"/>
      <c r="F1770" s="52"/>
      <c r="G1770" s="52"/>
      <c r="H1770" s="58"/>
      <c r="I1770" s="57"/>
      <c r="J1770" s="52"/>
      <c r="K1770" s="52"/>
      <c r="L1770" s="58"/>
      <c r="M1770" s="57"/>
      <c r="N1770" s="52"/>
      <c r="O1770" s="52"/>
      <c r="P1770" s="58"/>
      <c r="Q1770" s="57"/>
      <c r="R1770" s="52"/>
      <c r="S1770" s="52"/>
      <c r="T1770" s="52"/>
      <c r="U1770" s="58"/>
      <c r="V1770" s="57"/>
      <c r="W1770" s="52"/>
      <c r="X1770" s="52"/>
      <c r="Y1770" s="58"/>
      <c r="Z1770" s="57"/>
      <c r="AA1770" s="52"/>
      <c r="AB1770" s="52"/>
      <c r="AC1770" s="58"/>
      <c r="AD1770" s="57"/>
      <c r="AE1770" s="52"/>
      <c r="AF1770" s="52"/>
      <c r="AG1770" s="58"/>
      <c r="AH1770" s="57"/>
      <c r="AI1770" s="52"/>
      <c r="AJ1770" s="52"/>
      <c r="AK1770" s="58"/>
      <c r="AL1770" s="57"/>
      <c r="AM1770" s="52"/>
      <c r="AN1770" s="52"/>
      <c r="AO1770" s="58"/>
      <c r="AP1770" s="57"/>
      <c r="AQ1770" s="52"/>
      <c r="AR1770" s="52"/>
      <c r="AS1770" s="58"/>
      <c r="AT1770" s="57"/>
      <c r="AU1770" s="52"/>
      <c r="AV1770" s="52"/>
      <c r="AW1770" s="58"/>
      <c r="AX1770" s="33">
        <f>SUM(E1770:AW1770)</f>
        <v>0</v>
      </c>
      <c r="AY1770" s="31">
        <f>IFERROR(AVERAGEIF(E1770:AW1770,"&lt;&gt;0",(E1770:AW1770)),)</f>
        <v>0</v>
      </c>
      <c r="AZ1770" s="30">
        <f>IFERROR(AY1770/D1770,0)</f>
        <v>0</v>
      </c>
      <c r="BA1770" s="94">
        <f>AX1774+BA1594</f>
        <v>22370</v>
      </c>
      <c r="BB1770" s="95">
        <f>(D1774*8)</f>
        <v>4000</v>
      </c>
      <c r="BC1770" s="96">
        <f>C1765-BA1770</f>
        <v>19941</v>
      </c>
      <c r="BD1770" s="96">
        <f>BC1770</f>
        <v>19941</v>
      </c>
      <c r="BE1770" s="97">
        <f>IFERROR(BC1770/E1774,0)</f>
        <v>0</v>
      </c>
      <c r="BF1770" s="98">
        <f>IFERROR(BE1770/9,0)</f>
        <v>0</v>
      </c>
      <c r="BG1770" s="97">
        <f>IFERROR(BC1770/AY1774,0)</f>
        <v>0</v>
      </c>
      <c r="BH1770" s="97">
        <f>IFERROR(BG1770/9,0)</f>
        <v>0</v>
      </c>
    </row>
    <row r="1771" spans="1:60" s="17" customFormat="1" ht="19.5" customHeight="1" x14ac:dyDescent="0.35">
      <c r="A1771" s="41">
        <f t="shared" si="1802"/>
        <v>45449</v>
      </c>
      <c r="B1771" s="37" t="str">
        <f>B1770</f>
        <v>Yaka İç Dikiş</v>
      </c>
      <c r="C1771" s="66">
        <f>C1595</f>
        <v>0</v>
      </c>
      <c r="D1771" s="67">
        <f>D1770</f>
        <v>200</v>
      </c>
      <c r="E1771" s="57"/>
      <c r="F1771" s="52"/>
      <c r="G1771" s="52"/>
      <c r="H1771" s="58"/>
      <c r="I1771" s="57"/>
      <c r="J1771" s="52"/>
      <c r="K1771" s="52"/>
      <c r="L1771" s="58"/>
      <c r="M1771" s="57"/>
      <c r="N1771" s="52"/>
      <c r="O1771" s="52"/>
      <c r="P1771" s="58"/>
      <c r="Q1771" s="57"/>
      <c r="R1771" s="52"/>
      <c r="S1771" s="52"/>
      <c r="T1771" s="52"/>
      <c r="U1771" s="58"/>
      <c r="V1771" s="57"/>
      <c r="W1771" s="52"/>
      <c r="X1771" s="52"/>
      <c r="Y1771" s="58"/>
      <c r="Z1771" s="57"/>
      <c r="AA1771" s="52"/>
      <c r="AB1771" s="52"/>
      <c r="AC1771" s="58"/>
      <c r="AD1771" s="57"/>
      <c r="AE1771" s="52"/>
      <c r="AF1771" s="52"/>
      <c r="AG1771" s="58"/>
      <c r="AH1771" s="57"/>
      <c r="AI1771" s="52"/>
      <c r="AJ1771" s="52"/>
      <c r="AK1771" s="58"/>
      <c r="AL1771" s="57"/>
      <c r="AM1771" s="52"/>
      <c r="AN1771" s="52"/>
      <c r="AO1771" s="58"/>
      <c r="AP1771" s="57"/>
      <c r="AQ1771" s="52"/>
      <c r="AR1771" s="52"/>
      <c r="AS1771" s="58"/>
      <c r="AT1771" s="57"/>
      <c r="AU1771" s="52"/>
      <c r="AV1771" s="52"/>
      <c r="AW1771" s="58"/>
      <c r="AX1771" s="33">
        <f>SUM(E1771:AW1771)</f>
        <v>0</v>
      </c>
      <c r="AY1771" s="31">
        <f>IFERROR(AVERAGEIF(E1771:AW1771,"&lt;&gt;0",(E1771:AW1771)),)</f>
        <v>0</v>
      </c>
      <c r="AZ1771" s="30">
        <f>IFERROR(AY1771/D1771,0)</f>
        <v>0</v>
      </c>
      <c r="BA1771" s="34"/>
      <c r="BB1771" s="34"/>
      <c r="BC1771" s="34"/>
      <c r="BD1771" s="76"/>
      <c r="BE1771" s="34"/>
      <c r="BF1771" s="34"/>
      <c r="BG1771" s="34"/>
      <c r="BH1771" s="34"/>
    </row>
    <row r="1772" spans="1:60" s="17" customFormat="1" ht="19.5" customHeight="1" x14ac:dyDescent="0.35">
      <c r="A1772" s="41">
        <f t="shared" si="1802"/>
        <v>45449</v>
      </c>
      <c r="B1772" s="37" t="str">
        <f>B1771</f>
        <v>Yaka İç Dikiş</v>
      </c>
      <c r="C1772" s="66">
        <f>C1596</f>
        <v>0</v>
      </c>
      <c r="D1772" s="67">
        <f>D1771</f>
        <v>200</v>
      </c>
      <c r="E1772" s="57"/>
      <c r="F1772" s="52"/>
      <c r="G1772" s="52"/>
      <c r="H1772" s="58"/>
      <c r="I1772" s="57"/>
      <c r="J1772" s="52"/>
      <c r="K1772" s="52"/>
      <c r="L1772" s="58"/>
      <c r="M1772" s="57"/>
      <c r="N1772" s="52"/>
      <c r="O1772" s="52"/>
      <c r="P1772" s="58"/>
      <c r="Q1772" s="57"/>
      <c r="R1772" s="52"/>
      <c r="S1772" s="52"/>
      <c r="T1772" s="52"/>
      <c r="U1772" s="58"/>
      <c r="V1772" s="57"/>
      <c r="W1772" s="52"/>
      <c r="X1772" s="52"/>
      <c r="Y1772" s="58"/>
      <c r="Z1772" s="57"/>
      <c r="AA1772" s="52"/>
      <c r="AB1772" s="52"/>
      <c r="AC1772" s="58"/>
      <c r="AD1772" s="57"/>
      <c r="AE1772" s="52"/>
      <c r="AF1772" s="52"/>
      <c r="AG1772" s="58"/>
      <c r="AH1772" s="57"/>
      <c r="AI1772" s="52"/>
      <c r="AJ1772" s="52"/>
      <c r="AK1772" s="58"/>
      <c r="AL1772" s="57"/>
      <c r="AM1772" s="52"/>
      <c r="AN1772" s="52"/>
      <c r="AO1772" s="58"/>
      <c r="AP1772" s="57"/>
      <c r="AQ1772" s="52"/>
      <c r="AR1772" s="52"/>
      <c r="AS1772" s="58"/>
      <c r="AT1772" s="57"/>
      <c r="AU1772" s="52"/>
      <c r="AV1772" s="52"/>
      <c r="AW1772" s="58"/>
      <c r="AX1772" s="33">
        <f>SUM(E1772:AW1772)</f>
        <v>0</v>
      </c>
      <c r="AY1772" s="31">
        <f>IFERROR(AVERAGEIF(E1772:AW1772,"&lt;&gt;0",(E1772:AW1772)),)</f>
        <v>0</v>
      </c>
      <c r="AZ1772" s="30">
        <f>IFERROR(AY1772/D1772,0)</f>
        <v>0</v>
      </c>
      <c r="BA1772" s="34"/>
      <c r="BB1772" s="34"/>
      <c r="BC1772" s="34"/>
      <c r="BD1772" s="76"/>
      <c r="BE1772" s="34"/>
      <c r="BF1772" s="34"/>
      <c r="BG1772" s="34"/>
      <c r="BH1772" s="34"/>
    </row>
    <row r="1773" spans="1:60" s="17" customFormat="1" ht="19.5" customHeight="1" thickBot="1" x14ac:dyDescent="0.4">
      <c r="A1773" s="41">
        <f t="shared" si="1802"/>
        <v>45449</v>
      </c>
      <c r="B1773" s="37" t="str">
        <f>B1772</f>
        <v>Yaka İç Dikiş</v>
      </c>
      <c r="C1773" s="66">
        <f>C1597</f>
        <v>0</v>
      </c>
      <c r="D1773" s="67">
        <f>D1772</f>
        <v>200</v>
      </c>
      <c r="E1773" s="64"/>
      <c r="F1773" s="61"/>
      <c r="G1773" s="61"/>
      <c r="H1773" s="62"/>
      <c r="I1773" s="64"/>
      <c r="J1773" s="61"/>
      <c r="K1773" s="61"/>
      <c r="L1773" s="62"/>
      <c r="M1773" s="64"/>
      <c r="N1773" s="61"/>
      <c r="O1773" s="61"/>
      <c r="P1773" s="62"/>
      <c r="Q1773" s="64"/>
      <c r="R1773" s="61"/>
      <c r="S1773" s="61"/>
      <c r="T1773" s="61"/>
      <c r="U1773" s="62"/>
      <c r="V1773" s="64"/>
      <c r="W1773" s="61"/>
      <c r="X1773" s="61"/>
      <c r="Y1773" s="62"/>
      <c r="Z1773" s="59"/>
      <c r="AA1773" s="60"/>
      <c r="AB1773" s="61"/>
      <c r="AC1773" s="62"/>
      <c r="AD1773" s="59"/>
      <c r="AE1773" s="60"/>
      <c r="AF1773" s="61"/>
      <c r="AG1773" s="62"/>
      <c r="AH1773" s="59"/>
      <c r="AI1773" s="60"/>
      <c r="AJ1773" s="61"/>
      <c r="AK1773" s="62"/>
      <c r="AL1773" s="59"/>
      <c r="AM1773" s="60"/>
      <c r="AN1773" s="61"/>
      <c r="AO1773" s="62"/>
      <c r="AP1773" s="59"/>
      <c r="AQ1773" s="60"/>
      <c r="AR1773" s="61"/>
      <c r="AS1773" s="62"/>
      <c r="AT1773" s="59"/>
      <c r="AU1773" s="60"/>
      <c r="AV1773" s="61"/>
      <c r="AW1773" s="62"/>
      <c r="AX1773" s="43">
        <f>SUM(E1773:AW1773)</f>
        <v>0</v>
      </c>
      <c r="AY1773" s="44">
        <f>IFERROR(AVERAGEIF(E1773:AW1773,"&lt;&gt;0",(E1773:AW1773)),)</f>
        <v>0</v>
      </c>
      <c r="AZ1773" s="45">
        <f>IFERROR(AY1773/D1773,0)</f>
        <v>0</v>
      </c>
      <c r="BA1773" s="34"/>
      <c r="BB1773" s="34"/>
      <c r="BC1773" s="34"/>
      <c r="BD1773" s="76"/>
      <c r="BE1773" s="34"/>
      <c r="BF1773" s="34"/>
      <c r="BG1773" s="34"/>
      <c r="BH1773" s="34"/>
    </row>
    <row r="1774" spans="1:60" s="17" customFormat="1" ht="19.5" customHeight="1" thickBot="1" x14ac:dyDescent="0.45">
      <c r="A1774" s="41">
        <f t="shared" si="1802"/>
        <v>45449</v>
      </c>
      <c r="B1774" s="139" t="str">
        <f>B1769</f>
        <v>Yaka İç Dikiş</v>
      </c>
      <c r="C1774" s="140"/>
      <c r="D1774" s="40">
        <f>C1766/8</f>
        <v>500</v>
      </c>
      <c r="E1774" s="151">
        <f>SUM(E1769:H1773)</f>
        <v>0</v>
      </c>
      <c r="F1774" s="152"/>
      <c r="G1774" s="152"/>
      <c r="H1774" s="153"/>
      <c r="I1774" s="151">
        <f>SUM(I1769:L1773)</f>
        <v>0</v>
      </c>
      <c r="J1774" s="152"/>
      <c r="K1774" s="152"/>
      <c r="L1774" s="153"/>
      <c r="M1774" s="151">
        <f>SUM(M1769:P1773)</f>
        <v>0</v>
      </c>
      <c r="N1774" s="152"/>
      <c r="O1774" s="152"/>
      <c r="P1774" s="153"/>
      <c r="Q1774" s="151">
        <f>SUM(Q1769:U1773)</f>
        <v>0</v>
      </c>
      <c r="R1774" s="152"/>
      <c r="S1774" s="152"/>
      <c r="T1774" s="152"/>
      <c r="U1774" s="153"/>
      <c r="V1774" s="151">
        <f>SUM(V1769:Y1773)</f>
        <v>0</v>
      </c>
      <c r="W1774" s="152"/>
      <c r="X1774" s="152"/>
      <c r="Y1774" s="153"/>
      <c r="Z1774" s="151">
        <f>SUM(Z1769:AC1773)</f>
        <v>0</v>
      </c>
      <c r="AA1774" s="152"/>
      <c r="AB1774" s="152"/>
      <c r="AC1774" s="153"/>
      <c r="AD1774" s="151">
        <f>SUM(AD1769:AG1773)</f>
        <v>0</v>
      </c>
      <c r="AE1774" s="152"/>
      <c r="AF1774" s="152"/>
      <c r="AG1774" s="153"/>
      <c r="AH1774" s="151">
        <f>SUM(AH1769:AK1773)</f>
        <v>0</v>
      </c>
      <c r="AI1774" s="152"/>
      <c r="AJ1774" s="152"/>
      <c r="AK1774" s="153"/>
      <c r="AL1774" s="151">
        <f>SUM(AL1769:AO1773)</f>
        <v>0</v>
      </c>
      <c r="AM1774" s="152"/>
      <c r="AN1774" s="152"/>
      <c r="AO1774" s="153"/>
      <c r="AP1774" s="151">
        <f>SUM(AP1769:AS1773)</f>
        <v>0</v>
      </c>
      <c r="AQ1774" s="152"/>
      <c r="AR1774" s="152"/>
      <c r="AS1774" s="153"/>
      <c r="AT1774" s="151">
        <f>SUM(AT1769:AW1773)</f>
        <v>0</v>
      </c>
      <c r="AU1774" s="152"/>
      <c r="AV1774" s="152"/>
      <c r="AW1774" s="153"/>
      <c r="AX1774" s="87">
        <f>SUM(AX1769:AX1773)</f>
        <v>0</v>
      </c>
      <c r="AY1774" s="88">
        <f>IFERROR(AVERAGEIF(E1774:AV1774,"&lt;&gt;0",(E1774:AV1774)),)</f>
        <v>0</v>
      </c>
      <c r="AZ1774" s="46">
        <f>IFERROR(AX1774/BB1770,0)</f>
        <v>0</v>
      </c>
      <c r="BA1774" s="34"/>
      <c r="BB1774" s="34"/>
      <c r="BC1774" s="34"/>
      <c r="BD1774" s="76"/>
      <c r="BE1774" s="34"/>
      <c r="BF1774" s="34"/>
      <c r="BG1774" s="34"/>
      <c r="BH1774" s="34"/>
    </row>
    <row r="1775" spans="1:60" s="17" customFormat="1" ht="19.5" customHeight="1" thickBot="1" x14ac:dyDescent="0.4">
      <c r="A1775" s="42">
        <f>A1768</f>
        <v>45449</v>
      </c>
      <c r="B1775" s="38" t="str">
        <f>B1776</f>
        <v>Yaka Tıktık</v>
      </c>
      <c r="C1775" s="39" t="s">
        <v>180</v>
      </c>
      <c r="D1775" s="69" t="s">
        <v>181</v>
      </c>
      <c r="E1775" s="48">
        <v>0.34375</v>
      </c>
      <c r="F1775" s="49">
        <v>0.35416666666666669</v>
      </c>
      <c r="G1775" s="49">
        <v>0.36458333333333331</v>
      </c>
      <c r="H1775" s="50">
        <v>0.375</v>
      </c>
      <c r="I1775" s="48">
        <v>0.38541666666666702</v>
      </c>
      <c r="J1775" s="49">
        <v>0.39583333333333298</v>
      </c>
      <c r="K1775" s="49">
        <v>0.40625</v>
      </c>
      <c r="L1775" s="50">
        <v>0.41666666666666702</v>
      </c>
      <c r="M1775" s="48">
        <v>0.4375</v>
      </c>
      <c r="N1775" s="49">
        <v>0.44791666666666702</v>
      </c>
      <c r="O1775" s="49">
        <v>0.45833333333333398</v>
      </c>
      <c r="P1775" s="50">
        <v>0.46875</v>
      </c>
      <c r="Q1775" s="48">
        <v>0.47916666666666702</v>
      </c>
      <c r="R1775" s="49">
        <v>0.48958333333333398</v>
      </c>
      <c r="S1775" s="49">
        <v>0.5</v>
      </c>
      <c r="T1775" s="50">
        <v>0.51041666666666696</v>
      </c>
      <c r="U1775" s="51">
        <v>0.52083333333333204</v>
      </c>
      <c r="V1775" s="48">
        <v>0.5625</v>
      </c>
      <c r="W1775" s="49">
        <v>0.57291666666666663</v>
      </c>
      <c r="X1775" s="49">
        <v>0.58333333333333304</v>
      </c>
      <c r="Y1775" s="50">
        <v>0.59375</v>
      </c>
      <c r="Z1775" s="48">
        <v>0.60416666666666696</v>
      </c>
      <c r="AA1775" s="49">
        <v>0.61458333333333304</v>
      </c>
      <c r="AB1775" s="49">
        <v>0.625</v>
      </c>
      <c r="AC1775" s="50">
        <v>0.63541666666666596</v>
      </c>
      <c r="AD1775" s="48">
        <v>0.65625</v>
      </c>
      <c r="AE1775" s="49">
        <v>0.66666666666666663</v>
      </c>
      <c r="AF1775" s="49">
        <v>0.67708333333333304</v>
      </c>
      <c r="AG1775" s="50">
        <v>0.6875</v>
      </c>
      <c r="AH1775" s="48">
        <v>0.69791666666666696</v>
      </c>
      <c r="AI1775" s="49">
        <v>0.70833333333333304</v>
      </c>
      <c r="AJ1775" s="49">
        <v>0.71875</v>
      </c>
      <c r="AK1775" s="50">
        <v>0.72916666666666696</v>
      </c>
      <c r="AL1775" s="48">
        <v>0.73958333333333404</v>
      </c>
      <c r="AM1775" s="49">
        <v>0.750000000000001</v>
      </c>
      <c r="AN1775" s="49">
        <v>0.76041666666666796</v>
      </c>
      <c r="AO1775" s="50">
        <v>0.77083333333333504</v>
      </c>
      <c r="AP1775" s="48">
        <v>0.781250000000002</v>
      </c>
      <c r="AQ1775" s="49">
        <v>0.79166666666666896</v>
      </c>
      <c r="AR1775" s="49">
        <v>0.80208333333333603</v>
      </c>
      <c r="AS1775" s="50">
        <v>0.812500000000003</v>
      </c>
      <c r="AT1775" s="48">
        <v>0.82291666666666996</v>
      </c>
      <c r="AU1775" s="49">
        <v>0.83333333333333703</v>
      </c>
      <c r="AV1775" s="49">
        <v>0.843750000000004</v>
      </c>
      <c r="AW1775" s="50">
        <v>0.85416666666666663</v>
      </c>
      <c r="AX1775" s="68" t="s">
        <v>260</v>
      </c>
      <c r="AY1775" s="28" t="s">
        <v>261</v>
      </c>
      <c r="AZ1775" s="29" t="s">
        <v>262</v>
      </c>
      <c r="BA1775" s="136" t="str">
        <f>B1776</f>
        <v>Yaka Tıktık</v>
      </c>
      <c r="BB1775" s="137"/>
      <c r="BC1775" s="137"/>
      <c r="BD1775" s="137"/>
      <c r="BE1775" s="137"/>
      <c r="BF1775" s="137"/>
      <c r="BG1775" s="137"/>
      <c r="BH1775" s="138"/>
    </row>
    <row r="1776" spans="1:60" s="17" customFormat="1" ht="19.5" customHeight="1" thickBot="1" x14ac:dyDescent="0.4">
      <c r="A1776" s="41">
        <f>A1768</f>
        <v>45449</v>
      </c>
      <c r="B1776" s="37" t="str">
        <f>B1600</f>
        <v>Yaka Tıktık</v>
      </c>
      <c r="C1776" s="66" t="str">
        <f>C1600</f>
        <v>HAYAL ŞENER</v>
      </c>
      <c r="D1776" s="70">
        <f>D1600</f>
        <v>150</v>
      </c>
      <c r="E1776" s="63"/>
      <c r="F1776" s="55"/>
      <c r="G1776" s="55"/>
      <c r="H1776" s="56"/>
      <c r="I1776" s="63"/>
      <c r="J1776" s="55"/>
      <c r="K1776" s="55"/>
      <c r="L1776" s="56"/>
      <c r="M1776" s="63"/>
      <c r="N1776" s="55"/>
      <c r="O1776" s="55"/>
      <c r="P1776" s="56"/>
      <c r="Q1776" s="63"/>
      <c r="R1776" s="55"/>
      <c r="S1776" s="55"/>
      <c r="T1776" s="55"/>
      <c r="U1776" s="56"/>
      <c r="V1776" s="63"/>
      <c r="W1776" s="55"/>
      <c r="X1776" s="55"/>
      <c r="Y1776" s="56"/>
      <c r="Z1776" s="63"/>
      <c r="AA1776" s="55"/>
      <c r="AB1776" s="55"/>
      <c r="AC1776" s="56"/>
      <c r="AD1776" s="63"/>
      <c r="AE1776" s="55"/>
      <c r="AF1776" s="55"/>
      <c r="AG1776" s="56"/>
      <c r="AH1776" s="63"/>
      <c r="AI1776" s="55"/>
      <c r="AJ1776" s="55"/>
      <c r="AK1776" s="56"/>
      <c r="AL1776" s="63"/>
      <c r="AM1776" s="55"/>
      <c r="AN1776" s="55"/>
      <c r="AO1776" s="56"/>
      <c r="AP1776" s="63"/>
      <c r="AQ1776" s="54"/>
      <c r="AR1776" s="55"/>
      <c r="AS1776" s="56"/>
      <c r="AT1776" s="53"/>
      <c r="AU1776" s="54"/>
      <c r="AV1776" s="55"/>
      <c r="AW1776" s="56"/>
      <c r="AX1776" s="33">
        <f>SUM(E1776:AW1776)</f>
        <v>0</v>
      </c>
      <c r="AY1776" s="31">
        <f>IFERROR(AVERAGEIF(E1776:AW1776,"&lt;&gt;0",(E1776:AW1776)),)</f>
        <v>0</v>
      </c>
      <c r="AZ1776" s="30">
        <f>IFERROR(AY1776/D1776,0)</f>
        <v>0</v>
      </c>
      <c r="BA1776" s="103" t="s">
        <v>182</v>
      </c>
      <c r="BB1776" s="100" t="s">
        <v>183</v>
      </c>
      <c r="BC1776" s="100" t="s">
        <v>184</v>
      </c>
      <c r="BD1776" s="101" t="s">
        <v>185</v>
      </c>
      <c r="BE1776" s="100" t="s">
        <v>186</v>
      </c>
      <c r="BF1776" s="102" t="s">
        <v>187</v>
      </c>
      <c r="BG1776" s="100" t="s">
        <v>188</v>
      </c>
      <c r="BH1776" s="102" t="s">
        <v>189</v>
      </c>
    </row>
    <row r="1777" spans="1:60" s="17" customFormat="1" ht="19.5" customHeight="1" thickBot="1" x14ac:dyDescent="0.4">
      <c r="A1777" s="41">
        <f t="shared" ref="A1777:B1777" si="1803">A1776</f>
        <v>45449</v>
      </c>
      <c r="B1777" s="37" t="str">
        <f t="shared" si="1803"/>
        <v>Yaka Tıktık</v>
      </c>
      <c r="C1777" s="66">
        <f>C1601</f>
        <v>0</v>
      </c>
      <c r="D1777" s="67">
        <f>D1776</f>
        <v>150</v>
      </c>
      <c r="E1777" s="57"/>
      <c r="F1777" s="52"/>
      <c r="G1777" s="52"/>
      <c r="H1777" s="58"/>
      <c r="I1777" s="57"/>
      <c r="J1777" s="52"/>
      <c r="K1777" s="52"/>
      <c r="L1777" s="58"/>
      <c r="M1777" s="57"/>
      <c r="N1777" s="52"/>
      <c r="O1777" s="52"/>
      <c r="P1777" s="58"/>
      <c r="Q1777" s="57"/>
      <c r="R1777" s="52"/>
      <c r="S1777" s="52"/>
      <c r="T1777" s="52"/>
      <c r="U1777" s="58"/>
      <c r="V1777" s="57"/>
      <c r="W1777" s="52"/>
      <c r="X1777" s="52"/>
      <c r="Y1777" s="58"/>
      <c r="Z1777" s="57"/>
      <c r="AA1777" s="52"/>
      <c r="AB1777" s="52"/>
      <c r="AC1777" s="58"/>
      <c r="AD1777" s="57"/>
      <c r="AE1777" s="52"/>
      <c r="AF1777" s="52"/>
      <c r="AG1777" s="58"/>
      <c r="AH1777" s="57"/>
      <c r="AI1777" s="52"/>
      <c r="AJ1777" s="52"/>
      <c r="AK1777" s="58"/>
      <c r="AL1777" s="57"/>
      <c r="AM1777" s="52"/>
      <c r="AN1777" s="52"/>
      <c r="AO1777" s="58"/>
      <c r="AP1777" s="57"/>
      <c r="AQ1777" s="52"/>
      <c r="AR1777" s="52"/>
      <c r="AS1777" s="58"/>
      <c r="AT1777" s="57"/>
      <c r="AU1777" s="52"/>
      <c r="AV1777" s="52"/>
      <c r="AW1777" s="58"/>
      <c r="AX1777" s="33">
        <f>SUM(E1777:AW1777)</f>
        <v>0</v>
      </c>
      <c r="AY1777" s="31">
        <f>IFERROR(AVERAGEIF(E1777:AW1777,"&lt;&gt;0",(E1777:AW1777)),)</f>
        <v>0</v>
      </c>
      <c r="AZ1777" s="30">
        <f>IFERROR(AY1777/D1777,0)</f>
        <v>0</v>
      </c>
      <c r="BA1777" s="94">
        <f>AX1781+BA1601</f>
        <v>16105</v>
      </c>
      <c r="BB1777" s="95">
        <f>(D1781*8)</f>
        <v>4000</v>
      </c>
      <c r="BC1777" s="96">
        <f>C1765-BA1777</f>
        <v>26206</v>
      </c>
      <c r="BD1777" s="96">
        <f>BA1770-BA1777</f>
        <v>6265</v>
      </c>
      <c r="BE1777" s="97">
        <f>IFERROR(BC1777/E1781,0)</f>
        <v>0</v>
      </c>
      <c r="BF1777" s="98">
        <f>IFERROR(BE1777/9,0)</f>
        <v>0</v>
      </c>
      <c r="BG1777" s="97">
        <f>IFERROR(BC1777/AY1781,0)</f>
        <v>0</v>
      </c>
      <c r="BH1777" s="97">
        <f>IFERROR(BG1777/9,0)</f>
        <v>0</v>
      </c>
    </row>
    <row r="1778" spans="1:60" s="17" customFormat="1" ht="19.5" customHeight="1" x14ac:dyDescent="0.35">
      <c r="A1778" s="41">
        <f t="shared" ref="A1778:B1778" si="1804">A1777</f>
        <v>45449</v>
      </c>
      <c r="B1778" s="37" t="str">
        <f t="shared" si="1804"/>
        <v>Yaka Tıktık</v>
      </c>
      <c r="C1778" s="66">
        <f>C1602</f>
        <v>0</v>
      </c>
      <c r="D1778" s="67">
        <f>D1777</f>
        <v>150</v>
      </c>
      <c r="E1778" s="57"/>
      <c r="F1778" s="52"/>
      <c r="G1778" s="52"/>
      <c r="H1778" s="58"/>
      <c r="I1778" s="57"/>
      <c r="J1778" s="52"/>
      <c r="K1778" s="52"/>
      <c r="L1778" s="58"/>
      <c r="M1778" s="57"/>
      <c r="N1778" s="52"/>
      <c r="O1778" s="52"/>
      <c r="P1778" s="58"/>
      <c r="Q1778" s="57"/>
      <c r="R1778" s="52"/>
      <c r="S1778" s="52"/>
      <c r="T1778" s="52"/>
      <c r="U1778" s="58"/>
      <c r="V1778" s="57"/>
      <c r="W1778" s="52"/>
      <c r="X1778" s="52"/>
      <c r="Y1778" s="58"/>
      <c r="Z1778" s="57"/>
      <c r="AA1778" s="52"/>
      <c r="AB1778" s="52"/>
      <c r="AC1778" s="58"/>
      <c r="AD1778" s="57"/>
      <c r="AE1778" s="52"/>
      <c r="AF1778" s="52"/>
      <c r="AG1778" s="58"/>
      <c r="AH1778" s="57"/>
      <c r="AI1778" s="52"/>
      <c r="AJ1778" s="52"/>
      <c r="AK1778" s="58"/>
      <c r="AL1778" s="57"/>
      <c r="AM1778" s="52"/>
      <c r="AN1778" s="52"/>
      <c r="AO1778" s="58"/>
      <c r="AP1778" s="57"/>
      <c r="AQ1778" s="52"/>
      <c r="AR1778" s="52"/>
      <c r="AS1778" s="58"/>
      <c r="AT1778" s="57"/>
      <c r="AU1778" s="52"/>
      <c r="AV1778" s="52"/>
      <c r="AW1778" s="58"/>
      <c r="AX1778" s="33">
        <f>SUM(E1778:AW1778)</f>
        <v>0</v>
      </c>
      <c r="AY1778" s="31">
        <f>IFERROR(AVERAGEIF(E1778:AW1778,"&lt;&gt;0",(E1778:AW1778)),)</f>
        <v>0</v>
      </c>
      <c r="AZ1778" s="30">
        <f>IFERROR(AY1778/D1778,0)</f>
        <v>0</v>
      </c>
      <c r="BA1778" s="34"/>
      <c r="BB1778" s="34"/>
      <c r="BC1778" s="34"/>
      <c r="BD1778" s="76"/>
      <c r="BE1778" s="34"/>
      <c r="BF1778" s="34"/>
      <c r="BG1778" s="34"/>
      <c r="BH1778" s="34"/>
    </row>
    <row r="1779" spans="1:60" s="17" customFormat="1" ht="19.5" customHeight="1" x14ac:dyDescent="0.35">
      <c r="A1779" s="41">
        <f t="shared" ref="A1779:B1779" si="1805">A1778</f>
        <v>45449</v>
      </c>
      <c r="B1779" s="37" t="str">
        <f t="shared" si="1805"/>
        <v>Yaka Tıktık</v>
      </c>
      <c r="C1779" s="66">
        <f>C1603</f>
        <v>0</v>
      </c>
      <c r="D1779" s="67">
        <f>D1778</f>
        <v>150</v>
      </c>
      <c r="E1779" s="57"/>
      <c r="F1779" s="52"/>
      <c r="G1779" s="52"/>
      <c r="H1779" s="58"/>
      <c r="I1779" s="57"/>
      <c r="J1779" s="52"/>
      <c r="K1779" s="52"/>
      <c r="L1779" s="58"/>
      <c r="M1779" s="57"/>
      <c r="N1779" s="52"/>
      <c r="O1779" s="52"/>
      <c r="P1779" s="58"/>
      <c r="Q1779" s="57"/>
      <c r="R1779" s="52"/>
      <c r="S1779" s="52"/>
      <c r="T1779" s="52"/>
      <c r="U1779" s="58"/>
      <c r="V1779" s="57"/>
      <c r="W1779" s="52"/>
      <c r="X1779" s="52"/>
      <c r="Y1779" s="58"/>
      <c r="Z1779" s="57"/>
      <c r="AA1779" s="52"/>
      <c r="AB1779" s="52"/>
      <c r="AC1779" s="58"/>
      <c r="AD1779" s="57"/>
      <c r="AE1779" s="52"/>
      <c r="AF1779" s="52"/>
      <c r="AG1779" s="58"/>
      <c r="AH1779" s="57"/>
      <c r="AI1779" s="52"/>
      <c r="AJ1779" s="52"/>
      <c r="AK1779" s="58"/>
      <c r="AL1779" s="57"/>
      <c r="AM1779" s="52"/>
      <c r="AN1779" s="52"/>
      <c r="AO1779" s="58"/>
      <c r="AP1779" s="57"/>
      <c r="AQ1779" s="52"/>
      <c r="AR1779" s="52"/>
      <c r="AS1779" s="58"/>
      <c r="AT1779" s="57"/>
      <c r="AU1779" s="52"/>
      <c r="AV1779" s="52"/>
      <c r="AW1779" s="58"/>
      <c r="AX1779" s="33">
        <f>SUM(E1779:AW1779)</f>
        <v>0</v>
      </c>
      <c r="AY1779" s="31">
        <f>IFERROR(AVERAGEIF(E1779:AW1779,"&lt;&gt;0",(E1779:AW1779)),)</f>
        <v>0</v>
      </c>
      <c r="AZ1779" s="30">
        <f>IFERROR(AY1779/D1779,0)</f>
        <v>0</v>
      </c>
      <c r="BA1779" s="34"/>
      <c r="BB1779" s="34"/>
      <c r="BC1779" s="34"/>
      <c r="BD1779" s="76"/>
      <c r="BE1779" s="34"/>
      <c r="BF1779" s="34"/>
      <c r="BG1779" s="34"/>
      <c r="BH1779" s="34"/>
    </row>
    <row r="1780" spans="1:60" s="17" customFormat="1" ht="19.5" customHeight="1" thickBot="1" x14ac:dyDescent="0.4">
      <c r="A1780" s="41">
        <f t="shared" ref="A1780:B1780" si="1806">A1779</f>
        <v>45449</v>
      </c>
      <c r="B1780" s="37" t="str">
        <f t="shared" si="1806"/>
        <v>Yaka Tıktık</v>
      </c>
      <c r="C1780" s="66">
        <f>C1604</f>
        <v>0</v>
      </c>
      <c r="D1780" s="67">
        <f>D1779</f>
        <v>150</v>
      </c>
      <c r="E1780" s="64"/>
      <c r="F1780" s="61"/>
      <c r="G1780" s="61"/>
      <c r="H1780" s="62"/>
      <c r="I1780" s="64"/>
      <c r="J1780" s="61"/>
      <c r="K1780" s="61"/>
      <c r="L1780" s="62"/>
      <c r="M1780" s="64"/>
      <c r="N1780" s="61"/>
      <c r="O1780" s="61"/>
      <c r="P1780" s="62"/>
      <c r="Q1780" s="64"/>
      <c r="R1780" s="61"/>
      <c r="S1780" s="61"/>
      <c r="T1780" s="61"/>
      <c r="U1780" s="62"/>
      <c r="V1780" s="64"/>
      <c r="W1780" s="61"/>
      <c r="X1780" s="61"/>
      <c r="Y1780" s="62"/>
      <c r="Z1780" s="59"/>
      <c r="AA1780" s="60"/>
      <c r="AB1780" s="61"/>
      <c r="AC1780" s="62"/>
      <c r="AD1780" s="59"/>
      <c r="AE1780" s="60"/>
      <c r="AF1780" s="61"/>
      <c r="AG1780" s="62"/>
      <c r="AH1780" s="59"/>
      <c r="AI1780" s="60"/>
      <c r="AJ1780" s="61"/>
      <c r="AK1780" s="62"/>
      <c r="AL1780" s="59"/>
      <c r="AM1780" s="60"/>
      <c r="AN1780" s="61"/>
      <c r="AO1780" s="62"/>
      <c r="AP1780" s="59"/>
      <c r="AQ1780" s="60"/>
      <c r="AR1780" s="61"/>
      <c r="AS1780" s="62"/>
      <c r="AT1780" s="59"/>
      <c r="AU1780" s="60"/>
      <c r="AV1780" s="61"/>
      <c r="AW1780" s="62"/>
      <c r="AX1780" s="43">
        <f>SUM(E1780:AW1780)</f>
        <v>0</v>
      </c>
      <c r="AY1780" s="44">
        <f>IFERROR(AVERAGEIF(E1780:AW1780,"&lt;&gt;0",(E1780:AW1780)),)</f>
        <v>0</v>
      </c>
      <c r="AZ1780" s="45">
        <f>IFERROR(AY1780/D1780,0)</f>
        <v>0</v>
      </c>
      <c r="BA1780" s="34"/>
      <c r="BB1780" s="34"/>
      <c r="BC1780" s="34"/>
      <c r="BD1780" s="76"/>
      <c r="BE1780" s="34"/>
      <c r="BF1780" s="34"/>
      <c r="BG1780" s="34"/>
      <c r="BH1780" s="34"/>
    </row>
    <row r="1781" spans="1:60" s="17" customFormat="1" ht="19.5" customHeight="1" thickBot="1" x14ac:dyDescent="0.45">
      <c r="A1781" s="41">
        <f>A1780</f>
        <v>45449</v>
      </c>
      <c r="B1781" s="139" t="str">
        <f>B1776</f>
        <v>Yaka Tıktık</v>
      </c>
      <c r="C1781" s="140"/>
      <c r="D1781" s="40">
        <f>C1766/8</f>
        <v>500</v>
      </c>
      <c r="E1781" s="151">
        <f>SUM(E1776:H1780)</f>
        <v>0</v>
      </c>
      <c r="F1781" s="152"/>
      <c r="G1781" s="152"/>
      <c r="H1781" s="153"/>
      <c r="I1781" s="151">
        <f>SUM(I1776:L1780)</f>
        <v>0</v>
      </c>
      <c r="J1781" s="152"/>
      <c r="K1781" s="152"/>
      <c r="L1781" s="153"/>
      <c r="M1781" s="151">
        <f>SUM(M1776:P1780)</f>
        <v>0</v>
      </c>
      <c r="N1781" s="152"/>
      <c r="O1781" s="152"/>
      <c r="P1781" s="153"/>
      <c r="Q1781" s="151">
        <f>SUM(Q1776:U1780)</f>
        <v>0</v>
      </c>
      <c r="R1781" s="152"/>
      <c r="S1781" s="152"/>
      <c r="T1781" s="152"/>
      <c r="U1781" s="153"/>
      <c r="V1781" s="151">
        <f>SUM(V1776:Y1780)</f>
        <v>0</v>
      </c>
      <c r="W1781" s="152"/>
      <c r="X1781" s="152"/>
      <c r="Y1781" s="153"/>
      <c r="Z1781" s="151">
        <f>SUM(Z1776:AC1780)</f>
        <v>0</v>
      </c>
      <c r="AA1781" s="152"/>
      <c r="AB1781" s="152"/>
      <c r="AC1781" s="153"/>
      <c r="AD1781" s="151">
        <f>SUM(AD1776:AG1780)</f>
        <v>0</v>
      </c>
      <c r="AE1781" s="152"/>
      <c r="AF1781" s="152"/>
      <c r="AG1781" s="153"/>
      <c r="AH1781" s="151">
        <f>SUM(AH1776:AK1780)</f>
        <v>0</v>
      </c>
      <c r="AI1781" s="152"/>
      <c r="AJ1781" s="152"/>
      <c r="AK1781" s="153"/>
      <c r="AL1781" s="151">
        <f>SUM(AL1776:AO1780)</f>
        <v>0</v>
      </c>
      <c r="AM1781" s="152"/>
      <c r="AN1781" s="152"/>
      <c r="AO1781" s="153"/>
      <c r="AP1781" s="151">
        <f>SUM(AP1776:AS1780)</f>
        <v>0</v>
      </c>
      <c r="AQ1781" s="152"/>
      <c r="AR1781" s="152"/>
      <c r="AS1781" s="153"/>
      <c r="AT1781" s="151">
        <f>SUM(AT1776:AW1780)</f>
        <v>0</v>
      </c>
      <c r="AU1781" s="152"/>
      <c r="AV1781" s="152"/>
      <c r="AW1781" s="153"/>
      <c r="AX1781" s="87">
        <f>SUM(AX1776:AX1780)</f>
        <v>0</v>
      </c>
      <c r="AY1781" s="88">
        <f>IFERROR(AVERAGEIF(E1781:AV1781,"&lt;&gt;0",(E1781:AV1781)),)</f>
        <v>0</v>
      </c>
      <c r="AZ1781" s="46">
        <f>IFERROR(AX1781/BB1777,0)</f>
        <v>0</v>
      </c>
      <c r="BA1781" s="34"/>
      <c r="BB1781" s="34"/>
      <c r="BC1781" s="34"/>
      <c r="BD1781" s="76"/>
      <c r="BE1781" s="34"/>
      <c r="BF1781" s="34"/>
      <c r="BG1781" s="34"/>
      <c r="BH1781" s="34"/>
    </row>
    <row r="1782" spans="1:60" s="17" customFormat="1" ht="19.5" customHeight="1" thickBot="1" x14ac:dyDescent="0.4">
      <c r="A1782" s="42">
        <f>A1768</f>
        <v>45449</v>
      </c>
      <c r="B1782" s="38" t="str">
        <f>B1783</f>
        <v>Etiket Hazırlama</v>
      </c>
      <c r="C1782" s="39" t="s">
        <v>180</v>
      </c>
      <c r="D1782" s="69" t="s">
        <v>181</v>
      </c>
      <c r="E1782" s="48">
        <v>0.34375</v>
      </c>
      <c r="F1782" s="49">
        <v>0.35416666666666669</v>
      </c>
      <c r="G1782" s="49">
        <v>0.36458333333333331</v>
      </c>
      <c r="H1782" s="50">
        <v>0.375</v>
      </c>
      <c r="I1782" s="48">
        <v>0.38541666666666702</v>
      </c>
      <c r="J1782" s="49">
        <v>0.39583333333333298</v>
      </c>
      <c r="K1782" s="49">
        <v>0.40625</v>
      </c>
      <c r="L1782" s="50">
        <v>0.41666666666666702</v>
      </c>
      <c r="M1782" s="48">
        <v>0.4375</v>
      </c>
      <c r="N1782" s="49">
        <v>0.44791666666666702</v>
      </c>
      <c r="O1782" s="49">
        <v>0.45833333333333398</v>
      </c>
      <c r="P1782" s="50">
        <v>0.46875</v>
      </c>
      <c r="Q1782" s="48">
        <v>0.47916666666666702</v>
      </c>
      <c r="R1782" s="49">
        <v>0.48958333333333398</v>
      </c>
      <c r="S1782" s="49">
        <v>0.5</v>
      </c>
      <c r="T1782" s="50">
        <v>0.51041666666666696</v>
      </c>
      <c r="U1782" s="51">
        <v>0.52083333333333204</v>
      </c>
      <c r="V1782" s="48">
        <v>0.5625</v>
      </c>
      <c r="W1782" s="49">
        <v>0.57291666666666663</v>
      </c>
      <c r="X1782" s="49">
        <v>0.58333333333333304</v>
      </c>
      <c r="Y1782" s="50">
        <v>0.59375</v>
      </c>
      <c r="Z1782" s="48">
        <v>0.60416666666666696</v>
      </c>
      <c r="AA1782" s="49">
        <v>0.61458333333333304</v>
      </c>
      <c r="AB1782" s="49">
        <v>0.625</v>
      </c>
      <c r="AC1782" s="50">
        <v>0.63541666666666596</v>
      </c>
      <c r="AD1782" s="48">
        <v>0.65625</v>
      </c>
      <c r="AE1782" s="49">
        <v>0.66666666666666663</v>
      </c>
      <c r="AF1782" s="49">
        <v>0.67708333333333304</v>
      </c>
      <c r="AG1782" s="50">
        <v>0.6875</v>
      </c>
      <c r="AH1782" s="48">
        <v>0.69791666666666696</v>
      </c>
      <c r="AI1782" s="49">
        <v>0.70833333333333304</v>
      </c>
      <c r="AJ1782" s="49">
        <v>0.71875</v>
      </c>
      <c r="AK1782" s="50">
        <v>0.72916666666666696</v>
      </c>
      <c r="AL1782" s="48">
        <v>0.73958333333333404</v>
      </c>
      <c r="AM1782" s="49">
        <v>0.750000000000001</v>
      </c>
      <c r="AN1782" s="49">
        <v>0.76041666666666796</v>
      </c>
      <c r="AO1782" s="50">
        <v>0.77083333333333504</v>
      </c>
      <c r="AP1782" s="48">
        <v>0.781250000000002</v>
      </c>
      <c r="AQ1782" s="49">
        <v>0.79166666666666896</v>
      </c>
      <c r="AR1782" s="49">
        <v>0.80208333333333603</v>
      </c>
      <c r="AS1782" s="50">
        <v>0.812500000000003</v>
      </c>
      <c r="AT1782" s="48">
        <v>0.82291666666666996</v>
      </c>
      <c r="AU1782" s="49">
        <v>0.83333333333333703</v>
      </c>
      <c r="AV1782" s="49">
        <v>0.843750000000004</v>
      </c>
      <c r="AW1782" s="50">
        <v>0.85416666666666663</v>
      </c>
      <c r="AX1782" s="68" t="s">
        <v>260</v>
      </c>
      <c r="AY1782" s="28" t="s">
        <v>261</v>
      </c>
      <c r="AZ1782" s="29" t="s">
        <v>262</v>
      </c>
      <c r="BA1782" s="136" t="str">
        <f>B1783</f>
        <v>Etiket Hazırlama</v>
      </c>
      <c r="BB1782" s="137"/>
      <c r="BC1782" s="137"/>
      <c r="BD1782" s="137"/>
      <c r="BE1782" s="137"/>
      <c r="BF1782" s="137"/>
      <c r="BG1782" s="137"/>
      <c r="BH1782" s="138"/>
    </row>
    <row r="1783" spans="1:60" s="17" customFormat="1" ht="19.5" customHeight="1" thickBot="1" x14ac:dyDescent="0.4">
      <c r="A1783" s="41">
        <f t="shared" ref="A1783:A1788" si="1807">A1782</f>
        <v>45449</v>
      </c>
      <c r="B1783" s="37" t="str">
        <f>B1607</f>
        <v>Etiket Hazırlama</v>
      </c>
      <c r="C1783" s="66" t="str">
        <f>C1607</f>
        <v>EMİNE PİŞKİN</v>
      </c>
      <c r="D1783" s="70">
        <f>D1607</f>
        <v>120</v>
      </c>
      <c r="E1783" s="63"/>
      <c r="F1783" s="55"/>
      <c r="G1783" s="55"/>
      <c r="H1783" s="56"/>
      <c r="I1783" s="63"/>
      <c r="J1783" s="55"/>
      <c r="K1783" s="55"/>
      <c r="L1783" s="56"/>
      <c r="M1783" s="63"/>
      <c r="N1783" s="55"/>
      <c r="O1783" s="55"/>
      <c r="P1783" s="56"/>
      <c r="Q1783" s="63"/>
      <c r="R1783" s="55"/>
      <c r="S1783" s="55"/>
      <c r="T1783" s="55"/>
      <c r="U1783" s="56"/>
      <c r="V1783" s="63"/>
      <c r="W1783" s="55"/>
      <c r="X1783" s="55"/>
      <c r="Y1783" s="56"/>
      <c r="Z1783" s="63"/>
      <c r="AA1783" s="55"/>
      <c r="AB1783" s="55"/>
      <c r="AC1783" s="56"/>
      <c r="AD1783" s="63"/>
      <c r="AE1783" s="55"/>
      <c r="AF1783" s="55"/>
      <c r="AG1783" s="56"/>
      <c r="AH1783" s="63"/>
      <c r="AI1783" s="55"/>
      <c r="AJ1783" s="55"/>
      <c r="AK1783" s="56"/>
      <c r="AL1783" s="63"/>
      <c r="AM1783" s="55"/>
      <c r="AN1783" s="55"/>
      <c r="AO1783" s="56"/>
      <c r="AP1783" s="63"/>
      <c r="AQ1783" s="54"/>
      <c r="AR1783" s="55"/>
      <c r="AS1783" s="56"/>
      <c r="AT1783" s="53"/>
      <c r="AU1783" s="54"/>
      <c r="AV1783" s="55"/>
      <c r="AW1783" s="56"/>
      <c r="AX1783" s="33">
        <f>SUM(E1783:AW1783)</f>
        <v>0</v>
      </c>
      <c r="AY1783" s="31">
        <f>IFERROR(AVERAGEIF(E1783:AW1783,"&lt;&gt;0",(E1783:AW1783)),)</f>
        <v>0</v>
      </c>
      <c r="AZ1783" s="30">
        <f>IFERROR(AY1783/D1783,0)</f>
        <v>0</v>
      </c>
      <c r="BA1783" s="103" t="s">
        <v>182</v>
      </c>
      <c r="BB1783" s="100" t="s">
        <v>183</v>
      </c>
      <c r="BC1783" s="100" t="s">
        <v>184</v>
      </c>
      <c r="BD1783" s="101" t="s">
        <v>185</v>
      </c>
      <c r="BE1783" s="100" t="s">
        <v>186</v>
      </c>
      <c r="BF1783" s="102" t="s">
        <v>187</v>
      </c>
      <c r="BG1783" s="100" t="s">
        <v>188</v>
      </c>
      <c r="BH1783" s="102" t="s">
        <v>189</v>
      </c>
    </row>
    <row r="1784" spans="1:60" s="17" customFormat="1" ht="19.5" customHeight="1" thickBot="1" x14ac:dyDescent="0.4">
      <c r="A1784" s="41">
        <f t="shared" si="1807"/>
        <v>45449</v>
      </c>
      <c r="B1784" s="37" t="str">
        <f>B1783</f>
        <v>Etiket Hazırlama</v>
      </c>
      <c r="C1784" s="66">
        <f>C1608</f>
        <v>0</v>
      </c>
      <c r="D1784" s="67">
        <f>D1783</f>
        <v>120</v>
      </c>
      <c r="E1784" s="57"/>
      <c r="F1784" s="52"/>
      <c r="G1784" s="52"/>
      <c r="H1784" s="58"/>
      <c r="I1784" s="57"/>
      <c r="J1784" s="52"/>
      <c r="K1784" s="52"/>
      <c r="L1784" s="58"/>
      <c r="M1784" s="57"/>
      <c r="N1784" s="52"/>
      <c r="O1784" s="52"/>
      <c r="P1784" s="58"/>
      <c r="Q1784" s="57"/>
      <c r="R1784" s="52"/>
      <c r="S1784" s="52"/>
      <c r="T1784" s="52"/>
      <c r="U1784" s="58"/>
      <c r="V1784" s="57"/>
      <c r="W1784" s="52"/>
      <c r="X1784" s="52"/>
      <c r="Y1784" s="58"/>
      <c r="Z1784" s="57"/>
      <c r="AA1784" s="52"/>
      <c r="AB1784" s="52"/>
      <c r="AC1784" s="58"/>
      <c r="AD1784" s="57"/>
      <c r="AE1784" s="52"/>
      <c r="AF1784" s="52"/>
      <c r="AG1784" s="58"/>
      <c r="AH1784" s="57"/>
      <c r="AI1784" s="52"/>
      <c r="AJ1784" s="52"/>
      <c r="AK1784" s="58"/>
      <c r="AL1784" s="57"/>
      <c r="AM1784" s="52"/>
      <c r="AN1784" s="52"/>
      <c r="AO1784" s="58"/>
      <c r="AP1784" s="57"/>
      <c r="AQ1784" s="52"/>
      <c r="AR1784" s="52"/>
      <c r="AS1784" s="58"/>
      <c r="AT1784" s="57"/>
      <c r="AU1784" s="52"/>
      <c r="AV1784" s="52"/>
      <c r="AW1784" s="58"/>
      <c r="AX1784" s="33">
        <f>SUM(E1784:AW1784)</f>
        <v>0</v>
      </c>
      <c r="AY1784" s="31">
        <f>IFERROR(AVERAGEIF(E1784:AW1784,"&lt;&gt;0",(E1784:AW1784)),)</f>
        <v>0</v>
      </c>
      <c r="AZ1784" s="30">
        <f>IFERROR(AY1784/D1784,0)</f>
        <v>0</v>
      </c>
      <c r="BA1784" s="94">
        <f>AX1788+BA1608</f>
        <v>19562</v>
      </c>
      <c r="BB1784" s="95">
        <f>(D1788*8)</f>
        <v>4000</v>
      </c>
      <c r="BC1784" s="96">
        <f>C1765-BA1784</f>
        <v>22749</v>
      </c>
      <c r="BD1784" s="96">
        <f>BC1784</f>
        <v>22749</v>
      </c>
      <c r="BE1784" s="97">
        <f>IFERROR(BC1784/E1788,0)</f>
        <v>0</v>
      </c>
      <c r="BF1784" s="98">
        <f>IFERROR(BE1784/9,0)</f>
        <v>0</v>
      </c>
      <c r="BG1784" s="97">
        <f>IFERROR(BC1784/AY1788,0)</f>
        <v>0</v>
      </c>
      <c r="BH1784" s="97">
        <f>IFERROR(BG1784/9,0)</f>
        <v>0</v>
      </c>
    </row>
    <row r="1785" spans="1:60" s="17" customFormat="1" ht="19.5" customHeight="1" x14ac:dyDescent="0.35">
      <c r="A1785" s="41">
        <f t="shared" si="1807"/>
        <v>45449</v>
      </c>
      <c r="B1785" s="37" t="str">
        <f>B1784</f>
        <v>Etiket Hazırlama</v>
      </c>
      <c r="C1785" s="66">
        <f>C1609</f>
        <v>0</v>
      </c>
      <c r="D1785" s="67">
        <f>D1784</f>
        <v>120</v>
      </c>
      <c r="E1785" s="57"/>
      <c r="F1785" s="52"/>
      <c r="G1785" s="52"/>
      <c r="H1785" s="58"/>
      <c r="I1785" s="57"/>
      <c r="J1785" s="52"/>
      <c r="K1785" s="52"/>
      <c r="L1785" s="58"/>
      <c r="M1785" s="57"/>
      <c r="N1785" s="52"/>
      <c r="O1785" s="52"/>
      <c r="P1785" s="58"/>
      <c r="Q1785" s="57"/>
      <c r="R1785" s="52"/>
      <c r="S1785" s="52"/>
      <c r="T1785" s="52"/>
      <c r="U1785" s="58"/>
      <c r="V1785" s="57"/>
      <c r="W1785" s="52"/>
      <c r="X1785" s="52"/>
      <c r="Y1785" s="58"/>
      <c r="Z1785" s="57"/>
      <c r="AA1785" s="52"/>
      <c r="AB1785" s="52"/>
      <c r="AC1785" s="58"/>
      <c r="AD1785" s="57"/>
      <c r="AE1785" s="52"/>
      <c r="AF1785" s="52"/>
      <c r="AG1785" s="58"/>
      <c r="AH1785" s="57"/>
      <c r="AI1785" s="52"/>
      <c r="AJ1785" s="52"/>
      <c r="AK1785" s="58"/>
      <c r="AL1785" s="57"/>
      <c r="AM1785" s="52"/>
      <c r="AN1785" s="52"/>
      <c r="AO1785" s="58"/>
      <c r="AP1785" s="57"/>
      <c r="AQ1785" s="52"/>
      <c r="AR1785" s="52"/>
      <c r="AS1785" s="58"/>
      <c r="AT1785" s="57"/>
      <c r="AU1785" s="52"/>
      <c r="AV1785" s="52"/>
      <c r="AW1785" s="58"/>
      <c r="AX1785" s="33">
        <f>SUM(E1785:AW1785)</f>
        <v>0</v>
      </c>
      <c r="AY1785" s="31">
        <f>IFERROR(AVERAGEIF(E1785:AW1785,"&lt;&gt;0",(E1785:AW1785)),)</f>
        <v>0</v>
      </c>
      <c r="AZ1785" s="30">
        <f>IFERROR(AY1785/D1785,0)</f>
        <v>0</v>
      </c>
      <c r="BA1785" s="34"/>
      <c r="BB1785" s="34"/>
      <c r="BC1785" s="34"/>
      <c r="BD1785" s="76"/>
      <c r="BE1785" s="34"/>
      <c r="BF1785" s="34"/>
      <c r="BG1785" s="34"/>
      <c r="BH1785" s="34"/>
    </row>
    <row r="1786" spans="1:60" s="17" customFormat="1" ht="19.5" customHeight="1" x14ac:dyDescent="0.35">
      <c r="A1786" s="41">
        <f t="shared" si="1807"/>
        <v>45449</v>
      </c>
      <c r="B1786" s="37" t="str">
        <f>B1785</f>
        <v>Etiket Hazırlama</v>
      </c>
      <c r="C1786" s="66">
        <f>C1610</f>
        <v>0</v>
      </c>
      <c r="D1786" s="67">
        <f>D1785</f>
        <v>120</v>
      </c>
      <c r="E1786" s="57"/>
      <c r="F1786" s="52"/>
      <c r="G1786" s="52"/>
      <c r="H1786" s="58"/>
      <c r="I1786" s="57"/>
      <c r="J1786" s="52"/>
      <c r="K1786" s="52"/>
      <c r="L1786" s="58"/>
      <c r="M1786" s="57"/>
      <c r="N1786" s="52"/>
      <c r="O1786" s="52"/>
      <c r="P1786" s="58"/>
      <c r="Q1786" s="57"/>
      <c r="R1786" s="52"/>
      <c r="S1786" s="52"/>
      <c r="T1786" s="52"/>
      <c r="U1786" s="58"/>
      <c r="V1786" s="57"/>
      <c r="W1786" s="52"/>
      <c r="X1786" s="52"/>
      <c r="Y1786" s="58"/>
      <c r="Z1786" s="57"/>
      <c r="AA1786" s="52"/>
      <c r="AB1786" s="52"/>
      <c r="AC1786" s="58"/>
      <c r="AD1786" s="57"/>
      <c r="AE1786" s="52"/>
      <c r="AF1786" s="52"/>
      <c r="AG1786" s="58"/>
      <c r="AH1786" s="57"/>
      <c r="AI1786" s="52"/>
      <c r="AJ1786" s="52"/>
      <c r="AK1786" s="58"/>
      <c r="AL1786" s="57"/>
      <c r="AM1786" s="52"/>
      <c r="AN1786" s="52"/>
      <c r="AO1786" s="58"/>
      <c r="AP1786" s="57"/>
      <c r="AQ1786" s="52"/>
      <c r="AR1786" s="52"/>
      <c r="AS1786" s="58"/>
      <c r="AT1786" s="57"/>
      <c r="AU1786" s="52"/>
      <c r="AV1786" s="52"/>
      <c r="AW1786" s="58"/>
      <c r="AX1786" s="33">
        <f>SUM(E1786:AW1786)</f>
        <v>0</v>
      </c>
      <c r="AY1786" s="31">
        <f>IFERROR(AVERAGEIF(E1786:AW1786,"&lt;&gt;0",(E1786:AW1786)),)</f>
        <v>0</v>
      </c>
      <c r="AZ1786" s="30">
        <f>IFERROR(AY1786/D1786,0)</f>
        <v>0</v>
      </c>
      <c r="BA1786" s="34"/>
      <c r="BB1786" s="34"/>
      <c r="BC1786" s="34"/>
      <c r="BD1786" s="76"/>
      <c r="BE1786" s="34"/>
      <c r="BF1786" s="34"/>
      <c r="BG1786" s="34"/>
      <c r="BH1786" s="34"/>
    </row>
    <row r="1787" spans="1:60" s="17" customFormat="1" ht="19.5" customHeight="1" thickBot="1" x14ac:dyDescent="0.4">
      <c r="A1787" s="41">
        <f t="shared" si="1807"/>
        <v>45449</v>
      </c>
      <c r="B1787" s="37" t="str">
        <f>B1786</f>
        <v>Etiket Hazırlama</v>
      </c>
      <c r="C1787" s="66">
        <f>C1611</f>
        <v>0</v>
      </c>
      <c r="D1787" s="67">
        <f>D1786</f>
        <v>120</v>
      </c>
      <c r="E1787" s="64"/>
      <c r="F1787" s="61"/>
      <c r="G1787" s="61"/>
      <c r="H1787" s="62"/>
      <c r="I1787" s="64"/>
      <c r="J1787" s="61"/>
      <c r="K1787" s="61"/>
      <c r="L1787" s="62"/>
      <c r="M1787" s="64"/>
      <c r="N1787" s="61"/>
      <c r="O1787" s="61"/>
      <c r="P1787" s="62"/>
      <c r="Q1787" s="64"/>
      <c r="R1787" s="61"/>
      <c r="S1787" s="61"/>
      <c r="T1787" s="61"/>
      <c r="U1787" s="62"/>
      <c r="V1787" s="64"/>
      <c r="W1787" s="61"/>
      <c r="X1787" s="61"/>
      <c r="Y1787" s="62"/>
      <c r="Z1787" s="59"/>
      <c r="AA1787" s="60"/>
      <c r="AB1787" s="61"/>
      <c r="AC1787" s="62"/>
      <c r="AD1787" s="59"/>
      <c r="AE1787" s="60"/>
      <c r="AF1787" s="61"/>
      <c r="AG1787" s="62"/>
      <c r="AH1787" s="59"/>
      <c r="AI1787" s="60"/>
      <c r="AJ1787" s="61"/>
      <c r="AK1787" s="62"/>
      <c r="AL1787" s="59"/>
      <c r="AM1787" s="60"/>
      <c r="AN1787" s="61"/>
      <c r="AO1787" s="62"/>
      <c r="AP1787" s="59"/>
      <c r="AQ1787" s="60"/>
      <c r="AR1787" s="61"/>
      <c r="AS1787" s="62"/>
      <c r="AT1787" s="59"/>
      <c r="AU1787" s="60"/>
      <c r="AV1787" s="61"/>
      <c r="AW1787" s="62"/>
      <c r="AX1787" s="43">
        <f>SUM(E1787:AW1787)</f>
        <v>0</v>
      </c>
      <c r="AY1787" s="44">
        <f>IFERROR(AVERAGEIF(E1787:AW1787,"&lt;&gt;0",(E1787:AW1787)),)</f>
        <v>0</v>
      </c>
      <c r="AZ1787" s="45">
        <f>IFERROR(AY1787/D1787,0)</f>
        <v>0</v>
      </c>
      <c r="BA1787" s="34"/>
      <c r="BB1787" s="34"/>
      <c r="BC1787" s="34"/>
      <c r="BD1787" s="76"/>
      <c r="BE1787" s="34"/>
      <c r="BF1787" s="34"/>
      <c r="BG1787" s="34"/>
      <c r="BH1787" s="34"/>
    </row>
    <row r="1788" spans="1:60" s="17" customFormat="1" ht="19.5" customHeight="1" thickBot="1" x14ac:dyDescent="0.45">
      <c r="A1788" s="41">
        <f t="shared" si="1807"/>
        <v>45449</v>
      </c>
      <c r="B1788" s="139" t="str">
        <f>B1783</f>
        <v>Etiket Hazırlama</v>
      </c>
      <c r="C1788" s="140"/>
      <c r="D1788" s="40">
        <f>C1766/8</f>
        <v>500</v>
      </c>
      <c r="E1788" s="151">
        <f>SUM(E1783:H1787)</f>
        <v>0</v>
      </c>
      <c r="F1788" s="152"/>
      <c r="G1788" s="152"/>
      <c r="H1788" s="153"/>
      <c r="I1788" s="151">
        <f>SUM(I1783:L1787)</f>
        <v>0</v>
      </c>
      <c r="J1788" s="152"/>
      <c r="K1788" s="152"/>
      <c r="L1788" s="153"/>
      <c r="M1788" s="151">
        <f>SUM(M1783:P1787)</f>
        <v>0</v>
      </c>
      <c r="N1788" s="152"/>
      <c r="O1788" s="152"/>
      <c r="P1788" s="153"/>
      <c r="Q1788" s="151">
        <f>SUM(Q1783:U1787)</f>
        <v>0</v>
      </c>
      <c r="R1788" s="152"/>
      <c r="S1788" s="152"/>
      <c r="T1788" s="152"/>
      <c r="U1788" s="153"/>
      <c r="V1788" s="151">
        <f>SUM(V1783:Y1787)</f>
        <v>0</v>
      </c>
      <c r="W1788" s="152"/>
      <c r="X1788" s="152"/>
      <c r="Y1788" s="153"/>
      <c r="Z1788" s="151">
        <f>SUM(Z1783:AC1787)</f>
        <v>0</v>
      </c>
      <c r="AA1788" s="152"/>
      <c r="AB1788" s="152"/>
      <c r="AC1788" s="153"/>
      <c r="AD1788" s="151">
        <f>SUM(AD1783:AG1787)</f>
        <v>0</v>
      </c>
      <c r="AE1788" s="152"/>
      <c r="AF1788" s="152"/>
      <c r="AG1788" s="153"/>
      <c r="AH1788" s="151">
        <f>SUM(AH1783:AK1787)</f>
        <v>0</v>
      </c>
      <c r="AI1788" s="152"/>
      <c r="AJ1788" s="152"/>
      <c r="AK1788" s="153"/>
      <c r="AL1788" s="151">
        <f>SUM(AL1783:AO1787)</f>
        <v>0</v>
      </c>
      <c r="AM1788" s="152"/>
      <c r="AN1788" s="152"/>
      <c r="AO1788" s="153"/>
      <c r="AP1788" s="151">
        <f>SUM(AP1783:AS1787)</f>
        <v>0</v>
      </c>
      <c r="AQ1788" s="152"/>
      <c r="AR1788" s="152"/>
      <c r="AS1788" s="153"/>
      <c r="AT1788" s="151">
        <f>SUM(AT1783:AW1787)</f>
        <v>0</v>
      </c>
      <c r="AU1788" s="152"/>
      <c r="AV1788" s="152"/>
      <c r="AW1788" s="153"/>
      <c r="AX1788" s="87">
        <f>SUM(AX1783:AX1787)</f>
        <v>0</v>
      </c>
      <c r="AY1788" s="88">
        <f>IFERROR(AVERAGEIF(E1788:AV1788,"&lt;&gt;0",(E1788:AV1788)),)</f>
        <v>0</v>
      </c>
      <c r="AZ1788" s="46">
        <f>IFERROR(AX1788/BB1784,0)</f>
        <v>0</v>
      </c>
      <c r="BA1788" s="34"/>
      <c r="BB1788" s="34"/>
      <c r="BC1788" s="34"/>
      <c r="BD1788" s="76"/>
      <c r="BE1788" s="34"/>
      <c r="BF1788" s="34"/>
      <c r="BG1788" s="34"/>
      <c r="BH1788" s="34"/>
    </row>
    <row r="1789" spans="1:60" s="17" customFormat="1" ht="19.5" customHeight="1" thickBot="1" x14ac:dyDescent="0.4">
      <c r="A1789" s="42">
        <f>A1768</f>
        <v>45449</v>
      </c>
      <c r="B1789" s="38" t="str">
        <f>B1790</f>
        <v>Tela Yapıştırma</v>
      </c>
      <c r="C1789" s="39" t="s">
        <v>180</v>
      </c>
      <c r="D1789" s="69" t="s">
        <v>181</v>
      </c>
      <c r="E1789" s="48">
        <v>0.34375</v>
      </c>
      <c r="F1789" s="49">
        <v>0.35416666666666669</v>
      </c>
      <c r="G1789" s="49">
        <v>0.36458333333333331</v>
      </c>
      <c r="H1789" s="50">
        <v>0.375</v>
      </c>
      <c r="I1789" s="48">
        <v>0.38541666666666702</v>
      </c>
      <c r="J1789" s="49">
        <v>0.39583333333333298</v>
      </c>
      <c r="K1789" s="49">
        <v>0.40625</v>
      </c>
      <c r="L1789" s="50">
        <v>0.41666666666666702</v>
      </c>
      <c r="M1789" s="48">
        <v>0.4375</v>
      </c>
      <c r="N1789" s="49">
        <v>0.44791666666666702</v>
      </c>
      <c r="O1789" s="49">
        <v>0.45833333333333398</v>
      </c>
      <c r="P1789" s="50">
        <v>0.46875</v>
      </c>
      <c r="Q1789" s="48">
        <v>0.47916666666666702</v>
      </c>
      <c r="R1789" s="49">
        <v>0.48958333333333398</v>
      </c>
      <c r="S1789" s="49">
        <v>0.5</v>
      </c>
      <c r="T1789" s="50">
        <v>0.51041666666666696</v>
      </c>
      <c r="U1789" s="51">
        <v>0.52083333333333204</v>
      </c>
      <c r="V1789" s="48">
        <v>0.5625</v>
      </c>
      <c r="W1789" s="49">
        <v>0.57291666666666663</v>
      </c>
      <c r="X1789" s="49">
        <v>0.58333333333333304</v>
      </c>
      <c r="Y1789" s="50">
        <v>0.59375</v>
      </c>
      <c r="Z1789" s="48">
        <v>0.60416666666666696</v>
      </c>
      <c r="AA1789" s="49">
        <v>0.61458333333333304</v>
      </c>
      <c r="AB1789" s="49">
        <v>0.625</v>
      </c>
      <c r="AC1789" s="50">
        <v>0.63541666666666596</v>
      </c>
      <c r="AD1789" s="48">
        <v>0.65625</v>
      </c>
      <c r="AE1789" s="49">
        <v>0.66666666666666663</v>
      </c>
      <c r="AF1789" s="49">
        <v>0.67708333333333304</v>
      </c>
      <c r="AG1789" s="50">
        <v>0.6875</v>
      </c>
      <c r="AH1789" s="48">
        <v>0.69791666666666696</v>
      </c>
      <c r="AI1789" s="49">
        <v>0.70833333333333304</v>
      </c>
      <c r="AJ1789" s="49">
        <v>0.71875</v>
      </c>
      <c r="AK1789" s="50">
        <v>0.72916666666666696</v>
      </c>
      <c r="AL1789" s="48">
        <v>0.73958333333333404</v>
      </c>
      <c r="AM1789" s="49">
        <v>0.750000000000001</v>
      </c>
      <c r="AN1789" s="49">
        <v>0.76041666666666796</v>
      </c>
      <c r="AO1789" s="50">
        <v>0.77083333333333504</v>
      </c>
      <c r="AP1789" s="48">
        <v>0.781250000000002</v>
      </c>
      <c r="AQ1789" s="49">
        <v>0.79166666666666896</v>
      </c>
      <c r="AR1789" s="49">
        <v>0.80208333333333603</v>
      </c>
      <c r="AS1789" s="50">
        <v>0.812500000000003</v>
      </c>
      <c r="AT1789" s="48">
        <v>0.82291666666666996</v>
      </c>
      <c r="AU1789" s="49">
        <v>0.83333333333333703</v>
      </c>
      <c r="AV1789" s="49">
        <v>0.843750000000004</v>
      </c>
      <c r="AW1789" s="50">
        <v>0.85416666666666663</v>
      </c>
      <c r="AX1789" s="68" t="s">
        <v>260</v>
      </c>
      <c r="AY1789" s="28" t="s">
        <v>261</v>
      </c>
      <c r="AZ1789" s="29" t="s">
        <v>262</v>
      </c>
      <c r="BA1789" s="136" t="str">
        <f>B1790</f>
        <v>Tela Yapıştırma</v>
      </c>
      <c r="BB1789" s="137"/>
      <c r="BC1789" s="137"/>
      <c r="BD1789" s="137"/>
      <c r="BE1789" s="137"/>
      <c r="BF1789" s="137"/>
      <c r="BG1789" s="137"/>
      <c r="BH1789" s="138"/>
    </row>
    <row r="1790" spans="1:60" s="17" customFormat="1" ht="19.5" customHeight="1" thickBot="1" x14ac:dyDescent="0.4">
      <c r="A1790" s="41">
        <f>A1782</f>
        <v>45449</v>
      </c>
      <c r="B1790" s="37" t="str">
        <f>B1614</f>
        <v>Tela Yapıştırma</v>
      </c>
      <c r="C1790" s="66" t="str">
        <f>C1614</f>
        <v>AYŞE ADADA</v>
      </c>
      <c r="D1790" s="70">
        <f>D1614</f>
        <v>200</v>
      </c>
      <c r="E1790" s="63"/>
      <c r="F1790" s="55"/>
      <c r="G1790" s="55"/>
      <c r="H1790" s="56"/>
      <c r="I1790" s="63"/>
      <c r="J1790" s="55"/>
      <c r="K1790" s="55"/>
      <c r="L1790" s="56"/>
      <c r="M1790" s="63"/>
      <c r="N1790" s="55"/>
      <c r="O1790" s="55"/>
      <c r="P1790" s="56"/>
      <c r="Q1790" s="63"/>
      <c r="R1790" s="55"/>
      <c r="S1790" s="55"/>
      <c r="T1790" s="55"/>
      <c r="U1790" s="56"/>
      <c r="V1790" s="63"/>
      <c r="W1790" s="55"/>
      <c r="X1790" s="55"/>
      <c r="Y1790" s="56"/>
      <c r="Z1790" s="63"/>
      <c r="AA1790" s="55"/>
      <c r="AB1790" s="55"/>
      <c r="AC1790" s="56"/>
      <c r="AD1790" s="63"/>
      <c r="AE1790" s="55"/>
      <c r="AF1790" s="55"/>
      <c r="AG1790" s="56"/>
      <c r="AH1790" s="63"/>
      <c r="AI1790" s="55"/>
      <c r="AJ1790" s="55"/>
      <c r="AK1790" s="56"/>
      <c r="AL1790" s="63"/>
      <c r="AM1790" s="55"/>
      <c r="AN1790" s="55"/>
      <c r="AO1790" s="56"/>
      <c r="AP1790" s="63"/>
      <c r="AQ1790" s="54"/>
      <c r="AR1790" s="55"/>
      <c r="AS1790" s="56"/>
      <c r="AT1790" s="53"/>
      <c r="AU1790" s="54"/>
      <c r="AV1790" s="55"/>
      <c r="AW1790" s="56"/>
      <c r="AX1790" s="33">
        <f>SUM(E1790:AW1790)</f>
        <v>0</v>
      </c>
      <c r="AY1790" s="31">
        <f>IFERROR(AVERAGEIF(E1790:AW1790,"&lt;&gt;0",(E1790:AW1790)),)</f>
        <v>0</v>
      </c>
      <c r="AZ1790" s="30">
        <f>IFERROR(AY1790/D1790,0)</f>
        <v>0</v>
      </c>
      <c r="BA1790" s="103" t="s">
        <v>182</v>
      </c>
      <c r="BB1790" s="100" t="s">
        <v>183</v>
      </c>
      <c r="BC1790" s="100" t="s">
        <v>184</v>
      </c>
      <c r="BD1790" s="101" t="s">
        <v>185</v>
      </c>
      <c r="BE1790" s="100" t="s">
        <v>186</v>
      </c>
      <c r="BF1790" s="102" t="s">
        <v>187</v>
      </c>
      <c r="BG1790" s="100" t="s">
        <v>188</v>
      </c>
      <c r="BH1790" s="102" t="s">
        <v>189</v>
      </c>
    </row>
    <row r="1791" spans="1:60" s="17" customFormat="1" ht="19.5" customHeight="1" thickBot="1" x14ac:dyDescent="0.4">
      <c r="A1791" s="41">
        <f t="shared" ref="A1791:B1791" si="1808">A1790</f>
        <v>45449</v>
      </c>
      <c r="B1791" s="37" t="str">
        <f t="shared" si="1808"/>
        <v>Tela Yapıştırma</v>
      </c>
      <c r="C1791" s="66">
        <f>C1615</f>
        <v>0</v>
      </c>
      <c r="D1791" s="67">
        <f>D1790</f>
        <v>200</v>
      </c>
      <c r="E1791" s="57"/>
      <c r="F1791" s="52"/>
      <c r="G1791" s="52"/>
      <c r="H1791" s="58"/>
      <c r="I1791" s="57"/>
      <c r="J1791" s="52"/>
      <c r="K1791" s="52"/>
      <c r="L1791" s="58"/>
      <c r="M1791" s="57"/>
      <c r="N1791" s="52"/>
      <c r="O1791" s="52"/>
      <c r="P1791" s="58"/>
      <c r="Q1791" s="57"/>
      <c r="R1791" s="52"/>
      <c r="S1791" s="52"/>
      <c r="T1791" s="52"/>
      <c r="U1791" s="58"/>
      <c r="V1791" s="57"/>
      <c r="W1791" s="52"/>
      <c r="X1791" s="52"/>
      <c r="Y1791" s="58"/>
      <c r="Z1791" s="57"/>
      <c r="AA1791" s="52"/>
      <c r="AB1791" s="52"/>
      <c r="AC1791" s="58"/>
      <c r="AD1791" s="57"/>
      <c r="AE1791" s="52"/>
      <c r="AF1791" s="52"/>
      <c r="AG1791" s="58"/>
      <c r="AH1791" s="57"/>
      <c r="AI1791" s="52"/>
      <c r="AJ1791" s="52"/>
      <c r="AK1791" s="58"/>
      <c r="AL1791" s="57"/>
      <c r="AM1791" s="52"/>
      <c r="AN1791" s="52"/>
      <c r="AO1791" s="58"/>
      <c r="AP1791" s="57"/>
      <c r="AQ1791" s="52"/>
      <c r="AR1791" s="52"/>
      <c r="AS1791" s="58"/>
      <c r="AT1791" s="57"/>
      <c r="AU1791" s="52"/>
      <c r="AV1791" s="52"/>
      <c r="AW1791" s="58"/>
      <c r="AX1791" s="33">
        <f>SUM(E1791:AW1791)</f>
        <v>0</v>
      </c>
      <c r="AY1791" s="31">
        <f>IFERROR(AVERAGEIF(E1791:AW1791,"&lt;&gt;0",(E1791:AW1791)),)</f>
        <v>0</v>
      </c>
      <c r="AZ1791" s="30">
        <f>IFERROR(AY1791/D1791,0)</f>
        <v>0</v>
      </c>
      <c r="BA1791" s="94">
        <f>AX1795+BA1615</f>
        <v>0</v>
      </c>
      <c r="BB1791" s="95">
        <f>(D1795*8)</f>
        <v>4000</v>
      </c>
      <c r="BC1791" s="96">
        <f>C1765-BA1791</f>
        <v>42311</v>
      </c>
      <c r="BD1791" s="96">
        <f>BC1791</f>
        <v>42311</v>
      </c>
      <c r="BE1791" s="97">
        <f>IFERROR(BC1791/E1795,0)</f>
        <v>0</v>
      </c>
      <c r="BF1791" s="98">
        <f>IFERROR(BE1791/9,0)</f>
        <v>0</v>
      </c>
      <c r="BG1791" s="97">
        <f>IFERROR(BC1791/AY1795,0)</f>
        <v>0</v>
      </c>
      <c r="BH1791" s="97">
        <f>IFERROR(BG1791/9,0)</f>
        <v>0</v>
      </c>
    </row>
    <row r="1792" spans="1:60" s="17" customFormat="1" ht="19.5" customHeight="1" x14ac:dyDescent="0.35">
      <c r="A1792" s="41">
        <f t="shared" ref="A1792:B1792" si="1809">A1791</f>
        <v>45449</v>
      </c>
      <c r="B1792" s="37" t="str">
        <f t="shared" si="1809"/>
        <v>Tela Yapıştırma</v>
      </c>
      <c r="C1792" s="66">
        <f>C1616</f>
        <v>0</v>
      </c>
      <c r="D1792" s="67">
        <f>D1791</f>
        <v>200</v>
      </c>
      <c r="E1792" s="57"/>
      <c r="F1792" s="52"/>
      <c r="G1792" s="52"/>
      <c r="H1792" s="58"/>
      <c r="I1792" s="57"/>
      <c r="J1792" s="52"/>
      <c r="K1792" s="52"/>
      <c r="L1792" s="58"/>
      <c r="M1792" s="57"/>
      <c r="N1792" s="52"/>
      <c r="O1792" s="52"/>
      <c r="P1792" s="58"/>
      <c r="Q1792" s="57"/>
      <c r="R1792" s="52"/>
      <c r="S1792" s="52"/>
      <c r="T1792" s="52"/>
      <c r="U1792" s="58"/>
      <c r="V1792" s="57"/>
      <c r="W1792" s="52"/>
      <c r="X1792" s="52"/>
      <c r="Y1792" s="58"/>
      <c r="Z1792" s="57"/>
      <c r="AA1792" s="52"/>
      <c r="AB1792" s="52"/>
      <c r="AC1792" s="58"/>
      <c r="AD1792" s="57"/>
      <c r="AE1792" s="52"/>
      <c r="AF1792" s="52"/>
      <c r="AG1792" s="58"/>
      <c r="AH1792" s="57"/>
      <c r="AI1792" s="52"/>
      <c r="AJ1792" s="52"/>
      <c r="AK1792" s="58"/>
      <c r="AL1792" s="57"/>
      <c r="AM1792" s="52"/>
      <c r="AN1792" s="52"/>
      <c r="AO1792" s="58"/>
      <c r="AP1792" s="57"/>
      <c r="AQ1792" s="52"/>
      <c r="AR1792" s="52"/>
      <c r="AS1792" s="58"/>
      <c r="AT1792" s="57"/>
      <c r="AU1792" s="52"/>
      <c r="AV1792" s="52"/>
      <c r="AW1792" s="58"/>
      <c r="AX1792" s="33">
        <f>SUM(E1792:AW1792)</f>
        <v>0</v>
      </c>
      <c r="AY1792" s="31">
        <f>IFERROR(AVERAGEIF(E1792:AW1792,"&lt;&gt;0",(E1792:AW1792)),)</f>
        <v>0</v>
      </c>
      <c r="AZ1792" s="30">
        <f>IFERROR(AY1792/D1792,0)</f>
        <v>0</v>
      </c>
      <c r="BA1792" s="34"/>
      <c r="BB1792" s="34"/>
      <c r="BC1792" s="34"/>
      <c r="BD1792" s="76"/>
      <c r="BE1792" s="34"/>
      <c r="BF1792" s="34"/>
      <c r="BG1792" s="34"/>
      <c r="BH1792" s="34"/>
    </row>
    <row r="1793" spans="1:60" s="17" customFormat="1" ht="19.5" customHeight="1" x14ac:dyDescent="0.35">
      <c r="A1793" s="41">
        <f t="shared" ref="A1793:B1793" si="1810">A1792</f>
        <v>45449</v>
      </c>
      <c r="B1793" s="37" t="str">
        <f t="shared" si="1810"/>
        <v>Tela Yapıştırma</v>
      </c>
      <c r="C1793" s="66">
        <f>C1617</f>
        <v>0</v>
      </c>
      <c r="D1793" s="67">
        <f>D1792</f>
        <v>200</v>
      </c>
      <c r="E1793" s="57"/>
      <c r="F1793" s="52"/>
      <c r="G1793" s="52"/>
      <c r="H1793" s="58"/>
      <c r="I1793" s="57"/>
      <c r="J1793" s="52"/>
      <c r="K1793" s="52"/>
      <c r="L1793" s="58"/>
      <c r="M1793" s="57"/>
      <c r="N1793" s="52"/>
      <c r="O1793" s="52"/>
      <c r="P1793" s="58"/>
      <c r="Q1793" s="57"/>
      <c r="R1793" s="52"/>
      <c r="S1793" s="52"/>
      <c r="T1793" s="52"/>
      <c r="U1793" s="58"/>
      <c r="V1793" s="57"/>
      <c r="W1793" s="52"/>
      <c r="X1793" s="52"/>
      <c r="Y1793" s="58"/>
      <c r="Z1793" s="57"/>
      <c r="AA1793" s="52"/>
      <c r="AB1793" s="52"/>
      <c r="AC1793" s="58"/>
      <c r="AD1793" s="57"/>
      <c r="AE1793" s="52"/>
      <c r="AF1793" s="52"/>
      <c r="AG1793" s="58"/>
      <c r="AH1793" s="57"/>
      <c r="AI1793" s="52"/>
      <c r="AJ1793" s="52"/>
      <c r="AK1793" s="58"/>
      <c r="AL1793" s="57"/>
      <c r="AM1793" s="52"/>
      <c r="AN1793" s="52"/>
      <c r="AO1793" s="58"/>
      <c r="AP1793" s="57"/>
      <c r="AQ1793" s="52"/>
      <c r="AR1793" s="52"/>
      <c r="AS1793" s="58"/>
      <c r="AT1793" s="57"/>
      <c r="AU1793" s="52"/>
      <c r="AV1793" s="52"/>
      <c r="AW1793" s="58"/>
      <c r="AX1793" s="33">
        <f>SUM(E1793:AW1793)</f>
        <v>0</v>
      </c>
      <c r="AY1793" s="31">
        <f>IFERROR(AVERAGEIF(E1793:AW1793,"&lt;&gt;0",(E1793:AW1793)),)</f>
        <v>0</v>
      </c>
      <c r="AZ1793" s="30">
        <f>IFERROR(AY1793/D1793,0)</f>
        <v>0</v>
      </c>
      <c r="BA1793" s="34"/>
      <c r="BB1793" s="34"/>
      <c r="BC1793" s="34"/>
      <c r="BD1793" s="76"/>
      <c r="BE1793" s="34"/>
      <c r="BF1793" s="34"/>
      <c r="BG1793" s="34"/>
      <c r="BH1793" s="34"/>
    </row>
    <row r="1794" spans="1:60" s="17" customFormat="1" ht="19.5" customHeight="1" thickBot="1" x14ac:dyDescent="0.4">
      <c r="A1794" s="41">
        <f t="shared" ref="A1794:B1794" si="1811">A1793</f>
        <v>45449</v>
      </c>
      <c r="B1794" s="37" t="str">
        <f t="shared" si="1811"/>
        <v>Tela Yapıştırma</v>
      </c>
      <c r="C1794" s="66">
        <f>C1618</f>
        <v>0</v>
      </c>
      <c r="D1794" s="67">
        <f>D1793</f>
        <v>200</v>
      </c>
      <c r="E1794" s="64"/>
      <c r="F1794" s="61"/>
      <c r="G1794" s="61"/>
      <c r="H1794" s="62"/>
      <c r="I1794" s="64"/>
      <c r="J1794" s="61"/>
      <c r="K1794" s="61"/>
      <c r="L1794" s="62"/>
      <c r="M1794" s="64"/>
      <c r="N1794" s="61"/>
      <c r="O1794" s="61"/>
      <c r="P1794" s="62"/>
      <c r="Q1794" s="64"/>
      <c r="R1794" s="61"/>
      <c r="S1794" s="61"/>
      <c r="T1794" s="61"/>
      <c r="U1794" s="62"/>
      <c r="V1794" s="64"/>
      <c r="W1794" s="61"/>
      <c r="X1794" s="61"/>
      <c r="Y1794" s="62"/>
      <c r="Z1794" s="59"/>
      <c r="AA1794" s="60"/>
      <c r="AB1794" s="61"/>
      <c r="AC1794" s="62"/>
      <c r="AD1794" s="59"/>
      <c r="AE1794" s="60"/>
      <c r="AF1794" s="61"/>
      <c r="AG1794" s="62"/>
      <c r="AH1794" s="59"/>
      <c r="AI1794" s="60"/>
      <c r="AJ1794" s="61"/>
      <c r="AK1794" s="62"/>
      <c r="AL1794" s="59"/>
      <c r="AM1794" s="60"/>
      <c r="AN1794" s="61"/>
      <c r="AO1794" s="62"/>
      <c r="AP1794" s="59"/>
      <c r="AQ1794" s="60"/>
      <c r="AR1794" s="61"/>
      <c r="AS1794" s="62"/>
      <c r="AT1794" s="59"/>
      <c r="AU1794" s="60"/>
      <c r="AV1794" s="61"/>
      <c r="AW1794" s="62"/>
      <c r="AX1794" s="43">
        <f>SUM(E1794:AW1794)</f>
        <v>0</v>
      </c>
      <c r="AY1794" s="44">
        <f>IFERROR(AVERAGEIF(E1794:AW1794,"&lt;&gt;0",(E1794:AW1794)),)</f>
        <v>0</v>
      </c>
      <c r="AZ1794" s="45">
        <f>IFERROR(AY1794/D1794,0)</f>
        <v>0</v>
      </c>
      <c r="BA1794" s="34"/>
      <c r="BB1794" s="34"/>
      <c r="BC1794" s="34"/>
      <c r="BD1794" s="76"/>
      <c r="BE1794" s="34"/>
      <c r="BF1794" s="34"/>
      <c r="BG1794" s="34"/>
      <c r="BH1794" s="34"/>
    </row>
    <row r="1795" spans="1:60" s="17" customFormat="1" ht="19.5" customHeight="1" thickBot="1" x14ac:dyDescent="0.45">
      <c r="A1795" s="41">
        <f>A1794</f>
        <v>45449</v>
      </c>
      <c r="B1795" s="139" t="str">
        <f>B1790</f>
        <v>Tela Yapıştırma</v>
      </c>
      <c r="C1795" s="140"/>
      <c r="D1795" s="40">
        <f>C1766/8</f>
        <v>500</v>
      </c>
      <c r="E1795" s="151">
        <f>SUM(E1790:H1794)</f>
        <v>0</v>
      </c>
      <c r="F1795" s="152"/>
      <c r="G1795" s="152"/>
      <c r="H1795" s="153"/>
      <c r="I1795" s="151">
        <f>SUM(I1790:L1794)</f>
        <v>0</v>
      </c>
      <c r="J1795" s="152"/>
      <c r="K1795" s="152"/>
      <c r="L1795" s="153"/>
      <c r="M1795" s="151">
        <f>SUM(M1790:P1794)</f>
        <v>0</v>
      </c>
      <c r="N1795" s="152"/>
      <c r="O1795" s="152"/>
      <c r="P1795" s="153"/>
      <c r="Q1795" s="151">
        <f>SUM(Q1790:U1794)</f>
        <v>0</v>
      </c>
      <c r="R1795" s="152"/>
      <c r="S1795" s="152"/>
      <c r="T1795" s="152"/>
      <c r="U1795" s="153"/>
      <c r="V1795" s="151">
        <f>SUM(V1790:Y1794)</f>
        <v>0</v>
      </c>
      <c r="W1795" s="152"/>
      <c r="X1795" s="152"/>
      <c r="Y1795" s="153"/>
      <c r="Z1795" s="151">
        <f>SUM(Z1790:AC1794)</f>
        <v>0</v>
      </c>
      <c r="AA1795" s="152"/>
      <c r="AB1795" s="152"/>
      <c r="AC1795" s="153"/>
      <c r="AD1795" s="151">
        <f>SUM(AD1790:AG1794)</f>
        <v>0</v>
      </c>
      <c r="AE1795" s="152"/>
      <c r="AF1795" s="152"/>
      <c r="AG1795" s="153"/>
      <c r="AH1795" s="151">
        <f>SUM(AH1790:AK1794)</f>
        <v>0</v>
      </c>
      <c r="AI1795" s="152"/>
      <c r="AJ1795" s="152"/>
      <c r="AK1795" s="153"/>
      <c r="AL1795" s="151">
        <f>SUM(AL1790:AO1794)</f>
        <v>0</v>
      </c>
      <c r="AM1795" s="152"/>
      <c r="AN1795" s="152"/>
      <c r="AO1795" s="153"/>
      <c r="AP1795" s="151">
        <f>SUM(AP1790:AS1794)</f>
        <v>0</v>
      </c>
      <c r="AQ1795" s="152"/>
      <c r="AR1795" s="152"/>
      <c r="AS1795" s="153"/>
      <c r="AT1795" s="151">
        <f>SUM(AT1790:AW1794)</f>
        <v>0</v>
      </c>
      <c r="AU1795" s="152"/>
      <c r="AV1795" s="152"/>
      <c r="AW1795" s="153"/>
      <c r="AX1795" s="87">
        <f>SUM(AX1790:AX1794)</f>
        <v>0</v>
      </c>
      <c r="AY1795" s="88">
        <f>IFERROR(AVERAGEIF(E1795:AV1795,"&lt;&gt;0",(E1795:AV1795)),)</f>
        <v>0</v>
      </c>
      <c r="AZ1795" s="46">
        <f>IFERROR(AX1795/BB1791,0)</f>
        <v>0</v>
      </c>
      <c r="BA1795" s="34"/>
      <c r="BB1795" s="34"/>
      <c r="BC1795" s="34"/>
      <c r="BD1795" s="76"/>
      <c r="BE1795" s="34"/>
      <c r="BF1795" s="34"/>
      <c r="BG1795" s="34"/>
      <c r="BH1795" s="34"/>
    </row>
    <row r="1796" spans="1:60" s="17" customFormat="1" ht="19.5" customHeight="1" thickBot="1" x14ac:dyDescent="0.4">
      <c r="A1796" s="42">
        <f>A1782</f>
        <v>45449</v>
      </c>
      <c r="B1796" s="38">
        <f>B1797</f>
        <v>0</v>
      </c>
      <c r="C1796" s="39" t="s">
        <v>180</v>
      </c>
      <c r="D1796" s="69" t="s">
        <v>181</v>
      </c>
      <c r="E1796" s="48">
        <v>0.34375</v>
      </c>
      <c r="F1796" s="49">
        <v>0.35416666666666669</v>
      </c>
      <c r="G1796" s="49">
        <v>0.36458333333333331</v>
      </c>
      <c r="H1796" s="50">
        <v>0.375</v>
      </c>
      <c r="I1796" s="48">
        <v>0.38541666666666702</v>
      </c>
      <c r="J1796" s="49">
        <v>0.39583333333333298</v>
      </c>
      <c r="K1796" s="49">
        <v>0.40625</v>
      </c>
      <c r="L1796" s="50">
        <v>0.41666666666666702</v>
      </c>
      <c r="M1796" s="48">
        <v>0.4375</v>
      </c>
      <c r="N1796" s="49">
        <v>0.44791666666666702</v>
      </c>
      <c r="O1796" s="49">
        <v>0.45833333333333398</v>
      </c>
      <c r="P1796" s="50">
        <v>0.46875</v>
      </c>
      <c r="Q1796" s="48">
        <v>0.47916666666666702</v>
      </c>
      <c r="R1796" s="49">
        <v>0.48958333333333398</v>
      </c>
      <c r="S1796" s="49">
        <v>0.5</v>
      </c>
      <c r="T1796" s="50">
        <v>0.51041666666666696</v>
      </c>
      <c r="U1796" s="51">
        <v>0.52083333333333204</v>
      </c>
      <c r="V1796" s="48">
        <v>0.5625</v>
      </c>
      <c r="W1796" s="49">
        <v>0.57291666666666663</v>
      </c>
      <c r="X1796" s="49">
        <v>0.58333333333333304</v>
      </c>
      <c r="Y1796" s="50">
        <v>0.59375</v>
      </c>
      <c r="Z1796" s="48">
        <v>0.60416666666666696</v>
      </c>
      <c r="AA1796" s="49">
        <v>0.61458333333333304</v>
      </c>
      <c r="AB1796" s="49">
        <v>0.625</v>
      </c>
      <c r="AC1796" s="50">
        <v>0.63541666666666596</v>
      </c>
      <c r="AD1796" s="48">
        <v>0.65625</v>
      </c>
      <c r="AE1796" s="49">
        <v>0.66666666666666663</v>
      </c>
      <c r="AF1796" s="49">
        <v>0.67708333333333304</v>
      </c>
      <c r="AG1796" s="50">
        <v>0.6875</v>
      </c>
      <c r="AH1796" s="48">
        <v>0.69791666666666696</v>
      </c>
      <c r="AI1796" s="49">
        <v>0.70833333333333304</v>
      </c>
      <c r="AJ1796" s="49">
        <v>0.71875</v>
      </c>
      <c r="AK1796" s="50">
        <v>0.72916666666666696</v>
      </c>
      <c r="AL1796" s="48">
        <v>0.73958333333333404</v>
      </c>
      <c r="AM1796" s="49">
        <v>0.750000000000001</v>
      </c>
      <c r="AN1796" s="49">
        <v>0.76041666666666796</v>
      </c>
      <c r="AO1796" s="50">
        <v>0.77083333333333504</v>
      </c>
      <c r="AP1796" s="48">
        <v>0.781250000000002</v>
      </c>
      <c r="AQ1796" s="49">
        <v>0.79166666666666896</v>
      </c>
      <c r="AR1796" s="49">
        <v>0.80208333333333603</v>
      </c>
      <c r="AS1796" s="50">
        <v>0.812500000000003</v>
      </c>
      <c r="AT1796" s="48">
        <v>0.82291666666666996</v>
      </c>
      <c r="AU1796" s="49">
        <v>0.83333333333333703</v>
      </c>
      <c r="AV1796" s="49">
        <v>0.843750000000004</v>
      </c>
      <c r="AW1796" s="50">
        <v>0.85416666666666663</v>
      </c>
      <c r="AX1796" s="68" t="s">
        <v>260</v>
      </c>
      <c r="AY1796" s="28" t="s">
        <v>261</v>
      </c>
      <c r="AZ1796" s="29" t="s">
        <v>262</v>
      </c>
      <c r="BA1796" s="136">
        <f>B1797</f>
        <v>0</v>
      </c>
      <c r="BB1796" s="137"/>
      <c r="BC1796" s="137"/>
      <c r="BD1796" s="137"/>
      <c r="BE1796" s="137"/>
      <c r="BF1796" s="137"/>
      <c r="BG1796" s="137"/>
      <c r="BH1796" s="138"/>
    </row>
    <row r="1797" spans="1:60" s="17" customFormat="1" ht="19.5" customHeight="1" thickBot="1" x14ac:dyDescent="0.4">
      <c r="A1797" s="41">
        <f>A1789</f>
        <v>45449</v>
      </c>
      <c r="B1797" s="37">
        <f>B1621</f>
        <v>0</v>
      </c>
      <c r="C1797" s="66">
        <f>C1621</f>
        <v>0</v>
      </c>
      <c r="D1797" s="70">
        <f>D1621</f>
        <v>200</v>
      </c>
      <c r="E1797" s="63"/>
      <c r="F1797" s="55"/>
      <c r="G1797" s="55"/>
      <c r="H1797" s="56"/>
      <c r="I1797" s="63"/>
      <c r="J1797" s="55"/>
      <c r="K1797" s="55"/>
      <c r="L1797" s="56"/>
      <c r="M1797" s="63"/>
      <c r="N1797" s="55"/>
      <c r="O1797" s="55"/>
      <c r="P1797" s="56"/>
      <c r="Q1797" s="63"/>
      <c r="R1797" s="55"/>
      <c r="S1797" s="55"/>
      <c r="T1797" s="55"/>
      <c r="U1797" s="56"/>
      <c r="V1797" s="63"/>
      <c r="W1797" s="55"/>
      <c r="X1797" s="55"/>
      <c r="Y1797" s="56"/>
      <c r="Z1797" s="63"/>
      <c r="AA1797" s="55"/>
      <c r="AB1797" s="55"/>
      <c r="AC1797" s="56"/>
      <c r="AD1797" s="63"/>
      <c r="AE1797" s="55"/>
      <c r="AF1797" s="55"/>
      <c r="AG1797" s="56"/>
      <c r="AH1797" s="63"/>
      <c r="AI1797" s="55"/>
      <c r="AJ1797" s="55"/>
      <c r="AK1797" s="56"/>
      <c r="AL1797" s="63"/>
      <c r="AM1797" s="55"/>
      <c r="AN1797" s="55"/>
      <c r="AO1797" s="56"/>
      <c r="AP1797" s="63"/>
      <c r="AQ1797" s="54"/>
      <c r="AR1797" s="55"/>
      <c r="AS1797" s="56"/>
      <c r="AT1797" s="53"/>
      <c r="AU1797" s="54"/>
      <c r="AV1797" s="55"/>
      <c r="AW1797" s="56"/>
      <c r="AX1797" s="33">
        <f>SUM(E1797:AW1797)</f>
        <v>0</v>
      </c>
      <c r="AY1797" s="31">
        <f>IFERROR(AVERAGEIF(E1797:AW1797,"&lt;&gt;0",(E1797:AW1797)),)</f>
        <v>0</v>
      </c>
      <c r="AZ1797" s="30">
        <f>IFERROR(AY1797/D1797,0)</f>
        <v>0</v>
      </c>
      <c r="BA1797" s="103" t="s">
        <v>182</v>
      </c>
      <c r="BB1797" s="100" t="s">
        <v>183</v>
      </c>
      <c r="BC1797" s="100" t="s">
        <v>184</v>
      </c>
      <c r="BD1797" s="101" t="s">
        <v>185</v>
      </c>
      <c r="BE1797" s="100" t="s">
        <v>186</v>
      </c>
      <c r="BF1797" s="102" t="s">
        <v>187</v>
      </c>
      <c r="BG1797" s="100" t="s">
        <v>188</v>
      </c>
      <c r="BH1797" s="102" t="s">
        <v>189</v>
      </c>
    </row>
    <row r="1798" spans="1:60" s="17" customFormat="1" ht="19.5" customHeight="1" thickBot="1" x14ac:dyDescent="0.4">
      <c r="A1798" s="41">
        <f t="shared" ref="A1798:B1798" si="1812">A1797</f>
        <v>45449</v>
      </c>
      <c r="B1798" s="37">
        <f t="shared" si="1812"/>
        <v>0</v>
      </c>
      <c r="C1798" s="66">
        <f>C1622</f>
        <v>0</v>
      </c>
      <c r="D1798" s="67">
        <f>D1797</f>
        <v>200</v>
      </c>
      <c r="E1798" s="57"/>
      <c r="F1798" s="52"/>
      <c r="G1798" s="52"/>
      <c r="H1798" s="58"/>
      <c r="I1798" s="57"/>
      <c r="J1798" s="52"/>
      <c r="K1798" s="52"/>
      <c r="L1798" s="58"/>
      <c r="M1798" s="57"/>
      <c r="N1798" s="52"/>
      <c r="O1798" s="52"/>
      <c r="P1798" s="58"/>
      <c r="Q1798" s="57"/>
      <c r="R1798" s="52"/>
      <c r="S1798" s="52"/>
      <c r="T1798" s="52"/>
      <c r="U1798" s="58"/>
      <c r="V1798" s="57"/>
      <c r="W1798" s="52"/>
      <c r="X1798" s="52"/>
      <c r="Y1798" s="58"/>
      <c r="Z1798" s="57"/>
      <c r="AA1798" s="52"/>
      <c r="AB1798" s="52"/>
      <c r="AC1798" s="58"/>
      <c r="AD1798" s="57"/>
      <c r="AE1798" s="52"/>
      <c r="AF1798" s="52"/>
      <c r="AG1798" s="58"/>
      <c r="AH1798" s="57"/>
      <c r="AI1798" s="52"/>
      <c r="AJ1798" s="52"/>
      <c r="AK1798" s="58"/>
      <c r="AL1798" s="57"/>
      <c r="AM1798" s="52"/>
      <c r="AN1798" s="52"/>
      <c r="AO1798" s="58"/>
      <c r="AP1798" s="57"/>
      <c r="AQ1798" s="52"/>
      <c r="AR1798" s="52"/>
      <c r="AS1798" s="58"/>
      <c r="AT1798" s="57"/>
      <c r="AU1798" s="52"/>
      <c r="AV1798" s="52"/>
      <c r="AW1798" s="58"/>
      <c r="AX1798" s="33">
        <f>SUM(E1798:AW1798)</f>
        <v>0</v>
      </c>
      <c r="AY1798" s="31">
        <f>IFERROR(AVERAGEIF(E1798:AW1798,"&lt;&gt;0",(E1798:AW1798)),)</f>
        <v>0</v>
      </c>
      <c r="AZ1798" s="30">
        <f>IFERROR(AY1798/D1798,0)</f>
        <v>0</v>
      </c>
      <c r="BA1798" s="94">
        <f>AX1802+BA1622</f>
        <v>0</v>
      </c>
      <c r="BB1798" s="95">
        <f>(D1802*8)</f>
        <v>4000</v>
      </c>
      <c r="BC1798" s="96">
        <f>C1765-BA1798</f>
        <v>42311</v>
      </c>
      <c r="BD1798" s="96">
        <f>BA1791-BA1798</f>
        <v>0</v>
      </c>
      <c r="BE1798" s="97">
        <f>IFERROR(BC1798/E1802,0)</f>
        <v>0</v>
      </c>
      <c r="BF1798" s="98">
        <f>IFERROR(BE1798/9,0)</f>
        <v>0</v>
      </c>
      <c r="BG1798" s="97">
        <f>IFERROR(BC1798/AY1802,0)</f>
        <v>0</v>
      </c>
      <c r="BH1798" s="97">
        <f>IFERROR(BG1798/9,0)</f>
        <v>0</v>
      </c>
    </row>
    <row r="1799" spans="1:60" s="17" customFormat="1" ht="19.5" customHeight="1" x14ac:dyDescent="0.35">
      <c r="A1799" s="41">
        <f t="shared" ref="A1799:B1799" si="1813">A1798</f>
        <v>45449</v>
      </c>
      <c r="B1799" s="37">
        <f t="shared" si="1813"/>
        <v>0</v>
      </c>
      <c r="C1799" s="66">
        <f>C1623</f>
        <v>0</v>
      </c>
      <c r="D1799" s="67">
        <f>D1798</f>
        <v>200</v>
      </c>
      <c r="E1799" s="57"/>
      <c r="F1799" s="52"/>
      <c r="G1799" s="52"/>
      <c r="H1799" s="58"/>
      <c r="I1799" s="57"/>
      <c r="J1799" s="52"/>
      <c r="K1799" s="52"/>
      <c r="L1799" s="58"/>
      <c r="M1799" s="57"/>
      <c r="N1799" s="52"/>
      <c r="O1799" s="52"/>
      <c r="P1799" s="58"/>
      <c r="Q1799" s="57"/>
      <c r="R1799" s="52"/>
      <c r="S1799" s="52"/>
      <c r="T1799" s="52"/>
      <c r="U1799" s="58"/>
      <c r="V1799" s="57"/>
      <c r="W1799" s="52"/>
      <c r="X1799" s="52"/>
      <c r="Y1799" s="58"/>
      <c r="Z1799" s="57"/>
      <c r="AA1799" s="52"/>
      <c r="AB1799" s="52"/>
      <c r="AC1799" s="58"/>
      <c r="AD1799" s="57"/>
      <c r="AE1799" s="52"/>
      <c r="AF1799" s="52"/>
      <c r="AG1799" s="58"/>
      <c r="AH1799" s="57"/>
      <c r="AI1799" s="52"/>
      <c r="AJ1799" s="52"/>
      <c r="AK1799" s="58"/>
      <c r="AL1799" s="57"/>
      <c r="AM1799" s="52"/>
      <c r="AN1799" s="52"/>
      <c r="AO1799" s="58"/>
      <c r="AP1799" s="57"/>
      <c r="AQ1799" s="52"/>
      <c r="AR1799" s="52"/>
      <c r="AS1799" s="58"/>
      <c r="AT1799" s="57"/>
      <c r="AU1799" s="52"/>
      <c r="AV1799" s="52"/>
      <c r="AW1799" s="58"/>
      <c r="AX1799" s="33">
        <f>SUM(E1799:AW1799)</f>
        <v>0</v>
      </c>
      <c r="AY1799" s="31">
        <f>IFERROR(AVERAGEIF(E1799:AW1799,"&lt;&gt;0",(E1799:AW1799)),)</f>
        <v>0</v>
      </c>
      <c r="AZ1799" s="30">
        <f>IFERROR(AY1799/D1799,0)</f>
        <v>0</v>
      </c>
      <c r="BA1799" s="34"/>
      <c r="BB1799" s="34"/>
      <c r="BC1799" s="34"/>
      <c r="BD1799" s="76"/>
      <c r="BE1799" s="34"/>
      <c r="BF1799" s="34"/>
      <c r="BG1799" s="34"/>
      <c r="BH1799" s="34"/>
    </row>
    <row r="1800" spans="1:60" s="17" customFormat="1" ht="19.5" customHeight="1" x14ac:dyDescent="0.35">
      <c r="A1800" s="41">
        <f t="shared" ref="A1800:B1800" si="1814">A1799</f>
        <v>45449</v>
      </c>
      <c r="B1800" s="37">
        <f t="shared" si="1814"/>
        <v>0</v>
      </c>
      <c r="C1800" s="66">
        <f>C1624</f>
        <v>0</v>
      </c>
      <c r="D1800" s="67">
        <f>D1799</f>
        <v>200</v>
      </c>
      <c r="E1800" s="57"/>
      <c r="F1800" s="52"/>
      <c r="G1800" s="52"/>
      <c r="H1800" s="58"/>
      <c r="I1800" s="57"/>
      <c r="J1800" s="52"/>
      <c r="K1800" s="52"/>
      <c r="L1800" s="58"/>
      <c r="M1800" s="57"/>
      <c r="N1800" s="52"/>
      <c r="O1800" s="52"/>
      <c r="P1800" s="58"/>
      <c r="Q1800" s="57"/>
      <c r="R1800" s="52"/>
      <c r="S1800" s="52"/>
      <c r="T1800" s="52"/>
      <c r="U1800" s="58"/>
      <c r="V1800" s="57"/>
      <c r="W1800" s="52"/>
      <c r="X1800" s="52"/>
      <c r="Y1800" s="58"/>
      <c r="Z1800" s="57"/>
      <c r="AA1800" s="52"/>
      <c r="AB1800" s="52"/>
      <c r="AC1800" s="58"/>
      <c r="AD1800" s="57"/>
      <c r="AE1800" s="52"/>
      <c r="AF1800" s="52"/>
      <c r="AG1800" s="58"/>
      <c r="AH1800" s="57"/>
      <c r="AI1800" s="52"/>
      <c r="AJ1800" s="52"/>
      <c r="AK1800" s="58"/>
      <c r="AL1800" s="57"/>
      <c r="AM1800" s="52"/>
      <c r="AN1800" s="52"/>
      <c r="AO1800" s="58"/>
      <c r="AP1800" s="57"/>
      <c r="AQ1800" s="52"/>
      <c r="AR1800" s="52"/>
      <c r="AS1800" s="58"/>
      <c r="AT1800" s="57"/>
      <c r="AU1800" s="52"/>
      <c r="AV1800" s="52"/>
      <c r="AW1800" s="58"/>
      <c r="AX1800" s="33">
        <f>SUM(E1800:AW1800)</f>
        <v>0</v>
      </c>
      <c r="AY1800" s="31">
        <f>IFERROR(AVERAGEIF(E1800:AW1800,"&lt;&gt;0",(E1800:AW1800)),)</f>
        <v>0</v>
      </c>
      <c r="AZ1800" s="30">
        <f>IFERROR(AY1800/D1800,0)</f>
        <v>0</v>
      </c>
      <c r="BA1800" s="34"/>
      <c r="BB1800" s="34"/>
      <c r="BC1800" s="34"/>
      <c r="BD1800" s="76"/>
      <c r="BE1800" s="34"/>
      <c r="BF1800" s="34"/>
      <c r="BG1800" s="34"/>
      <c r="BH1800" s="34"/>
    </row>
    <row r="1801" spans="1:60" s="17" customFormat="1" ht="19.5" customHeight="1" thickBot="1" x14ac:dyDescent="0.4">
      <c r="A1801" s="41">
        <f t="shared" ref="A1801:B1801" si="1815">A1800</f>
        <v>45449</v>
      </c>
      <c r="B1801" s="37">
        <f t="shared" si="1815"/>
        <v>0</v>
      </c>
      <c r="C1801" s="66">
        <f>C1625</f>
        <v>0</v>
      </c>
      <c r="D1801" s="67">
        <f>D1800</f>
        <v>200</v>
      </c>
      <c r="E1801" s="64"/>
      <c r="F1801" s="61"/>
      <c r="G1801" s="61"/>
      <c r="H1801" s="62"/>
      <c r="I1801" s="64"/>
      <c r="J1801" s="61"/>
      <c r="K1801" s="61"/>
      <c r="L1801" s="62"/>
      <c r="M1801" s="64"/>
      <c r="N1801" s="61"/>
      <c r="O1801" s="61"/>
      <c r="P1801" s="62"/>
      <c r="Q1801" s="64"/>
      <c r="R1801" s="61"/>
      <c r="S1801" s="61"/>
      <c r="T1801" s="61"/>
      <c r="U1801" s="62"/>
      <c r="V1801" s="64"/>
      <c r="W1801" s="61"/>
      <c r="X1801" s="61"/>
      <c r="Y1801" s="62"/>
      <c r="Z1801" s="59"/>
      <c r="AA1801" s="60"/>
      <c r="AB1801" s="61"/>
      <c r="AC1801" s="62"/>
      <c r="AD1801" s="59"/>
      <c r="AE1801" s="60"/>
      <c r="AF1801" s="61"/>
      <c r="AG1801" s="62"/>
      <c r="AH1801" s="59"/>
      <c r="AI1801" s="60"/>
      <c r="AJ1801" s="61"/>
      <c r="AK1801" s="62"/>
      <c r="AL1801" s="59"/>
      <c r="AM1801" s="60"/>
      <c r="AN1801" s="61"/>
      <c r="AO1801" s="62"/>
      <c r="AP1801" s="59"/>
      <c r="AQ1801" s="60"/>
      <c r="AR1801" s="61"/>
      <c r="AS1801" s="62"/>
      <c r="AT1801" s="59"/>
      <c r="AU1801" s="60"/>
      <c r="AV1801" s="61"/>
      <c r="AW1801" s="62"/>
      <c r="AX1801" s="43">
        <f>SUM(E1801:AW1801)</f>
        <v>0</v>
      </c>
      <c r="AY1801" s="44">
        <f>IFERROR(AVERAGEIF(E1801:AW1801,"&lt;&gt;0",(E1801:AW1801)),)</f>
        <v>0</v>
      </c>
      <c r="AZ1801" s="45">
        <f>IFERROR(AY1801/D1801,0)</f>
        <v>0</v>
      </c>
      <c r="BA1801" s="34"/>
      <c r="BB1801" s="34"/>
      <c r="BC1801" s="34"/>
      <c r="BD1801" s="76"/>
      <c r="BE1801" s="34"/>
      <c r="BF1801" s="34"/>
      <c r="BG1801" s="34"/>
      <c r="BH1801" s="34"/>
    </row>
    <row r="1802" spans="1:60" s="17" customFormat="1" ht="19.5" customHeight="1" thickBot="1" x14ac:dyDescent="0.45">
      <c r="A1802" s="41">
        <f>A1801</f>
        <v>45449</v>
      </c>
      <c r="B1802" s="139">
        <f>B1797</f>
        <v>0</v>
      </c>
      <c r="C1802" s="140"/>
      <c r="D1802" s="40">
        <f>C1766/8</f>
        <v>500</v>
      </c>
      <c r="E1802" s="151">
        <f>SUM(E1797:H1801)</f>
        <v>0</v>
      </c>
      <c r="F1802" s="152"/>
      <c r="G1802" s="152"/>
      <c r="H1802" s="153"/>
      <c r="I1802" s="151">
        <f>SUM(I1797:L1801)</f>
        <v>0</v>
      </c>
      <c r="J1802" s="152"/>
      <c r="K1802" s="152"/>
      <c r="L1802" s="153"/>
      <c r="M1802" s="151">
        <f>SUM(M1797:P1801)</f>
        <v>0</v>
      </c>
      <c r="N1802" s="152"/>
      <c r="O1802" s="152"/>
      <c r="P1802" s="153"/>
      <c r="Q1802" s="151">
        <f>SUM(Q1797:U1801)</f>
        <v>0</v>
      </c>
      <c r="R1802" s="152"/>
      <c r="S1802" s="152"/>
      <c r="T1802" s="152"/>
      <c r="U1802" s="153"/>
      <c r="V1802" s="151">
        <f>SUM(V1797:Y1801)</f>
        <v>0</v>
      </c>
      <c r="W1802" s="152"/>
      <c r="X1802" s="152"/>
      <c r="Y1802" s="153"/>
      <c r="Z1802" s="151">
        <f>SUM(Z1797:AC1801)</f>
        <v>0</v>
      </c>
      <c r="AA1802" s="152"/>
      <c r="AB1802" s="152"/>
      <c r="AC1802" s="153"/>
      <c r="AD1802" s="151">
        <f>SUM(AD1797:AG1801)</f>
        <v>0</v>
      </c>
      <c r="AE1802" s="152"/>
      <c r="AF1802" s="152"/>
      <c r="AG1802" s="153"/>
      <c r="AH1802" s="151">
        <f>SUM(AH1797:AK1801)</f>
        <v>0</v>
      </c>
      <c r="AI1802" s="152"/>
      <c r="AJ1802" s="152"/>
      <c r="AK1802" s="153"/>
      <c r="AL1802" s="151">
        <f>SUM(AL1797:AO1801)</f>
        <v>0</v>
      </c>
      <c r="AM1802" s="152"/>
      <c r="AN1802" s="152"/>
      <c r="AO1802" s="153"/>
      <c r="AP1802" s="151">
        <f>SUM(AP1797:AS1801)</f>
        <v>0</v>
      </c>
      <c r="AQ1802" s="152"/>
      <c r="AR1802" s="152"/>
      <c r="AS1802" s="153"/>
      <c r="AT1802" s="151">
        <f>SUM(AT1797:AW1801)</f>
        <v>0</v>
      </c>
      <c r="AU1802" s="152"/>
      <c r="AV1802" s="152"/>
      <c r="AW1802" s="153"/>
      <c r="AX1802" s="87">
        <f>SUM(AX1797:AX1801)</f>
        <v>0</v>
      </c>
      <c r="AY1802" s="88">
        <f>IFERROR(AVERAGEIF(E1802:AV1802,"&lt;&gt;0",(E1802:AV1802)),)</f>
        <v>0</v>
      </c>
      <c r="AZ1802" s="46">
        <f>IFERROR(AX1802/BB1798,0)</f>
        <v>0</v>
      </c>
      <c r="BA1802" s="34"/>
      <c r="BB1802" s="34"/>
      <c r="BC1802" s="34"/>
      <c r="BD1802" s="76"/>
      <c r="BE1802" s="34"/>
      <c r="BF1802" s="34"/>
      <c r="BG1802" s="34"/>
      <c r="BH1802" s="34"/>
    </row>
    <row r="1803" spans="1:60" s="17" customFormat="1" ht="19.5" customHeight="1" thickBot="1" x14ac:dyDescent="0.4">
      <c r="A1803" s="42">
        <f>A1796</f>
        <v>45449</v>
      </c>
      <c r="B1803" s="38" t="str">
        <f>B1804</f>
        <v>BANT GİRİŞ</v>
      </c>
      <c r="C1803" s="39" t="s">
        <v>180</v>
      </c>
      <c r="D1803" s="69" t="s">
        <v>181</v>
      </c>
      <c r="E1803" s="48">
        <v>0.34375</v>
      </c>
      <c r="F1803" s="49">
        <v>0.35416666666666669</v>
      </c>
      <c r="G1803" s="49">
        <v>0.36458333333333331</v>
      </c>
      <c r="H1803" s="50">
        <v>0.375</v>
      </c>
      <c r="I1803" s="48">
        <v>0.38541666666666702</v>
      </c>
      <c r="J1803" s="49">
        <v>0.39583333333333298</v>
      </c>
      <c r="K1803" s="49">
        <v>0.40625</v>
      </c>
      <c r="L1803" s="50">
        <v>0.41666666666666702</v>
      </c>
      <c r="M1803" s="48">
        <v>0.4375</v>
      </c>
      <c r="N1803" s="49">
        <v>0.44791666666666702</v>
      </c>
      <c r="O1803" s="49">
        <v>0.45833333333333398</v>
      </c>
      <c r="P1803" s="50">
        <v>0.46875</v>
      </c>
      <c r="Q1803" s="48">
        <v>0.47916666666666702</v>
      </c>
      <c r="R1803" s="49">
        <v>0.48958333333333398</v>
      </c>
      <c r="S1803" s="49">
        <v>0.5</v>
      </c>
      <c r="T1803" s="50">
        <v>0.51041666666666696</v>
      </c>
      <c r="U1803" s="51">
        <v>0.52083333333333204</v>
      </c>
      <c r="V1803" s="48">
        <v>0.5625</v>
      </c>
      <c r="W1803" s="49">
        <v>0.57291666666666663</v>
      </c>
      <c r="X1803" s="49">
        <v>0.58333333333333304</v>
      </c>
      <c r="Y1803" s="50">
        <v>0.59375</v>
      </c>
      <c r="Z1803" s="48">
        <v>0.60416666666666696</v>
      </c>
      <c r="AA1803" s="49">
        <v>0.61458333333333304</v>
      </c>
      <c r="AB1803" s="49">
        <v>0.625</v>
      </c>
      <c r="AC1803" s="50">
        <v>0.63541666666666596</v>
      </c>
      <c r="AD1803" s="48">
        <v>0.65625</v>
      </c>
      <c r="AE1803" s="49">
        <v>0.66666666666666663</v>
      </c>
      <c r="AF1803" s="49">
        <v>0.67708333333333304</v>
      </c>
      <c r="AG1803" s="50">
        <v>0.6875</v>
      </c>
      <c r="AH1803" s="48">
        <v>0.69791666666666696</v>
      </c>
      <c r="AI1803" s="49">
        <v>0.70833333333333304</v>
      </c>
      <c r="AJ1803" s="49">
        <v>0.71875</v>
      </c>
      <c r="AK1803" s="50">
        <v>0.72916666666666696</v>
      </c>
      <c r="AL1803" s="48">
        <v>0.73958333333333404</v>
      </c>
      <c r="AM1803" s="49">
        <v>0.750000000000001</v>
      </c>
      <c r="AN1803" s="49">
        <v>0.76041666666666796</v>
      </c>
      <c r="AO1803" s="50">
        <v>0.77083333333333504</v>
      </c>
      <c r="AP1803" s="48">
        <v>0.781250000000002</v>
      </c>
      <c r="AQ1803" s="49">
        <v>0.79166666666666896</v>
      </c>
      <c r="AR1803" s="49">
        <v>0.80208333333333603</v>
      </c>
      <c r="AS1803" s="50">
        <v>0.812500000000003</v>
      </c>
      <c r="AT1803" s="48">
        <v>0.82291666666666996</v>
      </c>
      <c r="AU1803" s="49">
        <v>0.83333333333333703</v>
      </c>
      <c r="AV1803" s="49">
        <v>0.843750000000004</v>
      </c>
      <c r="AW1803" s="50">
        <v>0.85416666666666663</v>
      </c>
      <c r="AX1803" s="68" t="s">
        <v>260</v>
      </c>
      <c r="AY1803" s="28" t="s">
        <v>261</v>
      </c>
      <c r="AZ1803" s="29" t="s">
        <v>262</v>
      </c>
      <c r="BA1803" s="136" t="str">
        <f>B1804</f>
        <v>BANT GİRİŞ</v>
      </c>
      <c r="BB1803" s="137"/>
      <c r="BC1803" s="137"/>
      <c r="BD1803" s="137"/>
      <c r="BE1803" s="137"/>
      <c r="BF1803" s="137"/>
      <c r="BG1803" s="137"/>
      <c r="BH1803" s="138"/>
    </row>
    <row r="1804" spans="1:60" s="17" customFormat="1" ht="19.5" customHeight="1" thickBot="1" x14ac:dyDescent="0.4">
      <c r="A1804" s="41">
        <f t="shared" ref="A1804" si="1816">A1803</f>
        <v>45449</v>
      </c>
      <c r="B1804" s="37" t="str">
        <f>B1628</f>
        <v>BANT GİRİŞ</v>
      </c>
      <c r="C1804" s="65" t="str">
        <f>C1628</f>
        <v>XS</v>
      </c>
      <c r="D1804" s="70">
        <f>D1628</f>
        <v>120</v>
      </c>
      <c r="E1804" s="63"/>
      <c r="F1804" s="55"/>
      <c r="G1804" s="55"/>
      <c r="H1804" s="56"/>
      <c r="I1804" s="63"/>
      <c r="J1804" s="55"/>
      <c r="K1804" s="55"/>
      <c r="L1804" s="56"/>
      <c r="M1804" s="63"/>
      <c r="N1804" s="55"/>
      <c r="O1804" s="55"/>
      <c r="P1804" s="56"/>
      <c r="Q1804" s="63"/>
      <c r="R1804" s="55"/>
      <c r="S1804" s="55"/>
      <c r="T1804" s="55"/>
      <c r="U1804" s="56"/>
      <c r="V1804" s="63"/>
      <c r="W1804" s="55"/>
      <c r="X1804" s="55"/>
      <c r="Y1804" s="56"/>
      <c r="Z1804" s="63"/>
      <c r="AA1804" s="55"/>
      <c r="AB1804" s="55"/>
      <c r="AC1804" s="56"/>
      <c r="AD1804" s="63"/>
      <c r="AE1804" s="55"/>
      <c r="AF1804" s="55"/>
      <c r="AG1804" s="56"/>
      <c r="AH1804" s="63"/>
      <c r="AI1804" s="55"/>
      <c r="AJ1804" s="55"/>
      <c r="AK1804" s="56"/>
      <c r="AL1804" s="63"/>
      <c r="AM1804" s="55"/>
      <c r="AN1804" s="55"/>
      <c r="AO1804" s="56"/>
      <c r="AP1804" s="63"/>
      <c r="AQ1804" s="54"/>
      <c r="AR1804" s="55"/>
      <c r="AS1804" s="56"/>
      <c r="AT1804" s="53"/>
      <c r="AU1804" s="54"/>
      <c r="AV1804" s="55"/>
      <c r="AW1804" s="56"/>
      <c r="AX1804" s="33">
        <f>SUM(E1804:AW1804)</f>
        <v>0</v>
      </c>
      <c r="AY1804" s="31">
        <f>IFERROR(AVERAGEIF(E1804:AW1804,"&lt;&gt;0",(E1804:AW1804)),)</f>
        <v>0</v>
      </c>
      <c r="AZ1804" s="30">
        <f>IFERROR(AY1804/D1804,0)</f>
        <v>0</v>
      </c>
      <c r="BA1804" s="19"/>
      <c r="BB1804" s="19" t="str">
        <f t="shared" ref="BB1804" si="1817">BA1766</f>
        <v>XS</v>
      </c>
      <c r="BC1804" s="19" t="str">
        <f t="shared" ref="BC1804" si="1818">BB1766</f>
        <v>S</v>
      </c>
      <c r="BD1804" s="19" t="str">
        <f t="shared" ref="BD1804" si="1819">BC1766</f>
        <v>M</v>
      </c>
      <c r="BE1804" s="19" t="str">
        <f t="shared" ref="BE1804" si="1820">BD1766</f>
        <v>L</v>
      </c>
      <c r="BF1804" s="19" t="str">
        <f t="shared" ref="BF1804" si="1821">BE1766</f>
        <v>XL</v>
      </c>
      <c r="BG1804" s="19" t="str">
        <f t="shared" ref="BG1804" si="1822">BF1766</f>
        <v>XXL</v>
      </c>
      <c r="BH1804" s="19" t="s">
        <v>190</v>
      </c>
    </row>
    <row r="1805" spans="1:60" s="17" customFormat="1" ht="19.5" customHeight="1" thickBot="1" x14ac:dyDescent="0.4">
      <c r="A1805" s="41">
        <f t="shared" ref="A1805:B1805" si="1823">A1804</f>
        <v>45449</v>
      </c>
      <c r="B1805" s="37" t="str">
        <f t="shared" si="1823"/>
        <v>BANT GİRİŞ</v>
      </c>
      <c r="C1805" s="65" t="str">
        <f t="shared" ref="C1805:C1810" si="1824">C1629</f>
        <v>S</v>
      </c>
      <c r="D1805" s="67">
        <f t="shared" ref="D1805:D1810" si="1825">D1804</f>
        <v>120</v>
      </c>
      <c r="E1805" s="57"/>
      <c r="F1805" s="52"/>
      <c r="G1805" s="52"/>
      <c r="H1805" s="58"/>
      <c r="I1805" s="57"/>
      <c r="J1805" s="52"/>
      <c r="K1805" s="52"/>
      <c r="L1805" s="58"/>
      <c r="M1805" s="57"/>
      <c r="N1805" s="52"/>
      <c r="O1805" s="52"/>
      <c r="P1805" s="58"/>
      <c r="Q1805" s="57"/>
      <c r="R1805" s="52"/>
      <c r="S1805" s="52"/>
      <c r="T1805" s="52"/>
      <c r="U1805" s="58"/>
      <c r="V1805" s="57"/>
      <c r="W1805" s="52"/>
      <c r="X1805" s="52"/>
      <c r="Y1805" s="58"/>
      <c r="Z1805" s="57"/>
      <c r="AA1805" s="52"/>
      <c r="AB1805" s="52"/>
      <c r="AC1805" s="58"/>
      <c r="AD1805" s="57"/>
      <c r="AE1805" s="52"/>
      <c r="AF1805" s="52"/>
      <c r="AG1805" s="58"/>
      <c r="AH1805" s="57"/>
      <c r="AI1805" s="52"/>
      <c r="AJ1805" s="52"/>
      <c r="AK1805" s="58"/>
      <c r="AL1805" s="57"/>
      <c r="AM1805" s="52"/>
      <c r="AN1805" s="52"/>
      <c r="AO1805" s="58"/>
      <c r="AP1805" s="57"/>
      <c r="AQ1805" s="52"/>
      <c r="AR1805" s="52"/>
      <c r="AS1805" s="58"/>
      <c r="AT1805" s="57"/>
      <c r="AU1805" s="52"/>
      <c r="AV1805" s="52"/>
      <c r="AW1805" s="58"/>
      <c r="AX1805" s="33">
        <f t="shared" ref="AX1805:AX1810" si="1826">SUM(E1805:AW1805)</f>
        <v>0</v>
      </c>
      <c r="AY1805" s="31">
        <f t="shared" ref="AY1805:AY1810" si="1827">IFERROR(AVERAGEIF(E1805:AW1805,"&lt;&gt;0",(E1805:AW1805)),)</f>
        <v>0</v>
      </c>
      <c r="AZ1805" s="30">
        <f t="shared" ref="AZ1805:AZ1810" si="1828">IFERROR(AY1805/D1805,0)</f>
        <v>0</v>
      </c>
      <c r="BA1805" s="94" t="s">
        <v>192</v>
      </c>
      <c r="BB1805" s="96">
        <f>SUMIF(C1804:C1810,BB1804,AX1804:AX1810)+BB1629</f>
        <v>0</v>
      </c>
      <c r="BC1805" s="96">
        <f>SUMIF(C1804:C1810,BC1804,AX1804:AX1810)+BC1629</f>
        <v>0</v>
      </c>
      <c r="BD1805" s="96">
        <f>SUMIF(C1804:C1810,BD1804,AX1804:AX1810)+BD1629</f>
        <v>0</v>
      </c>
      <c r="BE1805" s="96">
        <f>SUMIF(C1804:C1810,BE1804,AX1804:AX1810)+BE1629</f>
        <v>0</v>
      </c>
      <c r="BF1805" s="96">
        <f>SUMIF(C1804:C1810,BF1804,AX1804:AX1810)+BF1629</f>
        <v>0</v>
      </c>
      <c r="BG1805" s="96"/>
      <c r="BH1805" s="99">
        <f>SUM(BB1805:BG1805)</f>
        <v>0</v>
      </c>
    </row>
    <row r="1806" spans="1:60" s="17" customFormat="1" ht="19.5" customHeight="1" thickBot="1" x14ac:dyDescent="0.4">
      <c r="A1806" s="41">
        <f t="shared" ref="A1806:B1806" si="1829">A1805</f>
        <v>45449</v>
      </c>
      <c r="B1806" s="37" t="str">
        <f t="shared" si="1829"/>
        <v>BANT GİRİŞ</v>
      </c>
      <c r="C1806" s="65" t="str">
        <f t="shared" si="1824"/>
        <v>M</v>
      </c>
      <c r="D1806" s="67">
        <f t="shared" si="1825"/>
        <v>120</v>
      </c>
      <c r="E1806" s="57"/>
      <c r="F1806" s="52"/>
      <c r="G1806" s="52"/>
      <c r="H1806" s="58"/>
      <c r="I1806" s="57"/>
      <c r="J1806" s="52"/>
      <c r="K1806" s="52"/>
      <c r="L1806" s="58"/>
      <c r="M1806" s="57"/>
      <c r="N1806" s="52"/>
      <c r="O1806" s="52"/>
      <c r="P1806" s="58"/>
      <c r="Q1806" s="57"/>
      <c r="R1806" s="52"/>
      <c r="S1806" s="52"/>
      <c r="T1806" s="52"/>
      <c r="U1806" s="58"/>
      <c r="V1806" s="57"/>
      <c r="W1806" s="52"/>
      <c r="X1806" s="52"/>
      <c r="Y1806" s="58"/>
      <c r="Z1806" s="57"/>
      <c r="AA1806" s="52"/>
      <c r="AB1806" s="52"/>
      <c r="AC1806" s="58"/>
      <c r="AD1806" s="57"/>
      <c r="AE1806" s="52"/>
      <c r="AF1806" s="52"/>
      <c r="AG1806" s="58"/>
      <c r="AH1806" s="57"/>
      <c r="AI1806" s="52"/>
      <c r="AJ1806" s="52"/>
      <c r="AK1806" s="58"/>
      <c r="AL1806" s="57"/>
      <c r="AM1806" s="52"/>
      <c r="AN1806" s="52"/>
      <c r="AO1806" s="58"/>
      <c r="AP1806" s="57"/>
      <c r="AQ1806" s="52"/>
      <c r="AR1806" s="52"/>
      <c r="AS1806" s="58"/>
      <c r="AT1806" s="57"/>
      <c r="AU1806" s="52"/>
      <c r="AV1806" s="52"/>
      <c r="AW1806" s="58"/>
      <c r="AX1806" s="33">
        <f t="shared" si="1826"/>
        <v>0</v>
      </c>
      <c r="AY1806" s="31">
        <f t="shared" si="1827"/>
        <v>0</v>
      </c>
      <c r="AZ1806" s="30">
        <f t="shared" si="1828"/>
        <v>0</v>
      </c>
      <c r="BA1806" s="94" t="s">
        <v>193</v>
      </c>
      <c r="BB1806" s="96">
        <f>BA1767-BB1805</f>
        <v>492</v>
      </c>
      <c r="BC1806" s="96">
        <f>BB1767-BC1805</f>
        <v>11438</v>
      </c>
      <c r="BD1806" s="96">
        <f>BC1767-BD1805</f>
        <v>13689</v>
      </c>
      <c r="BE1806" s="96">
        <f>BD1767-BE1805</f>
        <v>9760</v>
      </c>
      <c r="BF1806" s="96">
        <f>BE1767-BF1805</f>
        <v>4794</v>
      </c>
      <c r="BG1806" s="96"/>
      <c r="BH1806" s="96">
        <f>SUM(BB1806:BG1806)</f>
        <v>40173</v>
      </c>
    </row>
    <row r="1807" spans="1:60" s="17" customFormat="1" ht="19.5" customHeight="1" x14ac:dyDescent="0.35">
      <c r="A1807" s="41">
        <f t="shared" ref="A1807:B1807" si="1830">A1806</f>
        <v>45449</v>
      </c>
      <c r="B1807" s="37" t="str">
        <f t="shared" si="1830"/>
        <v>BANT GİRİŞ</v>
      </c>
      <c r="C1807" s="65" t="str">
        <f t="shared" si="1824"/>
        <v>L</v>
      </c>
      <c r="D1807" s="67">
        <f t="shared" si="1825"/>
        <v>120</v>
      </c>
      <c r="E1807" s="57"/>
      <c r="F1807" s="52"/>
      <c r="G1807" s="52"/>
      <c r="H1807" s="58"/>
      <c r="I1807" s="57"/>
      <c r="J1807" s="52"/>
      <c r="K1807" s="52"/>
      <c r="L1807" s="58"/>
      <c r="M1807" s="57"/>
      <c r="N1807" s="52"/>
      <c r="O1807" s="52"/>
      <c r="P1807" s="58"/>
      <c r="Q1807" s="57"/>
      <c r="R1807" s="52"/>
      <c r="S1807" s="52"/>
      <c r="T1807" s="52"/>
      <c r="U1807" s="58"/>
      <c r="V1807" s="57"/>
      <c r="W1807" s="52"/>
      <c r="X1807" s="52"/>
      <c r="Y1807" s="58"/>
      <c r="Z1807" s="57"/>
      <c r="AA1807" s="52"/>
      <c r="AB1807" s="52"/>
      <c r="AC1807" s="58"/>
      <c r="AD1807" s="57"/>
      <c r="AE1807" s="52"/>
      <c r="AF1807" s="52"/>
      <c r="AG1807" s="58"/>
      <c r="AH1807" s="57"/>
      <c r="AI1807" s="52"/>
      <c r="AJ1807" s="52"/>
      <c r="AK1807" s="58"/>
      <c r="AL1807" s="57"/>
      <c r="AM1807" s="52"/>
      <c r="AN1807" s="52"/>
      <c r="AO1807" s="58"/>
      <c r="AP1807" s="57"/>
      <c r="AQ1807" s="52"/>
      <c r="AR1807" s="52"/>
      <c r="AS1807" s="58"/>
      <c r="AT1807" s="57"/>
      <c r="AU1807" s="52"/>
      <c r="AV1807" s="52"/>
      <c r="AW1807" s="58"/>
      <c r="AX1807" s="33">
        <f t="shared" si="1826"/>
        <v>0</v>
      </c>
      <c r="AY1807" s="31">
        <f t="shared" si="1827"/>
        <v>0</v>
      </c>
      <c r="AZ1807" s="30">
        <f t="shared" si="1828"/>
        <v>0</v>
      </c>
      <c r="BA1807" s="34"/>
      <c r="BB1807" s="34"/>
      <c r="BC1807" s="34"/>
      <c r="BD1807" s="76"/>
      <c r="BE1807" s="34"/>
      <c r="BF1807" s="34"/>
      <c r="BG1807" s="34"/>
      <c r="BH1807" s="34"/>
    </row>
    <row r="1808" spans="1:60" s="17" customFormat="1" ht="19.5" customHeight="1" x14ac:dyDescent="0.35">
      <c r="A1808" s="41">
        <f>A1805</f>
        <v>45449</v>
      </c>
      <c r="B1808" s="37" t="str">
        <f t="shared" ref="B1808" si="1831">B1807</f>
        <v>BANT GİRİŞ</v>
      </c>
      <c r="C1808" s="65" t="str">
        <f t="shared" si="1824"/>
        <v>XXL</v>
      </c>
      <c r="D1808" s="67">
        <f t="shared" si="1825"/>
        <v>120</v>
      </c>
      <c r="E1808" s="57"/>
      <c r="F1808" s="52"/>
      <c r="G1808" s="52"/>
      <c r="H1808" s="58"/>
      <c r="I1808" s="57"/>
      <c r="J1808" s="52"/>
      <c r="K1808" s="52"/>
      <c r="L1808" s="58"/>
      <c r="M1808" s="57"/>
      <c r="N1808" s="52"/>
      <c r="O1808" s="52"/>
      <c r="P1808" s="58"/>
      <c r="Q1808" s="57"/>
      <c r="R1808" s="52"/>
      <c r="S1808" s="52"/>
      <c r="T1808" s="52"/>
      <c r="U1808" s="58"/>
      <c r="V1808" s="57"/>
      <c r="W1808" s="52"/>
      <c r="X1808" s="52"/>
      <c r="Y1808" s="58"/>
      <c r="Z1808" s="57"/>
      <c r="AA1808" s="52"/>
      <c r="AB1808" s="52"/>
      <c r="AC1808" s="58"/>
      <c r="AD1808" s="57"/>
      <c r="AE1808" s="52"/>
      <c r="AF1808" s="52"/>
      <c r="AG1808" s="58"/>
      <c r="AH1808" s="57"/>
      <c r="AI1808" s="52"/>
      <c r="AJ1808" s="52"/>
      <c r="AK1808" s="58"/>
      <c r="AL1808" s="57"/>
      <c r="AM1808" s="52"/>
      <c r="AN1808" s="52"/>
      <c r="AO1808" s="58"/>
      <c r="AP1808" s="57"/>
      <c r="AQ1808" s="52"/>
      <c r="AR1808" s="52"/>
      <c r="AS1808" s="58"/>
      <c r="AT1808" s="57"/>
      <c r="AU1808" s="52"/>
      <c r="AV1808" s="52"/>
      <c r="AW1808" s="58"/>
      <c r="AX1808" s="33">
        <f t="shared" si="1826"/>
        <v>0</v>
      </c>
      <c r="AY1808" s="31">
        <f t="shared" si="1827"/>
        <v>0</v>
      </c>
      <c r="AZ1808" s="30">
        <f t="shared" si="1828"/>
        <v>0</v>
      </c>
      <c r="BA1808" s="34"/>
      <c r="BB1808" s="34"/>
      <c r="BC1808" s="34"/>
      <c r="BD1808" s="76"/>
      <c r="BE1808" s="34"/>
      <c r="BF1808" s="34"/>
      <c r="BG1808" s="34"/>
      <c r="BH1808" s="34"/>
    </row>
    <row r="1809" spans="1:60" s="17" customFormat="1" ht="19.5" customHeight="1" x14ac:dyDescent="0.35">
      <c r="A1809" s="41">
        <f t="shared" ref="A1809:B1809" si="1832">A1808</f>
        <v>45449</v>
      </c>
      <c r="B1809" s="37" t="str">
        <f t="shared" si="1832"/>
        <v>BANT GİRİŞ</v>
      </c>
      <c r="C1809" s="65">
        <f t="shared" si="1824"/>
        <v>0</v>
      </c>
      <c r="D1809" s="67">
        <f t="shared" si="1825"/>
        <v>120</v>
      </c>
      <c r="E1809" s="57"/>
      <c r="F1809" s="52"/>
      <c r="G1809" s="52"/>
      <c r="H1809" s="58"/>
      <c r="I1809" s="57"/>
      <c r="J1809" s="52"/>
      <c r="K1809" s="52"/>
      <c r="L1809" s="58"/>
      <c r="M1809" s="57"/>
      <c r="N1809" s="52"/>
      <c r="O1809" s="52"/>
      <c r="P1809" s="58"/>
      <c r="Q1809" s="57"/>
      <c r="R1809" s="52"/>
      <c r="S1809" s="52"/>
      <c r="T1809" s="52"/>
      <c r="U1809" s="58"/>
      <c r="V1809" s="57"/>
      <c r="W1809" s="52"/>
      <c r="X1809" s="52"/>
      <c r="Y1809" s="58"/>
      <c r="Z1809" s="57"/>
      <c r="AA1809" s="52"/>
      <c r="AB1809" s="52"/>
      <c r="AC1809" s="58"/>
      <c r="AD1809" s="57"/>
      <c r="AE1809" s="52"/>
      <c r="AF1809" s="52"/>
      <c r="AG1809" s="58"/>
      <c r="AH1809" s="57"/>
      <c r="AI1809" s="52"/>
      <c r="AJ1809" s="52"/>
      <c r="AK1809" s="58"/>
      <c r="AL1809" s="57"/>
      <c r="AM1809" s="52"/>
      <c r="AN1809" s="52"/>
      <c r="AO1809" s="58"/>
      <c r="AP1809" s="57"/>
      <c r="AQ1809" s="52"/>
      <c r="AR1809" s="52"/>
      <c r="AS1809" s="58"/>
      <c r="AT1809" s="57"/>
      <c r="AU1809" s="52"/>
      <c r="AV1809" s="52"/>
      <c r="AW1809" s="58"/>
      <c r="AX1809" s="33">
        <f t="shared" si="1826"/>
        <v>0</v>
      </c>
      <c r="AY1809" s="31">
        <f t="shared" si="1827"/>
        <v>0</v>
      </c>
      <c r="AZ1809" s="30">
        <f t="shared" si="1828"/>
        <v>0</v>
      </c>
      <c r="BA1809" s="34"/>
      <c r="BB1809" s="34"/>
      <c r="BC1809" s="34"/>
      <c r="BD1809" s="76"/>
      <c r="BE1809" s="34"/>
      <c r="BF1809" s="34"/>
      <c r="BG1809" s="34"/>
      <c r="BH1809" s="34"/>
    </row>
    <row r="1810" spans="1:60" s="17" customFormat="1" ht="19.5" customHeight="1" thickBot="1" x14ac:dyDescent="0.4">
      <c r="A1810" s="41">
        <f t="shared" ref="A1810:B1810" si="1833">A1809</f>
        <v>45449</v>
      </c>
      <c r="B1810" s="37" t="str">
        <f t="shared" si="1833"/>
        <v>BANT GİRİŞ</v>
      </c>
      <c r="C1810" s="65">
        <f t="shared" si="1824"/>
        <v>0</v>
      </c>
      <c r="D1810" s="67">
        <f t="shared" si="1825"/>
        <v>120</v>
      </c>
      <c r="E1810" s="59"/>
      <c r="F1810" s="60"/>
      <c r="G1810" s="61"/>
      <c r="H1810" s="62"/>
      <c r="I1810" s="59"/>
      <c r="J1810" s="60"/>
      <c r="K1810" s="61"/>
      <c r="L1810" s="62"/>
      <c r="M1810" s="59"/>
      <c r="N1810" s="60"/>
      <c r="O1810" s="61"/>
      <c r="P1810" s="62"/>
      <c r="Q1810" s="64"/>
      <c r="R1810" s="61"/>
      <c r="S1810" s="61"/>
      <c r="T1810" s="61"/>
      <c r="U1810" s="62"/>
      <c r="V1810" s="59"/>
      <c r="W1810" s="60"/>
      <c r="X1810" s="61"/>
      <c r="Y1810" s="62"/>
      <c r="Z1810" s="59"/>
      <c r="AA1810" s="60"/>
      <c r="AB1810" s="61"/>
      <c r="AC1810" s="62"/>
      <c r="AD1810" s="59"/>
      <c r="AE1810" s="60"/>
      <c r="AF1810" s="61"/>
      <c r="AG1810" s="62"/>
      <c r="AH1810" s="59"/>
      <c r="AI1810" s="60"/>
      <c r="AJ1810" s="61"/>
      <c r="AK1810" s="62"/>
      <c r="AL1810" s="59"/>
      <c r="AM1810" s="60"/>
      <c r="AN1810" s="61"/>
      <c r="AO1810" s="62"/>
      <c r="AP1810" s="59"/>
      <c r="AQ1810" s="60"/>
      <c r="AR1810" s="61"/>
      <c r="AS1810" s="62"/>
      <c r="AT1810" s="59"/>
      <c r="AU1810" s="60"/>
      <c r="AV1810" s="61"/>
      <c r="AW1810" s="62"/>
      <c r="AX1810" s="33">
        <f t="shared" si="1826"/>
        <v>0</v>
      </c>
      <c r="AY1810" s="31">
        <f t="shared" si="1827"/>
        <v>0</v>
      </c>
      <c r="AZ1810" s="30">
        <f t="shared" si="1828"/>
        <v>0</v>
      </c>
      <c r="BA1810" s="34"/>
      <c r="BB1810" s="34"/>
      <c r="BC1810" s="34"/>
      <c r="BD1810" s="76"/>
      <c r="BE1810" s="34"/>
      <c r="BF1810" s="34"/>
      <c r="BG1810" s="34"/>
      <c r="BH1810" s="34"/>
    </row>
    <row r="1811" spans="1:60" s="17" customFormat="1" ht="19.5" customHeight="1" thickBot="1" x14ac:dyDescent="0.45">
      <c r="A1811" s="41">
        <f t="shared" ref="A1811" si="1834">A1810</f>
        <v>45449</v>
      </c>
      <c r="B1811" s="139" t="str">
        <f>B1804</f>
        <v>BANT GİRİŞ</v>
      </c>
      <c r="C1811" s="140"/>
      <c r="D1811" s="40">
        <f>C1766/8</f>
        <v>500</v>
      </c>
      <c r="E1811" s="147">
        <f>SUM(E1804:H1810)</f>
        <v>0</v>
      </c>
      <c r="F1811" s="148"/>
      <c r="G1811" s="148"/>
      <c r="H1811" s="149"/>
      <c r="I1811" s="147">
        <f>SUM(I1804:L1810)</f>
        <v>0</v>
      </c>
      <c r="J1811" s="148"/>
      <c r="K1811" s="148"/>
      <c r="L1811" s="149"/>
      <c r="M1811" s="147">
        <f>SUM(M1804:P1810)</f>
        <v>0</v>
      </c>
      <c r="N1811" s="148"/>
      <c r="O1811" s="148"/>
      <c r="P1811" s="149"/>
      <c r="Q1811" s="147">
        <f>SUM(Q1804:U1810)</f>
        <v>0</v>
      </c>
      <c r="R1811" s="148"/>
      <c r="S1811" s="148"/>
      <c r="T1811" s="148"/>
      <c r="U1811" s="149"/>
      <c r="V1811" s="147">
        <f>SUM(V1804:Y1810)</f>
        <v>0</v>
      </c>
      <c r="W1811" s="148"/>
      <c r="X1811" s="148"/>
      <c r="Y1811" s="149"/>
      <c r="Z1811" s="147">
        <f>SUM(Z1804:AC1810)</f>
        <v>0</v>
      </c>
      <c r="AA1811" s="148"/>
      <c r="AB1811" s="148"/>
      <c r="AC1811" s="149"/>
      <c r="AD1811" s="147">
        <f>SUM(AD1804:AG1810)</f>
        <v>0</v>
      </c>
      <c r="AE1811" s="148"/>
      <c r="AF1811" s="148"/>
      <c r="AG1811" s="149"/>
      <c r="AH1811" s="147">
        <f>SUM(AH1804:AK1810)</f>
        <v>0</v>
      </c>
      <c r="AI1811" s="148"/>
      <c r="AJ1811" s="148"/>
      <c r="AK1811" s="149"/>
      <c r="AL1811" s="147">
        <f>SUM(AL1804:AO1810)</f>
        <v>0</v>
      </c>
      <c r="AM1811" s="148"/>
      <c r="AN1811" s="148"/>
      <c r="AO1811" s="149"/>
      <c r="AP1811" s="147">
        <f>SUM(AP1804:AS1810)</f>
        <v>0</v>
      </c>
      <c r="AQ1811" s="148"/>
      <c r="AR1811" s="148"/>
      <c r="AS1811" s="149"/>
      <c r="AT1811" s="147">
        <f>SUM(AT1804:AW1810)</f>
        <v>0</v>
      </c>
      <c r="AU1811" s="148"/>
      <c r="AV1811" s="148"/>
      <c r="AW1811" s="149"/>
      <c r="AX1811" s="87">
        <f>SUM(AX1804:AX1810)</f>
        <v>0</v>
      </c>
      <c r="AY1811" s="88">
        <f>IFERROR(AVERAGEIF(E1811:AV1811,"&lt;&gt;0",(E1811:AV1811)),)</f>
        <v>0</v>
      </c>
      <c r="AZ1811" s="46">
        <f>IFERROR(AX1811/BB1805,0)</f>
        <v>0</v>
      </c>
      <c r="BA1811" s="34"/>
      <c r="BB1811" s="34"/>
      <c r="BC1811" s="34"/>
      <c r="BD1811" s="76"/>
      <c r="BE1811" s="34"/>
      <c r="BF1811" s="34"/>
      <c r="BG1811" s="34"/>
      <c r="BH1811" s="34"/>
    </row>
    <row r="1812" spans="1:60" s="17" customFormat="1" ht="19.5" customHeight="1" thickBot="1" x14ac:dyDescent="0.4">
      <c r="A1812" s="42">
        <f>A1803</f>
        <v>45449</v>
      </c>
      <c r="B1812" s="38" t="str">
        <f>B1813</f>
        <v>Omuz Çatma</v>
      </c>
      <c r="C1812" s="39" t="s">
        <v>180</v>
      </c>
      <c r="D1812" s="69" t="s">
        <v>181</v>
      </c>
      <c r="E1812" s="48">
        <v>0.34375</v>
      </c>
      <c r="F1812" s="49">
        <v>0.35416666666666669</v>
      </c>
      <c r="G1812" s="49">
        <v>0.36458333333333331</v>
      </c>
      <c r="H1812" s="50">
        <v>0.375</v>
      </c>
      <c r="I1812" s="48">
        <v>0.38541666666666702</v>
      </c>
      <c r="J1812" s="49">
        <v>0.39583333333333298</v>
      </c>
      <c r="K1812" s="49">
        <v>0.40625</v>
      </c>
      <c r="L1812" s="50">
        <v>0.41666666666666702</v>
      </c>
      <c r="M1812" s="48">
        <v>0.4375</v>
      </c>
      <c r="N1812" s="49">
        <v>0.44791666666666702</v>
      </c>
      <c r="O1812" s="49">
        <v>0.45833333333333398</v>
      </c>
      <c r="P1812" s="50">
        <v>0.46875</v>
      </c>
      <c r="Q1812" s="48">
        <v>0.47916666666666702</v>
      </c>
      <c r="R1812" s="49">
        <v>0.48958333333333398</v>
      </c>
      <c r="S1812" s="49">
        <v>0.5</v>
      </c>
      <c r="T1812" s="50">
        <v>0.51041666666666696</v>
      </c>
      <c r="U1812" s="51">
        <v>0.52083333333333204</v>
      </c>
      <c r="V1812" s="48">
        <v>0.5625</v>
      </c>
      <c r="W1812" s="49">
        <v>0.57291666666666663</v>
      </c>
      <c r="X1812" s="49">
        <v>0.58333333333333304</v>
      </c>
      <c r="Y1812" s="50">
        <v>0.59375</v>
      </c>
      <c r="Z1812" s="48">
        <v>0.60416666666666696</v>
      </c>
      <c r="AA1812" s="49">
        <v>0.61458333333333304</v>
      </c>
      <c r="AB1812" s="49">
        <v>0.625</v>
      </c>
      <c r="AC1812" s="50">
        <v>0.63541666666666596</v>
      </c>
      <c r="AD1812" s="48">
        <v>0.65625</v>
      </c>
      <c r="AE1812" s="49">
        <v>0.66666666666666663</v>
      </c>
      <c r="AF1812" s="49">
        <v>0.67708333333333304</v>
      </c>
      <c r="AG1812" s="50">
        <v>0.6875</v>
      </c>
      <c r="AH1812" s="48">
        <v>0.69791666666666696</v>
      </c>
      <c r="AI1812" s="49">
        <v>0.70833333333333304</v>
      </c>
      <c r="AJ1812" s="49">
        <v>0.71875</v>
      </c>
      <c r="AK1812" s="50">
        <v>0.72916666666666696</v>
      </c>
      <c r="AL1812" s="48">
        <v>0.73958333333333404</v>
      </c>
      <c r="AM1812" s="49">
        <v>0.750000000000001</v>
      </c>
      <c r="AN1812" s="49">
        <v>0.76041666666666796</v>
      </c>
      <c r="AO1812" s="50">
        <v>0.77083333333333504</v>
      </c>
      <c r="AP1812" s="48">
        <v>0.781250000000002</v>
      </c>
      <c r="AQ1812" s="49">
        <v>0.79166666666666896</v>
      </c>
      <c r="AR1812" s="49">
        <v>0.80208333333333603</v>
      </c>
      <c r="AS1812" s="50">
        <v>0.812500000000003</v>
      </c>
      <c r="AT1812" s="48">
        <v>0.82291666666666996</v>
      </c>
      <c r="AU1812" s="49">
        <v>0.83333333333333703</v>
      </c>
      <c r="AV1812" s="49">
        <v>0.843750000000004</v>
      </c>
      <c r="AW1812" s="50">
        <v>0.85416666666666663</v>
      </c>
      <c r="AX1812" s="68" t="s">
        <v>260</v>
      </c>
      <c r="AY1812" s="28" t="s">
        <v>261</v>
      </c>
      <c r="AZ1812" s="29" t="s">
        <v>262</v>
      </c>
      <c r="BA1812" s="136" t="str">
        <f>B1813</f>
        <v>Omuz Çatma</v>
      </c>
      <c r="BB1812" s="137"/>
      <c r="BC1812" s="137"/>
      <c r="BD1812" s="137"/>
      <c r="BE1812" s="137"/>
      <c r="BF1812" s="137"/>
      <c r="BG1812" s="137"/>
      <c r="BH1812" s="138"/>
    </row>
    <row r="1813" spans="1:60" s="17" customFormat="1" ht="19.5" customHeight="1" thickBot="1" x14ac:dyDescent="0.4">
      <c r="A1813" s="41">
        <f t="shared" ref="A1813" si="1835">A1812</f>
        <v>45449</v>
      </c>
      <c r="B1813" s="37" t="str">
        <f>B1637</f>
        <v>Omuz Çatma</v>
      </c>
      <c r="C1813" s="65" t="str">
        <f>C1637</f>
        <v>SELDA TAŞ</v>
      </c>
      <c r="D1813" s="70">
        <f>D1637</f>
        <v>60</v>
      </c>
      <c r="E1813" s="63"/>
      <c r="F1813" s="55"/>
      <c r="G1813" s="55"/>
      <c r="H1813" s="56"/>
      <c r="I1813" s="63"/>
      <c r="J1813" s="55"/>
      <c r="K1813" s="55"/>
      <c r="L1813" s="56"/>
      <c r="M1813" s="63"/>
      <c r="N1813" s="55"/>
      <c r="O1813" s="55"/>
      <c r="P1813" s="56"/>
      <c r="Q1813" s="63"/>
      <c r="R1813" s="55"/>
      <c r="S1813" s="55"/>
      <c r="T1813" s="55"/>
      <c r="U1813" s="56"/>
      <c r="V1813" s="63"/>
      <c r="W1813" s="55"/>
      <c r="X1813" s="55"/>
      <c r="Y1813" s="56"/>
      <c r="Z1813" s="63"/>
      <c r="AA1813" s="55"/>
      <c r="AB1813" s="55"/>
      <c r="AC1813" s="56"/>
      <c r="AD1813" s="63"/>
      <c r="AE1813" s="55"/>
      <c r="AF1813" s="55"/>
      <c r="AG1813" s="56"/>
      <c r="AH1813" s="63"/>
      <c r="AI1813" s="55"/>
      <c r="AJ1813" s="55"/>
      <c r="AK1813" s="56"/>
      <c r="AL1813" s="63"/>
      <c r="AM1813" s="55"/>
      <c r="AN1813" s="55"/>
      <c r="AO1813" s="56"/>
      <c r="AP1813" s="63"/>
      <c r="AQ1813" s="54"/>
      <c r="AR1813" s="55"/>
      <c r="AS1813" s="56"/>
      <c r="AT1813" s="53"/>
      <c r="AU1813" s="54"/>
      <c r="AV1813" s="55"/>
      <c r="AW1813" s="56"/>
      <c r="AX1813" s="33">
        <f>SUM(E1813:AW1813)</f>
        <v>0</v>
      </c>
      <c r="AY1813" s="31">
        <f>IFERROR(AVERAGEIF(E1813:AW1813,"&lt;&gt;0",(E1813:AW1813)),)</f>
        <v>0</v>
      </c>
      <c r="AZ1813" s="30">
        <f>IFERROR(AY1813/D1813,0)</f>
        <v>0</v>
      </c>
      <c r="BA1813" s="103" t="s">
        <v>182</v>
      </c>
      <c r="BB1813" s="100" t="s">
        <v>183</v>
      </c>
      <c r="BC1813" s="100" t="s">
        <v>184</v>
      </c>
      <c r="BD1813" s="101" t="s">
        <v>185</v>
      </c>
      <c r="BE1813" s="100" t="s">
        <v>186</v>
      </c>
      <c r="BF1813" s="102" t="s">
        <v>187</v>
      </c>
      <c r="BG1813" s="100" t="s">
        <v>188</v>
      </c>
      <c r="BH1813" s="102" t="s">
        <v>189</v>
      </c>
    </row>
    <row r="1814" spans="1:60" s="17" customFormat="1" ht="19.5" customHeight="1" thickBot="1" x14ac:dyDescent="0.4">
      <c r="A1814" s="41">
        <f t="shared" ref="A1814:B1814" si="1836">A1813</f>
        <v>45449</v>
      </c>
      <c r="B1814" s="37" t="str">
        <f t="shared" si="1836"/>
        <v>Omuz Çatma</v>
      </c>
      <c r="C1814" s="65" t="str">
        <f t="shared" ref="C1814:C1819" si="1837">C1638</f>
        <v>FATMA BALCI</v>
      </c>
      <c r="D1814" s="67">
        <f t="shared" ref="D1814:D1819" si="1838">D1813</f>
        <v>60</v>
      </c>
      <c r="E1814" s="57"/>
      <c r="F1814" s="52"/>
      <c r="G1814" s="52"/>
      <c r="H1814" s="58"/>
      <c r="I1814" s="57"/>
      <c r="J1814" s="52"/>
      <c r="K1814" s="52"/>
      <c r="L1814" s="58"/>
      <c r="M1814" s="57"/>
      <c r="N1814" s="52"/>
      <c r="O1814" s="52"/>
      <c r="P1814" s="58"/>
      <c r="Q1814" s="57"/>
      <c r="R1814" s="52"/>
      <c r="S1814" s="52"/>
      <c r="T1814" s="52"/>
      <c r="U1814" s="58"/>
      <c r="V1814" s="57"/>
      <c r="W1814" s="52"/>
      <c r="X1814" s="52"/>
      <c r="Y1814" s="58"/>
      <c r="Z1814" s="57"/>
      <c r="AA1814" s="52"/>
      <c r="AB1814" s="52"/>
      <c r="AC1814" s="58"/>
      <c r="AD1814" s="57"/>
      <c r="AE1814" s="52"/>
      <c r="AF1814" s="52"/>
      <c r="AG1814" s="58"/>
      <c r="AH1814" s="57"/>
      <c r="AI1814" s="52"/>
      <c r="AJ1814" s="52"/>
      <c r="AK1814" s="58"/>
      <c r="AL1814" s="57"/>
      <c r="AM1814" s="52"/>
      <c r="AN1814" s="52"/>
      <c r="AO1814" s="58"/>
      <c r="AP1814" s="57"/>
      <c r="AQ1814" s="52"/>
      <c r="AR1814" s="52"/>
      <c r="AS1814" s="58"/>
      <c r="AT1814" s="57"/>
      <c r="AU1814" s="52"/>
      <c r="AV1814" s="52"/>
      <c r="AW1814" s="58"/>
      <c r="AX1814" s="33">
        <f t="shared" ref="AX1814:AX1819" si="1839">SUM(E1814:AW1814)</f>
        <v>0</v>
      </c>
      <c r="AY1814" s="31">
        <f t="shared" ref="AY1814:AY1819" si="1840">IFERROR(AVERAGEIF(E1814:AW1814,"&lt;&gt;0",(E1814:AW1814)),)</f>
        <v>0</v>
      </c>
      <c r="AZ1814" s="30">
        <f t="shared" ref="AZ1814:AZ1819" si="1841">IFERROR(AY1814/D1814,0)</f>
        <v>0</v>
      </c>
      <c r="BA1814" s="94">
        <f>AX1820+BA1638</f>
        <v>19000</v>
      </c>
      <c r="BB1814" s="95">
        <f>(D1820*8)</f>
        <v>4000</v>
      </c>
      <c r="BC1814" s="96">
        <f>C1765-BA1814</f>
        <v>23311</v>
      </c>
      <c r="BD1814" s="96">
        <f>BH1805-BA1814</f>
        <v>-19000</v>
      </c>
      <c r="BE1814" s="97">
        <f>IFERROR(BC1814/E1820,0)</f>
        <v>0</v>
      </c>
      <c r="BF1814" s="98">
        <f>IFERROR(BE1814/9,0)</f>
        <v>0</v>
      </c>
      <c r="BG1814" s="97">
        <f>IFERROR(BC1814/AY1820,0)</f>
        <v>0</v>
      </c>
      <c r="BH1814" s="97">
        <f>IFERROR(BG1814/9,0)</f>
        <v>0</v>
      </c>
    </row>
    <row r="1815" spans="1:60" s="17" customFormat="1" ht="19.5" customHeight="1" x14ac:dyDescent="0.35">
      <c r="A1815" s="41">
        <f t="shared" ref="A1815:B1815" si="1842">A1814</f>
        <v>45449</v>
      </c>
      <c r="B1815" s="37" t="str">
        <f t="shared" si="1842"/>
        <v>Omuz Çatma</v>
      </c>
      <c r="C1815" s="65" t="str">
        <f t="shared" si="1837"/>
        <v>AYŞE ALTUN</v>
      </c>
      <c r="D1815" s="67">
        <f t="shared" si="1838"/>
        <v>60</v>
      </c>
      <c r="E1815" s="57"/>
      <c r="F1815" s="52"/>
      <c r="G1815" s="52"/>
      <c r="H1815" s="58"/>
      <c r="I1815" s="57"/>
      <c r="J1815" s="52"/>
      <c r="K1815" s="52"/>
      <c r="L1815" s="58"/>
      <c r="M1815" s="57"/>
      <c r="N1815" s="52"/>
      <c r="O1815" s="52"/>
      <c r="P1815" s="58"/>
      <c r="Q1815" s="57"/>
      <c r="R1815" s="52"/>
      <c r="S1815" s="52"/>
      <c r="T1815" s="52"/>
      <c r="U1815" s="58"/>
      <c r="V1815" s="57"/>
      <c r="W1815" s="52"/>
      <c r="X1815" s="52"/>
      <c r="Y1815" s="58"/>
      <c r="Z1815" s="57"/>
      <c r="AA1815" s="52"/>
      <c r="AB1815" s="52"/>
      <c r="AC1815" s="58"/>
      <c r="AD1815" s="57"/>
      <c r="AE1815" s="52"/>
      <c r="AF1815" s="52"/>
      <c r="AG1815" s="58"/>
      <c r="AH1815" s="57"/>
      <c r="AI1815" s="52"/>
      <c r="AJ1815" s="52"/>
      <c r="AK1815" s="58"/>
      <c r="AL1815" s="57"/>
      <c r="AM1815" s="52"/>
      <c r="AN1815" s="52"/>
      <c r="AO1815" s="58"/>
      <c r="AP1815" s="57"/>
      <c r="AQ1815" s="52"/>
      <c r="AR1815" s="52"/>
      <c r="AS1815" s="58"/>
      <c r="AT1815" s="57"/>
      <c r="AU1815" s="52"/>
      <c r="AV1815" s="52"/>
      <c r="AW1815" s="58"/>
      <c r="AX1815" s="33">
        <f t="shared" si="1839"/>
        <v>0</v>
      </c>
      <c r="AY1815" s="31">
        <f t="shared" si="1840"/>
        <v>0</v>
      </c>
      <c r="AZ1815" s="30">
        <f t="shared" si="1841"/>
        <v>0</v>
      </c>
      <c r="BA1815" s="34"/>
      <c r="BB1815" s="34"/>
      <c r="BC1815" s="34"/>
      <c r="BD1815" s="76"/>
      <c r="BE1815" s="34"/>
      <c r="BF1815" s="34"/>
      <c r="BG1815" s="34"/>
      <c r="BH1815" s="34"/>
    </row>
    <row r="1816" spans="1:60" s="17" customFormat="1" ht="19.5" customHeight="1" x14ac:dyDescent="0.35">
      <c r="A1816" s="41">
        <f t="shared" ref="A1816:B1816" si="1843">A1815</f>
        <v>45449</v>
      </c>
      <c r="B1816" s="37" t="str">
        <f t="shared" si="1843"/>
        <v>Omuz Çatma</v>
      </c>
      <c r="C1816" s="65" t="str">
        <f t="shared" si="1837"/>
        <v>EMİNE GAPAYLAR</v>
      </c>
      <c r="D1816" s="67">
        <f t="shared" si="1838"/>
        <v>60</v>
      </c>
      <c r="E1816" s="57"/>
      <c r="F1816" s="52"/>
      <c r="G1816" s="52"/>
      <c r="H1816" s="58"/>
      <c r="I1816" s="57"/>
      <c r="J1816" s="52"/>
      <c r="K1816" s="52"/>
      <c r="L1816" s="58"/>
      <c r="M1816" s="57"/>
      <c r="N1816" s="52"/>
      <c r="O1816" s="52"/>
      <c r="P1816" s="58"/>
      <c r="Q1816" s="57"/>
      <c r="R1816" s="52"/>
      <c r="S1816" s="52"/>
      <c r="T1816" s="52"/>
      <c r="U1816" s="58"/>
      <c r="V1816" s="57"/>
      <c r="W1816" s="52"/>
      <c r="X1816" s="52"/>
      <c r="Y1816" s="58"/>
      <c r="Z1816" s="57"/>
      <c r="AA1816" s="52"/>
      <c r="AB1816" s="52"/>
      <c r="AC1816" s="58"/>
      <c r="AD1816" s="57"/>
      <c r="AE1816" s="52"/>
      <c r="AF1816" s="52"/>
      <c r="AG1816" s="58"/>
      <c r="AH1816" s="57"/>
      <c r="AI1816" s="52"/>
      <c r="AJ1816" s="52"/>
      <c r="AK1816" s="58"/>
      <c r="AL1816" s="57"/>
      <c r="AM1816" s="52"/>
      <c r="AN1816" s="52"/>
      <c r="AO1816" s="58"/>
      <c r="AP1816" s="57"/>
      <c r="AQ1816" s="52"/>
      <c r="AR1816" s="52"/>
      <c r="AS1816" s="58"/>
      <c r="AT1816" s="57"/>
      <c r="AU1816" s="52"/>
      <c r="AV1816" s="52"/>
      <c r="AW1816" s="58"/>
      <c r="AX1816" s="33">
        <f t="shared" si="1839"/>
        <v>0</v>
      </c>
      <c r="AY1816" s="31">
        <f t="shared" si="1840"/>
        <v>0</v>
      </c>
      <c r="AZ1816" s="30">
        <f t="shared" si="1841"/>
        <v>0</v>
      </c>
      <c r="BA1816" s="34"/>
      <c r="BB1816" s="34"/>
      <c r="BC1816" s="34"/>
      <c r="BD1816" s="76"/>
      <c r="BE1816" s="34"/>
      <c r="BF1816" s="34"/>
      <c r="BG1816" s="34"/>
      <c r="BH1816" s="34"/>
    </row>
    <row r="1817" spans="1:60" s="17" customFormat="1" ht="19.5" customHeight="1" x14ac:dyDescent="0.35">
      <c r="A1817" s="41">
        <f>A1814</f>
        <v>45449</v>
      </c>
      <c r="B1817" s="37" t="str">
        <f t="shared" ref="B1817" si="1844">B1816</f>
        <v>Omuz Çatma</v>
      </c>
      <c r="C1817" s="65">
        <f t="shared" si="1837"/>
        <v>0</v>
      </c>
      <c r="D1817" s="67">
        <f t="shared" si="1838"/>
        <v>60</v>
      </c>
      <c r="E1817" s="57"/>
      <c r="F1817" s="52"/>
      <c r="G1817" s="52"/>
      <c r="H1817" s="58"/>
      <c r="I1817" s="57"/>
      <c r="J1817" s="52"/>
      <c r="K1817" s="52"/>
      <c r="L1817" s="58"/>
      <c r="M1817" s="57"/>
      <c r="N1817" s="52"/>
      <c r="O1817" s="52"/>
      <c r="P1817" s="58"/>
      <c r="Q1817" s="57"/>
      <c r="R1817" s="52"/>
      <c r="S1817" s="52"/>
      <c r="T1817" s="52"/>
      <c r="U1817" s="58"/>
      <c r="V1817" s="57"/>
      <c r="W1817" s="52"/>
      <c r="X1817" s="52"/>
      <c r="Y1817" s="58"/>
      <c r="Z1817" s="57"/>
      <c r="AA1817" s="52"/>
      <c r="AB1817" s="52"/>
      <c r="AC1817" s="58"/>
      <c r="AD1817" s="57"/>
      <c r="AE1817" s="52"/>
      <c r="AF1817" s="52"/>
      <c r="AG1817" s="58"/>
      <c r="AH1817" s="57"/>
      <c r="AI1817" s="52"/>
      <c r="AJ1817" s="52"/>
      <c r="AK1817" s="58"/>
      <c r="AL1817" s="57"/>
      <c r="AM1817" s="52"/>
      <c r="AN1817" s="52"/>
      <c r="AO1817" s="58"/>
      <c r="AP1817" s="57"/>
      <c r="AQ1817" s="52"/>
      <c r="AR1817" s="52"/>
      <c r="AS1817" s="58"/>
      <c r="AT1817" s="57"/>
      <c r="AU1817" s="52"/>
      <c r="AV1817" s="52"/>
      <c r="AW1817" s="58"/>
      <c r="AX1817" s="33">
        <f t="shared" si="1839"/>
        <v>0</v>
      </c>
      <c r="AY1817" s="31">
        <f t="shared" si="1840"/>
        <v>0</v>
      </c>
      <c r="AZ1817" s="30">
        <f t="shared" si="1841"/>
        <v>0</v>
      </c>
      <c r="BA1817" s="34"/>
      <c r="BB1817" s="34"/>
      <c r="BC1817" s="34"/>
      <c r="BD1817" s="76"/>
      <c r="BE1817" s="34"/>
      <c r="BF1817" s="34"/>
      <c r="BG1817" s="34"/>
      <c r="BH1817" s="34"/>
    </row>
    <row r="1818" spans="1:60" s="17" customFormat="1" ht="19.5" customHeight="1" x14ac:dyDescent="0.35">
      <c r="A1818" s="41">
        <f>A1817</f>
        <v>45449</v>
      </c>
      <c r="B1818" s="37" t="str">
        <f t="shared" ref="B1818" si="1845">B1817</f>
        <v>Omuz Çatma</v>
      </c>
      <c r="C1818" s="65">
        <f t="shared" si="1837"/>
        <v>0</v>
      </c>
      <c r="D1818" s="67">
        <f t="shared" si="1838"/>
        <v>60</v>
      </c>
      <c r="E1818" s="57"/>
      <c r="F1818" s="52"/>
      <c r="G1818" s="52"/>
      <c r="H1818" s="58"/>
      <c r="I1818" s="57"/>
      <c r="J1818" s="52"/>
      <c r="K1818" s="52"/>
      <c r="L1818" s="58"/>
      <c r="M1818" s="57"/>
      <c r="N1818" s="52"/>
      <c r="O1818" s="52"/>
      <c r="P1818" s="58"/>
      <c r="Q1818" s="57"/>
      <c r="R1818" s="52"/>
      <c r="S1818" s="52"/>
      <c r="T1818" s="52"/>
      <c r="U1818" s="58"/>
      <c r="V1818" s="57"/>
      <c r="W1818" s="52"/>
      <c r="X1818" s="52"/>
      <c r="Y1818" s="58"/>
      <c r="Z1818" s="57"/>
      <c r="AA1818" s="52"/>
      <c r="AB1818" s="52"/>
      <c r="AC1818" s="58"/>
      <c r="AD1818" s="57"/>
      <c r="AE1818" s="52"/>
      <c r="AF1818" s="52"/>
      <c r="AG1818" s="58"/>
      <c r="AH1818" s="57"/>
      <c r="AI1818" s="52"/>
      <c r="AJ1818" s="52"/>
      <c r="AK1818" s="58"/>
      <c r="AL1818" s="57"/>
      <c r="AM1818" s="52"/>
      <c r="AN1818" s="52"/>
      <c r="AO1818" s="58"/>
      <c r="AP1818" s="57"/>
      <c r="AQ1818" s="52"/>
      <c r="AR1818" s="52"/>
      <c r="AS1818" s="58"/>
      <c r="AT1818" s="57"/>
      <c r="AU1818" s="52"/>
      <c r="AV1818" s="52"/>
      <c r="AW1818" s="58"/>
      <c r="AX1818" s="33">
        <f t="shared" si="1839"/>
        <v>0</v>
      </c>
      <c r="AY1818" s="31">
        <f t="shared" si="1840"/>
        <v>0</v>
      </c>
      <c r="AZ1818" s="30">
        <f t="shared" si="1841"/>
        <v>0</v>
      </c>
      <c r="BA1818" s="34"/>
      <c r="BB1818" s="34"/>
      <c r="BC1818" s="34"/>
      <c r="BD1818" s="76"/>
      <c r="BE1818" s="34"/>
      <c r="BF1818" s="34"/>
      <c r="BG1818" s="34"/>
      <c r="BH1818" s="34"/>
    </row>
    <row r="1819" spans="1:60" s="17" customFormat="1" ht="19.5" customHeight="1" thickBot="1" x14ac:dyDescent="0.4">
      <c r="A1819" s="41">
        <f>A1818</f>
        <v>45449</v>
      </c>
      <c r="B1819" s="37" t="str">
        <f t="shared" ref="B1819" si="1846">B1818</f>
        <v>Omuz Çatma</v>
      </c>
      <c r="C1819" s="65">
        <f t="shared" si="1837"/>
        <v>0</v>
      </c>
      <c r="D1819" s="67">
        <f t="shared" si="1838"/>
        <v>60</v>
      </c>
      <c r="E1819" s="59"/>
      <c r="F1819" s="60"/>
      <c r="G1819" s="61"/>
      <c r="H1819" s="62"/>
      <c r="I1819" s="59"/>
      <c r="J1819" s="60"/>
      <c r="K1819" s="61"/>
      <c r="L1819" s="62"/>
      <c r="M1819" s="59"/>
      <c r="N1819" s="60"/>
      <c r="O1819" s="61"/>
      <c r="P1819" s="62"/>
      <c r="Q1819" s="64"/>
      <c r="R1819" s="61"/>
      <c r="S1819" s="61"/>
      <c r="T1819" s="61"/>
      <c r="U1819" s="62"/>
      <c r="V1819" s="59"/>
      <c r="W1819" s="60"/>
      <c r="X1819" s="61"/>
      <c r="Y1819" s="62"/>
      <c r="Z1819" s="59"/>
      <c r="AA1819" s="60"/>
      <c r="AB1819" s="61"/>
      <c r="AC1819" s="62"/>
      <c r="AD1819" s="59"/>
      <c r="AE1819" s="60"/>
      <c r="AF1819" s="61"/>
      <c r="AG1819" s="62"/>
      <c r="AH1819" s="59"/>
      <c r="AI1819" s="60"/>
      <c r="AJ1819" s="61"/>
      <c r="AK1819" s="62"/>
      <c r="AL1819" s="59"/>
      <c r="AM1819" s="60"/>
      <c r="AN1819" s="61"/>
      <c r="AO1819" s="62"/>
      <c r="AP1819" s="59"/>
      <c r="AQ1819" s="60"/>
      <c r="AR1819" s="61"/>
      <c r="AS1819" s="62"/>
      <c r="AT1819" s="59"/>
      <c r="AU1819" s="60"/>
      <c r="AV1819" s="61"/>
      <c r="AW1819" s="62"/>
      <c r="AX1819" s="33">
        <f t="shared" si="1839"/>
        <v>0</v>
      </c>
      <c r="AY1819" s="31">
        <f t="shared" si="1840"/>
        <v>0</v>
      </c>
      <c r="AZ1819" s="30">
        <f t="shared" si="1841"/>
        <v>0</v>
      </c>
      <c r="BA1819" s="34"/>
      <c r="BB1819" s="34"/>
      <c r="BC1819" s="34"/>
      <c r="BD1819" s="76"/>
      <c r="BE1819" s="34"/>
      <c r="BF1819" s="34"/>
      <c r="BG1819" s="34"/>
      <c r="BH1819" s="34"/>
    </row>
    <row r="1820" spans="1:60" s="17" customFormat="1" ht="19.5" customHeight="1" thickBot="1" x14ac:dyDescent="0.45">
      <c r="A1820" s="41">
        <f>A1819</f>
        <v>45449</v>
      </c>
      <c r="B1820" s="139" t="str">
        <f>B1813</f>
        <v>Omuz Çatma</v>
      </c>
      <c r="C1820" s="140"/>
      <c r="D1820" s="40">
        <f>C1766/8</f>
        <v>500</v>
      </c>
      <c r="E1820" s="147">
        <f>SUM(E1813:H1819)</f>
        <v>0</v>
      </c>
      <c r="F1820" s="148"/>
      <c r="G1820" s="148"/>
      <c r="H1820" s="149"/>
      <c r="I1820" s="147">
        <f>SUM(I1813:L1819)</f>
        <v>0</v>
      </c>
      <c r="J1820" s="148"/>
      <c r="K1820" s="148"/>
      <c r="L1820" s="149"/>
      <c r="M1820" s="147">
        <f>SUM(M1813:P1819)</f>
        <v>0</v>
      </c>
      <c r="N1820" s="148"/>
      <c r="O1820" s="148"/>
      <c r="P1820" s="149"/>
      <c r="Q1820" s="147">
        <f>SUM(Q1813:U1819)</f>
        <v>0</v>
      </c>
      <c r="R1820" s="148"/>
      <c r="S1820" s="148"/>
      <c r="T1820" s="148"/>
      <c r="U1820" s="149"/>
      <c r="V1820" s="147">
        <f>SUM(V1813:Y1819)</f>
        <v>0</v>
      </c>
      <c r="W1820" s="148"/>
      <c r="X1820" s="148"/>
      <c r="Y1820" s="149"/>
      <c r="Z1820" s="147">
        <f>SUM(Z1813:AC1819)</f>
        <v>0</v>
      </c>
      <c r="AA1820" s="148"/>
      <c r="AB1820" s="148"/>
      <c r="AC1820" s="149"/>
      <c r="AD1820" s="147">
        <f>SUM(AD1813:AG1819)</f>
        <v>0</v>
      </c>
      <c r="AE1820" s="148"/>
      <c r="AF1820" s="148"/>
      <c r="AG1820" s="149"/>
      <c r="AH1820" s="147">
        <f>SUM(AH1813:AK1819)</f>
        <v>0</v>
      </c>
      <c r="AI1820" s="148"/>
      <c r="AJ1820" s="148"/>
      <c r="AK1820" s="149"/>
      <c r="AL1820" s="147">
        <f>SUM(AL1813:AO1819)</f>
        <v>0</v>
      </c>
      <c r="AM1820" s="148"/>
      <c r="AN1820" s="148"/>
      <c r="AO1820" s="149"/>
      <c r="AP1820" s="147">
        <f>SUM(AP1813:AS1819)</f>
        <v>0</v>
      </c>
      <c r="AQ1820" s="148"/>
      <c r="AR1820" s="148"/>
      <c r="AS1820" s="149"/>
      <c r="AT1820" s="147">
        <f>SUM(AT1813:AW1819)</f>
        <v>0</v>
      </c>
      <c r="AU1820" s="148"/>
      <c r="AV1820" s="148"/>
      <c r="AW1820" s="149"/>
      <c r="AX1820" s="87">
        <f>SUM(AX1813:AX1819)</f>
        <v>0</v>
      </c>
      <c r="AY1820" s="88">
        <f>IFERROR(AVERAGEIF(E1820:AV1820,"&lt;&gt;0",(E1820:AV1820)),)</f>
        <v>0</v>
      </c>
      <c r="AZ1820" s="46">
        <f>IFERROR(AX1820/BB1814,0)</f>
        <v>0</v>
      </c>
      <c r="BA1820" s="34"/>
      <c r="BB1820" s="34"/>
      <c r="BC1820" s="34"/>
      <c r="BD1820" s="76"/>
      <c r="BE1820" s="34"/>
      <c r="BF1820" s="34"/>
      <c r="BG1820" s="34"/>
      <c r="BH1820" s="34"/>
    </row>
    <row r="1821" spans="1:60" s="17" customFormat="1" ht="19.5" customHeight="1" thickBot="1" x14ac:dyDescent="0.4">
      <c r="A1821" s="42">
        <f>A1812</f>
        <v>45449</v>
      </c>
      <c r="B1821" s="38" t="str">
        <f>B1822</f>
        <v>Yaka Takma</v>
      </c>
      <c r="C1821" s="39" t="s">
        <v>180</v>
      </c>
      <c r="D1821" s="69" t="s">
        <v>181</v>
      </c>
      <c r="E1821" s="48">
        <v>0.34375</v>
      </c>
      <c r="F1821" s="49">
        <v>0.35416666666666669</v>
      </c>
      <c r="G1821" s="49">
        <v>0.36458333333333331</v>
      </c>
      <c r="H1821" s="50">
        <v>0.375</v>
      </c>
      <c r="I1821" s="48">
        <v>0.38541666666666702</v>
      </c>
      <c r="J1821" s="49">
        <v>0.39583333333333298</v>
      </c>
      <c r="K1821" s="49">
        <v>0.40625</v>
      </c>
      <c r="L1821" s="50">
        <v>0.41666666666666702</v>
      </c>
      <c r="M1821" s="48">
        <v>0.4375</v>
      </c>
      <c r="N1821" s="49">
        <v>0.44791666666666702</v>
      </c>
      <c r="O1821" s="49">
        <v>0.45833333333333398</v>
      </c>
      <c r="P1821" s="50">
        <v>0.46875</v>
      </c>
      <c r="Q1821" s="48">
        <v>0.47916666666666702</v>
      </c>
      <c r="R1821" s="49">
        <v>0.48958333333333398</v>
      </c>
      <c r="S1821" s="49">
        <v>0.5</v>
      </c>
      <c r="T1821" s="50">
        <v>0.51041666666666696</v>
      </c>
      <c r="U1821" s="51">
        <v>0.52083333333333204</v>
      </c>
      <c r="V1821" s="48">
        <v>0.5625</v>
      </c>
      <c r="W1821" s="49">
        <v>0.57291666666666663</v>
      </c>
      <c r="X1821" s="49">
        <v>0.58333333333333304</v>
      </c>
      <c r="Y1821" s="50">
        <v>0.59375</v>
      </c>
      <c r="Z1821" s="48">
        <v>0.60416666666666696</v>
      </c>
      <c r="AA1821" s="49">
        <v>0.61458333333333304</v>
      </c>
      <c r="AB1821" s="49">
        <v>0.625</v>
      </c>
      <c r="AC1821" s="50">
        <v>0.63541666666666596</v>
      </c>
      <c r="AD1821" s="48">
        <v>0.65625</v>
      </c>
      <c r="AE1821" s="49">
        <v>0.66666666666666663</v>
      </c>
      <c r="AF1821" s="49">
        <v>0.67708333333333304</v>
      </c>
      <c r="AG1821" s="50">
        <v>0.6875</v>
      </c>
      <c r="AH1821" s="48">
        <v>0.69791666666666696</v>
      </c>
      <c r="AI1821" s="49">
        <v>0.70833333333333304</v>
      </c>
      <c r="AJ1821" s="49">
        <v>0.71875</v>
      </c>
      <c r="AK1821" s="50">
        <v>0.72916666666666696</v>
      </c>
      <c r="AL1821" s="48">
        <v>0.73958333333333404</v>
      </c>
      <c r="AM1821" s="49">
        <v>0.750000000000001</v>
      </c>
      <c r="AN1821" s="49">
        <v>0.76041666666666796</v>
      </c>
      <c r="AO1821" s="50">
        <v>0.77083333333333504</v>
      </c>
      <c r="AP1821" s="48">
        <v>0.781250000000002</v>
      </c>
      <c r="AQ1821" s="49">
        <v>0.79166666666666896</v>
      </c>
      <c r="AR1821" s="49">
        <v>0.80208333333333603</v>
      </c>
      <c r="AS1821" s="50">
        <v>0.812500000000003</v>
      </c>
      <c r="AT1821" s="48">
        <v>0.82291666666666996</v>
      </c>
      <c r="AU1821" s="49">
        <v>0.83333333333333703</v>
      </c>
      <c r="AV1821" s="49">
        <v>0.843750000000004</v>
      </c>
      <c r="AW1821" s="50">
        <v>0.85416666666666663</v>
      </c>
      <c r="AX1821" s="68" t="s">
        <v>260</v>
      </c>
      <c r="AY1821" s="28" t="s">
        <v>261</v>
      </c>
      <c r="AZ1821" s="29" t="s">
        <v>262</v>
      </c>
      <c r="BA1821" s="136" t="str">
        <f>B1822</f>
        <v>Yaka Takma</v>
      </c>
      <c r="BB1821" s="137"/>
      <c r="BC1821" s="137"/>
      <c r="BD1821" s="137"/>
      <c r="BE1821" s="137"/>
      <c r="BF1821" s="137"/>
      <c r="BG1821" s="137"/>
      <c r="BH1821" s="138"/>
    </row>
    <row r="1822" spans="1:60" s="17" customFormat="1" ht="19.5" customHeight="1" thickBot="1" x14ac:dyDescent="0.4">
      <c r="A1822" s="41">
        <f>A1821</f>
        <v>45449</v>
      </c>
      <c r="B1822" s="37" t="str">
        <f>B1646</f>
        <v>Yaka Takma</v>
      </c>
      <c r="C1822" s="65" t="str">
        <f>C1646</f>
        <v>FATMA KIZILTAN</v>
      </c>
      <c r="D1822" s="70">
        <f>D1646</f>
        <v>70</v>
      </c>
      <c r="E1822" s="53"/>
      <c r="F1822" s="54"/>
      <c r="G1822" s="55"/>
      <c r="H1822" s="56"/>
      <c r="I1822" s="53"/>
      <c r="J1822" s="54"/>
      <c r="K1822" s="55"/>
      <c r="L1822" s="56"/>
      <c r="M1822" s="53"/>
      <c r="N1822" s="54"/>
      <c r="O1822" s="55"/>
      <c r="P1822" s="56"/>
      <c r="Q1822" s="63"/>
      <c r="R1822" s="55"/>
      <c r="S1822" s="55"/>
      <c r="T1822" s="55"/>
      <c r="U1822" s="56"/>
      <c r="V1822" s="53"/>
      <c r="W1822" s="54"/>
      <c r="X1822" s="55"/>
      <c r="Y1822" s="56"/>
      <c r="Z1822" s="53"/>
      <c r="AA1822" s="54"/>
      <c r="AB1822" s="55"/>
      <c r="AC1822" s="56"/>
      <c r="AD1822" s="53"/>
      <c r="AE1822" s="54"/>
      <c r="AF1822" s="55"/>
      <c r="AG1822" s="56"/>
      <c r="AH1822" s="53"/>
      <c r="AI1822" s="54"/>
      <c r="AJ1822" s="55"/>
      <c r="AK1822" s="56"/>
      <c r="AL1822" s="53"/>
      <c r="AM1822" s="54"/>
      <c r="AN1822" s="55"/>
      <c r="AO1822" s="56"/>
      <c r="AP1822" s="53"/>
      <c r="AQ1822" s="54"/>
      <c r="AR1822" s="55"/>
      <c r="AS1822" s="56"/>
      <c r="AT1822" s="53"/>
      <c r="AU1822" s="54"/>
      <c r="AV1822" s="55"/>
      <c r="AW1822" s="56"/>
      <c r="AX1822" s="33">
        <f>SUM(E1822:AW1822)</f>
        <v>0</v>
      </c>
      <c r="AY1822" s="31">
        <f>IFERROR(AVERAGEIF(E1822:AW1822,"&lt;&gt;0",(E1822:AW1822)),)</f>
        <v>0</v>
      </c>
      <c r="AZ1822" s="30">
        <f>IFERROR(AY1822/D1822,0)</f>
        <v>0</v>
      </c>
      <c r="BA1822" s="103" t="s">
        <v>182</v>
      </c>
      <c r="BB1822" s="100" t="s">
        <v>183</v>
      </c>
      <c r="BC1822" s="100" t="s">
        <v>184</v>
      </c>
      <c r="BD1822" s="101" t="s">
        <v>185</v>
      </c>
      <c r="BE1822" s="100" t="s">
        <v>186</v>
      </c>
      <c r="BF1822" s="102" t="s">
        <v>187</v>
      </c>
      <c r="BG1822" s="100" t="s">
        <v>188</v>
      </c>
      <c r="BH1822" s="102" t="s">
        <v>189</v>
      </c>
    </row>
    <row r="1823" spans="1:60" s="17" customFormat="1" ht="19.5" customHeight="1" thickBot="1" x14ac:dyDescent="0.4">
      <c r="A1823" s="41">
        <f>A1822</f>
        <v>45449</v>
      </c>
      <c r="B1823" s="37" t="str">
        <f t="shared" ref="B1823:B1828" si="1847">B1822</f>
        <v>Yaka Takma</v>
      </c>
      <c r="C1823" s="65" t="str">
        <f t="shared" ref="C1823:C1828" si="1848">C1647</f>
        <v>AYŞENUR YETER</v>
      </c>
      <c r="D1823" s="67">
        <f t="shared" ref="D1823:D1828" si="1849">D1822</f>
        <v>70</v>
      </c>
      <c r="E1823" s="57"/>
      <c r="F1823" s="52"/>
      <c r="G1823" s="52"/>
      <c r="H1823" s="58"/>
      <c r="I1823" s="57"/>
      <c r="J1823" s="52"/>
      <c r="K1823" s="52"/>
      <c r="L1823" s="58"/>
      <c r="M1823" s="57"/>
      <c r="N1823" s="52"/>
      <c r="O1823" s="52"/>
      <c r="P1823" s="58"/>
      <c r="Q1823" s="57"/>
      <c r="R1823" s="52"/>
      <c r="S1823" s="52"/>
      <c r="T1823" s="52"/>
      <c r="U1823" s="58"/>
      <c r="V1823" s="57"/>
      <c r="W1823" s="52"/>
      <c r="X1823" s="52"/>
      <c r="Y1823" s="58"/>
      <c r="Z1823" s="57"/>
      <c r="AA1823" s="52"/>
      <c r="AB1823" s="52"/>
      <c r="AC1823" s="58"/>
      <c r="AD1823" s="57"/>
      <c r="AE1823" s="52"/>
      <c r="AF1823" s="52"/>
      <c r="AG1823" s="58"/>
      <c r="AH1823" s="57"/>
      <c r="AI1823" s="52"/>
      <c r="AJ1823" s="52"/>
      <c r="AK1823" s="58"/>
      <c r="AL1823" s="57"/>
      <c r="AM1823" s="52"/>
      <c r="AN1823" s="52"/>
      <c r="AO1823" s="58"/>
      <c r="AP1823" s="57"/>
      <c r="AQ1823" s="52"/>
      <c r="AR1823" s="52"/>
      <c r="AS1823" s="58"/>
      <c r="AT1823" s="57"/>
      <c r="AU1823" s="52"/>
      <c r="AV1823" s="52"/>
      <c r="AW1823" s="58"/>
      <c r="AX1823" s="33">
        <f t="shared" ref="AX1823:AX1828" si="1850">SUM(E1823:AW1823)</f>
        <v>0</v>
      </c>
      <c r="AY1823" s="31">
        <f t="shared" ref="AY1823:AY1828" si="1851">IFERROR(AVERAGEIF(E1823:AW1823,"&lt;&gt;0",(E1823:AW1823)),)</f>
        <v>0</v>
      </c>
      <c r="AZ1823" s="30">
        <f t="shared" ref="AZ1823:AZ1828" si="1852">IFERROR(AY1823/D1823,0)</f>
        <v>0</v>
      </c>
      <c r="BA1823" s="94">
        <f>AX1829+BA1647</f>
        <v>18484</v>
      </c>
      <c r="BB1823" s="95">
        <f>(D1829*8)</f>
        <v>4000</v>
      </c>
      <c r="BC1823" s="96">
        <f>C1765-BA1823</f>
        <v>23827</v>
      </c>
      <c r="BD1823" s="96">
        <f>BA1814-BA1823</f>
        <v>516</v>
      </c>
      <c r="BE1823" s="97">
        <f>IFERROR(BC1823/E1829,0)</f>
        <v>0</v>
      </c>
      <c r="BF1823" s="98">
        <f>IFERROR(BE1823/9,0)</f>
        <v>0</v>
      </c>
      <c r="BG1823" s="97">
        <f>IFERROR(BC1823/AY1829,0)</f>
        <v>0</v>
      </c>
      <c r="BH1823" s="97">
        <f>IFERROR(BG1823/9,0)</f>
        <v>0</v>
      </c>
    </row>
    <row r="1824" spans="1:60" s="17" customFormat="1" ht="19.5" customHeight="1" x14ac:dyDescent="0.35">
      <c r="A1824" s="41">
        <f>A1823</f>
        <v>45449</v>
      </c>
      <c r="B1824" s="37" t="str">
        <f t="shared" si="1847"/>
        <v>Yaka Takma</v>
      </c>
      <c r="C1824" s="65">
        <f t="shared" si="1848"/>
        <v>0</v>
      </c>
      <c r="D1824" s="67">
        <f t="shared" si="1849"/>
        <v>70</v>
      </c>
      <c r="E1824" s="57"/>
      <c r="F1824" s="52"/>
      <c r="G1824" s="52"/>
      <c r="H1824" s="58"/>
      <c r="I1824" s="57"/>
      <c r="J1824" s="52"/>
      <c r="K1824" s="52"/>
      <c r="L1824" s="58"/>
      <c r="M1824" s="57"/>
      <c r="N1824" s="52"/>
      <c r="O1824" s="52"/>
      <c r="P1824" s="58"/>
      <c r="Q1824" s="57"/>
      <c r="R1824" s="52"/>
      <c r="S1824" s="52"/>
      <c r="T1824" s="52"/>
      <c r="U1824" s="58"/>
      <c r="V1824" s="57"/>
      <c r="W1824" s="52"/>
      <c r="X1824" s="52"/>
      <c r="Y1824" s="58"/>
      <c r="Z1824" s="57"/>
      <c r="AA1824" s="52"/>
      <c r="AB1824" s="52"/>
      <c r="AC1824" s="58"/>
      <c r="AD1824" s="57"/>
      <c r="AE1824" s="52"/>
      <c r="AF1824" s="52"/>
      <c r="AG1824" s="58"/>
      <c r="AH1824" s="57"/>
      <c r="AI1824" s="52"/>
      <c r="AJ1824" s="52"/>
      <c r="AK1824" s="58"/>
      <c r="AL1824" s="57"/>
      <c r="AM1824" s="52"/>
      <c r="AN1824" s="52"/>
      <c r="AO1824" s="58"/>
      <c r="AP1824" s="57"/>
      <c r="AQ1824" s="52"/>
      <c r="AR1824" s="52"/>
      <c r="AS1824" s="58"/>
      <c r="AT1824" s="57"/>
      <c r="AU1824" s="52"/>
      <c r="AV1824" s="52"/>
      <c r="AW1824" s="58"/>
      <c r="AX1824" s="33">
        <f t="shared" si="1850"/>
        <v>0</v>
      </c>
      <c r="AY1824" s="31">
        <f t="shared" si="1851"/>
        <v>0</v>
      </c>
      <c r="AZ1824" s="30">
        <f t="shared" si="1852"/>
        <v>0</v>
      </c>
      <c r="BA1824" s="34"/>
      <c r="BB1824" s="34"/>
      <c r="BC1824" s="34"/>
      <c r="BD1824" s="76"/>
      <c r="BE1824" s="34"/>
      <c r="BF1824" s="34"/>
      <c r="BG1824" s="34"/>
      <c r="BH1824" s="34"/>
    </row>
    <row r="1825" spans="1:60" s="17" customFormat="1" ht="19.5" customHeight="1" x14ac:dyDescent="0.35">
      <c r="A1825" s="41">
        <f>A1824</f>
        <v>45449</v>
      </c>
      <c r="B1825" s="37" t="str">
        <f t="shared" si="1847"/>
        <v>Yaka Takma</v>
      </c>
      <c r="C1825" s="65">
        <f t="shared" si="1848"/>
        <v>0</v>
      </c>
      <c r="D1825" s="67">
        <f t="shared" si="1849"/>
        <v>70</v>
      </c>
      <c r="E1825" s="57"/>
      <c r="F1825" s="52"/>
      <c r="G1825" s="52"/>
      <c r="H1825" s="58"/>
      <c r="I1825" s="57"/>
      <c r="J1825" s="52"/>
      <c r="K1825" s="52"/>
      <c r="L1825" s="58"/>
      <c r="M1825" s="57"/>
      <c r="N1825" s="52"/>
      <c r="O1825" s="52"/>
      <c r="P1825" s="58"/>
      <c r="Q1825" s="57"/>
      <c r="R1825" s="52"/>
      <c r="S1825" s="52"/>
      <c r="T1825" s="52"/>
      <c r="U1825" s="58"/>
      <c r="V1825" s="57"/>
      <c r="W1825" s="52"/>
      <c r="X1825" s="52"/>
      <c r="Y1825" s="58"/>
      <c r="Z1825" s="57"/>
      <c r="AA1825" s="52"/>
      <c r="AB1825" s="52"/>
      <c r="AC1825" s="58"/>
      <c r="AD1825" s="57"/>
      <c r="AE1825" s="52"/>
      <c r="AF1825" s="52"/>
      <c r="AG1825" s="58"/>
      <c r="AH1825" s="57"/>
      <c r="AI1825" s="52"/>
      <c r="AJ1825" s="52"/>
      <c r="AK1825" s="58"/>
      <c r="AL1825" s="57"/>
      <c r="AM1825" s="52"/>
      <c r="AN1825" s="52"/>
      <c r="AO1825" s="58"/>
      <c r="AP1825" s="57"/>
      <c r="AQ1825" s="52"/>
      <c r="AR1825" s="52"/>
      <c r="AS1825" s="58"/>
      <c r="AT1825" s="57"/>
      <c r="AU1825" s="52"/>
      <c r="AV1825" s="52"/>
      <c r="AW1825" s="58"/>
      <c r="AX1825" s="33">
        <f t="shared" si="1850"/>
        <v>0</v>
      </c>
      <c r="AY1825" s="31">
        <f t="shared" si="1851"/>
        <v>0</v>
      </c>
      <c r="AZ1825" s="30">
        <f t="shared" si="1852"/>
        <v>0</v>
      </c>
      <c r="BA1825" s="34"/>
      <c r="BB1825" s="34"/>
      <c r="BC1825" s="34"/>
      <c r="BD1825" s="76"/>
      <c r="BE1825" s="34"/>
      <c r="BF1825" s="34"/>
      <c r="BG1825" s="34"/>
      <c r="BH1825" s="34"/>
    </row>
    <row r="1826" spans="1:60" s="17" customFormat="1" ht="19.5" customHeight="1" x14ac:dyDescent="0.35">
      <c r="A1826" s="41">
        <f>A1823</f>
        <v>45449</v>
      </c>
      <c r="B1826" s="37" t="str">
        <f t="shared" si="1847"/>
        <v>Yaka Takma</v>
      </c>
      <c r="C1826" s="65">
        <f t="shared" si="1848"/>
        <v>0</v>
      </c>
      <c r="D1826" s="67">
        <f t="shared" si="1849"/>
        <v>70</v>
      </c>
      <c r="E1826" s="57"/>
      <c r="F1826" s="52"/>
      <c r="G1826" s="52"/>
      <c r="H1826" s="58"/>
      <c r="I1826" s="57"/>
      <c r="J1826" s="52"/>
      <c r="K1826" s="52"/>
      <c r="L1826" s="58"/>
      <c r="M1826" s="57"/>
      <c r="N1826" s="52"/>
      <c r="O1826" s="52"/>
      <c r="P1826" s="58"/>
      <c r="Q1826" s="57"/>
      <c r="R1826" s="52"/>
      <c r="S1826" s="52"/>
      <c r="T1826" s="52"/>
      <c r="U1826" s="58"/>
      <c r="V1826" s="57"/>
      <c r="W1826" s="52"/>
      <c r="X1826" s="52"/>
      <c r="Y1826" s="58"/>
      <c r="Z1826" s="57"/>
      <c r="AA1826" s="52"/>
      <c r="AB1826" s="52"/>
      <c r="AC1826" s="58"/>
      <c r="AD1826" s="57"/>
      <c r="AE1826" s="52"/>
      <c r="AF1826" s="52"/>
      <c r="AG1826" s="58"/>
      <c r="AH1826" s="57"/>
      <c r="AI1826" s="52"/>
      <c r="AJ1826" s="52"/>
      <c r="AK1826" s="58"/>
      <c r="AL1826" s="57"/>
      <c r="AM1826" s="52"/>
      <c r="AN1826" s="52"/>
      <c r="AO1826" s="58"/>
      <c r="AP1826" s="57"/>
      <c r="AQ1826" s="52"/>
      <c r="AR1826" s="52"/>
      <c r="AS1826" s="58"/>
      <c r="AT1826" s="57"/>
      <c r="AU1826" s="52"/>
      <c r="AV1826" s="52"/>
      <c r="AW1826" s="58"/>
      <c r="AX1826" s="33">
        <f t="shared" si="1850"/>
        <v>0</v>
      </c>
      <c r="AY1826" s="31">
        <f t="shared" si="1851"/>
        <v>0</v>
      </c>
      <c r="AZ1826" s="30">
        <f t="shared" si="1852"/>
        <v>0</v>
      </c>
      <c r="BA1826" s="34"/>
      <c r="BB1826" s="34"/>
      <c r="BC1826" s="34"/>
      <c r="BD1826" s="76"/>
      <c r="BE1826" s="34"/>
      <c r="BF1826" s="34"/>
      <c r="BG1826" s="34"/>
      <c r="BH1826" s="34"/>
    </row>
    <row r="1827" spans="1:60" s="17" customFormat="1" ht="19.5" customHeight="1" x14ac:dyDescent="0.35">
      <c r="A1827" s="41">
        <f t="shared" ref="A1827:A1831" si="1853">A1826</f>
        <v>45449</v>
      </c>
      <c r="B1827" s="37" t="str">
        <f t="shared" si="1847"/>
        <v>Yaka Takma</v>
      </c>
      <c r="C1827" s="65">
        <f t="shared" si="1848"/>
        <v>0</v>
      </c>
      <c r="D1827" s="67">
        <f t="shared" si="1849"/>
        <v>70</v>
      </c>
      <c r="E1827" s="57"/>
      <c r="F1827" s="52"/>
      <c r="G1827" s="52"/>
      <c r="H1827" s="58"/>
      <c r="I1827" s="57"/>
      <c r="J1827" s="52"/>
      <c r="K1827" s="52"/>
      <c r="L1827" s="58"/>
      <c r="M1827" s="57"/>
      <c r="N1827" s="52"/>
      <c r="O1827" s="52"/>
      <c r="P1827" s="58"/>
      <c r="Q1827" s="57"/>
      <c r="R1827" s="52"/>
      <c r="S1827" s="52"/>
      <c r="T1827" s="52"/>
      <c r="U1827" s="58"/>
      <c r="V1827" s="57"/>
      <c r="W1827" s="52"/>
      <c r="X1827" s="52"/>
      <c r="Y1827" s="58"/>
      <c r="Z1827" s="57"/>
      <c r="AA1827" s="52"/>
      <c r="AB1827" s="52"/>
      <c r="AC1827" s="58"/>
      <c r="AD1827" s="57"/>
      <c r="AE1827" s="52"/>
      <c r="AF1827" s="52"/>
      <c r="AG1827" s="58"/>
      <c r="AH1827" s="57"/>
      <c r="AI1827" s="52"/>
      <c r="AJ1827" s="52"/>
      <c r="AK1827" s="58"/>
      <c r="AL1827" s="57"/>
      <c r="AM1827" s="52"/>
      <c r="AN1827" s="52"/>
      <c r="AO1827" s="58"/>
      <c r="AP1827" s="57"/>
      <c r="AQ1827" s="52"/>
      <c r="AR1827" s="52"/>
      <c r="AS1827" s="58"/>
      <c r="AT1827" s="57"/>
      <c r="AU1827" s="52"/>
      <c r="AV1827" s="52"/>
      <c r="AW1827" s="58"/>
      <c r="AX1827" s="33">
        <f t="shared" si="1850"/>
        <v>0</v>
      </c>
      <c r="AY1827" s="31">
        <f t="shared" si="1851"/>
        <v>0</v>
      </c>
      <c r="AZ1827" s="30">
        <f t="shared" si="1852"/>
        <v>0</v>
      </c>
      <c r="BA1827" s="34"/>
      <c r="BB1827" s="34"/>
      <c r="BC1827" s="34"/>
      <c r="BD1827" s="76"/>
      <c r="BE1827" s="34"/>
      <c r="BF1827" s="34"/>
      <c r="BG1827" s="34"/>
      <c r="BH1827" s="34"/>
    </row>
    <row r="1828" spans="1:60" s="17" customFormat="1" ht="19.5" customHeight="1" thickBot="1" x14ac:dyDescent="0.4">
      <c r="A1828" s="41">
        <f t="shared" si="1853"/>
        <v>45449</v>
      </c>
      <c r="B1828" s="37" t="str">
        <f t="shared" si="1847"/>
        <v>Yaka Takma</v>
      </c>
      <c r="C1828" s="65">
        <f t="shared" si="1848"/>
        <v>0</v>
      </c>
      <c r="D1828" s="67">
        <f t="shared" si="1849"/>
        <v>70</v>
      </c>
      <c r="E1828" s="59"/>
      <c r="F1828" s="60"/>
      <c r="G1828" s="61"/>
      <c r="H1828" s="62"/>
      <c r="I1828" s="59"/>
      <c r="J1828" s="60"/>
      <c r="K1828" s="61"/>
      <c r="L1828" s="62"/>
      <c r="M1828" s="59"/>
      <c r="N1828" s="60"/>
      <c r="O1828" s="61"/>
      <c r="P1828" s="62"/>
      <c r="Q1828" s="64"/>
      <c r="R1828" s="61"/>
      <c r="S1828" s="61"/>
      <c r="T1828" s="61"/>
      <c r="U1828" s="62"/>
      <c r="V1828" s="59"/>
      <c r="W1828" s="60"/>
      <c r="X1828" s="61"/>
      <c r="Y1828" s="62"/>
      <c r="Z1828" s="59"/>
      <c r="AA1828" s="60"/>
      <c r="AB1828" s="61"/>
      <c r="AC1828" s="62"/>
      <c r="AD1828" s="59"/>
      <c r="AE1828" s="60"/>
      <c r="AF1828" s="61"/>
      <c r="AG1828" s="62"/>
      <c r="AH1828" s="59"/>
      <c r="AI1828" s="60"/>
      <c r="AJ1828" s="61"/>
      <c r="AK1828" s="62"/>
      <c r="AL1828" s="59"/>
      <c r="AM1828" s="60"/>
      <c r="AN1828" s="61"/>
      <c r="AO1828" s="62"/>
      <c r="AP1828" s="59"/>
      <c r="AQ1828" s="60"/>
      <c r="AR1828" s="61"/>
      <c r="AS1828" s="62"/>
      <c r="AT1828" s="59"/>
      <c r="AU1828" s="60"/>
      <c r="AV1828" s="61"/>
      <c r="AW1828" s="62"/>
      <c r="AX1828" s="33">
        <f t="shared" si="1850"/>
        <v>0</v>
      </c>
      <c r="AY1828" s="31">
        <f t="shared" si="1851"/>
        <v>0</v>
      </c>
      <c r="AZ1828" s="30">
        <f t="shared" si="1852"/>
        <v>0</v>
      </c>
      <c r="BA1828" s="34"/>
      <c r="BB1828" s="34"/>
      <c r="BC1828" s="34"/>
      <c r="BD1828" s="76"/>
      <c r="BE1828" s="34"/>
      <c r="BF1828" s="34"/>
      <c r="BG1828" s="34"/>
      <c r="BH1828" s="34"/>
    </row>
    <row r="1829" spans="1:60" s="17" customFormat="1" ht="19.5" customHeight="1" thickBot="1" x14ac:dyDescent="0.45">
      <c r="A1829" s="41">
        <f t="shared" si="1853"/>
        <v>45449</v>
      </c>
      <c r="B1829" s="139" t="str">
        <f>B1822</f>
        <v>Yaka Takma</v>
      </c>
      <c r="C1829" s="140"/>
      <c r="D1829" s="40">
        <f>C1766/8</f>
        <v>500</v>
      </c>
      <c r="E1829" s="147">
        <f>SUM(E1822:H1828)</f>
        <v>0</v>
      </c>
      <c r="F1829" s="148"/>
      <c r="G1829" s="148"/>
      <c r="H1829" s="149"/>
      <c r="I1829" s="147">
        <f>SUM(I1822:L1828)</f>
        <v>0</v>
      </c>
      <c r="J1829" s="148"/>
      <c r="K1829" s="148"/>
      <c r="L1829" s="149"/>
      <c r="M1829" s="147">
        <f>SUM(M1822:P1828)</f>
        <v>0</v>
      </c>
      <c r="N1829" s="148"/>
      <c r="O1829" s="148"/>
      <c r="P1829" s="149"/>
      <c r="Q1829" s="147">
        <f>SUM(Q1822:U1828)</f>
        <v>0</v>
      </c>
      <c r="R1829" s="148"/>
      <c r="S1829" s="148"/>
      <c r="T1829" s="148"/>
      <c r="U1829" s="149"/>
      <c r="V1829" s="147">
        <f>SUM(V1822:Y1828)</f>
        <v>0</v>
      </c>
      <c r="W1829" s="148"/>
      <c r="X1829" s="148"/>
      <c r="Y1829" s="149"/>
      <c r="Z1829" s="147">
        <f>SUM(Z1822:AC1828)</f>
        <v>0</v>
      </c>
      <c r="AA1829" s="148"/>
      <c r="AB1829" s="148"/>
      <c r="AC1829" s="149"/>
      <c r="AD1829" s="147">
        <f>SUM(AD1822:AG1828)</f>
        <v>0</v>
      </c>
      <c r="AE1829" s="148"/>
      <c r="AF1829" s="148"/>
      <c r="AG1829" s="149"/>
      <c r="AH1829" s="147">
        <f>SUM(AH1822:AK1828)</f>
        <v>0</v>
      </c>
      <c r="AI1829" s="148"/>
      <c r="AJ1829" s="148"/>
      <c r="AK1829" s="149"/>
      <c r="AL1829" s="147">
        <f>SUM(AL1822:AO1828)</f>
        <v>0</v>
      </c>
      <c r="AM1829" s="148"/>
      <c r="AN1829" s="148"/>
      <c r="AO1829" s="149"/>
      <c r="AP1829" s="147">
        <f>SUM(AP1822:AS1828)</f>
        <v>0</v>
      </c>
      <c r="AQ1829" s="148"/>
      <c r="AR1829" s="148"/>
      <c r="AS1829" s="149"/>
      <c r="AT1829" s="147">
        <f>SUM(AT1822:AW1828)</f>
        <v>0</v>
      </c>
      <c r="AU1829" s="148"/>
      <c r="AV1829" s="148"/>
      <c r="AW1829" s="149"/>
      <c r="AX1829" s="87">
        <f>SUM(AX1822:AX1828)</f>
        <v>0</v>
      </c>
      <c r="AY1829" s="88">
        <f>IFERROR(AVERAGEIF(E1829:AV1829,"&lt;&gt;0",(E1829:AV1829)),)</f>
        <v>0</v>
      </c>
      <c r="AZ1829" s="46">
        <f>IFERROR(AX1829/BB1823,0)</f>
        <v>0</v>
      </c>
      <c r="BA1829" s="34"/>
      <c r="BB1829" s="34"/>
      <c r="BC1829" s="34"/>
      <c r="BD1829" s="76"/>
      <c r="BE1829" s="34"/>
      <c r="BF1829" s="34"/>
      <c r="BG1829" s="34"/>
      <c r="BH1829" s="34"/>
    </row>
    <row r="1830" spans="1:60" s="17" customFormat="1" ht="19.5" customHeight="1" thickBot="1" x14ac:dyDescent="0.4">
      <c r="A1830" s="42">
        <f t="shared" si="1853"/>
        <v>45449</v>
      </c>
      <c r="B1830" s="38" t="str">
        <f>B1831</f>
        <v>Ense Biye</v>
      </c>
      <c r="C1830" s="39" t="s">
        <v>180</v>
      </c>
      <c r="D1830" s="69" t="s">
        <v>181</v>
      </c>
      <c r="E1830" s="48">
        <v>0.34375</v>
      </c>
      <c r="F1830" s="49">
        <v>0.35416666666666669</v>
      </c>
      <c r="G1830" s="49">
        <v>0.36458333333333331</v>
      </c>
      <c r="H1830" s="50">
        <v>0.375</v>
      </c>
      <c r="I1830" s="48">
        <v>0.38541666666666702</v>
      </c>
      <c r="J1830" s="49">
        <v>0.39583333333333298</v>
      </c>
      <c r="K1830" s="49">
        <v>0.40625</v>
      </c>
      <c r="L1830" s="50">
        <v>0.41666666666666702</v>
      </c>
      <c r="M1830" s="48">
        <v>0.4375</v>
      </c>
      <c r="N1830" s="49">
        <v>0.44791666666666702</v>
      </c>
      <c r="O1830" s="49">
        <v>0.45833333333333398</v>
      </c>
      <c r="P1830" s="50">
        <v>0.46875</v>
      </c>
      <c r="Q1830" s="48">
        <v>0.47916666666666702</v>
      </c>
      <c r="R1830" s="49">
        <v>0.48958333333333398</v>
      </c>
      <c r="S1830" s="49">
        <v>0.5</v>
      </c>
      <c r="T1830" s="50">
        <v>0.51041666666666696</v>
      </c>
      <c r="U1830" s="51">
        <v>0.52083333333333204</v>
      </c>
      <c r="V1830" s="48">
        <v>0.5625</v>
      </c>
      <c r="W1830" s="49">
        <v>0.57291666666666663</v>
      </c>
      <c r="X1830" s="49">
        <v>0.58333333333333304</v>
      </c>
      <c r="Y1830" s="50">
        <v>0.59375</v>
      </c>
      <c r="Z1830" s="48">
        <v>0.60416666666666696</v>
      </c>
      <c r="AA1830" s="49">
        <v>0.61458333333333304</v>
      </c>
      <c r="AB1830" s="49">
        <v>0.625</v>
      </c>
      <c r="AC1830" s="50">
        <v>0.63541666666666596</v>
      </c>
      <c r="AD1830" s="48">
        <v>0.65625</v>
      </c>
      <c r="AE1830" s="49">
        <v>0.66666666666666663</v>
      </c>
      <c r="AF1830" s="49">
        <v>0.67708333333333304</v>
      </c>
      <c r="AG1830" s="50">
        <v>0.6875</v>
      </c>
      <c r="AH1830" s="48">
        <v>0.69791666666666696</v>
      </c>
      <c r="AI1830" s="49">
        <v>0.70833333333333304</v>
      </c>
      <c r="AJ1830" s="49">
        <v>0.71875</v>
      </c>
      <c r="AK1830" s="50">
        <v>0.72916666666666696</v>
      </c>
      <c r="AL1830" s="48">
        <v>0.73958333333333404</v>
      </c>
      <c r="AM1830" s="49">
        <v>0.750000000000001</v>
      </c>
      <c r="AN1830" s="49">
        <v>0.76041666666666796</v>
      </c>
      <c r="AO1830" s="50">
        <v>0.77083333333333504</v>
      </c>
      <c r="AP1830" s="48">
        <v>0.781250000000002</v>
      </c>
      <c r="AQ1830" s="49">
        <v>0.79166666666666896</v>
      </c>
      <c r="AR1830" s="49">
        <v>0.80208333333333603</v>
      </c>
      <c r="AS1830" s="50">
        <v>0.812500000000003</v>
      </c>
      <c r="AT1830" s="48">
        <v>0.82291666666666996</v>
      </c>
      <c r="AU1830" s="49">
        <v>0.83333333333333703</v>
      </c>
      <c r="AV1830" s="49">
        <v>0.843750000000004</v>
      </c>
      <c r="AW1830" s="50">
        <v>0.85416666666666663</v>
      </c>
      <c r="AX1830" s="68" t="s">
        <v>260</v>
      </c>
      <c r="AY1830" s="28" t="s">
        <v>261</v>
      </c>
      <c r="AZ1830" s="29" t="s">
        <v>262</v>
      </c>
      <c r="BA1830" s="136" t="str">
        <f>B1831</f>
        <v>Ense Biye</v>
      </c>
      <c r="BB1830" s="137"/>
      <c r="BC1830" s="137"/>
      <c r="BD1830" s="137"/>
      <c r="BE1830" s="137"/>
      <c r="BF1830" s="137"/>
      <c r="BG1830" s="137"/>
      <c r="BH1830" s="138"/>
    </row>
    <row r="1831" spans="1:60" s="17" customFormat="1" ht="19.5" customHeight="1" thickBot="1" x14ac:dyDescent="0.4">
      <c r="A1831" s="41">
        <f t="shared" si="1853"/>
        <v>45449</v>
      </c>
      <c r="B1831" s="37" t="str">
        <f>B1655</f>
        <v>Ense Biye</v>
      </c>
      <c r="C1831" s="65" t="str">
        <f>C1655</f>
        <v>ŞEFİKA KESKİN</v>
      </c>
      <c r="D1831" s="70">
        <f>D1655</f>
        <v>100</v>
      </c>
      <c r="E1831" s="63"/>
      <c r="F1831" s="55"/>
      <c r="G1831" s="55"/>
      <c r="H1831" s="56"/>
      <c r="I1831" s="63"/>
      <c r="J1831" s="55"/>
      <c r="K1831" s="55"/>
      <c r="L1831" s="56"/>
      <c r="M1831" s="63"/>
      <c r="N1831" s="55"/>
      <c r="O1831" s="55"/>
      <c r="P1831" s="56"/>
      <c r="Q1831" s="63"/>
      <c r="R1831" s="55"/>
      <c r="S1831" s="55"/>
      <c r="T1831" s="55"/>
      <c r="U1831" s="56"/>
      <c r="V1831" s="63"/>
      <c r="W1831" s="55"/>
      <c r="X1831" s="55"/>
      <c r="Y1831" s="56"/>
      <c r="Z1831" s="63"/>
      <c r="AA1831" s="55"/>
      <c r="AB1831" s="55"/>
      <c r="AC1831" s="56"/>
      <c r="AD1831" s="63"/>
      <c r="AE1831" s="55"/>
      <c r="AF1831" s="55"/>
      <c r="AG1831" s="56"/>
      <c r="AH1831" s="63"/>
      <c r="AI1831" s="55"/>
      <c r="AJ1831" s="55"/>
      <c r="AK1831" s="56"/>
      <c r="AL1831" s="63"/>
      <c r="AM1831" s="55"/>
      <c r="AN1831" s="55"/>
      <c r="AO1831" s="56"/>
      <c r="AP1831" s="53"/>
      <c r="AQ1831" s="54"/>
      <c r="AR1831" s="55"/>
      <c r="AS1831" s="56"/>
      <c r="AT1831" s="53"/>
      <c r="AU1831" s="54"/>
      <c r="AV1831" s="55"/>
      <c r="AW1831" s="56"/>
      <c r="AX1831" s="33">
        <f>SUM(E1831:AW1831)</f>
        <v>0</v>
      </c>
      <c r="AY1831" s="31">
        <f>IFERROR(AVERAGEIF(E1831:AW1831,"&lt;&gt;0",(E1831:AW1831)),)</f>
        <v>0</v>
      </c>
      <c r="AZ1831" s="30">
        <f>IFERROR(AY1831/D1831,0)</f>
        <v>0</v>
      </c>
      <c r="BA1831" s="103" t="s">
        <v>182</v>
      </c>
      <c r="BB1831" s="100" t="s">
        <v>183</v>
      </c>
      <c r="BC1831" s="100" t="s">
        <v>184</v>
      </c>
      <c r="BD1831" s="101" t="s">
        <v>185</v>
      </c>
      <c r="BE1831" s="100" t="s">
        <v>186</v>
      </c>
      <c r="BF1831" s="102" t="s">
        <v>187</v>
      </c>
      <c r="BG1831" s="100" t="s">
        <v>188</v>
      </c>
      <c r="BH1831" s="102" t="s">
        <v>189</v>
      </c>
    </row>
    <row r="1832" spans="1:60" s="17" customFormat="1" ht="19.5" customHeight="1" thickBot="1" x14ac:dyDescent="0.4">
      <c r="A1832" s="41">
        <f t="shared" ref="A1832:B1832" si="1854">A1831</f>
        <v>45449</v>
      </c>
      <c r="B1832" s="37" t="str">
        <f t="shared" si="1854"/>
        <v>Ense Biye</v>
      </c>
      <c r="C1832" s="65" t="str">
        <f t="shared" ref="C1832:C1837" si="1855">C1656</f>
        <v>FADİME SAATÇİ</v>
      </c>
      <c r="D1832" s="67">
        <f t="shared" ref="D1832:D1837" si="1856">D1831</f>
        <v>100</v>
      </c>
      <c r="E1832" s="57"/>
      <c r="F1832" s="52"/>
      <c r="G1832" s="52"/>
      <c r="H1832" s="58"/>
      <c r="I1832" s="57"/>
      <c r="J1832" s="52"/>
      <c r="K1832" s="52"/>
      <c r="L1832" s="58"/>
      <c r="M1832" s="57"/>
      <c r="N1832" s="52"/>
      <c r="O1832" s="52"/>
      <c r="P1832" s="58"/>
      <c r="Q1832" s="57"/>
      <c r="R1832" s="52"/>
      <c r="S1832" s="52"/>
      <c r="T1832" s="52"/>
      <c r="U1832" s="58"/>
      <c r="V1832" s="57"/>
      <c r="W1832" s="52"/>
      <c r="X1832" s="52"/>
      <c r="Y1832" s="58"/>
      <c r="Z1832" s="57"/>
      <c r="AA1832" s="52"/>
      <c r="AB1832" s="52"/>
      <c r="AC1832" s="58"/>
      <c r="AD1832" s="57"/>
      <c r="AE1832" s="52"/>
      <c r="AF1832" s="52"/>
      <c r="AG1832" s="58"/>
      <c r="AH1832" s="57"/>
      <c r="AI1832" s="52"/>
      <c r="AJ1832" s="52"/>
      <c r="AK1832" s="58"/>
      <c r="AL1832" s="57"/>
      <c r="AM1832" s="52"/>
      <c r="AN1832" s="52"/>
      <c r="AO1832" s="58"/>
      <c r="AP1832" s="57"/>
      <c r="AQ1832" s="52"/>
      <c r="AR1832" s="52"/>
      <c r="AS1832" s="58"/>
      <c r="AT1832" s="57"/>
      <c r="AU1832" s="52"/>
      <c r="AV1832" s="52"/>
      <c r="AW1832" s="58"/>
      <c r="AX1832" s="33">
        <f t="shared" ref="AX1832:AX1837" si="1857">SUM(E1832:AW1832)</f>
        <v>0</v>
      </c>
      <c r="AY1832" s="31">
        <f t="shared" ref="AY1832:AY1837" si="1858">IFERROR(AVERAGEIF(E1832:AW1832,"&lt;&gt;0",(E1832:AW1832)),)</f>
        <v>0</v>
      </c>
      <c r="AZ1832" s="30">
        <f t="shared" ref="AZ1832:AZ1837" si="1859">IFERROR(AY1832/D1832,0)</f>
        <v>0</v>
      </c>
      <c r="BA1832" s="94">
        <f>AX1838+BA1656</f>
        <v>18177</v>
      </c>
      <c r="BB1832" s="95">
        <f>(D1838*8)</f>
        <v>4000</v>
      </c>
      <c r="BC1832" s="96">
        <f>C1765-BA1832</f>
        <v>24134</v>
      </c>
      <c r="BD1832" s="96">
        <f>BA1823-BA1832</f>
        <v>307</v>
      </c>
      <c r="BE1832" s="97">
        <f>IFERROR(BC1832/E1838,0)</f>
        <v>0</v>
      </c>
      <c r="BF1832" s="98">
        <f>IFERROR(BE1832/9,0)</f>
        <v>0</v>
      </c>
      <c r="BG1832" s="97">
        <f>IFERROR(BC1832/AY1838,0)</f>
        <v>0</v>
      </c>
      <c r="BH1832" s="97">
        <f>IFERROR(BG1832/9,0)</f>
        <v>0</v>
      </c>
    </row>
    <row r="1833" spans="1:60" s="17" customFormat="1" ht="19.5" customHeight="1" x14ac:dyDescent="0.35">
      <c r="A1833" s="41">
        <f t="shared" ref="A1833:B1833" si="1860">A1832</f>
        <v>45449</v>
      </c>
      <c r="B1833" s="37" t="str">
        <f t="shared" si="1860"/>
        <v>Ense Biye</v>
      </c>
      <c r="C1833" s="65" t="str">
        <f t="shared" si="1855"/>
        <v>HAZİME AVCİ</v>
      </c>
      <c r="D1833" s="67">
        <f t="shared" si="1856"/>
        <v>100</v>
      </c>
      <c r="E1833" s="57"/>
      <c r="F1833" s="52"/>
      <c r="G1833" s="52"/>
      <c r="H1833" s="58"/>
      <c r="I1833" s="57"/>
      <c r="J1833" s="52"/>
      <c r="K1833" s="52"/>
      <c r="L1833" s="58"/>
      <c r="M1833" s="57"/>
      <c r="N1833" s="52"/>
      <c r="O1833" s="52"/>
      <c r="P1833" s="58"/>
      <c r="Q1833" s="57"/>
      <c r="R1833" s="52"/>
      <c r="S1833" s="52"/>
      <c r="T1833" s="52"/>
      <c r="U1833" s="58"/>
      <c r="V1833" s="57"/>
      <c r="W1833" s="52"/>
      <c r="X1833" s="52"/>
      <c r="Y1833" s="58"/>
      <c r="Z1833" s="57"/>
      <c r="AA1833" s="52"/>
      <c r="AB1833" s="52"/>
      <c r="AC1833" s="58"/>
      <c r="AD1833" s="57"/>
      <c r="AE1833" s="52"/>
      <c r="AF1833" s="52"/>
      <c r="AG1833" s="58"/>
      <c r="AH1833" s="57"/>
      <c r="AI1833" s="52"/>
      <c r="AJ1833" s="52"/>
      <c r="AK1833" s="58"/>
      <c r="AL1833" s="57"/>
      <c r="AM1833" s="52"/>
      <c r="AN1833" s="52"/>
      <c r="AO1833" s="58"/>
      <c r="AP1833" s="57"/>
      <c r="AQ1833" s="52"/>
      <c r="AR1833" s="52"/>
      <c r="AS1833" s="58"/>
      <c r="AT1833" s="57"/>
      <c r="AU1833" s="52"/>
      <c r="AV1833" s="52"/>
      <c r="AW1833" s="58"/>
      <c r="AX1833" s="33">
        <f t="shared" si="1857"/>
        <v>0</v>
      </c>
      <c r="AY1833" s="31">
        <f t="shared" si="1858"/>
        <v>0</v>
      </c>
      <c r="AZ1833" s="30">
        <f t="shared" si="1859"/>
        <v>0</v>
      </c>
      <c r="BA1833" s="34"/>
      <c r="BB1833" s="34"/>
      <c r="BC1833" s="34"/>
      <c r="BD1833" s="76"/>
      <c r="BE1833" s="34"/>
      <c r="BF1833" s="34"/>
      <c r="BG1833" s="34"/>
      <c r="BH1833" s="34"/>
    </row>
    <row r="1834" spans="1:60" s="17" customFormat="1" ht="19.5" customHeight="1" x14ac:dyDescent="0.35">
      <c r="A1834" s="41">
        <f t="shared" ref="A1834:B1834" si="1861">A1833</f>
        <v>45449</v>
      </c>
      <c r="B1834" s="37" t="str">
        <f t="shared" si="1861"/>
        <v>Ense Biye</v>
      </c>
      <c r="C1834" s="65">
        <f t="shared" si="1855"/>
        <v>0</v>
      </c>
      <c r="D1834" s="67">
        <f t="shared" si="1856"/>
        <v>100</v>
      </c>
      <c r="E1834" s="57"/>
      <c r="F1834" s="52"/>
      <c r="G1834" s="52"/>
      <c r="H1834" s="58"/>
      <c r="I1834" s="57"/>
      <c r="J1834" s="52"/>
      <c r="K1834" s="52"/>
      <c r="L1834" s="58"/>
      <c r="M1834" s="57"/>
      <c r="N1834" s="52"/>
      <c r="O1834" s="52"/>
      <c r="P1834" s="58"/>
      <c r="Q1834" s="57"/>
      <c r="R1834" s="52"/>
      <c r="S1834" s="52"/>
      <c r="T1834" s="52"/>
      <c r="U1834" s="58"/>
      <c r="V1834" s="57"/>
      <c r="W1834" s="52"/>
      <c r="X1834" s="52"/>
      <c r="Y1834" s="58"/>
      <c r="Z1834" s="57"/>
      <c r="AA1834" s="52"/>
      <c r="AB1834" s="52"/>
      <c r="AC1834" s="58"/>
      <c r="AD1834" s="57"/>
      <c r="AE1834" s="52"/>
      <c r="AF1834" s="52"/>
      <c r="AG1834" s="58"/>
      <c r="AH1834" s="57"/>
      <c r="AI1834" s="52"/>
      <c r="AJ1834" s="52"/>
      <c r="AK1834" s="58"/>
      <c r="AL1834" s="57"/>
      <c r="AM1834" s="52"/>
      <c r="AN1834" s="52"/>
      <c r="AO1834" s="58"/>
      <c r="AP1834" s="57"/>
      <c r="AQ1834" s="52"/>
      <c r="AR1834" s="52"/>
      <c r="AS1834" s="58"/>
      <c r="AT1834" s="57"/>
      <c r="AU1834" s="52"/>
      <c r="AV1834" s="52"/>
      <c r="AW1834" s="58"/>
      <c r="AX1834" s="33">
        <f t="shared" si="1857"/>
        <v>0</v>
      </c>
      <c r="AY1834" s="31">
        <f t="shared" si="1858"/>
        <v>0</v>
      </c>
      <c r="AZ1834" s="30">
        <f t="shared" si="1859"/>
        <v>0</v>
      </c>
      <c r="BA1834" s="34"/>
      <c r="BB1834" s="34"/>
      <c r="BC1834" s="34"/>
      <c r="BD1834" s="76"/>
      <c r="BE1834" s="34"/>
      <c r="BF1834" s="34"/>
      <c r="BG1834" s="34"/>
      <c r="BH1834" s="34"/>
    </row>
    <row r="1835" spans="1:60" s="17" customFormat="1" ht="19.5" customHeight="1" x14ac:dyDescent="0.35">
      <c r="A1835" s="41">
        <f>A1832</f>
        <v>45449</v>
      </c>
      <c r="B1835" s="37" t="str">
        <f t="shared" ref="B1835" si="1862">B1834</f>
        <v>Ense Biye</v>
      </c>
      <c r="C1835" s="65">
        <f t="shared" si="1855"/>
        <v>0</v>
      </c>
      <c r="D1835" s="67">
        <f t="shared" si="1856"/>
        <v>100</v>
      </c>
      <c r="E1835" s="57"/>
      <c r="F1835" s="52"/>
      <c r="G1835" s="52"/>
      <c r="H1835" s="58"/>
      <c r="I1835" s="57"/>
      <c r="J1835" s="52"/>
      <c r="K1835" s="52"/>
      <c r="L1835" s="58"/>
      <c r="M1835" s="57"/>
      <c r="N1835" s="52"/>
      <c r="O1835" s="52"/>
      <c r="P1835" s="58"/>
      <c r="Q1835" s="57"/>
      <c r="R1835" s="52"/>
      <c r="S1835" s="52"/>
      <c r="T1835" s="52"/>
      <c r="U1835" s="58"/>
      <c r="V1835" s="57"/>
      <c r="W1835" s="52"/>
      <c r="X1835" s="52"/>
      <c r="Y1835" s="58"/>
      <c r="Z1835" s="57"/>
      <c r="AA1835" s="52"/>
      <c r="AB1835" s="52"/>
      <c r="AC1835" s="58"/>
      <c r="AD1835" s="57"/>
      <c r="AE1835" s="52"/>
      <c r="AF1835" s="52"/>
      <c r="AG1835" s="58"/>
      <c r="AH1835" s="57"/>
      <c r="AI1835" s="52"/>
      <c r="AJ1835" s="52"/>
      <c r="AK1835" s="58"/>
      <c r="AL1835" s="57"/>
      <c r="AM1835" s="52"/>
      <c r="AN1835" s="52"/>
      <c r="AO1835" s="58"/>
      <c r="AP1835" s="57"/>
      <c r="AQ1835" s="52"/>
      <c r="AR1835" s="52"/>
      <c r="AS1835" s="58"/>
      <c r="AT1835" s="57"/>
      <c r="AU1835" s="52"/>
      <c r="AV1835" s="52"/>
      <c r="AW1835" s="58"/>
      <c r="AX1835" s="33">
        <f t="shared" si="1857"/>
        <v>0</v>
      </c>
      <c r="AY1835" s="31">
        <f t="shared" si="1858"/>
        <v>0</v>
      </c>
      <c r="AZ1835" s="30">
        <f t="shared" si="1859"/>
        <v>0</v>
      </c>
      <c r="BA1835" s="34"/>
      <c r="BB1835" s="34"/>
      <c r="BC1835" s="34"/>
      <c r="BD1835" s="76"/>
      <c r="BE1835" s="34"/>
      <c r="BF1835" s="34"/>
      <c r="BG1835" s="34"/>
      <c r="BH1835" s="34"/>
    </row>
    <row r="1836" spans="1:60" s="17" customFormat="1" ht="19.5" customHeight="1" x14ac:dyDescent="0.35">
      <c r="A1836" s="41">
        <f>A1835</f>
        <v>45449</v>
      </c>
      <c r="B1836" s="37" t="str">
        <f t="shared" ref="B1836" si="1863">B1835</f>
        <v>Ense Biye</v>
      </c>
      <c r="C1836" s="65">
        <f t="shared" si="1855"/>
        <v>0</v>
      </c>
      <c r="D1836" s="67">
        <f t="shared" si="1856"/>
        <v>100</v>
      </c>
      <c r="E1836" s="57"/>
      <c r="F1836" s="52"/>
      <c r="G1836" s="52"/>
      <c r="H1836" s="58"/>
      <c r="I1836" s="57"/>
      <c r="J1836" s="52"/>
      <c r="K1836" s="52"/>
      <c r="L1836" s="58"/>
      <c r="M1836" s="57"/>
      <c r="N1836" s="52"/>
      <c r="O1836" s="52"/>
      <c r="P1836" s="58"/>
      <c r="Q1836" s="57"/>
      <c r="R1836" s="52"/>
      <c r="S1836" s="52"/>
      <c r="T1836" s="52"/>
      <c r="U1836" s="58"/>
      <c r="V1836" s="57"/>
      <c r="W1836" s="52"/>
      <c r="X1836" s="52"/>
      <c r="Y1836" s="58"/>
      <c r="Z1836" s="57"/>
      <c r="AA1836" s="52"/>
      <c r="AB1836" s="52"/>
      <c r="AC1836" s="58"/>
      <c r="AD1836" s="57"/>
      <c r="AE1836" s="52"/>
      <c r="AF1836" s="52"/>
      <c r="AG1836" s="58"/>
      <c r="AH1836" s="57"/>
      <c r="AI1836" s="52"/>
      <c r="AJ1836" s="52"/>
      <c r="AK1836" s="58"/>
      <c r="AL1836" s="57"/>
      <c r="AM1836" s="52"/>
      <c r="AN1836" s="52"/>
      <c r="AO1836" s="58"/>
      <c r="AP1836" s="57"/>
      <c r="AQ1836" s="52"/>
      <c r="AR1836" s="52"/>
      <c r="AS1836" s="58"/>
      <c r="AT1836" s="57"/>
      <c r="AU1836" s="52"/>
      <c r="AV1836" s="52"/>
      <c r="AW1836" s="58"/>
      <c r="AX1836" s="33">
        <f t="shared" si="1857"/>
        <v>0</v>
      </c>
      <c r="AY1836" s="31">
        <f t="shared" si="1858"/>
        <v>0</v>
      </c>
      <c r="AZ1836" s="30">
        <f t="shared" si="1859"/>
        <v>0</v>
      </c>
      <c r="BA1836" s="34"/>
      <c r="BB1836" s="34"/>
      <c r="BC1836" s="34"/>
      <c r="BD1836" s="76"/>
      <c r="BE1836" s="34"/>
      <c r="BF1836" s="34"/>
      <c r="BG1836" s="34"/>
      <c r="BH1836" s="34"/>
    </row>
    <row r="1837" spans="1:60" s="17" customFormat="1" ht="19.5" customHeight="1" thickBot="1" x14ac:dyDescent="0.4">
      <c r="A1837" s="41">
        <f>A1836</f>
        <v>45449</v>
      </c>
      <c r="B1837" s="37" t="str">
        <f t="shared" ref="B1837" si="1864">B1836</f>
        <v>Ense Biye</v>
      </c>
      <c r="C1837" s="65">
        <f t="shared" si="1855"/>
        <v>0</v>
      </c>
      <c r="D1837" s="67">
        <f t="shared" si="1856"/>
        <v>100</v>
      </c>
      <c r="E1837" s="59"/>
      <c r="F1837" s="60"/>
      <c r="G1837" s="61"/>
      <c r="H1837" s="62"/>
      <c r="I1837" s="59"/>
      <c r="J1837" s="60"/>
      <c r="K1837" s="61"/>
      <c r="L1837" s="62"/>
      <c r="M1837" s="59"/>
      <c r="N1837" s="60"/>
      <c r="O1837" s="61"/>
      <c r="P1837" s="62"/>
      <c r="Q1837" s="64"/>
      <c r="R1837" s="61"/>
      <c r="S1837" s="61"/>
      <c r="T1837" s="61"/>
      <c r="U1837" s="62"/>
      <c r="V1837" s="59"/>
      <c r="W1837" s="60"/>
      <c r="X1837" s="61"/>
      <c r="Y1837" s="62"/>
      <c r="Z1837" s="59"/>
      <c r="AA1837" s="60"/>
      <c r="AB1837" s="61"/>
      <c r="AC1837" s="62"/>
      <c r="AD1837" s="59"/>
      <c r="AE1837" s="60"/>
      <c r="AF1837" s="61"/>
      <c r="AG1837" s="62"/>
      <c r="AH1837" s="59"/>
      <c r="AI1837" s="60"/>
      <c r="AJ1837" s="61"/>
      <c r="AK1837" s="62"/>
      <c r="AL1837" s="59"/>
      <c r="AM1837" s="60"/>
      <c r="AN1837" s="61"/>
      <c r="AO1837" s="62"/>
      <c r="AP1837" s="59"/>
      <c r="AQ1837" s="60"/>
      <c r="AR1837" s="61"/>
      <c r="AS1837" s="62"/>
      <c r="AT1837" s="59"/>
      <c r="AU1837" s="60"/>
      <c r="AV1837" s="61"/>
      <c r="AW1837" s="62"/>
      <c r="AX1837" s="33">
        <f t="shared" si="1857"/>
        <v>0</v>
      </c>
      <c r="AY1837" s="31">
        <f t="shared" si="1858"/>
        <v>0</v>
      </c>
      <c r="AZ1837" s="30">
        <f t="shared" si="1859"/>
        <v>0</v>
      </c>
      <c r="BA1837" s="34"/>
      <c r="BB1837" s="34"/>
      <c r="BC1837" s="34"/>
      <c r="BD1837" s="76"/>
      <c r="BE1837" s="34"/>
      <c r="BF1837" s="34"/>
      <c r="BG1837" s="34"/>
      <c r="BH1837" s="34"/>
    </row>
    <row r="1838" spans="1:60" s="17" customFormat="1" ht="19.5" customHeight="1" thickBot="1" x14ac:dyDescent="0.45">
      <c r="A1838" s="41">
        <f>A1837</f>
        <v>45449</v>
      </c>
      <c r="B1838" s="139" t="str">
        <f>B1831</f>
        <v>Ense Biye</v>
      </c>
      <c r="C1838" s="140"/>
      <c r="D1838" s="40">
        <f>C1766/8</f>
        <v>500</v>
      </c>
      <c r="E1838" s="147">
        <f>SUM(E1831:H1837)</f>
        <v>0</v>
      </c>
      <c r="F1838" s="148"/>
      <c r="G1838" s="148"/>
      <c r="H1838" s="149"/>
      <c r="I1838" s="147">
        <f>SUM(I1831:L1837)</f>
        <v>0</v>
      </c>
      <c r="J1838" s="148"/>
      <c r="K1838" s="148"/>
      <c r="L1838" s="149"/>
      <c r="M1838" s="147">
        <f>SUM(M1831:P1837)</f>
        <v>0</v>
      </c>
      <c r="N1838" s="148"/>
      <c r="O1838" s="148"/>
      <c r="P1838" s="149"/>
      <c r="Q1838" s="147">
        <f>SUM(Q1831:U1837)</f>
        <v>0</v>
      </c>
      <c r="R1838" s="148"/>
      <c r="S1838" s="148"/>
      <c r="T1838" s="148"/>
      <c r="U1838" s="149"/>
      <c r="V1838" s="147">
        <f>SUM(V1831:Y1837)</f>
        <v>0</v>
      </c>
      <c r="W1838" s="148"/>
      <c r="X1838" s="148"/>
      <c r="Y1838" s="149"/>
      <c r="Z1838" s="147">
        <f>SUM(Z1831:AC1837)</f>
        <v>0</v>
      </c>
      <c r="AA1838" s="148"/>
      <c r="AB1838" s="148"/>
      <c r="AC1838" s="149"/>
      <c r="AD1838" s="147">
        <f>SUM(AD1831:AG1837)</f>
        <v>0</v>
      </c>
      <c r="AE1838" s="148"/>
      <c r="AF1838" s="148"/>
      <c r="AG1838" s="149"/>
      <c r="AH1838" s="147">
        <f>SUM(AH1831:AK1837)</f>
        <v>0</v>
      </c>
      <c r="AI1838" s="148"/>
      <c r="AJ1838" s="148"/>
      <c r="AK1838" s="149"/>
      <c r="AL1838" s="147">
        <f>SUM(AL1831:AO1837)</f>
        <v>0</v>
      </c>
      <c r="AM1838" s="148"/>
      <c r="AN1838" s="148"/>
      <c r="AO1838" s="149"/>
      <c r="AP1838" s="147">
        <f>SUM(AP1831:AS1837)</f>
        <v>0</v>
      </c>
      <c r="AQ1838" s="148"/>
      <c r="AR1838" s="148"/>
      <c r="AS1838" s="149"/>
      <c r="AT1838" s="147">
        <f>SUM(AT1831:AW1837)</f>
        <v>0</v>
      </c>
      <c r="AU1838" s="148"/>
      <c r="AV1838" s="148"/>
      <c r="AW1838" s="149"/>
      <c r="AX1838" s="87">
        <f>SUM(AX1831:AX1837)</f>
        <v>0</v>
      </c>
      <c r="AY1838" s="88">
        <f>IFERROR(AVERAGEIF(E1838:AV1838,"&lt;&gt;0",(E1838:AV1838)),)</f>
        <v>0</v>
      </c>
      <c r="AZ1838" s="46">
        <f>IFERROR(AX1838/BB1832,0)</f>
        <v>0</v>
      </c>
      <c r="BA1838" s="34"/>
      <c r="BB1838" s="34"/>
      <c r="BC1838" s="34"/>
      <c r="BD1838" s="76"/>
      <c r="BE1838" s="34"/>
      <c r="BF1838" s="34"/>
      <c r="BG1838" s="34"/>
      <c r="BH1838" s="34"/>
    </row>
    <row r="1839" spans="1:60" s="17" customFormat="1" ht="19.5" customHeight="1" thickBot="1" x14ac:dyDescent="0.4">
      <c r="A1839" s="42">
        <f>A1829</f>
        <v>45449</v>
      </c>
      <c r="B1839" s="38" t="str">
        <f>B1840</f>
        <v>Yaka Basma 1 Et.(Beden)</v>
      </c>
      <c r="C1839" s="39" t="s">
        <v>180</v>
      </c>
      <c r="D1839" s="69" t="s">
        <v>181</v>
      </c>
      <c r="E1839" s="48">
        <v>0.34375</v>
      </c>
      <c r="F1839" s="49">
        <v>0.35416666666666669</v>
      </c>
      <c r="G1839" s="49">
        <v>0.36458333333333331</v>
      </c>
      <c r="H1839" s="50">
        <v>0.375</v>
      </c>
      <c r="I1839" s="48">
        <v>0.38541666666666702</v>
      </c>
      <c r="J1839" s="49">
        <v>0.39583333333333298</v>
      </c>
      <c r="K1839" s="49">
        <v>0.40625</v>
      </c>
      <c r="L1839" s="50">
        <v>0.41666666666666702</v>
      </c>
      <c r="M1839" s="48">
        <v>0.4375</v>
      </c>
      <c r="N1839" s="49">
        <v>0.44791666666666702</v>
      </c>
      <c r="O1839" s="49">
        <v>0.45833333333333398</v>
      </c>
      <c r="P1839" s="50">
        <v>0.46875</v>
      </c>
      <c r="Q1839" s="48">
        <v>0.47916666666666702</v>
      </c>
      <c r="R1839" s="49">
        <v>0.48958333333333398</v>
      </c>
      <c r="S1839" s="49">
        <v>0.5</v>
      </c>
      <c r="T1839" s="50">
        <v>0.51041666666666696</v>
      </c>
      <c r="U1839" s="51">
        <v>0.52083333333333204</v>
      </c>
      <c r="V1839" s="48">
        <v>0.5625</v>
      </c>
      <c r="W1839" s="49">
        <v>0.57291666666666663</v>
      </c>
      <c r="X1839" s="49">
        <v>0.58333333333333304</v>
      </c>
      <c r="Y1839" s="50">
        <v>0.59375</v>
      </c>
      <c r="Z1839" s="48">
        <v>0.60416666666666696</v>
      </c>
      <c r="AA1839" s="49">
        <v>0.61458333333333304</v>
      </c>
      <c r="AB1839" s="49">
        <v>0.625</v>
      </c>
      <c r="AC1839" s="50">
        <v>0.63541666666666596</v>
      </c>
      <c r="AD1839" s="48">
        <v>0.65625</v>
      </c>
      <c r="AE1839" s="49">
        <v>0.66666666666666663</v>
      </c>
      <c r="AF1839" s="49">
        <v>0.67708333333333304</v>
      </c>
      <c r="AG1839" s="50">
        <v>0.6875</v>
      </c>
      <c r="AH1839" s="48">
        <v>0.69791666666666696</v>
      </c>
      <c r="AI1839" s="49">
        <v>0.70833333333333304</v>
      </c>
      <c r="AJ1839" s="49">
        <v>0.71875</v>
      </c>
      <c r="AK1839" s="50">
        <v>0.72916666666666696</v>
      </c>
      <c r="AL1839" s="48">
        <v>0.73958333333333404</v>
      </c>
      <c r="AM1839" s="49">
        <v>0.750000000000001</v>
      </c>
      <c r="AN1839" s="49">
        <v>0.76041666666666796</v>
      </c>
      <c r="AO1839" s="50">
        <v>0.77083333333333504</v>
      </c>
      <c r="AP1839" s="48">
        <v>0.781250000000002</v>
      </c>
      <c r="AQ1839" s="49">
        <v>0.79166666666666896</v>
      </c>
      <c r="AR1839" s="49">
        <v>0.80208333333333603</v>
      </c>
      <c r="AS1839" s="50">
        <v>0.812500000000003</v>
      </c>
      <c r="AT1839" s="48">
        <v>0.82291666666666996</v>
      </c>
      <c r="AU1839" s="49">
        <v>0.83333333333333703</v>
      </c>
      <c r="AV1839" s="49">
        <v>0.843750000000004</v>
      </c>
      <c r="AW1839" s="50">
        <v>0.85416666666666663</v>
      </c>
      <c r="AX1839" s="68" t="s">
        <v>260</v>
      </c>
      <c r="AY1839" s="28" t="s">
        <v>261</v>
      </c>
      <c r="AZ1839" s="29" t="s">
        <v>262</v>
      </c>
      <c r="BA1839" s="136" t="str">
        <f>B1840</f>
        <v>Yaka Basma 1 Et.(Beden)</v>
      </c>
      <c r="BB1839" s="137"/>
      <c r="BC1839" s="137"/>
      <c r="BD1839" s="137"/>
      <c r="BE1839" s="137"/>
      <c r="BF1839" s="137"/>
      <c r="BG1839" s="137"/>
      <c r="BH1839" s="138"/>
    </row>
    <row r="1840" spans="1:60" s="17" customFormat="1" ht="19.5" customHeight="1" thickBot="1" x14ac:dyDescent="0.4">
      <c r="A1840" s="41">
        <f t="shared" ref="A1840" si="1865">A1839</f>
        <v>45449</v>
      </c>
      <c r="B1840" s="37" t="str">
        <f>B1664</f>
        <v>Yaka Basma 1 Et.(Beden)</v>
      </c>
      <c r="C1840" s="65" t="str">
        <f>C1664</f>
        <v>NESRİN ALTUNSÖZ</v>
      </c>
      <c r="D1840" s="70">
        <f>D1664</f>
        <v>60</v>
      </c>
      <c r="E1840" s="63"/>
      <c r="F1840" s="55"/>
      <c r="G1840" s="55"/>
      <c r="H1840" s="56"/>
      <c r="I1840" s="63"/>
      <c r="J1840" s="55"/>
      <c r="K1840" s="55"/>
      <c r="L1840" s="56"/>
      <c r="M1840" s="63"/>
      <c r="N1840" s="55"/>
      <c r="O1840" s="55"/>
      <c r="P1840" s="56"/>
      <c r="Q1840" s="63"/>
      <c r="R1840" s="55"/>
      <c r="S1840" s="55"/>
      <c r="T1840" s="55"/>
      <c r="U1840" s="56"/>
      <c r="V1840" s="63"/>
      <c r="W1840" s="55"/>
      <c r="X1840" s="55"/>
      <c r="Y1840" s="56"/>
      <c r="Z1840" s="63"/>
      <c r="AA1840" s="55"/>
      <c r="AB1840" s="55"/>
      <c r="AC1840" s="56"/>
      <c r="AD1840" s="63"/>
      <c r="AE1840" s="55"/>
      <c r="AF1840" s="55"/>
      <c r="AG1840" s="56"/>
      <c r="AH1840" s="63"/>
      <c r="AI1840" s="55"/>
      <c r="AJ1840" s="55"/>
      <c r="AK1840" s="56"/>
      <c r="AL1840" s="63"/>
      <c r="AM1840" s="55"/>
      <c r="AN1840" s="55"/>
      <c r="AO1840" s="56"/>
      <c r="AP1840" s="63"/>
      <c r="AQ1840" s="55"/>
      <c r="AR1840" s="55"/>
      <c r="AS1840" s="56"/>
      <c r="AT1840" s="53"/>
      <c r="AU1840" s="54"/>
      <c r="AV1840" s="55"/>
      <c r="AW1840" s="56"/>
      <c r="AX1840" s="33">
        <f>SUM(E1840:AW1840)</f>
        <v>0</v>
      </c>
      <c r="AY1840" s="31">
        <f>IFERROR(AVERAGEIF(E1840:AW1840,"&lt;&gt;0",(E1840:AW1840)),)</f>
        <v>0</v>
      </c>
      <c r="AZ1840" s="30">
        <f>IFERROR(AY1840/D1840,0)</f>
        <v>0</v>
      </c>
      <c r="BA1840" s="103" t="s">
        <v>182</v>
      </c>
      <c r="BB1840" s="100" t="s">
        <v>183</v>
      </c>
      <c r="BC1840" s="100" t="s">
        <v>184</v>
      </c>
      <c r="BD1840" s="101" t="s">
        <v>185</v>
      </c>
      <c r="BE1840" s="100" t="s">
        <v>186</v>
      </c>
      <c r="BF1840" s="102" t="s">
        <v>187</v>
      </c>
      <c r="BG1840" s="100" t="s">
        <v>188</v>
      </c>
      <c r="BH1840" s="102" t="s">
        <v>189</v>
      </c>
    </row>
    <row r="1841" spans="1:60" s="17" customFormat="1" ht="19.5" customHeight="1" thickBot="1" x14ac:dyDescent="0.4">
      <c r="A1841" s="41">
        <f t="shared" ref="A1841:B1841" si="1866">A1840</f>
        <v>45449</v>
      </c>
      <c r="B1841" s="37" t="str">
        <f t="shared" si="1866"/>
        <v>Yaka Basma 1 Et.(Beden)</v>
      </c>
      <c r="C1841" s="65" t="str">
        <f t="shared" ref="C1841:C1846" si="1867">C1665</f>
        <v>SERPİL ÇİMEN</v>
      </c>
      <c r="D1841" s="67">
        <f t="shared" ref="D1841:D1846" si="1868">D1840</f>
        <v>60</v>
      </c>
      <c r="E1841" s="57"/>
      <c r="F1841" s="52"/>
      <c r="G1841" s="52"/>
      <c r="H1841" s="58"/>
      <c r="I1841" s="57"/>
      <c r="J1841" s="52"/>
      <c r="K1841" s="52"/>
      <c r="L1841" s="58"/>
      <c r="M1841" s="57"/>
      <c r="N1841" s="52"/>
      <c r="O1841" s="52"/>
      <c r="P1841" s="58"/>
      <c r="Q1841" s="57"/>
      <c r="R1841" s="52"/>
      <c r="S1841" s="52"/>
      <c r="T1841" s="52"/>
      <c r="U1841" s="58"/>
      <c r="V1841" s="57"/>
      <c r="W1841" s="52"/>
      <c r="X1841" s="52"/>
      <c r="Y1841" s="58"/>
      <c r="Z1841" s="57"/>
      <c r="AA1841" s="52"/>
      <c r="AB1841" s="52"/>
      <c r="AC1841" s="58"/>
      <c r="AD1841" s="57"/>
      <c r="AE1841" s="52"/>
      <c r="AF1841" s="52"/>
      <c r="AG1841" s="58"/>
      <c r="AH1841" s="57"/>
      <c r="AI1841" s="52"/>
      <c r="AJ1841" s="52"/>
      <c r="AK1841" s="58"/>
      <c r="AL1841" s="57"/>
      <c r="AM1841" s="52"/>
      <c r="AN1841" s="52"/>
      <c r="AO1841" s="58"/>
      <c r="AP1841" s="57"/>
      <c r="AQ1841" s="52"/>
      <c r="AR1841" s="52"/>
      <c r="AS1841" s="58"/>
      <c r="AT1841" s="57"/>
      <c r="AU1841" s="52"/>
      <c r="AV1841" s="52"/>
      <c r="AW1841" s="58"/>
      <c r="AX1841" s="33">
        <f t="shared" ref="AX1841:AX1846" si="1869">SUM(E1841:AW1841)</f>
        <v>0</v>
      </c>
      <c r="AY1841" s="31">
        <f t="shared" ref="AY1841:AY1846" si="1870">IFERROR(AVERAGEIF(E1841:AW1841,"&lt;&gt;0",(E1841:AW1841)),)</f>
        <v>0</v>
      </c>
      <c r="AZ1841" s="30">
        <f t="shared" ref="AZ1841:AZ1846" si="1871">IFERROR(AY1841/D1841,0)</f>
        <v>0</v>
      </c>
      <c r="BA1841" s="94">
        <f>AX1847+BA1665</f>
        <v>18053</v>
      </c>
      <c r="BB1841" s="95">
        <f>(D1847*8)</f>
        <v>4000</v>
      </c>
      <c r="BC1841" s="96">
        <f>C1765-BA1841</f>
        <v>24258</v>
      </c>
      <c r="BD1841" s="96">
        <f>BA1832-BA1841</f>
        <v>124</v>
      </c>
      <c r="BE1841" s="97">
        <f>IFERROR(BC1841/E1847,0)</f>
        <v>0</v>
      </c>
      <c r="BF1841" s="98">
        <f>IFERROR(BE1841/9,0)</f>
        <v>0</v>
      </c>
      <c r="BG1841" s="97">
        <f>IFERROR(BC1841/AY1847,0)</f>
        <v>0</v>
      </c>
      <c r="BH1841" s="97">
        <f>IFERROR(BG1841/9,0)</f>
        <v>0</v>
      </c>
    </row>
    <row r="1842" spans="1:60" s="17" customFormat="1" ht="19.5" customHeight="1" x14ac:dyDescent="0.35">
      <c r="A1842" s="41">
        <f t="shared" ref="A1842:B1842" si="1872">A1841</f>
        <v>45449</v>
      </c>
      <c r="B1842" s="37" t="str">
        <f t="shared" si="1872"/>
        <v>Yaka Basma 1 Et.(Beden)</v>
      </c>
      <c r="C1842" s="65" t="str">
        <f t="shared" si="1867"/>
        <v>ŞEFİKA KESKİN</v>
      </c>
      <c r="D1842" s="67">
        <f t="shared" si="1868"/>
        <v>60</v>
      </c>
      <c r="E1842" s="57"/>
      <c r="F1842" s="52"/>
      <c r="G1842" s="52"/>
      <c r="H1842" s="58"/>
      <c r="I1842" s="57"/>
      <c r="J1842" s="52"/>
      <c r="K1842" s="52"/>
      <c r="L1842" s="58"/>
      <c r="M1842" s="57"/>
      <c r="N1842" s="52"/>
      <c r="O1842" s="52"/>
      <c r="P1842" s="58"/>
      <c r="Q1842" s="57"/>
      <c r="R1842" s="52"/>
      <c r="S1842" s="52"/>
      <c r="T1842" s="52"/>
      <c r="U1842" s="58"/>
      <c r="V1842" s="57"/>
      <c r="W1842" s="52"/>
      <c r="X1842" s="52"/>
      <c r="Y1842" s="58"/>
      <c r="Z1842" s="57"/>
      <c r="AA1842" s="52"/>
      <c r="AB1842" s="52"/>
      <c r="AC1842" s="58"/>
      <c r="AD1842" s="57"/>
      <c r="AE1842" s="52"/>
      <c r="AF1842" s="52"/>
      <c r="AG1842" s="58"/>
      <c r="AH1842" s="57"/>
      <c r="AI1842" s="52"/>
      <c r="AJ1842" s="52"/>
      <c r="AK1842" s="58"/>
      <c r="AL1842" s="57"/>
      <c r="AM1842" s="52"/>
      <c r="AN1842" s="52"/>
      <c r="AO1842" s="58"/>
      <c r="AP1842" s="57"/>
      <c r="AQ1842" s="52"/>
      <c r="AR1842" s="52"/>
      <c r="AS1842" s="58"/>
      <c r="AT1842" s="57"/>
      <c r="AU1842" s="52"/>
      <c r="AV1842" s="52"/>
      <c r="AW1842" s="58"/>
      <c r="AX1842" s="33">
        <f t="shared" si="1869"/>
        <v>0</v>
      </c>
      <c r="AY1842" s="31">
        <f t="shared" si="1870"/>
        <v>0</v>
      </c>
      <c r="AZ1842" s="30">
        <f t="shared" si="1871"/>
        <v>0</v>
      </c>
      <c r="BA1842" s="34"/>
      <c r="BB1842" s="34"/>
      <c r="BC1842" s="34"/>
      <c r="BD1842" s="76"/>
      <c r="BE1842" s="34"/>
      <c r="BF1842" s="34"/>
      <c r="BG1842" s="34"/>
      <c r="BH1842" s="34"/>
    </row>
    <row r="1843" spans="1:60" s="17" customFormat="1" ht="19.5" customHeight="1" x14ac:dyDescent="0.35">
      <c r="A1843" s="41">
        <f t="shared" ref="A1843:B1843" si="1873">A1842</f>
        <v>45449</v>
      </c>
      <c r="B1843" s="37" t="str">
        <f t="shared" si="1873"/>
        <v>Yaka Basma 1 Et.(Beden)</v>
      </c>
      <c r="C1843" s="65">
        <f t="shared" si="1867"/>
        <v>0</v>
      </c>
      <c r="D1843" s="67">
        <f t="shared" si="1868"/>
        <v>60</v>
      </c>
      <c r="E1843" s="57"/>
      <c r="F1843" s="52"/>
      <c r="G1843" s="52"/>
      <c r="H1843" s="58"/>
      <c r="I1843" s="57"/>
      <c r="J1843" s="52"/>
      <c r="K1843" s="52"/>
      <c r="L1843" s="58"/>
      <c r="M1843" s="57"/>
      <c r="N1843" s="52"/>
      <c r="O1843" s="52"/>
      <c r="P1843" s="58"/>
      <c r="Q1843" s="57"/>
      <c r="R1843" s="52"/>
      <c r="S1843" s="52"/>
      <c r="T1843" s="52"/>
      <c r="U1843" s="58"/>
      <c r="V1843" s="57"/>
      <c r="W1843" s="52"/>
      <c r="X1843" s="52"/>
      <c r="Y1843" s="58"/>
      <c r="Z1843" s="57"/>
      <c r="AA1843" s="52"/>
      <c r="AB1843" s="52"/>
      <c r="AC1843" s="58"/>
      <c r="AD1843" s="57"/>
      <c r="AE1843" s="52"/>
      <c r="AF1843" s="52"/>
      <c r="AG1843" s="58"/>
      <c r="AH1843" s="57"/>
      <c r="AI1843" s="52"/>
      <c r="AJ1843" s="52"/>
      <c r="AK1843" s="58"/>
      <c r="AL1843" s="57"/>
      <c r="AM1843" s="52"/>
      <c r="AN1843" s="52"/>
      <c r="AO1843" s="58"/>
      <c r="AP1843" s="57"/>
      <c r="AQ1843" s="52"/>
      <c r="AR1843" s="52"/>
      <c r="AS1843" s="58"/>
      <c r="AT1843" s="57"/>
      <c r="AU1843" s="52"/>
      <c r="AV1843" s="52"/>
      <c r="AW1843" s="58"/>
      <c r="AX1843" s="33">
        <f t="shared" si="1869"/>
        <v>0</v>
      </c>
      <c r="AY1843" s="31">
        <f t="shared" si="1870"/>
        <v>0</v>
      </c>
      <c r="AZ1843" s="30">
        <f t="shared" si="1871"/>
        <v>0</v>
      </c>
      <c r="BA1843" s="34"/>
      <c r="BB1843" s="34"/>
      <c r="BC1843" s="34"/>
      <c r="BD1843" s="76"/>
      <c r="BE1843" s="34"/>
      <c r="BF1843" s="34"/>
      <c r="BG1843" s="34"/>
      <c r="BH1843" s="34"/>
    </row>
    <row r="1844" spans="1:60" s="17" customFormat="1" ht="19.5" customHeight="1" x14ac:dyDescent="0.35">
      <c r="A1844" s="41">
        <f>A1841</f>
        <v>45449</v>
      </c>
      <c r="B1844" s="37" t="str">
        <f t="shared" ref="B1844" si="1874">B1843</f>
        <v>Yaka Basma 1 Et.(Beden)</v>
      </c>
      <c r="C1844" s="65">
        <f t="shared" si="1867"/>
        <v>0</v>
      </c>
      <c r="D1844" s="67">
        <f t="shared" si="1868"/>
        <v>60</v>
      </c>
      <c r="E1844" s="57"/>
      <c r="F1844" s="52"/>
      <c r="G1844" s="52"/>
      <c r="H1844" s="58"/>
      <c r="I1844" s="57"/>
      <c r="J1844" s="52"/>
      <c r="K1844" s="52"/>
      <c r="L1844" s="58"/>
      <c r="M1844" s="57"/>
      <c r="N1844" s="52"/>
      <c r="O1844" s="52"/>
      <c r="P1844" s="58"/>
      <c r="Q1844" s="57"/>
      <c r="R1844" s="52"/>
      <c r="S1844" s="52"/>
      <c r="T1844" s="52"/>
      <c r="U1844" s="58"/>
      <c r="V1844" s="57"/>
      <c r="W1844" s="52"/>
      <c r="X1844" s="52"/>
      <c r="Y1844" s="58"/>
      <c r="Z1844" s="57"/>
      <c r="AA1844" s="52"/>
      <c r="AB1844" s="52"/>
      <c r="AC1844" s="58"/>
      <c r="AD1844" s="57"/>
      <c r="AE1844" s="52"/>
      <c r="AF1844" s="52"/>
      <c r="AG1844" s="58"/>
      <c r="AH1844" s="57"/>
      <c r="AI1844" s="52"/>
      <c r="AJ1844" s="52"/>
      <c r="AK1844" s="58"/>
      <c r="AL1844" s="57"/>
      <c r="AM1844" s="52"/>
      <c r="AN1844" s="52"/>
      <c r="AO1844" s="58"/>
      <c r="AP1844" s="57"/>
      <c r="AQ1844" s="52"/>
      <c r="AR1844" s="52"/>
      <c r="AS1844" s="58"/>
      <c r="AT1844" s="57"/>
      <c r="AU1844" s="52"/>
      <c r="AV1844" s="52"/>
      <c r="AW1844" s="58"/>
      <c r="AX1844" s="33">
        <f t="shared" si="1869"/>
        <v>0</v>
      </c>
      <c r="AY1844" s="31">
        <f t="shared" si="1870"/>
        <v>0</v>
      </c>
      <c r="AZ1844" s="30">
        <f t="shared" si="1871"/>
        <v>0</v>
      </c>
      <c r="BA1844" s="34"/>
      <c r="BB1844" s="34"/>
      <c r="BC1844" s="34"/>
      <c r="BD1844" s="76"/>
      <c r="BE1844" s="34"/>
      <c r="BF1844" s="34"/>
      <c r="BG1844" s="34"/>
      <c r="BH1844" s="34"/>
    </row>
    <row r="1845" spans="1:60" s="17" customFormat="1" ht="19.5" customHeight="1" x14ac:dyDescent="0.35">
      <c r="A1845" s="41">
        <f t="shared" ref="A1845:B1845" si="1875">A1844</f>
        <v>45449</v>
      </c>
      <c r="B1845" s="37" t="str">
        <f t="shared" si="1875"/>
        <v>Yaka Basma 1 Et.(Beden)</v>
      </c>
      <c r="C1845" s="65">
        <f t="shared" si="1867"/>
        <v>0</v>
      </c>
      <c r="D1845" s="67">
        <f t="shared" si="1868"/>
        <v>60</v>
      </c>
      <c r="E1845" s="57"/>
      <c r="F1845" s="52"/>
      <c r="G1845" s="52"/>
      <c r="H1845" s="58"/>
      <c r="I1845" s="57"/>
      <c r="J1845" s="52"/>
      <c r="K1845" s="52"/>
      <c r="L1845" s="58"/>
      <c r="M1845" s="57"/>
      <c r="N1845" s="52"/>
      <c r="O1845" s="52"/>
      <c r="P1845" s="58"/>
      <c r="Q1845" s="57"/>
      <c r="R1845" s="52"/>
      <c r="S1845" s="52"/>
      <c r="T1845" s="52"/>
      <c r="U1845" s="58"/>
      <c r="V1845" s="57"/>
      <c r="W1845" s="52"/>
      <c r="X1845" s="52"/>
      <c r="Y1845" s="58"/>
      <c r="Z1845" s="57"/>
      <c r="AA1845" s="52"/>
      <c r="AB1845" s="52"/>
      <c r="AC1845" s="58"/>
      <c r="AD1845" s="57"/>
      <c r="AE1845" s="52"/>
      <c r="AF1845" s="52"/>
      <c r="AG1845" s="58"/>
      <c r="AH1845" s="57"/>
      <c r="AI1845" s="52"/>
      <c r="AJ1845" s="52"/>
      <c r="AK1845" s="58"/>
      <c r="AL1845" s="57"/>
      <c r="AM1845" s="52"/>
      <c r="AN1845" s="52"/>
      <c r="AO1845" s="58"/>
      <c r="AP1845" s="57"/>
      <c r="AQ1845" s="52"/>
      <c r="AR1845" s="52"/>
      <c r="AS1845" s="58"/>
      <c r="AT1845" s="57"/>
      <c r="AU1845" s="52"/>
      <c r="AV1845" s="52"/>
      <c r="AW1845" s="58"/>
      <c r="AX1845" s="33">
        <f t="shared" si="1869"/>
        <v>0</v>
      </c>
      <c r="AY1845" s="31">
        <f t="shared" si="1870"/>
        <v>0</v>
      </c>
      <c r="AZ1845" s="30">
        <f t="shared" si="1871"/>
        <v>0</v>
      </c>
      <c r="BA1845" s="34"/>
      <c r="BB1845" s="34"/>
      <c r="BC1845" s="34"/>
      <c r="BD1845" s="76"/>
      <c r="BE1845" s="34"/>
      <c r="BF1845" s="34"/>
      <c r="BG1845" s="34"/>
      <c r="BH1845" s="34"/>
    </row>
    <row r="1846" spans="1:60" s="17" customFormat="1" ht="19.5" customHeight="1" thickBot="1" x14ac:dyDescent="0.4">
      <c r="A1846" s="41">
        <f t="shared" ref="A1846:B1846" si="1876">A1845</f>
        <v>45449</v>
      </c>
      <c r="B1846" s="37" t="str">
        <f t="shared" si="1876"/>
        <v>Yaka Basma 1 Et.(Beden)</v>
      </c>
      <c r="C1846" s="65">
        <f t="shared" si="1867"/>
        <v>0</v>
      </c>
      <c r="D1846" s="67">
        <f t="shared" si="1868"/>
        <v>60</v>
      </c>
      <c r="E1846" s="59"/>
      <c r="F1846" s="60"/>
      <c r="G1846" s="61"/>
      <c r="H1846" s="62"/>
      <c r="I1846" s="59"/>
      <c r="J1846" s="60"/>
      <c r="K1846" s="61"/>
      <c r="L1846" s="62"/>
      <c r="M1846" s="59"/>
      <c r="N1846" s="60"/>
      <c r="O1846" s="61"/>
      <c r="P1846" s="62"/>
      <c r="Q1846" s="64"/>
      <c r="R1846" s="61"/>
      <c r="S1846" s="61"/>
      <c r="T1846" s="61"/>
      <c r="U1846" s="62"/>
      <c r="V1846" s="59"/>
      <c r="W1846" s="60"/>
      <c r="X1846" s="61"/>
      <c r="Y1846" s="62"/>
      <c r="Z1846" s="59"/>
      <c r="AA1846" s="60"/>
      <c r="AB1846" s="61"/>
      <c r="AC1846" s="62"/>
      <c r="AD1846" s="59"/>
      <c r="AE1846" s="60"/>
      <c r="AF1846" s="61"/>
      <c r="AG1846" s="62"/>
      <c r="AH1846" s="59"/>
      <c r="AI1846" s="60"/>
      <c r="AJ1846" s="61"/>
      <c r="AK1846" s="62"/>
      <c r="AL1846" s="59"/>
      <c r="AM1846" s="60"/>
      <c r="AN1846" s="61"/>
      <c r="AO1846" s="62"/>
      <c r="AP1846" s="59"/>
      <c r="AQ1846" s="60"/>
      <c r="AR1846" s="61"/>
      <c r="AS1846" s="62"/>
      <c r="AT1846" s="59"/>
      <c r="AU1846" s="60"/>
      <c r="AV1846" s="61"/>
      <c r="AW1846" s="62"/>
      <c r="AX1846" s="33">
        <f t="shared" si="1869"/>
        <v>0</v>
      </c>
      <c r="AY1846" s="31">
        <f t="shared" si="1870"/>
        <v>0</v>
      </c>
      <c r="AZ1846" s="30">
        <f t="shared" si="1871"/>
        <v>0</v>
      </c>
      <c r="BA1846" s="34"/>
      <c r="BB1846" s="34"/>
      <c r="BC1846" s="34"/>
      <c r="BD1846" s="76"/>
      <c r="BE1846" s="34"/>
      <c r="BF1846" s="34"/>
      <c r="BG1846" s="34"/>
      <c r="BH1846" s="34"/>
    </row>
    <row r="1847" spans="1:60" s="17" customFormat="1" ht="19.5" customHeight="1" thickBot="1" x14ac:dyDescent="0.45">
      <c r="A1847" s="41">
        <f t="shared" ref="A1847" si="1877">A1846</f>
        <v>45449</v>
      </c>
      <c r="B1847" s="139" t="str">
        <f>B1840</f>
        <v>Yaka Basma 1 Et.(Beden)</v>
      </c>
      <c r="C1847" s="140"/>
      <c r="D1847" s="40">
        <f>C1766/8</f>
        <v>500</v>
      </c>
      <c r="E1847" s="147">
        <f>SUM(E1840:H1846)</f>
        <v>0</v>
      </c>
      <c r="F1847" s="148"/>
      <c r="G1847" s="148"/>
      <c r="H1847" s="149"/>
      <c r="I1847" s="147">
        <f>SUM(I1840:L1846)</f>
        <v>0</v>
      </c>
      <c r="J1847" s="148"/>
      <c r="K1847" s="148"/>
      <c r="L1847" s="149"/>
      <c r="M1847" s="147">
        <f>SUM(M1840:P1846)</f>
        <v>0</v>
      </c>
      <c r="N1847" s="148"/>
      <c r="O1847" s="148"/>
      <c r="P1847" s="149"/>
      <c r="Q1847" s="147">
        <f>SUM(Q1840:U1846)</f>
        <v>0</v>
      </c>
      <c r="R1847" s="148"/>
      <c r="S1847" s="148"/>
      <c r="T1847" s="148"/>
      <c r="U1847" s="149"/>
      <c r="V1847" s="147">
        <f>SUM(V1840:Y1846)</f>
        <v>0</v>
      </c>
      <c r="W1847" s="148"/>
      <c r="X1847" s="148"/>
      <c r="Y1847" s="149"/>
      <c r="Z1847" s="147">
        <f>SUM(Z1840:AC1846)</f>
        <v>0</v>
      </c>
      <c r="AA1847" s="148"/>
      <c r="AB1847" s="148"/>
      <c r="AC1847" s="149"/>
      <c r="AD1847" s="147">
        <f>SUM(AD1840:AG1846)</f>
        <v>0</v>
      </c>
      <c r="AE1847" s="148"/>
      <c r="AF1847" s="148"/>
      <c r="AG1847" s="149"/>
      <c r="AH1847" s="147">
        <f>SUM(AH1840:AK1846)</f>
        <v>0</v>
      </c>
      <c r="AI1847" s="148"/>
      <c r="AJ1847" s="148"/>
      <c r="AK1847" s="149"/>
      <c r="AL1847" s="147">
        <f>SUM(AL1840:AO1846)</f>
        <v>0</v>
      </c>
      <c r="AM1847" s="148"/>
      <c r="AN1847" s="148"/>
      <c r="AO1847" s="149"/>
      <c r="AP1847" s="147">
        <f>SUM(AP1840:AS1846)</f>
        <v>0</v>
      </c>
      <c r="AQ1847" s="148"/>
      <c r="AR1847" s="148"/>
      <c r="AS1847" s="149"/>
      <c r="AT1847" s="147">
        <f>SUM(AT1840:AW1846)</f>
        <v>0</v>
      </c>
      <c r="AU1847" s="148"/>
      <c r="AV1847" s="148"/>
      <c r="AW1847" s="149"/>
      <c r="AX1847" s="87">
        <f>SUM(AX1840:AX1846)</f>
        <v>0</v>
      </c>
      <c r="AY1847" s="88">
        <f>IFERROR(AVERAGEIF(E1847:AV1847,"&lt;&gt;0",(E1847:AV1847)),)</f>
        <v>0</v>
      </c>
      <c r="AZ1847" s="46">
        <f>IFERROR(AX1847/BB1841,0)</f>
        <v>0</v>
      </c>
      <c r="BA1847" s="34"/>
      <c r="BB1847" s="34"/>
      <c r="BC1847" s="34"/>
      <c r="BD1847" s="76"/>
      <c r="BE1847" s="34"/>
      <c r="BF1847" s="34"/>
      <c r="BG1847" s="34"/>
      <c r="BH1847" s="34"/>
    </row>
    <row r="1848" spans="1:60" s="17" customFormat="1" ht="19.5" customHeight="1" thickBot="1" x14ac:dyDescent="0.4">
      <c r="A1848" s="42">
        <f>A1839</f>
        <v>45449</v>
      </c>
      <c r="B1848" s="38" t="str">
        <f>B1849</f>
        <v>Yaka Çıma</v>
      </c>
      <c r="C1848" s="39" t="s">
        <v>180</v>
      </c>
      <c r="D1848" s="69" t="s">
        <v>181</v>
      </c>
      <c r="E1848" s="48">
        <v>0.34375</v>
      </c>
      <c r="F1848" s="49">
        <v>0.35416666666666669</v>
      </c>
      <c r="G1848" s="49">
        <v>0.36458333333333331</v>
      </c>
      <c r="H1848" s="50">
        <v>0.375</v>
      </c>
      <c r="I1848" s="48">
        <v>0.38541666666666702</v>
      </c>
      <c r="J1848" s="49">
        <v>0.39583333333333298</v>
      </c>
      <c r="K1848" s="49">
        <v>0.40625</v>
      </c>
      <c r="L1848" s="50">
        <v>0.41666666666666702</v>
      </c>
      <c r="M1848" s="48">
        <v>0.4375</v>
      </c>
      <c r="N1848" s="49">
        <v>0.44791666666666702</v>
      </c>
      <c r="O1848" s="49">
        <v>0.45833333333333398</v>
      </c>
      <c r="P1848" s="50">
        <v>0.46875</v>
      </c>
      <c r="Q1848" s="48">
        <v>0.47916666666666702</v>
      </c>
      <c r="R1848" s="49">
        <v>0.48958333333333398</v>
      </c>
      <c r="S1848" s="49">
        <v>0.5</v>
      </c>
      <c r="T1848" s="50">
        <v>0.51041666666666696</v>
      </c>
      <c r="U1848" s="51">
        <v>0.52083333333333204</v>
      </c>
      <c r="V1848" s="48">
        <v>0.5625</v>
      </c>
      <c r="W1848" s="49">
        <v>0.57291666666666663</v>
      </c>
      <c r="X1848" s="49">
        <v>0.58333333333333304</v>
      </c>
      <c r="Y1848" s="50">
        <v>0.59375</v>
      </c>
      <c r="Z1848" s="48">
        <v>0.60416666666666696</v>
      </c>
      <c r="AA1848" s="49">
        <v>0.61458333333333304</v>
      </c>
      <c r="AB1848" s="49">
        <v>0.625</v>
      </c>
      <c r="AC1848" s="50">
        <v>0.63541666666666596</v>
      </c>
      <c r="AD1848" s="48">
        <v>0.65625</v>
      </c>
      <c r="AE1848" s="49">
        <v>0.66666666666666663</v>
      </c>
      <c r="AF1848" s="49">
        <v>0.67708333333333304</v>
      </c>
      <c r="AG1848" s="50">
        <v>0.6875</v>
      </c>
      <c r="AH1848" s="48">
        <v>0.69791666666666696</v>
      </c>
      <c r="AI1848" s="49">
        <v>0.70833333333333304</v>
      </c>
      <c r="AJ1848" s="49">
        <v>0.71875</v>
      </c>
      <c r="AK1848" s="50">
        <v>0.72916666666666696</v>
      </c>
      <c r="AL1848" s="48">
        <v>0.73958333333333404</v>
      </c>
      <c r="AM1848" s="49">
        <v>0.750000000000001</v>
      </c>
      <c r="AN1848" s="49">
        <v>0.76041666666666796</v>
      </c>
      <c r="AO1848" s="50">
        <v>0.77083333333333504</v>
      </c>
      <c r="AP1848" s="48">
        <v>0.781250000000002</v>
      </c>
      <c r="AQ1848" s="49">
        <v>0.79166666666666896</v>
      </c>
      <c r="AR1848" s="49">
        <v>0.80208333333333603</v>
      </c>
      <c r="AS1848" s="50">
        <v>0.812500000000003</v>
      </c>
      <c r="AT1848" s="48">
        <v>0.82291666666666996</v>
      </c>
      <c r="AU1848" s="49">
        <v>0.83333333333333703</v>
      </c>
      <c r="AV1848" s="49">
        <v>0.843750000000004</v>
      </c>
      <c r="AW1848" s="50">
        <v>0.85416666666666663</v>
      </c>
      <c r="AX1848" s="68" t="s">
        <v>260</v>
      </c>
      <c r="AY1848" s="28" t="s">
        <v>261</v>
      </c>
      <c r="AZ1848" s="29" t="s">
        <v>262</v>
      </c>
      <c r="BA1848" s="136" t="str">
        <f>B1849</f>
        <v>Yaka Çıma</v>
      </c>
      <c r="BB1848" s="137"/>
      <c r="BC1848" s="137"/>
      <c r="BD1848" s="137"/>
      <c r="BE1848" s="137"/>
      <c r="BF1848" s="137"/>
      <c r="BG1848" s="137"/>
      <c r="BH1848" s="138"/>
    </row>
    <row r="1849" spans="1:60" s="17" customFormat="1" ht="19.5" customHeight="1" thickBot="1" x14ac:dyDescent="0.4">
      <c r="A1849" s="41">
        <f t="shared" ref="A1849" si="1878">A1848</f>
        <v>45449</v>
      </c>
      <c r="B1849" s="37" t="str">
        <f>B1673</f>
        <v>Yaka Çıma</v>
      </c>
      <c r="C1849" s="65" t="str">
        <f>C1673</f>
        <v>KADER ÖNLÜ</v>
      </c>
      <c r="D1849" s="70">
        <f>D1673</f>
        <v>120</v>
      </c>
      <c r="E1849" s="63"/>
      <c r="F1849" s="55"/>
      <c r="G1849" s="55"/>
      <c r="H1849" s="56"/>
      <c r="I1849" s="63"/>
      <c r="J1849" s="55"/>
      <c r="K1849" s="55"/>
      <c r="L1849" s="56"/>
      <c r="M1849" s="63"/>
      <c r="N1849" s="55"/>
      <c r="O1849" s="55"/>
      <c r="P1849" s="56"/>
      <c r="Q1849" s="63"/>
      <c r="R1849" s="55"/>
      <c r="S1849" s="55"/>
      <c r="T1849" s="55"/>
      <c r="U1849" s="56"/>
      <c r="V1849" s="63"/>
      <c r="W1849" s="55"/>
      <c r="X1849" s="55"/>
      <c r="Y1849" s="56"/>
      <c r="Z1849" s="63"/>
      <c r="AA1849" s="55"/>
      <c r="AB1849" s="55"/>
      <c r="AC1849" s="56"/>
      <c r="AD1849" s="63"/>
      <c r="AE1849" s="55"/>
      <c r="AF1849" s="55"/>
      <c r="AG1849" s="56"/>
      <c r="AH1849" s="63"/>
      <c r="AI1849" s="55"/>
      <c r="AJ1849" s="55"/>
      <c r="AK1849" s="56"/>
      <c r="AL1849" s="63"/>
      <c r="AM1849" s="55"/>
      <c r="AN1849" s="55"/>
      <c r="AO1849" s="56"/>
      <c r="AP1849" s="63"/>
      <c r="AQ1849" s="55"/>
      <c r="AR1849" s="55"/>
      <c r="AS1849" s="56"/>
      <c r="AT1849" s="53"/>
      <c r="AU1849" s="54"/>
      <c r="AV1849" s="55"/>
      <c r="AW1849" s="56"/>
      <c r="AX1849" s="33">
        <f>SUM(E1849:AW1849)</f>
        <v>0</v>
      </c>
      <c r="AY1849" s="31">
        <f>IFERROR(AVERAGEIF(E1849:AW1849,"&lt;&gt;0",(E1849:AW1849)),)</f>
        <v>0</v>
      </c>
      <c r="AZ1849" s="30">
        <f>IFERROR(AY1849/D1849,0)</f>
        <v>0</v>
      </c>
      <c r="BA1849" s="103" t="s">
        <v>182</v>
      </c>
      <c r="BB1849" s="100" t="s">
        <v>183</v>
      </c>
      <c r="BC1849" s="100" t="s">
        <v>184</v>
      </c>
      <c r="BD1849" s="101" t="s">
        <v>185</v>
      </c>
      <c r="BE1849" s="100" t="s">
        <v>186</v>
      </c>
      <c r="BF1849" s="102" t="s">
        <v>187</v>
      </c>
      <c r="BG1849" s="100" t="s">
        <v>188</v>
      </c>
      <c r="BH1849" s="102" t="s">
        <v>189</v>
      </c>
    </row>
    <row r="1850" spans="1:60" s="17" customFormat="1" ht="19.5" customHeight="1" thickBot="1" x14ac:dyDescent="0.4">
      <c r="A1850" s="41">
        <f t="shared" ref="A1850:B1850" si="1879">A1849</f>
        <v>45449</v>
      </c>
      <c r="B1850" s="37" t="str">
        <f t="shared" si="1879"/>
        <v>Yaka Çıma</v>
      </c>
      <c r="C1850" s="65" t="str">
        <f t="shared" ref="C1850:C1855" si="1880">C1674</f>
        <v>FADİME SAATÇİ</v>
      </c>
      <c r="D1850" s="67">
        <f t="shared" ref="D1850:D1855" si="1881">D1849</f>
        <v>120</v>
      </c>
      <c r="E1850" s="57"/>
      <c r="F1850" s="52"/>
      <c r="G1850" s="52"/>
      <c r="H1850" s="58"/>
      <c r="I1850" s="57"/>
      <c r="J1850" s="52"/>
      <c r="K1850" s="52"/>
      <c r="L1850" s="58"/>
      <c r="M1850" s="57"/>
      <c r="N1850" s="52"/>
      <c r="O1850" s="52"/>
      <c r="P1850" s="58"/>
      <c r="Q1850" s="57"/>
      <c r="R1850" s="52"/>
      <c r="S1850" s="52"/>
      <c r="T1850" s="52"/>
      <c r="U1850" s="58"/>
      <c r="V1850" s="57"/>
      <c r="W1850" s="52"/>
      <c r="X1850" s="52"/>
      <c r="Y1850" s="58"/>
      <c r="Z1850" s="57"/>
      <c r="AA1850" s="52"/>
      <c r="AB1850" s="52"/>
      <c r="AC1850" s="58"/>
      <c r="AD1850" s="57"/>
      <c r="AE1850" s="52"/>
      <c r="AF1850" s="52"/>
      <c r="AG1850" s="58"/>
      <c r="AH1850" s="57"/>
      <c r="AI1850" s="52"/>
      <c r="AJ1850" s="52"/>
      <c r="AK1850" s="58"/>
      <c r="AL1850" s="57"/>
      <c r="AM1850" s="52"/>
      <c r="AN1850" s="52"/>
      <c r="AO1850" s="58"/>
      <c r="AP1850" s="57"/>
      <c r="AQ1850" s="52"/>
      <c r="AR1850" s="52"/>
      <c r="AS1850" s="58"/>
      <c r="AT1850" s="57"/>
      <c r="AU1850" s="52"/>
      <c r="AV1850" s="52"/>
      <c r="AW1850" s="58"/>
      <c r="AX1850" s="33">
        <f t="shared" ref="AX1850:AX1855" si="1882">SUM(E1850:AW1850)</f>
        <v>0</v>
      </c>
      <c r="AY1850" s="31">
        <f t="shared" ref="AY1850:AY1855" si="1883">IFERROR(AVERAGEIF(E1850:AW1850,"&lt;&gt;0",(E1850:AW1850)),)</f>
        <v>0</v>
      </c>
      <c r="AZ1850" s="30">
        <f t="shared" ref="AZ1850:AZ1855" si="1884">IFERROR(AY1850/D1850,0)</f>
        <v>0</v>
      </c>
      <c r="BA1850" s="94">
        <f>AX1856+BA1674</f>
        <v>17551</v>
      </c>
      <c r="BB1850" s="95">
        <f>(D1856*8)</f>
        <v>4000</v>
      </c>
      <c r="BC1850" s="96">
        <f>C1765-BA1850</f>
        <v>24760</v>
      </c>
      <c r="BD1850" s="96">
        <f>BA1841-BA1850</f>
        <v>502</v>
      </c>
      <c r="BE1850" s="97">
        <f>IFERROR(BC1850/E1856,0)</f>
        <v>0</v>
      </c>
      <c r="BF1850" s="98">
        <f>IFERROR(BE1850/9,0)</f>
        <v>0</v>
      </c>
      <c r="BG1850" s="97">
        <f>IFERROR(BC1850/AY1856,0)</f>
        <v>0</v>
      </c>
      <c r="BH1850" s="97">
        <f>IFERROR(BG1850/9,0)</f>
        <v>0</v>
      </c>
    </row>
    <row r="1851" spans="1:60" s="17" customFormat="1" ht="19.5" customHeight="1" x14ac:dyDescent="0.35">
      <c r="A1851" s="41">
        <f t="shared" ref="A1851:B1851" si="1885">A1850</f>
        <v>45449</v>
      </c>
      <c r="B1851" s="37" t="str">
        <f t="shared" si="1885"/>
        <v>Yaka Çıma</v>
      </c>
      <c r="C1851" s="65">
        <f t="shared" si="1880"/>
        <v>0</v>
      </c>
      <c r="D1851" s="67">
        <f t="shared" si="1881"/>
        <v>120</v>
      </c>
      <c r="E1851" s="57"/>
      <c r="F1851" s="52"/>
      <c r="G1851" s="52"/>
      <c r="H1851" s="58"/>
      <c r="I1851" s="57"/>
      <c r="J1851" s="52"/>
      <c r="K1851" s="52"/>
      <c r="L1851" s="58"/>
      <c r="M1851" s="57"/>
      <c r="N1851" s="52"/>
      <c r="O1851" s="52"/>
      <c r="P1851" s="58"/>
      <c r="Q1851" s="57"/>
      <c r="R1851" s="52"/>
      <c r="S1851" s="52"/>
      <c r="T1851" s="52"/>
      <c r="U1851" s="58"/>
      <c r="V1851" s="57"/>
      <c r="W1851" s="52"/>
      <c r="X1851" s="52"/>
      <c r="Y1851" s="58"/>
      <c r="Z1851" s="57"/>
      <c r="AA1851" s="52"/>
      <c r="AB1851" s="52"/>
      <c r="AC1851" s="58"/>
      <c r="AD1851" s="57"/>
      <c r="AE1851" s="52"/>
      <c r="AF1851" s="52"/>
      <c r="AG1851" s="58"/>
      <c r="AH1851" s="57"/>
      <c r="AI1851" s="52"/>
      <c r="AJ1851" s="52"/>
      <c r="AK1851" s="58"/>
      <c r="AL1851" s="57"/>
      <c r="AM1851" s="52"/>
      <c r="AN1851" s="52"/>
      <c r="AO1851" s="58"/>
      <c r="AP1851" s="57"/>
      <c r="AQ1851" s="52"/>
      <c r="AR1851" s="52"/>
      <c r="AS1851" s="58"/>
      <c r="AT1851" s="57"/>
      <c r="AU1851" s="52"/>
      <c r="AV1851" s="52"/>
      <c r="AW1851" s="58"/>
      <c r="AX1851" s="33">
        <f t="shared" si="1882"/>
        <v>0</v>
      </c>
      <c r="AY1851" s="31">
        <f t="shared" si="1883"/>
        <v>0</v>
      </c>
      <c r="AZ1851" s="30">
        <f t="shared" si="1884"/>
        <v>0</v>
      </c>
      <c r="BA1851" s="34"/>
      <c r="BB1851" s="34"/>
      <c r="BC1851" s="34"/>
      <c r="BD1851" s="76"/>
      <c r="BE1851" s="34"/>
      <c r="BF1851" s="34"/>
      <c r="BG1851" s="34"/>
      <c r="BH1851" s="34"/>
    </row>
    <row r="1852" spans="1:60" s="17" customFormat="1" ht="19.5" customHeight="1" x14ac:dyDescent="0.35">
      <c r="A1852" s="41">
        <f t="shared" ref="A1852:B1852" si="1886">A1851</f>
        <v>45449</v>
      </c>
      <c r="B1852" s="37" t="str">
        <f t="shared" si="1886"/>
        <v>Yaka Çıma</v>
      </c>
      <c r="C1852" s="65">
        <f t="shared" si="1880"/>
        <v>0</v>
      </c>
      <c r="D1852" s="67">
        <f t="shared" si="1881"/>
        <v>120</v>
      </c>
      <c r="E1852" s="57"/>
      <c r="F1852" s="52"/>
      <c r="G1852" s="52"/>
      <c r="H1852" s="58"/>
      <c r="I1852" s="57"/>
      <c r="J1852" s="52"/>
      <c r="K1852" s="52"/>
      <c r="L1852" s="58"/>
      <c r="M1852" s="57"/>
      <c r="N1852" s="52"/>
      <c r="O1852" s="52"/>
      <c r="P1852" s="58"/>
      <c r="Q1852" s="57"/>
      <c r="R1852" s="52"/>
      <c r="S1852" s="52"/>
      <c r="T1852" s="52"/>
      <c r="U1852" s="58"/>
      <c r="V1852" s="57"/>
      <c r="W1852" s="52"/>
      <c r="X1852" s="52"/>
      <c r="Y1852" s="58"/>
      <c r="Z1852" s="57"/>
      <c r="AA1852" s="52"/>
      <c r="AB1852" s="52"/>
      <c r="AC1852" s="58"/>
      <c r="AD1852" s="57"/>
      <c r="AE1852" s="52"/>
      <c r="AF1852" s="52"/>
      <c r="AG1852" s="58"/>
      <c r="AH1852" s="57"/>
      <c r="AI1852" s="52"/>
      <c r="AJ1852" s="52"/>
      <c r="AK1852" s="58"/>
      <c r="AL1852" s="57"/>
      <c r="AM1852" s="52"/>
      <c r="AN1852" s="52"/>
      <c r="AO1852" s="58"/>
      <c r="AP1852" s="57"/>
      <c r="AQ1852" s="52"/>
      <c r="AR1852" s="52"/>
      <c r="AS1852" s="58"/>
      <c r="AT1852" s="57"/>
      <c r="AU1852" s="52"/>
      <c r="AV1852" s="52"/>
      <c r="AW1852" s="58"/>
      <c r="AX1852" s="33">
        <f t="shared" si="1882"/>
        <v>0</v>
      </c>
      <c r="AY1852" s="31">
        <f t="shared" si="1883"/>
        <v>0</v>
      </c>
      <c r="AZ1852" s="30">
        <f t="shared" si="1884"/>
        <v>0</v>
      </c>
      <c r="BA1852" s="34"/>
      <c r="BB1852" s="34"/>
      <c r="BC1852" s="34"/>
      <c r="BD1852" s="76"/>
      <c r="BE1852" s="34"/>
      <c r="BF1852" s="34"/>
      <c r="BG1852" s="34"/>
      <c r="BH1852" s="34"/>
    </row>
    <row r="1853" spans="1:60" s="17" customFormat="1" ht="19.5" customHeight="1" x14ac:dyDescent="0.35">
      <c r="A1853" s="41">
        <f>A1850</f>
        <v>45449</v>
      </c>
      <c r="B1853" s="37" t="str">
        <f t="shared" ref="B1853" si="1887">B1852</f>
        <v>Yaka Çıma</v>
      </c>
      <c r="C1853" s="65">
        <f t="shared" si="1880"/>
        <v>0</v>
      </c>
      <c r="D1853" s="67">
        <f t="shared" si="1881"/>
        <v>120</v>
      </c>
      <c r="E1853" s="57"/>
      <c r="F1853" s="52"/>
      <c r="G1853" s="52"/>
      <c r="H1853" s="58"/>
      <c r="I1853" s="57"/>
      <c r="J1853" s="52"/>
      <c r="K1853" s="52"/>
      <c r="L1853" s="58"/>
      <c r="M1853" s="57"/>
      <c r="N1853" s="52"/>
      <c r="O1853" s="52"/>
      <c r="P1853" s="58"/>
      <c r="Q1853" s="57"/>
      <c r="R1853" s="52"/>
      <c r="S1853" s="52"/>
      <c r="T1853" s="52"/>
      <c r="U1853" s="58"/>
      <c r="V1853" s="57"/>
      <c r="W1853" s="52"/>
      <c r="X1853" s="52"/>
      <c r="Y1853" s="58"/>
      <c r="Z1853" s="57"/>
      <c r="AA1853" s="52"/>
      <c r="AB1853" s="52"/>
      <c r="AC1853" s="58"/>
      <c r="AD1853" s="57"/>
      <c r="AE1853" s="52"/>
      <c r="AF1853" s="52"/>
      <c r="AG1853" s="58"/>
      <c r="AH1853" s="57"/>
      <c r="AI1853" s="52"/>
      <c r="AJ1853" s="52"/>
      <c r="AK1853" s="58"/>
      <c r="AL1853" s="57"/>
      <c r="AM1853" s="52"/>
      <c r="AN1853" s="52"/>
      <c r="AO1853" s="58"/>
      <c r="AP1853" s="57"/>
      <c r="AQ1853" s="52"/>
      <c r="AR1853" s="52"/>
      <c r="AS1853" s="58"/>
      <c r="AT1853" s="57"/>
      <c r="AU1853" s="52"/>
      <c r="AV1853" s="52"/>
      <c r="AW1853" s="58"/>
      <c r="AX1853" s="33">
        <f t="shared" si="1882"/>
        <v>0</v>
      </c>
      <c r="AY1853" s="31">
        <f t="shared" si="1883"/>
        <v>0</v>
      </c>
      <c r="AZ1853" s="30">
        <f t="shared" si="1884"/>
        <v>0</v>
      </c>
      <c r="BA1853" s="34"/>
      <c r="BB1853" s="34"/>
      <c r="BC1853" s="34"/>
      <c r="BD1853" s="76"/>
      <c r="BE1853" s="34"/>
      <c r="BF1853" s="34"/>
      <c r="BG1853" s="34"/>
      <c r="BH1853" s="34"/>
    </row>
    <row r="1854" spans="1:60" s="17" customFormat="1" ht="19.5" customHeight="1" x14ac:dyDescent="0.35">
      <c r="A1854" s="41">
        <f t="shared" ref="A1854:B1854" si="1888">A1853</f>
        <v>45449</v>
      </c>
      <c r="B1854" s="37" t="str">
        <f t="shared" si="1888"/>
        <v>Yaka Çıma</v>
      </c>
      <c r="C1854" s="65">
        <f t="shared" si="1880"/>
        <v>0</v>
      </c>
      <c r="D1854" s="67">
        <f t="shared" si="1881"/>
        <v>120</v>
      </c>
      <c r="E1854" s="57"/>
      <c r="F1854" s="52"/>
      <c r="G1854" s="52"/>
      <c r="H1854" s="58"/>
      <c r="I1854" s="57"/>
      <c r="J1854" s="52"/>
      <c r="K1854" s="52"/>
      <c r="L1854" s="58"/>
      <c r="M1854" s="57"/>
      <c r="N1854" s="52"/>
      <c r="O1854" s="52"/>
      <c r="P1854" s="58"/>
      <c r="Q1854" s="57"/>
      <c r="R1854" s="52"/>
      <c r="S1854" s="52"/>
      <c r="T1854" s="52"/>
      <c r="U1854" s="58"/>
      <c r="V1854" s="57"/>
      <c r="W1854" s="52"/>
      <c r="X1854" s="52"/>
      <c r="Y1854" s="58"/>
      <c r="Z1854" s="57"/>
      <c r="AA1854" s="52"/>
      <c r="AB1854" s="52"/>
      <c r="AC1854" s="58"/>
      <c r="AD1854" s="57"/>
      <c r="AE1854" s="52"/>
      <c r="AF1854" s="52"/>
      <c r="AG1854" s="58"/>
      <c r="AH1854" s="57"/>
      <c r="AI1854" s="52"/>
      <c r="AJ1854" s="52"/>
      <c r="AK1854" s="58"/>
      <c r="AL1854" s="57"/>
      <c r="AM1854" s="52"/>
      <c r="AN1854" s="52"/>
      <c r="AO1854" s="58"/>
      <c r="AP1854" s="57"/>
      <c r="AQ1854" s="52"/>
      <c r="AR1854" s="52"/>
      <c r="AS1854" s="58"/>
      <c r="AT1854" s="57"/>
      <c r="AU1854" s="52"/>
      <c r="AV1854" s="52"/>
      <c r="AW1854" s="58"/>
      <c r="AX1854" s="33">
        <f t="shared" si="1882"/>
        <v>0</v>
      </c>
      <c r="AY1854" s="31">
        <f t="shared" si="1883"/>
        <v>0</v>
      </c>
      <c r="AZ1854" s="30">
        <f t="shared" si="1884"/>
        <v>0</v>
      </c>
      <c r="BA1854" s="34"/>
      <c r="BB1854" s="34"/>
      <c r="BC1854" s="34"/>
      <c r="BD1854" s="76"/>
      <c r="BE1854" s="34"/>
      <c r="BF1854" s="34"/>
      <c r="BG1854" s="34"/>
      <c r="BH1854" s="34"/>
    </row>
    <row r="1855" spans="1:60" s="17" customFormat="1" ht="19.5" customHeight="1" thickBot="1" x14ac:dyDescent="0.4">
      <c r="A1855" s="41">
        <f t="shared" ref="A1855:B1855" si="1889">A1854</f>
        <v>45449</v>
      </c>
      <c r="B1855" s="37" t="str">
        <f t="shared" si="1889"/>
        <v>Yaka Çıma</v>
      </c>
      <c r="C1855" s="65">
        <f t="shared" si="1880"/>
        <v>0</v>
      </c>
      <c r="D1855" s="67">
        <f t="shared" si="1881"/>
        <v>120</v>
      </c>
      <c r="E1855" s="59"/>
      <c r="F1855" s="60"/>
      <c r="G1855" s="61"/>
      <c r="H1855" s="62"/>
      <c r="I1855" s="59"/>
      <c r="J1855" s="60"/>
      <c r="K1855" s="61"/>
      <c r="L1855" s="62"/>
      <c r="M1855" s="59"/>
      <c r="N1855" s="60"/>
      <c r="O1855" s="61"/>
      <c r="P1855" s="62"/>
      <c r="Q1855" s="64"/>
      <c r="R1855" s="61"/>
      <c r="S1855" s="61"/>
      <c r="T1855" s="61"/>
      <c r="U1855" s="62"/>
      <c r="V1855" s="59"/>
      <c r="W1855" s="60"/>
      <c r="X1855" s="61"/>
      <c r="Y1855" s="62"/>
      <c r="Z1855" s="59"/>
      <c r="AA1855" s="60"/>
      <c r="AB1855" s="61"/>
      <c r="AC1855" s="62"/>
      <c r="AD1855" s="59"/>
      <c r="AE1855" s="60"/>
      <c r="AF1855" s="61"/>
      <c r="AG1855" s="62"/>
      <c r="AH1855" s="59"/>
      <c r="AI1855" s="60"/>
      <c r="AJ1855" s="61"/>
      <c r="AK1855" s="62"/>
      <c r="AL1855" s="59"/>
      <c r="AM1855" s="60"/>
      <c r="AN1855" s="61"/>
      <c r="AO1855" s="62"/>
      <c r="AP1855" s="59"/>
      <c r="AQ1855" s="60"/>
      <c r="AR1855" s="61"/>
      <c r="AS1855" s="62"/>
      <c r="AT1855" s="59"/>
      <c r="AU1855" s="60"/>
      <c r="AV1855" s="61"/>
      <c r="AW1855" s="62"/>
      <c r="AX1855" s="33">
        <f t="shared" si="1882"/>
        <v>0</v>
      </c>
      <c r="AY1855" s="31">
        <f t="shared" si="1883"/>
        <v>0</v>
      </c>
      <c r="AZ1855" s="30">
        <f t="shared" si="1884"/>
        <v>0</v>
      </c>
      <c r="BA1855" s="34"/>
      <c r="BB1855" s="34"/>
      <c r="BC1855" s="34"/>
      <c r="BD1855" s="76"/>
      <c r="BE1855" s="34"/>
      <c r="BF1855" s="34"/>
      <c r="BG1855" s="34"/>
      <c r="BH1855" s="34"/>
    </row>
    <row r="1856" spans="1:60" s="17" customFormat="1" ht="19.5" customHeight="1" thickBot="1" x14ac:dyDescent="0.45">
      <c r="A1856" s="41">
        <f t="shared" ref="A1856" si="1890">A1855</f>
        <v>45449</v>
      </c>
      <c r="B1856" s="139" t="str">
        <f>B1849</f>
        <v>Yaka Çıma</v>
      </c>
      <c r="C1856" s="140"/>
      <c r="D1856" s="40">
        <f>C1766/8</f>
        <v>500</v>
      </c>
      <c r="E1856" s="147">
        <f>SUM(E1849:H1855)</f>
        <v>0</v>
      </c>
      <c r="F1856" s="148"/>
      <c r="G1856" s="148"/>
      <c r="H1856" s="149"/>
      <c r="I1856" s="147">
        <f>SUM(I1849:L1855)</f>
        <v>0</v>
      </c>
      <c r="J1856" s="148"/>
      <c r="K1856" s="148"/>
      <c r="L1856" s="149"/>
      <c r="M1856" s="147">
        <f>SUM(M1849:P1855)</f>
        <v>0</v>
      </c>
      <c r="N1856" s="148"/>
      <c r="O1856" s="148"/>
      <c r="P1856" s="149"/>
      <c r="Q1856" s="147">
        <f>SUM(Q1849:U1855)</f>
        <v>0</v>
      </c>
      <c r="R1856" s="148"/>
      <c r="S1856" s="148"/>
      <c r="T1856" s="148"/>
      <c r="U1856" s="149"/>
      <c r="V1856" s="147">
        <f>SUM(V1849:Y1855)</f>
        <v>0</v>
      </c>
      <c r="W1856" s="148"/>
      <c r="X1856" s="148"/>
      <c r="Y1856" s="149"/>
      <c r="Z1856" s="147">
        <f>SUM(Z1849:AC1855)</f>
        <v>0</v>
      </c>
      <c r="AA1856" s="148"/>
      <c r="AB1856" s="148"/>
      <c r="AC1856" s="149"/>
      <c r="AD1856" s="147">
        <f>SUM(AD1849:AG1855)</f>
        <v>0</v>
      </c>
      <c r="AE1856" s="148"/>
      <c r="AF1856" s="148"/>
      <c r="AG1856" s="149"/>
      <c r="AH1856" s="147">
        <f>SUM(AH1849:AK1855)</f>
        <v>0</v>
      </c>
      <c r="AI1856" s="148"/>
      <c r="AJ1856" s="148"/>
      <c r="AK1856" s="149"/>
      <c r="AL1856" s="147">
        <f>SUM(AL1849:AO1855)</f>
        <v>0</v>
      </c>
      <c r="AM1856" s="148"/>
      <c r="AN1856" s="148"/>
      <c r="AO1856" s="149"/>
      <c r="AP1856" s="147">
        <f>SUM(AP1849:AS1855)</f>
        <v>0</v>
      </c>
      <c r="AQ1856" s="148"/>
      <c r="AR1856" s="148"/>
      <c r="AS1856" s="149"/>
      <c r="AT1856" s="147">
        <f>SUM(AT1849:AW1855)</f>
        <v>0</v>
      </c>
      <c r="AU1856" s="148"/>
      <c r="AV1856" s="148"/>
      <c r="AW1856" s="149"/>
      <c r="AX1856" s="87">
        <f>SUM(AX1849:AX1855)</f>
        <v>0</v>
      </c>
      <c r="AY1856" s="88">
        <f>IFERROR(AVERAGEIF(E1856:AV1856,"&lt;&gt;0",(E1856:AV1856)),)</f>
        <v>0</v>
      </c>
      <c r="AZ1856" s="46">
        <f>IFERROR(AX1856/BB1850,0)</f>
        <v>0</v>
      </c>
      <c r="BA1856" s="34"/>
      <c r="BB1856" s="34"/>
      <c r="BC1856" s="34"/>
      <c r="BD1856" s="76"/>
      <c r="BE1856" s="34"/>
      <c r="BF1856" s="34"/>
      <c r="BG1856" s="34"/>
      <c r="BH1856" s="34"/>
    </row>
    <row r="1857" spans="1:60" s="17" customFormat="1" ht="19.5" customHeight="1" thickBot="1" x14ac:dyDescent="0.4">
      <c r="A1857" s="42">
        <f>A1839</f>
        <v>45449</v>
      </c>
      <c r="B1857" s="38" t="str">
        <f>B1858</f>
        <v>Kol Takma</v>
      </c>
      <c r="C1857" s="39" t="s">
        <v>180</v>
      </c>
      <c r="D1857" s="69" t="s">
        <v>181</v>
      </c>
      <c r="E1857" s="48">
        <v>0.34375</v>
      </c>
      <c r="F1857" s="49">
        <v>0.35416666666666669</v>
      </c>
      <c r="G1857" s="49">
        <v>0.36458333333333331</v>
      </c>
      <c r="H1857" s="50">
        <v>0.375</v>
      </c>
      <c r="I1857" s="48">
        <v>0.38541666666666702</v>
      </c>
      <c r="J1857" s="49">
        <v>0.39583333333333298</v>
      </c>
      <c r="K1857" s="49">
        <v>0.40625</v>
      </c>
      <c r="L1857" s="50">
        <v>0.41666666666666702</v>
      </c>
      <c r="M1857" s="48">
        <v>0.4375</v>
      </c>
      <c r="N1857" s="49">
        <v>0.44791666666666702</v>
      </c>
      <c r="O1857" s="49">
        <v>0.45833333333333398</v>
      </c>
      <c r="P1857" s="50">
        <v>0.46875</v>
      </c>
      <c r="Q1857" s="48">
        <v>0.47916666666666702</v>
      </c>
      <c r="R1857" s="49">
        <v>0.48958333333333398</v>
      </c>
      <c r="S1857" s="49">
        <v>0.5</v>
      </c>
      <c r="T1857" s="50">
        <v>0.51041666666666696</v>
      </c>
      <c r="U1857" s="51">
        <v>0.52083333333333204</v>
      </c>
      <c r="V1857" s="48">
        <v>0.5625</v>
      </c>
      <c r="W1857" s="49">
        <v>0.57291666666666663</v>
      </c>
      <c r="X1857" s="49">
        <v>0.58333333333333304</v>
      </c>
      <c r="Y1857" s="50">
        <v>0.59375</v>
      </c>
      <c r="Z1857" s="48">
        <v>0.60416666666666696</v>
      </c>
      <c r="AA1857" s="49">
        <v>0.61458333333333304</v>
      </c>
      <c r="AB1857" s="49">
        <v>0.625</v>
      </c>
      <c r="AC1857" s="50">
        <v>0.63541666666666596</v>
      </c>
      <c r="AD1857" s="48">
        <v>0.65625</v>
      </c>
      <c r="AE1857" s="49">
        <v>0.66666666666666663</v>
      </c>
      <c r="AF1857" s="49">
        <v>0.67708333333333304</v>
      </c>
      <c r="AG1857" s="50">
        <v>0.6875</v>
      </c>
      <c r="AH1857" s="48">
        <v>0.69791666666666696</v>
      </c>
      <c r="AI1857" s="49">
        <v>0.70833333333333304</v>
      </c>
      <c r="AJ1857" s="49">
        <v>0.71875</v>
      </c>
      <c r="AK1857" s="50">
        <v>0.72916666666666696</v>
      </c>
      <c r="AL1857" s="48">
        <v>0.73958333333333404</v>
      </c>
      <c r="AM1857" s="49">
        <v>0.750000000000001</v>
      </c>
      <c r="AN1857" s="49">
        <v>0.76041666666666796</v>
      </c>
      <c r="AO1857" s="50">
        <v>0.77083333333333504</v>
      </c>
      <c r="AP1857" s="48">
        <v>0.781250000000002</v>
      </c>
      <c r="AQ1857" s="49">
        <v>0.79166666666666896</v>
      </c>
      <c r="AR1857" s="49">
        <v>0.80208333333333603</v>
      </c>
      <c r="AS1857" s="50">
        <v>0.812500000000003</v>
      </c>
      <c r="AT1857" s="48">
        <v>0.82291666666666996</v>
      </c>
      <c r="AU1857" s="49">
        <v>0.83333333333333703</v>
      </c>
      <c r="AV1857" s="49">
        <v>0.843750000000004</v>
      </c>
      <c r="AW1857" s="50">
        <v>0.85416666666666663</v>
      </c>
      <c r="AX1857" s="68" t="s">
        <v>260</v>
      </c>
      <c r="AY1857" s="28" t="s">
        <v>261</v>
      </c>
      <c r="AZ1857" s="29" t="s">
        <v>262</v>
      </c>
      <c r="BA1857" s="136" t="str">
        <f>B1858</f>
        <v>Kol Takma</v>
      </c>
      <c r="BB1857" s="137"/>
      <c r="BC1857" s="137"/>
      <c r="BD1857" s="137"/>
      <c r="BE1857" s="137"/>
      <c r="BF1857" s="137"/>
      <c r="BG1857" s="137"/>
      <c r="BH1857" s="138"/>
    </row>
    <row r="1858" spans="1:60" s="17" customFormat="1" ht="19.5" customHeight="1" thickBot="1" x14ac:dyDescent="0.4">
      <c r="A1858" s="41">
        <f t="shared" ref="A1858" si="1891">A1857</f>
        <v>45449</v>
      </c>
      <c r="B1858" s="37" t="str">
        <f>B1682</f>
        <v>Kol Takma</v>
      </c>
      <c r="C1858" s="65" t="str">
        <f>C1682</f>
        <v>EBRU CANSU</v>
      </c>
      <c r="D1858" s="70">
        <f>D1682</f>
        <v>35</v>
      </c>
      <c r="E1858" s="63"/>
      <c r="F1858" s="55"/>
      <c r="G1858" s="55"/>
      <c r="H1858" s="56"/>
      <c r="I1858" s="63"/>
      <c r="J1858" s="55"/>
      <c r="K1858" s="55"/>
      <c r="L1858" s="56"/>
      <c r="M1858" s="63"/>
      <c r="N1858" s="55"/>
      <c r="O1858" s="55"/>
      <c r="P1858" s="56"/>
      <c r="Q1858" s="63"/>
      <c r="R1858" s="55"/>
      <c r="S1858" s="55"/>
      <c r="T1858" s="55"/>
      <c r="U1858" s="56"/>
      <c r="V1858" s="63"/>
      <c r="W1858" s="55"/>
      <c r="X1858" s="55"/>
      <c r="Y1858" s="56"/>
      <c r="Z1858" s="63"/>
      <c r="AA1858" s="55"/>
      <c r="AB1858" s="55"/>
      <c r="AC1858" s="56"/>
      <c r="AD1858" s="63"/>
      <c r="AE1858" s="55"/>
      <c r="AF1858" s="55"/>
      <c r="AG1858" s="56"/>
      <c r="AH1858" s="63"/>
      <c r="AI1858" s="55"/>
      <c r="AJ1858" s="55"/>
      <c r="AK1858" s="56"/>
      <c r="AL1858" s="63"/>
      <c r="AM1858" s="55"/>
      <c r="AN1858" s="55"/>
      <c r="AO1858" s="56"/>
      <c r="AP1858" s="63"/>
      <c r="AQ1858" s="55"/>
      <c r="AR1858" s="55"/>
      <c r="AS1858" s="56"/>
      <c r="AT1858" s="53"/>
      <c r="AU1858" s="54"/>
      <c r="AV1858" s="55"/>
      <c r="AW1858" s="56"/>
      <c r="AX1858" s="33">
        <f>SUM(E1858:AW1858)</f>
        <v>0</v>
      </c>
      <c r="AY1858" s="31">
        <f>IFERROR(AVERAGEIF(E1858:AW1858,"&lt;&gt;0",(E1858:AW1858)),)</f>
        <v>0</v>
      </c>
      <c r="AZ1858" s="30">
        <f>IFERROR(AY1858/D1858,0)</f>
        <v>0</v>
      </c>
      <c r="BA1858" s="103" t="s">
        <v>182</v>
      </c>
      <c r="BB1858" s="100" t="s">
        <v>183</v>
      </c>
      <c r="BC1858" s="100" t="s">
        <v>184</v>
      </c>
      <c r="BD1858" s="101" t="s">
        <v>185</v>
      </c>
      <c r="BE1858" s="100" t="s">
        <v>186</v>
      </c>
      <c r="BF1858" s="102" t="s">
        <v>187</v>
      </c>
      <c r="BG1858" s="100" t="s">
        <v>188</v>
      </c>
      <c r="BH1858" s="102" t="s">
        <v>189</v>
      </c>
    </row>
    <row r="1859" spans="1:60" s="17" customFormat="1" ht="19.5" customHeight="1" thickBot="1" x14ac:dyDescent="0.4">
      <c r="A1859" s="41">
        <f t="shared" ref="A1859:B1859" si="1892">A1858</f>
        <v>45449</v>
      </c>
      <c r="B1859" s="37" t="str">
        <f t="shared" si="1892"/>
        <v>Kol Takma</v>
      </c>
      <c r="C1859" s="65" t="str">
        <f t="shared" ref="C1859:C1864" si="1893">C1683</f>
        <v>GÜLER SAĞCAN</v>
      </c>
      <c r="D1859" s="67">
        <f t="shared" ref="D1859:D1864" si="1894">D1858</f>
        <v>35</v>
      </c>
      <c r="E1859" s="57"/>
      <c r="F1859" s="52"/>
      <c r="G1859" s="52"/>
      <c r="H1859" s="58"/>
      <c r="I1859" s="57"/>
      <c r="J1859" s="52"/>
      <c r="K1859" s="52"/>
      <c r="L1859" s="58"/>
      <c r="M1859" s="57"/>
      <c r="N1859" s="52"/>
      <c r="O1859" s="52"/>
      <c r="P1859" s="58"/>
      <c r="Q1859" s="57"/>
      <c r="R1859" s="52"/>
      <c r="S1859" s="52"/>
      <c r="T1859" s="52"/>
      <c r="U1859" s="58"/>
      <c r="V1859" s="57"/>
      <c r="W1859" s="52"/>
      <c r="X1859" s="52"/>
      <c r="Y1859" s="58"/>
      <c r="Z1859" s="57"/>
      <c r="AA1859" s="52"/>
      <c r="AB1859" s="52"/>
      <c r="AC1859" s="58"/>
      <c r="AD1859" s="57"/>
      <c r="AE1859" s="52"/>
      <c r="AF1859" s="52"/>
      <c r="AG1859" s="58"/>
      <c r="AH1859" s="57"/>
      <c r="AI1859" s="52"/>
      <c r="AJ1859" s="52"/>
      <c r="AK1859" s="58"/>
      <c r="AL1859" s="57"/>
      <c r="AM1859" s="52"/>
      <c r="AN1859" s="52"/>
      <c r="AO1859" s="58"/>
      <c r="AP1859" s="57"/>
      <c r="AQ1859" s="52"/>
      <c r="AR1859" s="52"/>
      <c r="AS1859" s="58"/>
      <c r="AT1859" s="57"/>
      <c r="AU1859" s="52"/>
      <c r="AV1859" s="52"/>
      <c r="AW1859" s="58"/>
      <c r="AX1859" s="33">
        <f t="shared" ref="AX1859:AX1864" si="1895">SUM(E1859:AW1859)</f>
        <v>0</v>
      </c>
      <c r="AY1859" s="31">
        <f t="shared" ref="AY1859:AY1864" si="1896">IFERROR(AVERAGEIF(E1859:AW1859,"&lt;&gt;0",(E1859:AW1859)),)</f>
        <v>0</v>
      </c>
      <c r="AZ1859" s="30">
        <f t="shared" ref="AZ1859:AZ1864" si="1897">IFERROR(AY1859/D1859,0)</f>
        <v>0</v>
      </c>
      <c r="BA1859" s="94">
        <f>AX1865+BA1683</f>
        <v>16475</v>
      </c>
      <c r="BB1859" s="95">
        <f>(D1865*8)</f>
        <v>4000</v>
      </c>
      <c r="BC1859" s="96">
        <f>C1765-BA1859</f>
        <v>25836</v>
      </c>
      <c r="BD1859" s="96">
        <f>BA1850-BA1859</f>
        <v>1076</v>
      </c>
      <c r="BE1859" s="97">
        <f>IFERROR(BC1859/E1865,0)</f>
        <v>0</v>
      </c>
      <c r="BF1859" s="98">
        <f>IFERROR(BE1859/9,0)</f>
        <v>0</v>
      </c>
      <c r="BG1859" s="97">
        <f>IFERROR(BC1859/AY1865,0)</f>
        <v>0</v>
      </c>
      <c r="BH1859" s="97">
        <f>IFERROR(BG1859/9,0)</f>
        <v>0</v>
      </c>
    </row>
    <row r="1860" spans="1:60" s="17" customFormat="1" ht="19.5" customHeight="1" x14ac:dyDescent="0.35">
      <c r="A1860" s="41">
        <f t="shared" ref="A1860:B1860" si="1898">A1859</f>
        <v>45449</v>
      </c>
      <c r="B1860" s="37" t="str">
        <f t="shared" si="1898"/>
        <v>Kol Takma</v>
      </c>
      <c r="C1860" s="65" t="str">
        <f t="shared" si="1893"/>
        <v>ÖZLEM KAHRAMAN</v>
      </c>
      <c r="D1860" s="67">
        <f t="shared" si="1894"/>
        <v>35</v>
      </c>
      <c r="E1860" s="57"/>
      <c r="F1860" s="52"/>
      <c r="G1860" s="52"/>
      <c r="H1860" s="58"/>
      <c r="I1860" s="57"/>
      <c r="J1860" s="52"/>
      <c r="K1860" s="52"/>
      <c r="L1860" s="58"/>
      <c r="M1860" s="57"/>
      <c r="N1860" s="52"/>
      <c r="O1860" s="52"/>
      <c r="P1860" s="58"/>
      <c r="Q1860" s="57"/>
      <c r="R1860" s="52"/>
      <c r="S1860" s="52"/>
      <c r="T1860" s="52"/>
      <c r="U1860" s="58"/>
      <c r="V1860" s="57"/>
      <c r="W1860" s="52"/>
      <c r="X1860" s="52"/>
      <c r="Y1860" s="58"/>
      <c r="Z1860" s="57"/>
      <c r="AA1860" s="52"/>
      <c r="AB1860" s="52"/>
      <c r="AC1860" s="58"/>
      <c r="AD1860" s="57"/>
      <c r="AE1860" s="52"/>
      <c r="AF1860" s="52"/>
      <c r="AG1860" s="58"/>
      <c r="AH1860" s="57"/>
      <c r="AI1860" s="52"/>
      <c r="AJ1860" s="52"/>
      <c r="AK1860" s="58"/>
      <c r="AL1860" s="57"/>
      <c r="AM1860" s="52"/>
      <c r="AN1860" s="52"/>
      <c r="AO1860" s="58"/>
      <c r="AP1860" s="57"/>
      <c r="AQ1860" s="52"/>
      <c r="AR1860" s="52"/>
      <c r="AS1860" s="58"/>
      <c r="AT1860" s="57"/>
      <c r="AU1860" s="52"/>
      <c r="AV1860" s="52"/>
      <c r="AW1860" s="58"/>
      <c r="AX1860" s="33">
        <f t="shared" si="1895"/>
        <v>0</v>
      </c>
      <c r="AY1860" s="31">
        <f t="shared" si="1896"/>
        <v>0</v>
      </c>
      <c r="AZ1860" s="30">
        <f t="shared" si="1897"/>
        <v>0</v>
      </c>
      <c r="BA1860" s="34"/>
      <c r="BB1860" s="34"/>
      <c r="BC1860" s="34"/>
      <c r="BD1860" s="76"/>
      <c r="BE1860" s="34"/>
      <c r="BF1860" s="34"/>
      <c r="BG1860" s="34"/>
      <c r="BH1860" s="34"/>
    </row>
    <row r="1861" spans="1:60" s="17" customFormat="1" ht="19.5" customHeight="1" x14ac:dyDescent="0.35">
      <c r="A1861" s="41">
        <f t="shared" ref="A1861:B1861" si="1899">A1860</f>
        <v>45449</v>
      </c>
      <c r="B1861" s="37" t="str">
        <f t="shared" si="1899"/>
        <v>Kol Takma</v>
      </c>
      <c r="C1861" s="65" t="str">
        <f t="shared" si="1893"/>
        <v>HATİCE ÖZDİL</v>
      </c>
      <c r="D1861" s="67">
        <f t="shared" si="1894"/>
        <v>35</v>
      </c>
      <c r="E1861" s="57"/>
      <c r="F1861" s="52"/>
      <c r="G1861" s="52"/>
      <c r="H1861" s="58"/>
      <c r="I1861" s="57"/>
      <c r="J1861" s="52"/>
      <c r="K1861" s="52"/>
      <c r="L1861" s="58"/>
      <c r="M1861" s="57"/>
      <c r="N1861" s="52"/>
      <c r="O1861" s="52"/>
      <c r="P1861" s="58"/>
      <c r="Q1861" s="57"/>
      <c r="R1861" s="52"/>
      <c r="S1861" s="52"/>
      <c r="T1861" s="52"/>
      <c r="U1861" s="58"/>
      <c r="V1861" s="57"/>
      <c r="W1861" s="52"/>
      <c r="X1861" s="52"/>
      <c r="Y1861" s="58"/>
      <c r="Z1861" s="57"/>
      <c r="AA1861" s="52"/>
      <c r="AB1861" s="52"/>
      <c r="AC1861" s="58"/>
      <c r="AD1861" s="57"/>
      <c r="AE1861" s="52"/>
      <c r="AF1861" s="52"/>
      <c r="AG1861" s="58"/>
      <c r="AH1861" s="57"/>
      <c r="AI1861" s="52"/>
      <c r="AJ1861" s="52"/>
      <c r="AK1861" s="58"/>
      <c r="AL1861" s="57"/>
      <c r="AM1861" s="52"/>
      <c r="AN1861" s="52"/>
      <c r="AO1861" s="58"/>
      <c r="AP1861" s="57"/>
      <c r="AQ1861" s="52"/>
      <c r="AR1861" s="52"/>
      <c r="AS1861" s="58"/>
      <c r="AT1861" s="57"/>
      <c r="AU1861" s="52"/>
      <c r="AV1861" s="52"/>
      <c r="AW1861" s="58"/>
      <c r="AX1861" s="33">
        <f t="shared" si="1895"/>
        <v>0</v>
      </c>
      <c r="AY1861" s="31">
        <f t="shared" si="1896"/>
        <v>0</v>
      </c>
      <c r="AZ1861" s="30">
        <f t="shared" si="1897"/>
        <v>0</v>
      </c>
      <c r="BA1861" s="34"/>
      <c r="BB1861" s="34"/>
      <c r="BC1861" s="34"/>
      <c r="BD1861" s="76"/>
      <c r="BE1861" s="34"/>
      <c r="BF1861" s="34"/>
      <c r="BG1861" s="34"/>
      <c r="BH1861" s="34"/>
    </row>
    <row r="1862" spans="1:60" s="17" customFormat="1" ht="19.5" customHeight="1" x14ac:dyDescent="0.35">
      <c r="A1862" s="41">
        <f>A1859</f>
        <v>45449</v>
      </c>
      <c r="B1862" s="37" t="str">
        <f t="shared" ref="B1862" si="1900">B1861</f>
        <v>Kol Takma</v>
      </c>
      <c r="C1862" s="65" t="str">
        <f t="shared" si="1893"/>
        <v>HAVA SUBAŞI</v>
      </c>
      <c r="D1862" s="67">
        <f t="shared" si="1894"/>
        <v>35</v>
      </c>
      <c r="E1862" s="57"/>
      <c r="F1862" s="52"/>
      <c r="G1862" s="52"/>
      <c r="H1862" s="58"/>
      <c r="I1862" s="57"/>
      <c r="J1862" s="52"/>
      <c r="K1862" s="52"/>
      <c r="L1862" s="58"/>
      <c r="M1862" s="57"/>
      <c r="N1862" s="52"/>
      <c r="O1862" s="52"/>
      <c r="P1862" s="58"/>
      <c r="Q1862" s="57"/>
      <c r="R1862" s="52"/>
      <c r="S1862" s="52"/>
      <c r="T1862" s="52"/>
      <c r="U1862" s="58"/>
      <c r="V1862" s="57"/>
      <c r="W1862" s="52"/>
      <c r="X1862" s="52"/>
      <c r="Y1862" s="58"/>
      <c r="Z1862" s="57"/>
      <c r="AA1862" s="52"/>
      <c r="AB1862" s="52"/>
      <c r="AC1862" s="58"/>
      <c r="AD1862" s="57"/>
      <c r="AE1862" s="52"/>
      <c r="AF1862" s="52"/>
      <c r="AG1862" s="58"/>
      <c r="AH1862" s="57"/>
      <c r="AI1862" s="52"/>
      <c r="AJ1862" s="52"/>
      <c r="AK1862" s="58"/>
      <c r="AL1862" s="57"/>
      <c r="AM1862" s="52"/>
      <c r="AN1862" s="52"/>
      <c r="AO1862" s="58"/>
      <c r="AP1862" s="57"/>
      <c r="AQ1862" s="52"/>
      <c r="AR1862" s="52"/>
      <c r="AS1862" s="58"/>
      <c r="AT1862" s="57"/>
      <c r="AU1862" s="52"/>
      <c r="AV1862" s="52"/>
      <c r="AW1862" s="58"/>
      <c r="AX1862" s="33">
        <f t="shared" si="1895"/>
        <v>0</v>
      </c>
      <c r="AY1862" s="31">
        <f t="shared" si="1896"/>
        <v>0</v>
      </c>
      <c r="AZ1862" s="30">
        <f t="shared" si="1897"/>
        <v>0</v>
      </c>
      <c r="BA1862" s="34"/>
      <c r="BB1862" s="34"/>
      <c r="BC1862" s="34"/>
      <c r="BD1862" s="76"/>
      <c r="BE1862" s="34"/>
      <c r="BF1862" s="34"/>
      <c r="BG1862" s="34"/>
      <c r="BH1862" s="34"/>
    </row>
    <row r="1863" spans="1:60" s="17" customFormat="1" ht="19.5" customHeight="1" x14ac:dyDescent="0.35">
      <c r="A1863" s="41">
        <f t="shared" ref="A1863:B1863" si="1901">A1862</f>
        <v>45449</v>
      </c>
      <c r="B1863" s="37" t="str">
        <f t="shared" si="1901"/>
        <v>Kol Takma</v>
      </c>
      <c r="C1863" s="65">
        <f t="shared" si="1893"/>
        <v>0</v>
      </c>
      <c r="D1863" s="67">
        <f t="shared" si="1894"/>
        <v>35</v>
      </c>
      <c r="E1863" s="57"/>
      <c r="F1863" s="52"/>
      <c r="G1863" s="52"/>
      <c r="H1863" s="58"/>
      <c r="I1863" s="57"/>
      <c r="J1863" s="52"/>
      <c r="K1863" s="52"/>
      <c r="L1863" s="58"/>
      <c r="M1863" s="57"/>
      <c r="N1863" s="52"/>
      <c r="O1863" s="52"/>
      <c r="P1863" s="58"/>
      <c r="Q1863" s="57"/>
      <c r="R1863" s="52"/>
      <c r="S1863" s="52"/>
      <c r="T1863" s="52"/>
      <c r="U1863" s="58"/>
      <c r="V1863" s="57"/>
      <c r="W1863" s="52"/>
      <c r="X1863" s="52"/>
      <c r="Y1863" s="58"/>
      <c r="Z1863" s="57"/>
      <c r="AA1863" s="52"/>
      <c r="AB1863" s="52"/>
      <c r="AC1863" s="58"/>
      <c r="AD1863" s="57"/>
      <c r="AE1863" s="52"/>
      <c r="AF1863" s="52"/>
      <c r="AG1863" s="58"/>
      <c r="AH1863" s="57"/>
      <c r="AI1863" s="52"/>
      <c r="AJ1863" s="52"/>
      <c r="AK1863" s="58"/>
      <c r="AL1863" s="57"/>
      <c r="AM1863" s="52"/>
      <c r="AN1863" s="52"/>
      <c r="AO1863" s="58"/>
      <c r="AP1863" s="57"/>
      <c r="AQ1863" s="52"/>
      <c r="AR1863" s="52"/>
      <c r="AS1863" s="58"/>
      <c r="AT1863" s="57"/>
      <c r="AU1863" s="52"/>
      <c r="AV1863" s="52"/>
      <c r="AW1863" s="58"/>
      <c r="AX1863" s="33">
        <f t="shared" si="1895"/>
        <v>0</v>
      </c>
      <c r="AY1863" s="31">
        <f t="shared" si="1896"/>
        <v>0</v>
      </c>
      <c r="AZ1863" s="30">
        <f t="shared" si="1897"/>
        <v>0</v>
      </c>
      <c r="BA1863" s="34"/>
      <c r="BB1863" s="34"/>
      <c r="BC1863" s="34"/>
      <c r="BD1863" s="76"/>
      <c r="BE1863" s="34"/>
      <c r="BF1863" s="34"/>
      <c r="BG1863" s="34"/>
      <c r="BH1863" s="34"/>
    </row>
    <row r="1864" spans="1:60" s="17" customFormat="1" ht="19.5" customHeight="1" thickBot="1" x14ac:dyDescent="0.4">
      <c r="A1864" s="41">
        <f t="shared" ref="A1864:B1864" si="1902">A1863</f>
        <v>45449</v>
      </c>
      <c r="B1864" s="37" t="str">
        <f t="shared" si="1902"/>
        <v>Kol Takma</v>
      </c>
      <c r="C1864" s="65">
        <f t="shared" si="1893"/>
        <v>0</v>
      </c>
      <c r="D1864" s="67">
        <f t="shared" si="1894"/>
        <v>35</v>
      </c>
      <c r="E1864" s="59"/>
      <c r="F1864" s="60"/>
      <c r="G1864" s="61"/>
      <c r="H1864" s="62"/>
      <c r="I1864" s="59"/>
      <c r="J1864" s="60"/>
      <c r="K1864" s="61"/>
      <c r="L1864" s="62"/>
      <c r="M1864" s="59"/>
      <c r="N1864" s="60"/>
      <c r="O1864" s="61"/>
      <c r="P1864" s="62"/>
      <c r="Q1864" s="64"/>
      <c r="R1864" s="61"/>
      <c r="S1864" s="61"/>
      <c r="T1864" s="61"/>
      <c r="U1864" s="62"/>
      <c r="V1864" s="59"/>
      <c r="W1864" s="60"/>
      <c r="X1864" s="61"/>
      <c r="Y1864" s="62"/>
      <c r="Z1864" s="59"/>
      <c r="AA1864" s="60"/>
      <c r="AB1864" s="61"/>
      <c r="AC1864" s="62"/>
      <c r="AD1864" s="59"/>
      <c r="AE1864" s="60"/>
      <c r="AF1864" s="61"/>
      <c r="AG1864" s="62"/>
      <c r="AH1864" s="59"/>
      <c r="AI1864" s="60"/>
      <c r="AJ1864" s="61"/>
      <c r="AK1864" s="62"/>
      <c r="AL1864" s="59"/>
      <c r="AM1864" s="60"/>
      <c r="AN1864" s="61"/>
      <c r="AO1864" s="62"/>
      <c r="AP1864" s="59"/>
      <c r="AQ1864" s="60"/>
      <c r="AR1864" s="61"/>
      <c r="AS1864" s="62"/>
      <c r="AT1864" s="59"/>
      <c r="AU1864" s="60"/>
      <c r="AV1864" s="61"/>
      <c r="AW1864" s="62"/>
      <c r="AX1864" s="33">
        <f t="shared" si="1895"/>
        <v>0</v>
      </c>
      <c r="AY1864" s="31">
        <f t="shared" si="1896"/>
        <v>0</v>
      </c>
      <c r="AZ1864" s="30">
        <f t="shared" si="1897"/>
        <v>0</v>
      </c>
      <c r="BA1864" s="34"/>
      <c r="BB1864" s="34"/>
      <c r="BC1864" s="34"/>
      <c r="BD1864" s="76"/>
      <c r="BE1864" s="34"/>
      <c r="BF1864" s="34"/>
      <c r="BG1864" s="34"/>
      <c r="BH1864" s="34"/>
    </row>
    <row r="1865" spans="1:60" s="17" customFormat="1" ht="19.5" customHeight="1" thickBot="1" x14ac:dyDescent="0.45">
      <c r="A1865" s="41">
        <f t="shared" ref="A1865" si="1903">A1864</f>
        <v>45449</v>
      </c>
      <c r="B1865" s="139" t="str">
        <f>B1858</f>
        <v>Kol Takma</v>
      </c>
      <c r="C1865" s="140"/>
      <c r="D1865" s="40">
        <f>C1766/8</f>
        <v>500</v>
      </c>
      <c r="E1865" s="147">
        <f>SUM(E1858:H1864)</f>
        <v>0</v>
      </c>
      <c r="F1865" s="148"/>
      <c r="G1865" s="148"/>
      <c r="H1865" s="149"/>
      <c r="I1865" s="147">
        <f>SUM(I1858:L1864)</f>
        <v>0</v>
      </c>
      <c r="J1865" s="148"/>
      <c r="K1865" s="148"/>
      <c r="L1865" s="149"/>
      <c r="M1865" s="147">
        <f>SUM(M1858:P1864)</f>
        <v>0</v>
      </c>
      <c r="N1865" s="148"/>
      <c r="O1865" s="148"/>
      <c r="P1865" s="149"/>
      <c r="Q1865" s="147">
        <f>SUM(Q1858:U1864)</f>
        <v>0</v>
      </c>
      <c r="R1865" s="148"/>
      <c r="S1865" s="148"/>
      <c r="T1865" s="148"/>
      <c r="U1865" s="149"/>
      <c r="V1865" s="147">
        <f>SUM(V1858:Y1864)</f>
        <v>0</v>
      </c>
      <c r="W1865" s="148"/>
      <c r="X1865" s="148"/>
      <c r="Y1865" s="149"/>
      <c r="Z1865" s="147">
        <f>SUM(Z1858:AC1864)</f>
        <v>0</v>
      </c>
      <c r="AA1865" s="148"/>
      <c r="AB1865" s="148"/>
      <c r="AC1865" s="149"/>
      <c r="AD1865" s="147">
        <f>SUM(AD1858:AG1864)</f>
        <v>0</v>
      </c>
      <c r="AE1865" s="148"/>
      <c r="AF1865" s="148"/>
      <c r="AG1865" s="149"/>
      <c r="AH1865" s="147">
        <f>SUM(AH1858:AK1864)</f>
        <v>0</v>
      </c>
      <c r="AI1865" s="148"/>
      <c r="AJ1865" s="148"/>
      <c r="AK1865" s="149"/>
      <c r="AL1865" s="147">
        <f>SUM(AL1858:AO1864)</f>
        <v>0</v>
      </c>
      <c r="AM1865" s="148"/>
      <c r="AN1865" s="148"/>
      <c r="AO1865" s="149"/>
      <c r="AP1865" s="147">
        <f>SUM(AP1858:AS1864)</f>
        <v>0</v>
      </c>
      <c r="AQ1865" s="148"/>
      <c r="AR1865" s="148"/>
      <c r="AS1865" s="149"/>
      <c r="AT1865" s="147">
        <f>SUM(AT1858:AW1864)</f>
        <v>0</v>
      </c>
      <c r="AU1865" s="148"/>
      <c r="AV1865" s="148"/>
      <c r="AW1865" s="149"/>
      <c r="AX1865" s="87">
        <f>SUM(AX1858:AX1864)</f>
        <v>0</v>
      </c>
      <c r="AY1865" s="88">
        <f>IFERROR(AVERAGEIF(E1865:AV1865,"&lt;&gt;0",(E1865:AV1865)),)</f>
        <v>0</v>
      </c>
      <c r="AZ1865" s="46">
        <f>IFERROR(AX1865/BB1859,0)</f>
        <v>0</v>
      </c>
      <c r="BA1865" s="34"/>
      <c r="BB1865" s="34"/>
      <c r="BC1865" s="34"/>
      <c r="BD1865" s="76"/>
      <c r="BE1865" s="34"/>
      <c r="BF1865" s="34"/>
      <c r="BG1865" s="34"/>
      <c r="BH1865" s="34"/>
    </row>
    <row r="1866" spans="1:60" s="17" customFormat="1" ht="19.5" customHeight="1" thickBot="1" x14ac:dyDescent="0.4">
      <c r="A1866" s="42">
        <f>A1857</f>
        <v>45449</v>
      </c>
      <c r="B1866" s="38" t="str">
        <f>B1867</f>
        <v>Yan Kapama</v>
      </c>
      <c r="C1866" s="39" t="s">
        <v>180</v>
      </c>
      <c r="D1866" s="69" t="s">
        <v>181</v>
      </c>
      <c r="E1866" s="48">
        <v>0.34375</v>
      </c>
      <c r="F1866" s="49">
        <v>0.35416666666666669</v>
      </c>
      <c r="G1866" s="49">
        <v>0.36458333333333331</v>
      </c>
      <c r="H1866" s="50">
        <v>0.375</v>
      </c>
      <c r="I1866" s="48">
        <v>0.38541666666666702</v>
      </c>
      <c r="J1866" s="49">
        <v>0.39583333333333298</v>
      </c>
      <c r="K1866" s="49">
        <v>0.40625</v>
      </c>
      <c r="L1866" s="50">
        <v>0.41666666666666702</v>
      </c>
      <c r="M1866" s="48">
        <v>0.4375</v>
      </c>
      <c r="N1866" s="49">
        <v>0.44791666666666702</v>
      </c>
      <c r="O1866" s="49">
        <v>0.45833333333333398</v>
      </c>
      <c r="P1866" s="50">
        <v>0.46875</v>
      </c>
      <c r="Q1866" s="82">
        <v>0.47916666666666702</v>
      </c>
      <c r="R1866" s="83">
        <v>0.48958333333333398</v>
      </c>
      <c r="S1866" s="83">
        <v>0.5</v>
      </c>
      <c r="T1866" s="84">
        <v>0.51041666666666696</v>
      </c>
      <c r="U1866" s="85">
        <v>0.52083333333333204</v>
      </c>
      <c r="V1866" s="48">
        <v>0.5625</v>
      </c>
      <c r="W1866" s="49">
        <v>0.57291666666666663</v>
      </c>
      <c r="X1866" s="49">
        <v>0.58333333333333304</v>
      </c>
      <c r="Y1866" s="50">
        <v>0.59375</v>
      </c>
      <c r="Z1866" s="48">
        <v>0.60416666666666696</v>
      </c>
      <c r="AA1866" s="49">
        <v>0.61458333333333304</v>
      </c>
      <c r="AB1866" s="49">
        <v>0.625</v>
      </c>
      <c r="AC1866" s="50">
        <v>0.63541666666666596</v>
      </c>
      <c r="AD1866" s="48">
        <v>0.65625</v>
      </c>
      <c r="AE1866" s="49">
        <v>0.66666666666666663</v>
      </c>
      <c r="AF1866" s="49">
        <v>0.67708333333333304</v>
      </c>
      <c r="AG1866" s="50">
        <v>0.6875</v>
      </c>
      <c r="AH1866" s="48">
        <v>0.69791666666666696</v>
      </c>
      <c r="AI1866" s="49">
        <v>0.70833333333333304</v>
      </c>
      <c r="AJ1866" s="49">
        <v>0.71875</v>
      </c>
      <c r="AK1866" s="50">
        <v>0.72916666666666696</v>
      </c>
      <c r="AL1866" s="48">
        <v>0.73958333333333404</v>
      </c>
      <c r="AM1866" s="49">
        <v>0.750000000000001</v>
      </c>
      <c r="AN1866" s="49">
        <v>0.76041666666666796</v>
      </c>
      <c r="AO1866" s="50">
        <v>0.77083333333333504</v>
      </c>
      <c r="AP1866" s="48">
        <v>0.781250000000002</v>
      </c>
      <c r="AQ1866" s="49">
        <v>0.79166666666666896</v>
      </c>
      <c r="AR1866" s="49">
        <v>0.80208333333333603</v>
      </c>
      <c r="AS1866" s="50">
        <v>0.812500000000003</v>
      </c>
      <c r="AT1866" s="48">
        <v>0.82291666666666996</v>
      </c>
      <c r="AU1866" s="49">
        <v>0.83333333333333703</v>
      </c>
      <c r="AV1866" s="49">
        <v>0.843750000000004</v>
      </c>
      <c r="AW1866" s="50">
        <v>0.85416666666666663</v>
      </c>
      <c r="AX1866" s="68" t="s">
        <v>260</v>
      </c>
      <c r="AY1866" s="28" t="s">
        <v>261</v>
      </c>
      <c r="AZ1866" s="29" t="s">
        <v>262</v>
      </c>
      <c r="BA1866" s="136" t="str">
        <f>B1867</f>
        <v>Yan Kapama</v>
      </c>
      <c r="BB1866" s="137"/>
      <c r="BC1866" s="137"/>
      <c r="BD1866" s="137"/>
      <c r="BE1866" s="137"/>
      <c r="BF1866" s="137"/>
      <c r="BG1866" s="137"/>
      <c r="BH1866" s="138"/>
    </row>
    <row r="1867" spans="1:60" s="17" customFormat="1" ht="19.5" customHeight="1" thickBot="1" x14ac:dyDescent="0.4">
      <c r="A1867" s="41">
        <f t="shared" ref="A1867" si="1904">A1866</f>
        <v>45449</v>
      </c>
      <c r="B1867" s="37" t="str">
        <f>B1691</f>
        <v>Yan Kapama</v>
      </c>
      <c r="C1867" s="65" t="str">
        <f>C1691</f>
        <v>HAVA SUBAŞI</v>
      </c>
      <c r="D1867" s="70">
        <f>D1691</f>
        <v>40</v>
      </c>
      <c r="E1867" s="63"/>
      <c r="F1867" s="55"/>
      <c r="G1867" s="55"/>
      <c r="H1867" s="56"/>
      <c r="I1867" s="63"/>
      <c r="J1867" s="55"/>
      <c r="K1867" s="55"/>
      <c r="L1867" s="56"/>
      <c r="M1867" s="63"/>
      <c r="N1867" s="55"/>
      <c r="O1867" s="55"/>
      <c r="P1867" s="56"/>
      <c r="Q1867" s="63"/>
      <c r="R1867" s="55"/>
      <c r="S1867" s="55"/>
      <c r="T1867" s="55"/>
      <c r="U1867" s="56"/>
      <c r="V1867" s="63"/>
      <c r="W1867" s="55"/>
      <c r="X1867" s="55"/>
      <c r="Y1867" s="56"/>
      <c r="Z1867" s="63"/>
      <c r="AA1867" s="55"/>
      <c r="AB1867" s="55"/>
      <c r="AC1867" s="56"/>
      <c r="AD1867" s="63"/>
      <c r="AE1867" s="55"/>
      <c r="AF1867" s="55"/>
      <c r="AG1867" s="56"/>
      <c r="AH1867" s="63"/>
      <c r="AI1867" s="55"/>
      <c r="AJ1867" s="55"/>
      <c r="AK1867" s="56"/>
      <c r="AL1867" s="53"/>
      <c r="AM1867" s="54"/>
      <c r="AN1867" s="55"/>
      <c r="AO1867" s="56"/>
      <c r="AP1867" s="53"/>
      <c r="AQ1867" s="54"/>
      <c r="AR1867" s="55"/>
      <c r="AS1867" s="56"/>
      <c r="AT1867" s="53"/>
      <c r="AU1867" s="54"/>
      <c r="AV1867" s="55"/>
      <c r="AW1867" s="56"/>
      <c r="AX1867" s="33">
        <f>SUM(E1867:AW1867)</f>
        <v>0</v>
      </c>
      <c r="AY1867" s="31">
        <f>IFERROR(AVERAGEIF(E1867:AW1867,"&lt;&gt;0",(E1867:AW1867)),)</f>
        <v>0</v>
      </c>
      <c r="AZ1867" s="30">
        <f>IFERROR(AY1867/D1867,0)</f>
        <v>0</v>
      </c>
      <c r="BA1867" s="103" t="s">
        <v>182</v>
      </c>
      <c r="BB1867" s="100" t="s">
        <v>183</v>
      </c>
      <c r="BC1867" s="100" t="s">
        <v>184</v>
      </c>
      <c r="BD1867" s="101" t="s">
        <v>185</v>
      </c>
      <c r="BE1867" s="100" t="s">
        <v>186</v>
      </c>
      <c r="BF1867" s="102" t="s">
        <v>187</v>
      </c>
      <c r="BG1867" s="100" t="s">
        <v>188</v>
      </c>
      <c r="BH1867" s="102" t="s">
        <v>189</v>
      </c>
    </row>
    <row r="1868" spans="1:60" s="17" customFormat="1" ht="19.5" customHeight="1" thickBot="1" x14ac:dyDescent="0.4">
      <c r="A1868" s="41">
        <f t="shared" ref="A1868:B1868" si="1905">A1867</f>
        <v>45449</v>
      </c>
      <c r="B1868" s="37" t="str">
        <f t="shared" si="1905"/>
        <v>Yan Kapama</v>
      </c>
      <c r="C1868" s="65" t="str">
        <f t="shared" ref="C1868:C1873" si="1906">C1692</f>
        <v>EMİNE GAPAYLAR</v>
      </c>
      <c r="D1868" s="67">
        <f t="shared" ref="D1868:D1873" si="1907">D1867</f>
        <v>40</v>
      </c>
      <c r="E1868" s="57"/>
      <c r="F1868" s="52"/>
      <c r="G1868" s="52"/>
      <c r="H1868" s="58"/>
      <c r="I1868" s="57"/>
      <c r="J1868" s="52"/>
      <c r="K1868" s="52"/>
      <c r="L1868" s="58"/>
      <c r="M1868" s="57"/>
      <c r="N1868" s="52"/>
      <c r="O1868" s="52"/>
      <c r="P1868" s="58"/>
      <c r="Q1868" s="57"/>
      <c r="R1868" s="52"/>
      <c r="S1868" s="52"/>
      <c r="T1868" s="52"/>
      <c r="U1868" s="58"/>
      <c r="V1868" s="57"/>
      <c r="W1868" s="52"/>
      <c r="X1868" s="52"/>
      <c r="Y1868" s="58"/>
      <c r="Z1868" s="57"/>
      <c r="AA1868" s="52"/>
      <c r="AB1868" s="52"/>
      <c r="AC1868" s="58"/>
      <c r="AD1868" s="57"/>
      <c r="AE1868" s="52"/>
      <c r="AF1868" s="52"/>
      <c r="AG1868" s="58"/>
      <c r="AH1868" s="57"/>
      <c r="AI1868" s="52"/>
      <c r="AJ1868" s="52"/>
      <c r="AK1868" s="58"/>
      <c r="AL1868" s="57"/>
      <c r="AM1868" s="52"/>
      <c r="AN1868" s="52"/>
      <c r="AO1868" s="58"/>
      <c r="AP1868" s="57"/>
      <c r="AQ1868" s="52"/>
      <c r="AR1868" s="52"/>
      <c r="AS1868" s="58"/>
      <c r="AT1868" s="57"/>
      <c r="AU1868" s="52"/>
      <c r="AV1868" s="52"/>
      <c r="AW1868" s="58"/>
      <c r="AX1868" s="33">
        <f t="shared" ref="AX1868:AX1873" si="1908">SUM(E1868:AW1868)</f>
        <v>0</v>
      </c>
      <c r="AY1868" s="31">
        <f t="shared" ref="AY1868:AY1873" si="1909">IFERROR(AVERAGEIF(E1868:AW1868,"&lt;&gt;0",(E1868:AW1868)),)</f>
        <v>0</v>
      </c>
      <c r="AZ1868" s="30">
        <f t="shared" ref="AZ1868:AZ1873" si="1910">IFERROR(AY1868/D1868,0)</f>
        <v>0</v>
      </c>
      <c r="BA1868" s="94">
        <f>AX1874+BA1692</f>
        <v>17293</v>
      </c>
      <c r="BB1868" s="95">
        <f>(D1874*8)</f>
        <v>4000</v>
      </c>
      <c r="BC1868" s="96">
        <f>C1765-BA1868</f>
        <v>25018</v>
      </c>
      <c r="BD1868" s="96">
        <f>BA1859-BA1868</f>
        <v>-818</v>
      </c>
      <c r="BE1868" s="97">
        <f>IFERROR(BC1868/E1874,0)</f>
        <v>0</v>
      </c>
      <c r="BF1868" s="98">
        <f>IFERROR(BE1868/9,0)</f>
        <v>0</v>
      </c>
      <c r="BG1868" s="97">
        <f>IFERROR(BC1868/AY1874,0)</f>
        <v>0</v>
      </c>
      <c r="BH1868" s="97">
        <f>IFERROR(BG1868/9,0)</f>
        <v>0</v>
      </c>
    </row>
    <row r="1869" spans="1:60" s="17" customFormat="1" ht="19.5" customHeight="1" x14ac:dyDescent="0.35">
      <c r="A1869" s="41">
        <f t="shared" ref="A1869:B1869" si="1911">A1868</f>
        <v>45449</v>
      </c>
      <c r="B1869" s="37" t="str">
        <f t="shared" si="1911"/>
        <v>Yan Kapama</v>
      </c>
      <c r="C1869" s="65" t="str">
        <f t="shared" si="1906"/>
        <v>SEVGİ APALAK</v>
      </c>
      <c r="D1869" s="67">
        <f t="shared" si="1907"/>
        <v>40</v>
      </c>
      <c r="E1869" s="57"/>
      <c r="F1869" s="52"/>
      <c r="G1869" s="52"/>
      <c r="H1869" s="58"/>
      <c r="I1869" s="57"/>
      <c r="J1869" s="52"/>
      <c r="K1869" s="52"/>
      <c r="L1869" s="58"/>
      <c r="M1869" s="57"/>
      <c r="N1869" s="52"/>
      <c r="O1869" s="52"/>
      <c r="P1869" s="58"/>
      <c r="Q1869" s="57"/>
      <c r="R1869" s="52"/>
      <c r="S1869" s="52"/>
      <c r="T1869" s="52"/>
      <c r="U1869" s="58"/>
      <c r="V1869" s="57"/>
      <c r="W1869" s="52"/>
      <c r="X1869" s="52"/>
      <c r="Y1869" s="58"/>
      <c r="Z1869" s="57"/>
      <c r="AA1869" s="52"/>
      <c r="AB1869" s="52"/>
      <c r="AC1869" s="58"/>
      <c r="AD1869" s="57"/>
      <c r="AE1869" s="52"/>
      <c r="AF1869" s="52"/>
      <c r="AG1869" s="58"/>
      <c r="AH1869" s="57"/>
      <c r="AI1869" s="52"/>
      <c r="AJ1869" s="52"/>
      <c r="AK1869" s="58"/>
      <c r="AL1869" s="57"/>
      <c r="AM1869" s="52"/>
      <c r="AN1869" s="52"/>
      <c r="AO1869" s="58"/>
      <c r="AP1869" s="57"/>
      <c r="AQ1869" s="52"/>
      <c r="AR1869" s="52"/>
      <c r="AS1869" s="58"/>
      <c r="AT1869" s="57"/>
      <c r="AU1869" s="52"/>
      <c r="AV1869" s="52"/>
      <c r="AW1869" s="58"/>
      <c r="AX1869" s="33">
        <f t="shared" si="1908"/>
        <v>0</v>
      </c>
      <c r="AY1869" s="31">
        <f t="shared" si="1909"/>
        <v>0</v>
      </c>
      <c r="AZ1869" s="30">
        <f t="shared" si="1910"/>
        <v>0</v>
      </c>
      <c r="BA1869" s="34"/>
      <c r="BB1869" s="34"/>
      <c r="BC1869" s="34"/>
      <c r="BD1869" s="76"/>
      <c r="BE1869" s="34"/>
      <c r="BF1869" s="34"/>
      <c r="BG1869" s="34"/>
      <c r="BH1869" s="34"/>
    </row>
    <row r="1870" spans="1:60" s="17" customFormat="1" ht="19.5" customHeight="1" x14ac:dyDescent="0.35">
      <c r="A1870" s="41">
        <f t="shared" ref="A1870:B1870" si="1912">A1869</f>
        <v>45449</v>
      </c>
      <c r="B1870" s="37" t="str">
        <f t="shared" si="1912"/>
        <v>Yan Kapama</v>
      </c>
      <c r="C1870" s="65" t="str">
        <f t="shared" si="1906"/>
        <v>SONGÜL BARLAS</v>
      </c>
      <c r="D1870" s="67">
        <f t="shared" si="1907"/>
        <v>40</v>
      </c>
      <c r="E1870" s="57"/>
      <c r="F1870" s="52"/>
      <c r="G1870" s="52"/>
      <c r="H1870" s="58"/>
      <c r="I1870" s="57"/>
      <c r="J1870" s="52"/>
      <c r="K1870" s="52"/>
      <c r="L1870" s="58"/>
      <c r="M1870" s="57"/>
      <c r="N1870" s="52"/>
      <c r="O1870" s="52"/>
      <c r="P1870" s="58"/>
      <c r="Q1870" s="57"/>
      <c r="R1870" s="52"/>
      <c r="S1870" s="52"/>
      <c r="T1870" s="52"/>
      <c r="U1870" s="58"/>
      <c r="V1870" s="57"/>
      <c r="W1870" s="52"/>
      <c r="X1870" s="52"/>
      <c r="Y1870" s="58"/>
      <c r="Z1870" s="57"/>
      <c r="AA1870" s="52"/>
      <c r="AB1870" s="52"/>
      <c r="AC1870" s="58"/>
      <c r="AD1870" s="57"/>
      <c r="AE1870" s="52"/>
      <c r="AF1870" s="52"/>
      <c r="AG1870" s="58"/>
      <c r="AH1870" s="57"/>
      <c r="AI1870" s="52"/>
      <c r="AJ1870" s="52"/>
      <c r="AK1870" s="58"/>
      <c r="AL1870" s="57"/>
      <c r="AM1870" s="52"/>
      <c r="AN1870" s="52"/>
      <c r="AO1870" s="58"/>
      <c r="AP1870" s="57"/>
      <c r="AQ1870" s="52"/>
      <c r="AR1870" s="52"/>
      <c r="AS1870" s="58"/>
      <c r="AT1870" s="57"/>
      <c r="AU1870" s="52"/>
      <c r="AV1870" s="52"/>
      <c r="AW1870" s="58"/>
      <c r="AX1870" s="33">
        <f t="shared" si="1908"/>
        <v>0</v>
      </c>
      <c r="AY1870" s="31">
        <f t="shared" si="1909"/>
        <v>0</v>
      </c>
      <c r="AZ1870" s="30">
        <f t="shared" si="1910"/>
        <v>0</v>
      </c>
      <c r="BA1870" s="34"/>
      <c r="BB1870" s="34"/>
      <c r="BC1870" s="34"/>
      <c r="BD1870" s="76"/>
      <c r="BE1870" s="34"/>
      <c r="BF1870" s="34"/>
      <c r="BG1870" s="34"/>
      <c r="BH1870" s="34"/>
    </row>
    <row r="1871" spans="1:60" s="17" customFormat="1" ht="19.5" customHeight="1" x14ac:dyDescent="0.35">
      <c r="A1871" s="41">
        <f>A1868</f>
        <v>45449</v>
      </c>
      <c r="B1871" s="37" t="str">
        <f t="shared" ref="B1871" si="1913">B1870</f>
        <v>Yan Kapama</v>
      </c>
      <c r="C1871" s="65" t="str">
        <f t="shared" si="1906"/>
        <v>EMİNE BAYRAM</v>
      </c>
      <c r="D1871" s="67">
        <f t="shared" si="1907"/>
        <v>40</v>
      </c>
      <c r="E1871" s="57"/>
      <c r="F1871" s="52"/>
      <c r="G1871" s="52"/>
      <c r="H1871" s="58"/>
      <c r="I1871" s="57"/>
      <c r="J1871" s="52"/>
      <c r="K1871" s="52"/>
      <c r="L1871" s="58"/>
      <c r="M1871" s="57"/>
      <c r="N1871" s="52"/>
      <c r="O1871" s="52"/>
      <c r="P1871" s="58"/>
      <c r="Q1871" s="57"/>
      <c r="R1871" s="52"/>
      <c r="S1871" s="52"/>
      <c r="T1871" s="52"/>
      <c r="U1871" s="58"/>
      <c r="V1871" s="57"/>
      <c r="W1871" s="52"/>
      <c r="X1871" s="52"/>
      <c r="Y1871" s="58"/>
      <c r="Z1871" s="57"/>
      <c r="AA1871" s="52"/>
      <c r="AB1871" s="52"/>
      <c r="AC1871" s="58"/>
      <c r="AD1871" s="57"/>
      <c r="AE1871" s="52"/>
      <c r="AF1871" s="52"/>
      <c r="AG1871" s="58"/>
      <c r="AH1871" s="57"/>
      <c r="AI1871" s="52"/>
      <c r="AJ1871" s="52"/>
      <c r="AK1871" s="58"/>
      <c r="AL1871" s="57"/>
      <c r="AM1871" s="52"/>
      <c r="AN1871" s="52"/>
      <c r="AO1871" s="58"/>
      <c r="AP1871" s="57"/>
      <c r="AQ1871" s="52"/>
      <c r="AR1871" s="52"/>
      <c r="AS1871" s="58"/>
      <c r="AT1871" s="57"/>
      <c r="AU1871" s="52"/>
      <c r="AV1871" s="52"/>
      <c r="AW1871" s="58"/>
      <c r="AX1871" s="33">
        <f t="shared" si="1908"/>
        <v>0</v>
      </c>
      <c r="AY1871" s="31">
        <f t="shared" si="1909"/>
        <v>0</v>
      </c>
      <c r="AZ1871" s="30">
        <f t="shared" si="1910"/>
        <v>0</v>
      </c>
      <c r="BA1871" s="34"/>
      <c r="BB1871" s="34"/>
      <c r="BC1871" s="34"/>
      <c r="BD1871" s="76"/>
      <c r="BE1871" s="34"/>
      <c r="BF1871" s="34"/>
      <c r="BG1871" s="34"/>
      <c r="BH1871" s="34"/>
    </row>
    <row r="1872" spans="1:60" s="17" customFormat="1" ht="19.5" customHeight="1" x14ac:dyDescent="0.35">
      <c r="A1872" s="41">
        <f>A1871</f>
        <v>45449</v>
      </c>
      <c r="B1872" s="37" t="str">
        <f t="shared" ref="B1872" si="1914">B1871</f>
        <v>Yan Kapama</v>
      </c>
      <c r="C1872" s="65">
        <f t="shared" si="1906"/>
        <v>0</v>
      </c>
      <c r="D1872" s="67">
        <f t="shared" si="1907"/>
        <v>40</v>
      </c>
      <c r="E1872" s="57"/>
      <c r="F1872" s="52"/>
      <c r="G1872" s="52"/>
      <c r="H1872" s="58"/>
      <c r="I1872" s="57"/>
      <c r="J1872" s="52"/>
      <c r="K1872" s="52"/>
      <c r="L1872" s="58"/>
      <c r="M1872" s="57"/>
      <c r="N1872" s="52"/>
      <c r="O1872" s="52"/>
      <c r="P1872" s="78"/>
      <c r="Q1872" s="57"/>
      <c r="R1872" s="52"/>
      <c r="S1872" s="52"/>
      <c r="T1872" s="52"/>
      <c r="U1872" s="58"/>
      <c r="V1872" s="80"/>
      <c r="W1872" s="52"/>
      <c r="X1872" s="52"/>
      <c r="Y1872" s="58"/>
      <c r="Z1872" s="57"/>
      <c r="AA1872" s="52"/>
      <c r="AB1872" s="52"/>
      <c r="AC1872" s="58"/>
      <c r="AD1872" s="57"/>
      <c r="AE1872" s="52"/>
      <c r="AF1872" s="52"/>
      <c r="AG1872" s="58"/>
      <c r="AH1872" s="57"/>
      <c r="AI1872" s="52"/>
      <c r="AJ1872" s="52"/>
      <c r="AK1872" s="58"/>
      <c r="AL1872" s="57"/>
      <c r="AM1872" s="52"/>
      <c r="AN1872" s="52"/>
      <c r="AO1872" s="58"/>
      <c r="AP1872" s="57"/>
      <c r="AQ1872" s="52"/>
      <c r="AR1872" s="52"/>
      <c r="AS1872" s="58"/>
      <c r="AT1872" s="57"/>
      <c r="AU1872" s="52"/>
      <c r="AV1872" s="52"/>
      <c r="AW1872" s="58"/>
      <c r="AX1872" s="33">
        <f t="shared" si="1908"/>
        <v>0</v>
      </c>
      <c r="AY1872" s="31">
        <f t="shared" si="1909"/>
        <v>0</v>
      </c>
      <c r="AZ1872" s="30">
        <f t="shared" si="1910"/>
        <v>0</v>
      </c>
      <c r="BA1872" s="34"/>
      <c r="BB1872" s="34"/>
      <c r="BC1872" s="34"/>
      <c r="BD1872" s="76"/>
      <c r="BE1872" s="34"/>
      <c r="BF1872" s="34"/>
      <c r="BG1872" s="34"/>
      <c r="BH1872" s="34"/>
    </row>
    <row r="1873" spans="1:60" s="17" customFormat="1" ht="19.5" customHeight="1" thickBot="1" x14ac:dyDescent="0.4">
      <c r="A1873" s="41">
        <f>A1872</f>
        <v>45449</v>
      </c>
      <c r="B1873" s="37" t="str">
        <f t="shared" ref="B1873" si="1915">B1872</f>
        <v>Yan Kapama</v>
      </c>
      <c r="C1873" s="65">
        <f t="shared" si="1906"/>
        <v>0</v>
      </c>
      <c r="D1873" s="67">
        <f t="shared" si="1907"/>
        <v>40</v>
      </c>
      <c r="E1873" s="59"/>
      <c r="F1873" s="60"/>
      <c r="G1873" s="61"/>
      <c r="H1873" s="62"/>
      <c r="I1873" s="59"/>
      <c r="J1873" s="60"/>
      <c r="K1873" s="61"/>
      <c r="L1873" s="62"/>
      <c r="M1873" s="59"/>
      <c r="N1873" s="60"/>
      <c r="O1873" s="61"/>
      <c r="P1873" s="79"/>
      <c r="Q1873" s="64"/>
      <c r="R1873" s="61"/>
      <c r="S1873" s="61"/>
      <c r="T1873" s="61"/>
      <c r="U1873" s="62"/>
      <c r="V1873" s="81"/>
      <c r="W1873" s="60"/>
      <c r="X1873" s="61"/>
      <c r="Y1873" s="62"/>
      <c r="Z1873" s="59"/>
      <c r="AA1873" s="60"/>
      <c r="AB1873" s="61"/>
      <c r="AC1873" s="62"/>
      <c r="AD1873" s="59"/>
      <c r="AE1873" s="60"/>
      <c r="AF1873" s="61"/>
      <c r="AG1873" s="62"/>
      <c r="AH1873" s="59"/>
      <c r="AI1873" s="60"/>
      <c r="AJ1873" s="61"/>
      <c r="AK1873" s="62"/>
      <c r="AL1873" s="59"/>
      <c r="AM1873" s="60"/>
      <c r="AN1873" s="61"/>
      <c r="AO1873" s="62"/>
      <c r="AP1873" s="59"/>
      <c r="AQ1873" s="60"/>
      <c r="AR1873" s="61"/>
      <c r="AS1873" s="62"/>
      <c r="AT1873" s="59"/>
      <c r="AU1873" s="60"/>
      <c r="AV1873" s="61"/>
      <c r="AW1873" s="62"/>
      <c r="AX1873" s="33">
        <f t="shared" si="1908"/>
        <v>0</v>
      </c>
      <c r="AY1873" s="31">
        <f t="shared" si="1909"/>
        <v>0</v>
      </c>
      <c r="AZ1873" s="30">
        <f t="shared" si="1910"/>
        <v>0</v>
      </c>
      <c r="BA1873" s="34"/>
      <c r="BB1873" s="34"/>
      <c r="BC1873" s="34"/>
      <c r="BD1873" s="76"/>
      <c r="BE1873" s="34"/>
      <c r="BF1873" s="34"/>
      <c r="BG1873" s="34"/>
      <c r="BH1873" s="34"/>
    </row>
    <row r="1874" spans="1:60" s="17" customFormat="1" ht="19.5" customHeight="1" thickBot="1" x14ac:dyDescent="0.45">
      <c r="A1874" s="41">
        <f>A1873</f>
        <v>45449</v>
      </c>
      <c r="B1874" s="139" t="str">
        <f>B1867</f>
        <v>Yan Kapama</v>
      </c>
      <c r="C1874" s="140"/>
      <c r="D1874" s="40">
        <f>C1766/8</f>
        <v>500</v>
      </c>
      <c r="E1874" s="147">
        <f>SUM(E1867:H1873)</f>
        <v>0</v>
      </c>
      <c r="F1874" s="148"/>
      <c r="G1874" s="148"/>
      <c r="H1874" s="149"/>
      <c r="I1874" s="147">
        <f>SUM(I1867:L1873)</f>
        <v>0</v>
      </c>
      <c r="J1874" s="148"/>
      <c r="K1874" s="148"/>
      <c r="L1874" s="149"/>
      <c r="M1874" s="147">
        <f>SUM(M1867:P1873)</f>
        <v>0</v>
      </c>
      <c r="N1874" s="148"/>
      <c r="O1874" s="148"/>
      <c r="P1874" s="149"/>
      <c r="Q1874" s="151">
        <f>SUM(Q1867:U1873)</f>
        <v>0</v>
      </c>
      <c r="R1874" s="152"/>
      <c r="S1874" s="152"/>
      <c r="T1874" s="152"/>
      <c r="U1874" s="153"/>
      <c r="V1874" s="147">
        <f>SUM(V1867:Y1873)</f>
        <v>0</v>
      </c>
      <c r="W1874" s="148"/>
      <c r="X1874" s="148"/>
      <c r="Y1874" s="149"/>
      <c r="Z1874" s="147">
        <f>SUM(Z1867:AC1873)</f>
        <v>0</v>
      </c>
      <c r="AA1874" s="148"/>
      <c r="AB1874" s="148"/>
      <c r="AC1874" s="149"/>
      <c r="AD1874" s="147">
        <f>SUM(AD1867:AG1873)</f>
        <v>0</v>
      </c>
      <c r="AE1874" s="148"/>
      <c r="AF1874" s="148"/>
      <c r="AG1874" s="149"/>
      <c r="AH1874" s="147">
        <f>SUM(AH1867:AK1873)</f>
        <v>0</v>
      </c>
      <c r="AI1874" s="148"/>
      <c r="AJ1874" s="148"/>
      <c r="AK1874" s="149"/>
      <c r="AL1874" s="147">
        <f>SUM(AL1867:AO1873)</f>
        <v>0</v>
      </c>
      <c r="AM1874" s="148"/>
      <c r="AN1874" s="148"/>
      <c r="AO1874" s="149"/>
      <c r="AP1874" s="147">
        <f>SUM(AP1867:AS1873)</f>
        <v>0</v>
      </c>
      <c r="AQ1874" s="148"/>
      <c r="AR1874" s="148"/>
      <c r="AS1874" s="149"/>
      <c r="AT1874" s="147">
        <f>SUM(AT1867:AW1873)</f>
        <v>0</v>
      </c>
      <c r="AU1874" s="148"/>
      <c r="AV1874" s="148"/>
      <c r="AW1874" s="149"/>
      <c r="AX1874" s="87">
        <f>SUM(AX1867:AX1873)</f>
        <v>0</v>
      </c>
      <c r="AY1874" s="88">
        <f>IFERROR(AVERAGEIF(E1874:AV1874,"&lt;&gt;0",(E1874:AV1874)),)</f>
        <v>0</v>
      </c>
      <c r="AZ1874" s="46">
        <f>IFERROR(AX1874/BB1868,0)</f>
        <v>0</v>
      </c>
      <c r="BA1874" s="34"/>
      <c r="BB1874" s="34"/>
      <c r="BC1874" s="34"/>
      <c r="BD1874" s="76"/>
      <c r="BE1874" s="34"/>
      <c r="BF1874" s="34"/>
      <c r="BG1874" s="34"/>
      <c r="BH1874" s="34"/>
    </row>
    <row r="1875" spans="1:60" s="17" customFormat="1" ht="19.5" customHeight="1" thickBot="1" x14ac:dyDescent="0.4">
      <c r="A1875" s="42">
        <f>A1866</f>
        <v>45449</v>
      </c>
      <c r="B1875" s="38" t="str">
        <f>B1876</f>
        <v>Yıkama Takma</v>
      </c>
      <c r="C1875" s="39" t="s">
        <v>180</v>
      </c>
      <c r="D1875" s="69" t="s">
        <v>181</v>
      </c>
      <c r="E1875" s="48">
        <v>0.34375</v>
      </c>
      <c r="F1875" s="49">
        <v>0.35416666666666669</v>
      </c>
      <c r="G1875" s="49">
        <v>0.36458333333333331</v>
      </c>
      <c r="H1875" s="50">
        <v>0.375</v>
      </c>
      <c r="I1875" s="48">
        <v>0.38541666666666702</v>
      </c>
      <c r="J1875" s="49">
        <v>0.39583333333333298</v>
      </c>
      <c r="K1875" s="49">
        <v>0.40625</v>
      </c>
      <c r="L1875" s="50">
        <v>0.41666666666666702</v>
      </c>
      <c r="M1875" s="48">
        <v>0.4375</v>
      </c>
      <c r="N1875" s="49">
        <v>0.44791666666666702</v>
      </c>
      <c r="O1875" s="49">
        <v>0.45833333333333398</v>
      </c>
      <c r="P1875" s="50">
        <v>0.46875</v>
      </c>
      <c r="Q1875" s="48">
        <v>0.47916666666666702</v>
      </c>
      <c r="R1875" s="49">
        <v>0.48958333333333398</v>
      </c>
      <c r="S1875" s="49">
        <v>0.5</v>
      </c>
      <c r="T1875" s="50">
        <v>0.51041666666666696</v>
      </c>
      <c r="U1875" s="51">
        <v>0.52083333333333204</v>
      </c>
      <c r="V1875" s="48">
        <v>0.5625</v>
      </c>
      <c r="W1875" s="49">
        <v>0.57291666666666663</v>
      </c>
      <c r="X1875" s="49">
        <v>0.58333333333333304</v>
      </c>
      <c r="Y1875" s="50">
        <v>0.59375</v>
      </c>
      <c r="Z1875" s="48">
        <v>0.60416666666666696</v>
      </c>
      <c r="AA1875" s="49">
        <v>0.61458333333333304</v>
      </c>
      <c r="AB1875" s="49">
        <v>0.625</v>
      </c>
      <c r="AC1875" s="50">
        <v>0.63541666666666596</v>
      </c>
      <c r="AD1875" s="48">
        <v>0.65625</v>
      </c>
      <c r="AE1875" s="49">
        <v>0.66666666666666663</v>
      </c>
      <c r="AF1875" s="49">
        <v>0.67708333333333304</v>
      </c>
      <c r="AG1875" s="50">
        <v>0.6875</v>
      </c>
      <c r="AH1875" s="48">
        <v>0.69791666666666696</v>
      </c>
      <c r="AI1875" s="49">
        <v>0.70833333333333304</v>
      </c>
      <c r="AJ1875" s="49">
        <v>0.71875</v>
      </c>
      <c r="AK1875" s="50">
        <v>0.72916666666666696</v>
      </c>
      <c r="AL1875" s="48">
        <v>0.73958333333333404</v>
      </c>
      <c r="AM1875" s="49">
        <v>0.750000000000001</v>
      </c>
      <c r="AN1875" s="49">
        <v>0.76041666666666796</v>
      </c>
      <c r="AO1875" s="50">
        <v>0.77083333333333504</v>
      </c>
      <c r="AP1875" s="48">
        <v>0.781250000000002</v>
      </c>
      <c r="AQ1875" s="49">
        <v>0.79166666666666896</v>
      </c>
      <c r="AR1875" s="49">
        <v>0.80208333333333603</v>
      </c>
      <c r="AS1875" s="50">
        <v>0.812500000000003</v>
      </c>
      <c r="AT1875" s="48">
        <v>0.82291666666666996</v>
      </c>
      <c r="AU1875" s="49">
        <v>0.83333333333333703</v>
      </c>
      <c r="AV1875" s="49">
        <v>0.843750000000004</v>
      </c>
      <c r="AW1875" s="50">
        <v>0.85416666666666663</v>
      </c>
      <c r="AX1875" s="68" t="s">
        <v>260</v>
      </c>
      <c r="AY1875" s="28" t="s">
        <v>261</v>
      </c>
      <c r="AZ1875" s="29" t="s">
        <v>262</v>
      </c>
      <c r="BA1875" s="136" t="str">
        <f>B1876</f>
        <v>Yıkama Takma</v>
      </c>
      <c r="BB1875" s="137"/>
      <c r="BC1875" s="137"/>
      <c r="BD1875" s="137"/>
      <c r="BE1875" s="137"/>
      <c r="BF1875" s="137"/>
      <c r="BG1875" s="137"/>
      <c r="BH1875" s="138"/>
    </row>
    <row r="1876" spans="1:60" s="17" customFormat="1" ht="19.5" customHeight="1" thickBot="1" x14ac:dyDescent="0.4">
      <c r="A1876" s="41">
        <f t="shared" ref="A1876" si="1916">A1875</f>
        <v>45449</v>
      </c>
      <c r="B1876" s="37" t="str">
        <f>B1700</f>
        <v>Yıkama Takma</v>
      </c>
      <c r="C1876" s="65" t="str">
        <f>C1700</f>
        <v>MEHMET SAĞ</v>
      </c>
      <c r="D1876" s="70">
        <f>D1700</f>
        <v>125</v>
      </c>
      <c r="E1876" s="63"/>
      <c r="F1876" s="55"/>
      <c r="G1876" s="55"/>
      <c r="H1876" s="56"/>
      <c r="I1876" s="63"/>
      <c r="J1876" s="55"/>
      <c r="K1876" s="55"/>
      <c r="L1876" s="56"/>
      <c r="M1876" s="63"/>
      <c r="N1876" s="55"/>
      <c r="O1876" s="55"/>
      <c r="P1876" s="56"/>
      <c r="Q1876" s="63"/>
      <c r="R1876" s="55"/>
      <c r="S1876" s="55"/>
      <c r="T1876" s="55"/>
      <c r="U1876" s="56"/>
      <c r="V1876" s="63"/>
      <c r="W1876" s="55"/>
      <c r="X1876" s="55"/>
      <c r="Y1876" s="56"/>
      <c r="Z1876" s="63"/>
      <c r="AA1876" s="55"/>
      <c r="AB1876" s="55"/>
      <c r="AC1876" s="56"/>
      <c r="AD1876" s="63"/>
      <c r="AE1876" s="55"/>
      <c r="AF1876" s="55"/>
      <c r="AG1876" s="56"/>
      <c r="AH1876" s="63"/>
      <c r="AI1876" s="55"/>
      <c r="AJ1876" s="55"/>
      <c r="AK1876" s="56"/>
      <c r="AL1876" s="63"/>
      <c r="AM1876" s="55"/>
      <c r="AN1876" s="55"/>
      <c r="AO1876" s="56"/>
      <c r="AP1876" s="63"/>
      <c r="AQ1876" s="55"/>
      <c r="AR1876" s="55"/>
      <c r="AS1876" s="56"/>
      <c r="AT1876" s="53"/>
      <c r="AU1876" s="54"/>
      <c r="AV1876" s="55"/>
      <c r="AW1876" s="56"/>
      <c r="AX1876" s="33">
        <f>SUM(E1876:AW1876)</f>
        <v>0</v>
      </c>
      <c r="AY1876" s="31">
        <f>IFERROR(AVERAGEIF(E1876:AW1876,"&lt;&gt;0",(E1876:AW1876)),)</f>
        <v>0</v>
      </c>
      <c r="AZ1876" s="30">
        <f>IFERROR(AY1876/D1876,0)</f>
        <v>0</v>
      </c>
      <c r="BA1876" s="103" t="s">
        <v>182</v>
      </c>
      <c r="BB1876" s="100" t="s">
        <v>183</v>
      </c>
      <c r="BC1876" s="100" t="s">
        <v>184</v>
      </c>
      <c r="BD1876" s="101" t="s">
        <v>185</v>
      </c>
      <c r="BE1876" s="100" t="s">
        <v>186</v>
      </c>
      <c r="BF1876" s="102" t="s">
        <v>187</v>
      </c>
      <c r="BG1876" s="100" t="s">
        <v>188</v>
      </c>
      <c r="BH1876" s="102" t="s">
        <v>189</v>
      </c>
    </row>
    <row r="1877" spans="1:60" s="17" customFormat="1" ht="19.5" customHeight="1" thickBot="1" x14ac:dyDescent="0.4">
      <c r="A1877" s="41">
        <f t="shared" ref="A1877:B1877" si="1917">A1876</f>
        <v>45449</v>
      </c>
      <c r="B1877" s="37" t="str">
        <f t="shared" si="1917"/>
        <v>Yıkama Takma</v>
      </c>
      <c r="C1877" s="65">
        <f t="shared" ref="C1877:C1882" si="1918">C1701</f>
        <v>0</v>
      </c>
      <c r="D1877" s="67">
        <f t="shared" ref="D1877:D1882" si="1919">D1876</f>
        <v>125</v>
      </c>
      <c r="E1877" s="57"/>
      <c r="F1877" s="52"/>
      <c r="G1877" s="52"/>
      <c r="H1877" s="58"/>
      <c r="I1877" s="57"/>
      <c r="J1877" s="52"/>
      <c r="K1877" s="52"/>
      <c r="L1877" s="58"/>
      <c r="M1877" s="57"/>
      <c r="N1877" s="52"/>
      <c r="O1877" s="52"/>
      <c r="P1877" s="58"/>
      <c r="Q1877" s="57"/>
      <c r="R1877" s="52"/>
      <c r="S1877" s="52"/>
      <c r="T1877" s="52"/>
      <c r="U1877" s="58"/>
      <c r="V1877" s="57"/>
      <c r="W1877" s="52"/>
      <c r="X1877" s="52"/>
      <c r="Y1877" s="58"/>
      <c r="Z1877" s="57"/>
      <c r="AA1877" s="52"/>
      <c r="AB1877" s="52"/>
      <c r="AC1877" s="58"/>
      <c r="AD1877" s="57"/>
      <c r="AE1877" s="52"/>
      <c r="AF1877" s="52"/>
      <c r="AG1877" s="58"/>
      <c r="AH1877" s="57"/>
      <c r="AI1877" s="52"/>
      <c r="AJ1877" s="52"/>
      <c r="AK1877" s="58"/>
      <c r="AL1877" s="57"/>
      <c r="AM1877" s="52"/>
      <c r="AN1877" s="52"/>
      <c r="AO1877" s="58"/>
      <c r="AP1877" s="57"/>
      <c r="AQ1877" s="52"/>
      <c r="AR1877" s="52"/>
      <c r="AS1877" s="58"/>
      <c r="AT1877" s="57"/>
      <c r="AU1877" s="52"/>
      <c r="AV1877" s="52"/>
      <c r="AW1877" s="58"/>
      <c r="AX1877" s="33">
        <f t="shared" ref="AX1877:AX1882" si="1920">SUM(E1877:AW1877)</f>
        <v>0</v>
      </c>
      <c r="AY1877" s="31">
        <f t="shared" ref="AY1877:AY1882" si="1921">IFERROR(AVERAGEIF(E1877:AW1877,"&lt;&gt;0",(E1877:AW1877)),)</f>
        <v>0</v>
      </c>
      <c r="AZ1877" s="30">
        <f t="shared" ref="AZ1877:AZ1882" si="1922">IFERROR(AY1877/D1877,0)</f>
        <v>0</v>
      </c>
      <c r="BA1877" s="94">
        <f>AX1883+BA1701</f>
        <v>15950</v>
      </c>
      <c r="BB1877" s="95">
        <f>(D1883*8)</f>
        <v>4000</v>
      </c>
      <c r="BC1877" s="96">
        <f>C1765-BA1877</f>
        <v>26361</v>
      </c>
      <c r="BD1877" s="96">
        <f>BA1868-BA1877</f>
        <v>1343</v>
      </c>
      <c r="BE1877" s="97">
        <f>IFERROR(BC1877/E1883,0)</f>
        <v>0</v>
      </c>
      <c r="BF1877" s="98">
        <f>IFERROR(BE1877/9,0)</f>
        <v>0</v>
      </c>
      <c r="BG1877" s="97">
        <f>IFERROR(BC1877/AY1883,0)</f>
        <v>0</v>
      </c>
      <c r="BH1877" s="97">
        <f>IFERROR(BG1877/9,0)</f>
        <v>0</v>
      </c>
    </row>
    <row r="1878" spans="1:60" s="17" customFormat="1" ht="19.5" customHeight="1" x14ac:dyDescent="0.35">
      <c r="A1878" s="41">
        <f t="shared" ref="A1878:B1878" si="1923">A1877</f>
        <v>45449</v>
      </c>
      <c r="B1878" s="37" t="str">
        <f t="shared" si="1923"/>
        <v>Yıkama Takma</v>
      </c>
      <c r="C1878" s="65">
        <f t="shared" si="1918"/>
        <v>0</v>
      </c>
      <c r="D1878" s="67">
        <f t="shared" si="1919"/>
        <v>125</v>
      </c>
      <c r="E1878" s="57"/>
      <c r="F1878" s="52"/>
      <c r="G1878" s="52"/>
      <c r="H1878" s="58"/>
      <c r="I1878" s="57"/>
      <c r="J1878" s="52"/>
      <c r="K1878" s="52"/>
      <c r="L1878" s="58"/>
      <c r="M1878" s="57"/>
      <c r="N1878" s="52"/>
      <c r="O1878" s="52"/>
      <c r="P1878" s="58"/>
      <c r="Q1878" s="57"/>
      <c r="R1878" s="52"/>
      <c r="S1878" s="52"/>
      <c r="T1878" s="52"/>
      <c r="U1878" s="58"/>
      <c r="V1878" s="57"/>
      <c r="W1878" s="52"/>
      <c r="X1878" s="52"/>
      <c r="Y1878" s="58"/>
      <c r="Z1878" s="57"/>
      <c r="AA1878" s="52"/>
      <c r="AB1878" s="52"/>
      <c r="AC1878" s="58"/>
      <c r="AD1878" s="57"/>
      <c r="AE1878" s="52"/>
      <c r="AF1878" s="52"/>
      <c r="AG1878" s="58"/>
      <c r="AH1878" s="57"/>
      <c r="AI1878" s="52"/>
      <c r="AJ1878" s="52"/>
      <c r="AK1878" s="58"/>
      <c r="AL1878" s="57"/>
      <c r="AM1878" s="52"/>
      <c r="AN1878" s="52"/>
      <c r="AO1878" s="58"/>
      <c r="AP1878" s="57"/>
      <c r="AQ1878" s="52"/>
      <c r="AR1878" s="52"/>
      <c r="AS1878" s="58"/>
      <c r="AT1878" s="57"/>
      <c r="AU1878" s="52"/>
      <c r="AV1878" s="52"/>
      <c r="AW1878" s="58"/>
      <c r="AX1878" s="33">
        <f t="shared" si="1920"/>
        <v>0</v>
      </c>
      <c r="AY1878" s="31">
        <f t="shared" si="1921"/>
        <v>0</v>
      </c>
      <c r="AZ1878" s="30">
        <f t="shared" si="1922"/>
        <v>0</v>
      </c>
      <c r="BA1878" s="34"/>
      <c r="BB1878" s="34"/>
      <c r="BC1878" s="34"/>
      <c r="BD1878" s="76"/>
      <c r="BE1878" s="34"/>
      <c r="BF1878" s="34"/>
      <c r="BG1878" s="34"/>
      <c r="BH1878" s="34"/>
    </row>
    <row r="1879" spans="1:60" s="17" customFormat="1" ht="19.5" customHeight="1" x14ac:dyDescent="0.35">
      <c r="A1879" s="41">
        <f t="shared" ref="A1879:B1879" si="1924">A1878</f>
        <v>45449</v>
      </c>
      <c r="B1879" s="37" t="str">
        <f t="shared" si="1924"/>
        <v>Yıkama Takma</v>
      </c>
      <c r="C1879" s="65">
        <f t="shared" si="1918"/>
        <v>0</v>
      </c>
      <c r="D1879" s="67">
        <f t="shared" si="1919"/>
        <v>125</v>
      </c>
      <c r="E1879" s="57"/>
      <c r="F1879" s="52"/>
      <c r="G1879" s="52"/>
      <c r="H1879" s="58"/>
      <c r="I1879" s="57"/>
      <c r="J1879" s="52"/>
      <c r="K1879" s="52"/>
      <c r="L1879" s="58"/>
      <c r="M1879" s="57"/>
      <c r="N1879" s="52"/>
      <c r="O1879" s="52"/>
      <c r="P1879" s="58"/>
      <c r="Q1879" s="57"/>
      <c r="R1879" s="52"/>
      <c r="S1879" s="52"/>
      <c r="T1879" s="52"/>
      <c r="U1879" s="58"/>
      <c r="V1879" s="57"/>
      <c r="W1879" s="52"/>
      <c r="X1879" s="52"/>
      <c r="Y1879" s="58"/>
      <c r="Z1879" s="57"/>
      <c r="AA1879" s="52"/>
      <c r="AB1879" s="52"/>
      <c r="AC1879" s="58"/>
      <c r="AD1879" s="57"/>
      <c r="AE1879" s="52"/>
      <c r="AF1879" s="52"/>
      <c r="AG1879" s="58"/>
      <c r="AH1879" s="57"/>
      <c r="AI1879" s="52"/>
      <c r="AJ1879" s="52"/>
      <c r="AK1879" s="58"/>
      <c r="AL1879" s="57"/>
      <c r="AM1879" s="52"/>
      <c r="AN1879" s="52"/>
      <c r="AO1879" s="58"/>
      <c r="AP1879" s="57"/>
      <c r="AQ1879" s="52"/>
      <c r="AR1879" s="52"/>
      <c r="AS1879" s="58"/>
      <c r="AT1879" s="57"/>
      <c r="AU1879" s="52"/>
      <c r="AV1879" s="52"/>
      <c r="AW1879" s="58"/>
      <c r="AX1879" s="33">
        <f t="shared" si="1920"/>
        <v>0</v>
      </c>
      <c r="AY1879" s="31">
        <f t="shared" si="1921"/>
        <v>0</v>
      </c>
      <c r="AZ1879" s="30">
        <f t="shared" si="1922"/>
        <v>0</v>
      </c>
      <c r="BA1879" s="34"/>
      <c r="BB1879" s="34"/>
      <c r="BC1879" s="34"/>
      <c r="BD1879" s="76"/>
      <c r="BE1879" s="34"/>
      <c r="BF1879" s="34"/>
      <c r="BG1879" s="34"/>
      <c r="BH1879" s="34"/>
    </row>
    <row r="1880" spans="1:60" s="17" customFormat="1" ht="19.5" customHeight="1" x14ac:dyDescent="0.35">
      <c r="A1880" s="41">
        <f>A1877</f>
        <v>45449</v>
      </c>
      <c r="B1880" s="37" t="str">
        <f t="shared" ref="B1880" si="1925">B1879</f>
        <v>Yıkama Takma</v>
      </c>
      <c r="C1880" s="65">
        <f t="shared" si="1918"/>
        <v>0</v>
      </c>
      <c r="D1880" s="67">
        <f t="shared" si="1919"/>
        <v>125</v>
      </c>
      <c r="E1880" s="57"/>
      <c r="F1880" s="52"/>
      <c r="G1880" s="52"/>
      <c r="H1880" s="58"/>
      <c r="I1880" s="57"/>
      <c r="J1880" s="52"/>
      <c r="K1880" s="52"/>
      <c r="L1880" s="58"/>
      <c r="M1880" s="57"/>
      <c r="N1880" s="52"/>
      <c r="O1880" s="52"/>
      <c r="P1880" s="58"/>
      <c r="Q1880" s="57"/>
      <c r="R1880" s="52"/>
      <c r="S1880" s="52"/>
      <c r="T1880" s="52"/>
      <c r="U1880" s="58"/>
      <c r="V1880" s="57"/>
      <c r="W1880" s="52"/>
      <c r="X1880" s="52"/>
      <c r="Y1880" s="58"/>
      <c r="Z1880" s="57"/>
      <c r="AA1880" s="52"/>
      <c r="AB1880" s="52"/>
      <c r="AC1880" s="58"/>
      <c r="AD1880" s="57"/>
      <c r="AE1880" s="52"/>
      <c r="AF1880" s="52"/>
      <c r="AG1880" s="58"/>
      <c r="AH1880" s="57"/>
      <c r="AI1880" s="52"/>
      <c r="AJ1880" s="52"/>
      <c r="AK1880" s="58"/>
      <c r="AL1880" s="57"/>
      <c r="AM1880" s="52"/>
      <c r="AN1880" s="52"/>
      <c r="AO1880" s="58"/>
      <c r="AP1880" s="57"/>
      <c r="AQ1880" s="52"/>
      <c r="AR1880" s="52"/>
      <c r="AS1880" s="58"/>
      <c r="AT1880" s="57"/>
      <c r="AU1880" s="52"/>
      <c r="AV1880" s="52"/>
      <c r="AW1880" s="58"/>
      <c r="AX1880" s="33">
        <f t="shared" si="1920"/>
        <v>0</v>
      </c>
      <c r="AY1880" s="31">
        <f t="shared" si="1921"/>
        <v>0</v>
      </c>
      <c r="AZ1880" s="30">
        <f t="shared" si="1922"/>
        <v>0</v>
      </c>
      <c r="BA1880" s="34"/>
      <c r="BB1880" s="34"/>
      <c r="BC1880" s="34"/>
      <c r="BD1880" s="76"/>
      <c r="BE1880" s="34"/>
      <c r="BF1880" s="34"/>
      <c r="BG1880" s="34"/>
      <c r="BH1880" s="34"/>
    </row>
    <row r="1881" spans="1:60" s="17" customFormat="1" ht="19.5" customHeight="1" x14ac:dyDescent="0.35">
      <c r="A1881" s="41">
        <f t="shared" ref="A1881:B1881" si="1926">A1880</f>
        <v>45449</v>
      </c>
      <c r="B1881" s="37" t="str">
        <f t="shared" si="1926"/>
        <v>Yıkama Takma</v>
      </c>
      <c r="C1881" s="65">
        <f t="shared" si="1918"/>
        <v>0</v>
      </c>
      <c r="D1881" s="67">
        <f t="shared" si="1919"/>
        <v>125</v>
      </c>
      <c r="E1881" s="57"/>
      <c r="F1881" s="52"/>
      <c r="G1881" s="52"/>
      <c r="H1881" s="58"/>
      <c r="I1881" s="57"/>
      <c r="J1881" s="52"/>
      <c r="K1881" s="52"/>
      <c r="L1881" s="58"/>
      <c r="M1881" s="57"/>
      <c r="N1881" s="52"/>
      <c r="O1881" s="52"/>
      <c r="P1881" s="58"/>
      <c r="Q1881" s="57"/>
      <c r="R1881" s="52"/>
      <c r="S1881" s="52"/>
      <c r="T1881" s="52"/>
      <c r="U1881" s="58"/>
      <c r="V1881" s="57"/>
      <c r="W1881" s="52"/>
      <c r="X1881" s="52"/>
      <c r="Y1881" s="58"/>
      <c r="Z1881" s="57"/>
      <c r="AA1881" s="52"/>
      <c r="AB1881" s="52"/>
      <c r="AC1881" s="58"/>
      <c r="AD1881" s="57"/>
      <c r="AE1881" s="52"/>
      <c r="AF1881" s="52"/>
      <c r="AG1881" s="58"/>
      <c r="AH1881" s="57"/>
      <c r="AI1881" s="52"/>
      <c r="AJ1881" s="52"/>
      <c r="AK1881" s="58"/>
      <c r="AL1881" s="57"/>
      <c r="AM1881" s="52"/>
      <c r="AN1881" s="52"/>
      <c r="AO1881" s="58"/>
      <c r="AP1881" s="57"/>
      <c r="AQ1881" s="52"/>
      <c r="AR1881" s="52"/>
      <c r="AS1881" s="58"/>
      <c r="AT1881" s="57"/>
      <c r="AU1881" s="52"/>
      <c r="AV1881" s="52"/>
      <c r="AW1881" s="58"/>
      <c r="AX1881" s="33">
        <f t="shared" si="1920"/>
        <v>0</v>
      </c>
      <c r="AY1881" s="31">
        <f t="shared" si="1921"/>
        <v>0</v>
      </c>
      <c r="AZ1881" s="30">
        <f t="shared" si="1922"/>
        <v>0</v>
      </c>
      <c r="BA1881" s="34"/>
      <c r="BB1881" s="34"/>
      <c r="BC1881" s="34"/>
      <c r="BD1881" s="76"/>
      <c r="BE1881" s="34"/>
      <c r="BF1881" s="34"/>
      <c r="BG1881" s="34"/>
      <c r="BH1881" s="34"/>
    </row>
    <row r="1882" spans="1:60" s="17" customFormat="1" ht="19.5" customHeight="1" thickBot="1" x14ac:dyDescent="0.4">
      <c r="A1882" s="41">
        <f t="shared" ref="A1882:B1882" si="1927">A1881</f>
        <v>45449</v>
      </c>
      <c r="B1882" s="37" t="str">
        <f t="shared" si="1927"/>
        <v>Yıkama Takma</v>
      </c>
      <c r="C1882" s="65">
        <f t="shared" si="1918"/>
        <v>0</v>
      </c>
      <c r="D1882" s="67">
        <f t="shared" si="1919"/>
        <v>125</v>
      </c>
      <c r="E1882" s="59"/>
      <c r="F1882" s="60"/>
      <c r="G1882" s="61"/>
      <c r="H1882" s="62"/>
      <c r="I1882" s="59"/>
      <c r="J1882" s="60"/>
      <c r="K1882" s="61"/>
      <c r="L1882" s="62"/>
      <c r="M1882" s="59"/>
      <c r="N1882" s="60"/>
      <c r="O1882" s="61"/>
      <c r="P1882" s="62"/>
      <c r="Q1882" s="64"/>
      <c r="R1882" s="61"/>
      <c r="S1882" s="61"/>
      <c r="T1882" s="61"/>
      <c r="U1882" s="62"/>
      <c r="V1882" s="59"/>
      <c r="W1882" s="60"/>
      <c r="X1882" s="61"/>
      <c r="Y1882" s="62"/>
      <c r="Z1882" s="59"/>
      <c r="AA1882" s="60"/>
      <c r="AB1882" s="61"/>
      <c r="AC1882" s="62"/>
      <c r="AD1882" s="59"/>
      <c r="AE1882" s="60"/>
      <c r="AF1882" s="61"/>
      <c r="AG1882" s="62"/>
      <c r="AH1882" s="59"/>
      <c r="AI1882" s="60"/>
      <c r="AJ1882" s="61"/>
      <c r="AK1882" s="62"/>
      <c r="AL1882" s="59"/>
      <c r="AM1882" s="60"/>
      <c r="AN1882" s="61"/>
      <c r="AO1882" s="62"/>
      <c r="AP1882" s="59"/>
      <c r="AQ1882" s="60"/>
      <c r="AR1882" s="61"/>
      <c r="AS1882" s="62"/>
      <c r="AT1882" s="59"/>
      <c r="AU1882" s="60"/>
      <c r="AV1882" s="61"/>
      <c r="AW1882" s="62"/>
      <c r="AX1882" s="33">
        <f t="shared" si="1920"/>
        <v>0</v>
      </c>
      <c r="AY1882" s="31">
        <f t="shared" si="1921"/>
        <v>0</v>
      </c>
      <c r="AZ1882" s="30">
        <f t="shared" si="1922"/>
        <v>0</v>
      </c>
      <c r="BA1882" s="34"/>
      <c r="BB1882" s="34"/>
      <c r="BC1882" s="34"/>
      <c r="BD1882" s="76"/>
      <c r="BE1882" s="34"/>
      <c r="BF1882" s="34"/>
      <c r="BG1882" s="34"/>
      <c r="BH1882" s="34"/>
    </row>
    <row r="1883" spans="1:60" s="17" customFormat="1" ht="19.5" customHeight="1" thickBot="1" x14ac:dyDescent="0.45">
      <c r="A1883" s="41">
        <f t="shared" ref="A1883" si="1928">A1882</f>
        <v>45449</v>
      </c>
      <c r="B1883" s="139" t="str">
        <f>B1876</f>
        <v>Yıkama Takma</v>
      </c>
      <c r="C1883" s="140"/>
      <c r="D1883" s="40">
        <f>C1766/8</f>
        <v>500</v>
      </c>
      <c r="E1883" s="147">
        <f>SUM(E1876:H1882)</f>
        <v>0</v>
      </c>
      <c r="F1883" s="148"/>
      <c r="G1883" s="148"/>
      <c r="H1883" s="149"/>
      <c r="I1883" s="147">
        <f>SUM(I1876:L1882)</f>
        <v>0</v>
      </c>
      <c r="J1883" s="148"/>
      <c r="K1883" s="148"/>
      <c r="L1883" s="149"/>
      <c r="M1883" s="147">
        <f>SUM(M1876:P1882)</f>
        <v>0</v>
      </c>
      <c r="N1883" s="148"/>
      <c r="O1883" s="148"/>
      <c r="P1883" s="149"/>
      <c r="Q1883" s="147">
        <f>SUM(Q1876:U1882)</f>
        <v>0</v>
      </c>
      <c r="R1883" s="148"/>
      <c r="S1883" s="148"/>
      <c r="T1883" s="148"/>
      <c r="U1883" s="149"/>
      <c r="V1883" s="147">
        <f>SUM(V1876:Y1882)</f>
        <v>0</v>
      </c>
      <c r="W1883" s="148"/>
      <c r="X1883" s="148"/>
      <c r="Y1883" s="149"/>
      <c r="Z1883" s="147">
        <f>SUM(Z1876:AC1882)</f>
        <v>0</v>
      </c>
      <c r="AA1883" s="148"/>
      <c r="AB1883" s="148"/>
      <c r="AC1883" s="149"/>
      <c r="AD1883" s="147">
        <f>SUM(AD1876:AG1882)</f>
        <v>0</v>
      </c>
      <c r="AE1883" s="148"/>
      <c r="AF1883" s="148"/>
      <c r="AG1883" s="149"/>
      <c r="AH1883" s="147">
        <f>SUM(AH1876:AK1882)</f>
        <v>0</v>
      </c>
      <c r="AI1883" s="148"/>
      <c r="AJ1883" s="148"/>
      <c r="AK1883" s="149"/>
      <c r="AL1883" s="147">
        <f>SUM(AL1876:AO1882)</f>
        <v>0</v>
      </c>
      <c r="AM1883" s="148"/>
      <c r="AN1883" s="148"/>
      <c r="AO1883" s="149"/>
      <c r="AP1883" s="147">
        <f>SUM(AP1876:AS1882)</f>
        <v>0</v>
      </c>
      <c r="AQ1883" s="148"/>
      <c r="AR1883" s="148"/>
      <c r="AS1883" s="149"/>
      <c r="AT1883" s="147">
        <f>SUM(AT1876:AW1882)</f>
        <v>0</v>
      </c>
      <c r="AU1883" s="148"/>
      <c r="AV1883" s="148"/>
      <c r="AW1883" s="149"/>
      <c r="AX1883" s="87">
        <f>SUM(AX1876:AX1882)</f>
        <v>0</v>
      </c>
      <c r="AY1883" s="88">
        <f>IFERROR(AVERAGEIF(E1883:AV1883,"&lt;&gt;0",(E1883:AV1883)),)</f>
        <v>0</v>
      </c>
      <c r="AZ1883" s="46">
        <f>IFERROR(AX1883/BB1877,0)</f>
        <v>0</v>
      </c>
      <c r="BA1883" s="34"/>
      <c r="BB1883" s="34"/>
      <c r="BC1883" s="34"/>
      <c r="BD1883" s="76"/>
      <c r="BE1883" s="34"/>
      <c r="BF1883" s="34"/>
      <c r="BG1883" s="34"/>
      <c r="BH1883" s="34"/>
    </row>
    <row r="1884" spans="1:60" s="17" customFormat="1" ht="19.5" customHeight="1" thickBot="1" x14ac:dyDescent="0.4">
      <c r="A1884" s="42">
        <f>A1875</f>
        <v>45449</v>
      </c>
      <c r="B1884" s="38" t="str">
        <f>B1885</f>
        <v>Kol Reçme</v>
      </c>
      <c r="C1884" s="39" t="s">
        <v>180</v>
      </c>
      <c r="D1884" s="69" t="s">
        <v>181</v>
      </c>
      <c r="E1884" s="48">
        <v>0.34375</v>
      </c>
      <c r="F1884" s="49">
        <v>0.35416666666666669</v>
      </c>
      <c r="G1884" s="49">
        <v>0.36458333333333331</v>
      </c>
      <c r="H1884" s="50">
        <v>0.375</v>
      </c>
      <c r="I1884" s="48">
        <v>0.38541666666666702</v>
      </c>
      <c r="J1884" s="49">
        <v>0.39583333333333298</v>
      </c>
      <c r="K1884" s="49">
        <v>0.40625</v>
      </c>
      <c r="L1884" s="50">
        <v>0.41666666666666702</v>
      </c>
      <c r="M1884" s="48">
        <v>0.4375</v>
      </c>
      <c r="N1884" s="49">
        <v>0.44791666666666702</v>
      </c>
      <c r="O1884" s="49">
        <v>0.45833333333333398</v>
      </c>
      <c r="P1884" s="50">
        <v>0.46875</v>
      </c>
      <c r="Q1884" s="82">
        <v>0.47916666666666702</v>
      </c>
      <c r="R1884" s="83">
        <v>0.48958333333333398</v>
      </c>
      <c r="S1884" s="83">
        <v>0.5</v>
      </c>
      <c r="T1884" s="84">
        <v>0.51041666666666696</v>
      </c>
      <c r="U1884" s="85">
        <v>0.52083333333333204</v>
      </c>
      <c r="V1884" s="48">
        <v>0.5625</v>
      </c>
      <c r="W1884" s="49">
        <v>0.57291666666666663</v>
      </c>
      <c r="X1884" s="49">
        <v>0.58333333333333304</v>
      </c>
      <c r="Y1884" s="50">
        <v>0.59375</v>
      </c>
      <c r="Z1884" s="48">
        <v>0.60416666666666696</v>
      </c>
      <c r="AA1884" s="49">
        <v>0.61458333333333304</v>
      </c>
      <c r="AB1884" s="49">
        <v>0.625</v>
      </c>
      <c r="AC1884" s="50">
        <v>0.63541666666666596</v>
      </c>
      <c r="AD1884" s="48">
        <v>0.65625</v>
      </c>
      <c r="AE1884" s="49">
        <v>0.66666666666666663</v>
      </c>
      <c r="AF1884" s="49">
        <v>0.67708333333333304</v>
      </c>
      <c r="AG1884" s="50">
        <v>0.6875</v>
      </c>
      <c r="AH1884" s="48">
        <v>0.69791666666666696</v>
      </c>
      <c r="AI1884" s="49">
        <v>0.70833333333333304</v>
      </c>
      <c r="AJ1884" s="49">
        <v>0.71875</v>
      </c>
      <c r="AK1884" s="50">
        <v>0.72916666666666696</v>
      </c>
      <c r="AL1884" s="48">
        <v>0.73958333333333404</v>
      </c>
      <c r="AM1884" s="49">
        <v>0.750000000000001</v>
      </c>
      <c r="AN1884" s="49">
        <v>0.76041666666666796</v>
      </c>
      <c r="AO1884" s="50">
        <v>0.77083333333333504</v>
      </c>
      <c r="AP1884" s="48">
        <v>0.781250000000002</v>
      </c>
      <c r="AQ1884" s="49">
        <v>0.79166666666666896</v>
      </c>
      <c r="AR1884" s="49">
        <v>0.80208333333333603</v>
      </c>
      <c r="AS1884" s="50">
        <v>0.812500000000003</v>
      </c>
      <c r="AT1884" s="48">
        <v>0.82291666666666996</v>
      </c>
      <c r="AU1884" s="49">
        <v>0.83333333333333703</v>
      </c>
      <c r="AV1884" s="49">
        <v>0.843750000000004</v>
      </c>
      <c r="AW1884" s="50">
        <v>0.85416666666666663</v>
      </c>
      <c r="AX1884" s="68" t="s">
        <v>260</v>
      </c>
      <c r="AY1884" s="28" t="s">
        <v>261</v>
      </c>
      <c r="AZ1884" s="29" t="s">
        <v>262</v>
      </c>
      <c r="BA1884" s="136" t="str">
        <f>B1885</f>
        <v>Kol Reçme</v>
      </c>
      <c r="BB1884" s="137"/>
      <c r="BC1884" s="137"/>
      <c r="BD1884" s="137"/>
      <c r="BE1884" s="137"/>
      <c r="BF1884" s="137"/>
      <c r="BG1884" s="137"/>
      <c r="BH1884" s="138"/>
    </row>
    <row r="1885" spans="1:60" s="17" customFormat="1" ht="19.5" customHeight="1" thickBot="1" x14ac:dyDescent="0.4">
      <c r="A1885" s="41">
        <f t="shared" ref="A1885" si="1929">A1884</f>
        <v>45449</v>
      </c>
      <c r="B1885" s="37" t="str">
        <f>B1709</f>
        <v>Kol Reçme</v>
      </c>
      <c r="C1885" s="65" t="str">
        <f>C1709</f>
        <v>LEYLA ERDOĞAN</v>
      </c>
      <c r="D1885" s="70">
        <f>D1709</f>
        <v>60</v>
      </c>
      <c r="E1885" s="63"/>
      <c r="F1885" s="55"/>
      <c r="G1885" s="55"/>
      <c r="H1885" s="56"/>
      <c r="I1885" s="63"/>
      <c r="J1885" s="55"/>
      <c r="K1885" s="55"/>
      <c r="L1885" s="56"/>
      <c r="M1885" s="63"/>
      <c r="N1885" s="55"/>
      <c r="O1885" s="55"/>
      <c r="P1885" s="56"/>
      <c r="Q1885" s="63"/>
      <c r="R1885" s="55"/>
      <c r="S1885" s="55"/>
      <c r="T1885" s="55"/>
      <c r="U1885" s="56"/>
      <c r="V1885" s="63"/>
      <c r="W1885" s="55"/>
      <c r="X1885" s="55"/>
      <c r="Y1885" s="56"/>
      <c r="Z1885" s="63"/>
      <c r="AA1885" s="55"/>
      <c r="AB1885" s="55"/>
      <c r="AC1885" s="56"/>
      <c r="AD1885" s="63"/>
      <c r="AE1885" s="55"/>
      <c r="AF1885" s="55"/>
      <c r="AG1885" s="56"/>
      <c r="AH1885" s="63"/>
      <c r="AI1885" s="55"/>
      <c r="AJ1885" s="55"/>
      <c r="AK1885" s="56"/>
      <c r="AL1885" s="53"/>
      <c r="AM1885" s="54"/>
      <c r="AN1885" s="55"/>
      <c r="AO1885" s="56"/>
      <c r="AP1885" s="53"/>
      <c r="AQ1885" s="54"/>
      <c r="AR1885" s="55"/>
      <c r="AS1885" s="56"/>
      <c r="AT1885" s="53"/>
      <c r="AU1885" s="54"/>
      <c r="AV1885" s="55"/>
      <c r="AW1885" s="56"/>
      <c r="AX1885" s="33">
        <f>SUM(E1885:AW1885)</f>
        <v>0</v>
      </c>
      <c r="AY1885" s="31">
        <f>IFERROR(AVERAGEIF(E1885:AW1885,"&lt;&gt;0",(E1885:AW1885)),)</f>
        <v>0</v>
      </c>
      <c r="AZ1885" s="30">
        <f>IFERROR(AY1885/D1885,0)</f>
        <v>0</v>
      </c>
      <c r="BA1885" s="103" t="s">
        <v>182</v>
      </c>
      <c r="BB1885" s="100" t="s">
        <v>183</v>
      </c>
      <c r="BC1885" s="100" t="s">
        <v>184</v>
      </c>
      <c r="BD1885" s="101" t="s">
        <v>185</v>
      </c>
      <c r="BE1885" s="100" t="s">
        <v>186</v>
      </c>
      <c r="BF1885" s="102" t="s">
        <v>187</v>
      </c>
      <c r="BG1885" s="100" t="s">
        <v>188</v>
      </c>
      <c r="BH1885" s="102" t="s">
        <v>189</v>
      </c>
    </row>
    <row r="1886" spans="1:60" s="17" customFormat="1" ht="19.5" customHeight="1" thickBot="1" x14ac:dyDescent="0.4">
      <c r="A1886" s="41">
        <f t="shared" ref="A1886:B1886" si="1930">A1885</f>
        <v>45449</v>
      </c>
      <c r="B1886" s="37" t="str">
        <f t="shared" si="1930"/>
        <v>Kol Reçme</v>
      </c>
      <c r="C1886" s="65" t="str">
        <f t="shared" ref="C1886:C1891" si="1931">C1710</f>
        <v>SEMA GEZGİNCİ</v>
      </c>
      <c r="D1886" s="67">
        <f t="shared" ref="D1886:D1891" si="1932">D1885</f>
        <v>60</v>
      </c>
      <c r="E1886" s="57"/>
      <c r="F1886" s="52"/>
      <c r="G1886" s="52"/>
      <c r="H1886" s="58"/>
      <c r="I1886" s="57"/>
      <c r="J1886" s="52"/>
      <c r="K1886" s="52"/>
      <c r="L1886" s="58"/>
      <c r="M1886" s="57"/>
      <c r="N1886" s="52"/>
      <c r="O1886" s="52"/>
      <c r="P1886" s="58"/>
      <c r="Q1886" s="57"/>
      <c r="R1886" s="52"/>
      <c r="S1886" s="52"/>
      <c r="T1886" s="52"/>
      <c r="U1886" s="58"/>
      <c r="V1886" s="57"/>
      <c r="W1886" s="52"/>
      <c r="X1886" s="52"/>
      <c r="Y1886" s="58"/>
      <c r="Z1886" s="57"/>
      <c r="AA1886" s="52"/>
      <c r="AB1886" s="52"/>
      <c r="AC1886" s="58"/>
      <c r="AD1886" s="57"/>
      <c r="AE1886" s="52"/>
      <c r="AF1886" s="52"/>
      <c r="AG1886" s="58"/>
      <c r="AH1886" s="57"/>
      <c r="AI1886" s="52"/>
      <c r="AJ1886" s="52"/>
      <c r="AK1886" s="58"/>
      <c r="AL1886" s="57"/>
      <c r="AM1886" s="52"/>
      <c r="AN1886" s="52"/>
      <c r="AO1886" s="58"/>
      <c r="AP1886" s="57"/>
      <c r="AQ1886" s="52"/>
      <c r="AR1886" s="52"/>
      <c r="AS1886" s="58"/>
      <c r="AT1886" s="57"/>
      <c r="AU1886" s="52"/>
      <c r="AV1886" s="52"/>
      <c r="AW1886" s="58"/>
      <c r="AX1886" s="33">
        <f t="shared" ref="AX1886:AX1891" si="1933">SUM(E1886:AW1886)</f>
        <v>0</v>
      </c>
      <c r="AY1886" s="31">
        <f t="shared" ref="AY1886:AY1891" si="1934">IFERROR(AVERAGEIF(E1886:AW1886,"&lt;&gt;0",(E1886:AW1886)),)</f>
        <v>0</v>
      </c>
      <c r="AZ1886" s="30">
        <f t="shared" ref="AZ1886:AZ1891" si="1935">IFERROR(AY1886/D1886,0)</f>
        <v>0</v>
      </c>
      <c r="BA1886" s="94">
        <f>AX1892+BA1710</f>
        <v>15828</v>
      </c>
      <c r="BB1886" s="95">
        <f>(D1892*8)</f>
        <v>4000</v>
      </c>
      <c r="BC1886" s="96">
        <f>C1765-BA1886</f>
        <v>26483</v>
      </c>
      <c r="BD1886" s="96">
        <f>BA1877-BA1886</f>
        <v>122</v>
      </c>
      <c r="BE1886" s="97">
        <f>IFERROR(BC1886/E1892,0)</f>
        <v>0</v>
      </c>
      <c r="BF1886" s="98">
        <f>IFERROR(BE1886/9,0)</f>
        <v>0</v>
      </c>
      <c r="BG1886" s="97">
        <f>IFERROR(BC1886/AY1892,0)</f>
        <v>0</v>
      </c>
      <c r="BH1886" s="97">
        <f>IFERROR(BG1886/9,0)</f>
        <v>0</v>
      </c>
    </row>
    <row r="1887" spans="1:60" s="17" customFormat="1" ht="19.5" customHeight="1" x14ac:dyDescent="0.35">
      <c r="A1887" s="41">
        <f t="shared" ref="A1887:B1887" si="1936">A1886</f>
        <v>45449</v>
      </c>
      <c r="B1887" s="37" t="str">
        <f t="shared" si="1936"/>
        <v>Kol Reçme</v>
      </c>
      <c r="C1887" s="65" t="str">
        <f t="shared" si="1931"/>
        <v>BEYZANUR ERTÜRK</v>
      </c>
      <c r="D1887" s="67">
        <f t="shared" si="1932"/>
        <v>60</v>
      </c>
      <c r="E1887" s="57"/>
      <c r="F1887" s="52"/>
      <c r="G1887" s="52"/>
      <c r="H1887" s="58"/>
      <c r="I1887" s="57"/>
      <c r="J1887" s="52"/>
      <c r="K1887" s="52"/>
      <c r="L1887" s="58"/>
      <c r="M1887" s="57"/>
      <c r="N1887" s="52"/>
      <c r="O1887" s="52"/>
      <c r="P1887" s="58"/>
      <c r="Q1887" s="57"/>
      <c r="R1887" s="52"/>
      <c r="S1887" s="52"/>
      <c r="T1887" s="52"/>
      <c r="U1887" s="58"/>
      <c r="V1887" s="57"/>
      <c r="W1887" s="52"/>
      <c r="X1887" s="52"/>
      <c r="Y1887" s="58"/>
      <c r="Z1887" s="57"/>
      <c r="AA1887" s="52"/>
      <c r="AB1887" s="52"/>
      <c r="AC1887" s="58"/>
      <c r="AD1887" s="57"/>
      <c r="AE1887" s="52"/>
      <c r="AF1887" s="52"/>
      <c r="AG1887" s="58"/>
      <c r="AH1887" s="57"/>
      <c r="AI1887" s="52"/>
      <c r="AJ1887" s="52"/>
      <c r="AK1887" s="58"/>
      <c r="AL1887" s="57"/>
      <c r="AM1887" s="52"/>
      <c r="AN1887" s="52"/>
      <c r="AO1887" s="58"/>
      <c r="AP1887" s="57"/>
      <c r="AQ1887" s="52"/>
      <c r="AR1887" s="52"/>
      <c r="AS1887" s="58"/>
      <c r="AT1887" s="57"/>
      <c r="AU1887" s="52"/>
      <c r="AV1887" s="52"/>
      <c r="AW1887" s="58"/>
      <c r="AX1887" s="33">
        <f t="shared" si="1933"/>
        <v>0</v>
      </c>
      <c r="AY1887" s="31">
        <f t="shared" si="1934"/>
        <v>0</v>
      </c>
      <c r="AZ1887" s="30">
        <f t="shared" si="1935"/>
        <v>0</v>
      </c>
      <c r="BA1887" s="34"/>
      <c r="BB1887" s="34"/>
      <c r="BC1887" s="34"/>
      <c r="BD1887" s="76"/>
      <c r="BE1887" s="34"/>
      <c r="BF1887" s="34"/>
      <c r="BG1887" s="34"/>
      <c r="BH1887" s="34"/>
    </row>
    <row r="1888" spans="1:60" s="17" customFormat="1" ht="19.5" customHeight="1" x14ac:dyDescent="0.35">
      <c r="A1888" s="41">
        <f t="shared" ref="A1888:B1888" si="1937">A1887</f>
        <v>45449</v>
      </c>
      <c r="B1888" s="37" t="str">
        <f t="shared" si="1937"/>
        <v>Kol Reçme</v>
      </c>
      <c r="C1888" s="65" t="str">
        <f t="shared" si="1931"/>
        <v>SEVİNÇ KUNDAKÇI</v>
      </c>
      <c r="D1888" s="67">
        <f t="shared" si="1932"/>
        <v>60</v>
      </c>
      <c r="E1888" s="57"/>
      <c r="F1888" s="52"/>
      <c r="G1888" s="52"/>
      <c r="H1888" s="58"/>
      <c r="I1888" s="57"/>
      <c r="J1888" s="52"/>
      <c r="K1888" s="52"/>
      <c r="L1888" s="58"/>
      <c r="M1888" s="57"/>
      <c r="N1888" s="52"/>
      <c r="O1888" s="52"/>
      <c r="P1888" s="58"/>
      <c r="Q1888" s="57"/>
      <c r="R1888" s="52"/>
      <c r="S1888" s="52"/>
      <c r="T1888" s="52"/>
      <c r="U1888" s="58"/>
      <c r="V1888" s="57"/>
      <c r="W1888" s="52"/>
      <c r="X1888" s="52"/>
      <c r="Y1888" s="58"/>
      <c r="Z1888" s="57"/>
      <c r="AA1888" s="52"/>
      <c r="AB1888" s="52"/>
      <c r="AC1888" s="58"/>
      <c r="AD1888" s="57"/>
      <c r="AE1888" s="52"/>
      <c r="AF1888" s="52"/>
      <c r="AG1888" s="58"/>
      <c r="AH1888" s="57"/>
      <c r="AI1888" s="52"/>
      <c r="AJ1888" s="52"/>
      <c r="AK1888" s="58"/>
      <c r="AL1888" s="57"/>
      <c r="AM1888" s="52"/>
      <c r="AN1888" s="52"/>
      <c r="AO1888" s="58"/>
      <c r="AP1888" s="57"/>
      <c r="AQ1888" s="52"/>
      <c r="AR1888" s="52"/>
      <c r="AS1888" s="58"/>
      <c r="AT1888" s="57"/>
      <c r="AU1888" s="52"/>
      <c r="AV1888" s="52"/>
      <c r="AW1888" s="58"/>
      <c r="AX1888" s="33">
        <f t="shared" si="1933"/>
        <v>0</v>
      </c>
      <c r="AY1888" s="31">
        <f t="shared" si="1934"/>
        <v>0</v>
      </c>
      <c r="AZ1888" s="30">
        <f t="shared" si="1935"/>
        <v>0</v>
      </c>
      <c r="BA1888" s="34"/>
      <c r="BB1888" s="34"/>
      <c r="BC1888" s="34"/>
      <c r="BD1888" s="76"/>
      <c r="BE1888" s="34"/>
      <c r="BF1888" s="34"/>
      <c r="BG1888" s="34"/>
      <c r="BH1888" s="34"/>
    </row>
    <row r="1889" spans="1:60" s="17" customFormat="1" ht="19.5" customHeight="1" x14ac:dyDescent="0.35">
      <c r="A1889" s="41">
        <f>A1886</f>
        <v>45449</v>
      </c>
      <c r="B1889" s="37" t="str">
        <f t="shared" ref="B1889" si="1938">B1888</f>
        <v>Kol Reçme</v>
      </c>
      <c r="C1889" s="65">
        <f t="shared" si="1931"/>
        <v>0</v>
      </c>
      <c r="D1889" s="67">
        <f t="shared" si="1932"/>
        <v>60</v>
      </c>
      <c r="E1889" s="57"/>
      <c r="F1889" s="52"/>
      <c r="G1889" s="52"/>
      <c r="H1889" s="58"/>
      <c r="I1889" s="57"/>
      <c r="J1889" s="52"/>
      <c r="K1889" s="52"/>
      <c r="L1889" s="58"/>
      <c r="M1889" s="57"/>
      <c r="N1889" s="52"/>
      <c r="O1889" s="52"/>
      <c r="P1889" s="58"/>
      <c r="Q1889" s="57"/>
      <c r="R1889" s="52"/>
      <c r="S1889" s="52"/>
      <c r="T1889" s="52"/>
      <c r="U1889" s="58"/>
      <c r="V1889" s="57"/>
      <c r="W1889" s="52"/>
      <c r="X1889" s="52"/>
      <c r="Y1889" s="58"/>
      <c r="Z1889" s="57"/>
      <c r="AA1889" s="52"/>
      <c r="AB1889" s="52"/>
      <c r="AC1889" s="58"/>
      <c r="AD1889" s="57"/>
      <c r="AE1889" s="52"/>
      <c r="AF1889" s="52"/>
      <c r="AG1889" s="58"/>
      <c r="AH1889" s="57"/>
      <c r="AI1889" s="52"/>
      <c r="AJ1889" s="52"/>
      <c r="AK1889" s="58"/>
      <c r="AL1889" s="57"/>
      <c r="AM1889" s="52"/>
      <c r="AN1889" s="52"/>
      <c r="AO1889" s="58"/>
      <c r="AP1889" s="57"/>
      <c r="AQ1889" s="52"/>
      <c r="AR1889" s="52"/>
      <c r="AS1889" s="58"/>
      <c r="AT1889" s="57"/>
      <c r="AU1889" s="52"/>
      <c r="AV1889" s="52"/>
      <c r="AW1889" s="58"/>
      <c r="AX1889" s="33">
        <f t="shared" si="1933"/>
        <v>0</v>
      </c>
      <c r="AY1889" s="31">
        <f t="shared" si="1934"/>
        <v>0</v>
      </c>
      <c r="AZ1889" s="30">
        <f t="shared" si="1935"/>
        <v>0</v>
      </c>
      <c r="BA1889" s="34"/>
      <c r="BB1889" s="34"/>
      <c r="BC1889" s="34"/>
      <c r="BD1889" s="76"/>
      <c r="BE1889" s="34"/>
      <c r="BF1889" s="34"/>
      <c r="BG1889" s="34"/>
      <c r="BH1889" s="34"/>
    </row>
    <row r="1890" spans="1:60" s="17" customFormat="1" ht="19.5" customHeight="1" x14ac:dyDescent="0.35">
      <c r="A1890" s="41">
        <f t="shared" ref="A1890:B1890" si="1939">A1889</f>
        <v>45449</v>
      </c>
      <c r="B1890" s="37" t="str">
        <f t="shared" si="1939"/>
        <v>Kol Reçme</v>
      </c>
      <c r="C1890" s="65">
        <f t="shared" si="1931"/>
        <v>0</v>
      </c>
      <c r="D1890" s="67">
        <f t="shared" si="1932"/>
        <v>60</v>
      </c>
      <c r="E1890" s="57"/>
      <c r="F1890" s="52"/>
      <c r="G1890" s="52"/>
      <c r="H1890" s="58"/>
      <c r="I1890" s="57"/>
      <c r="J1890" s="52"/>
      <c r="K1890" s="52"/>
      <c r="L1890" s="58"/>
      <c r="M1890" s="57"/>
      <c r="N1890" s="52"/>
      <c r="O1890" s="52"/>
      <c r="P1890" s="78"/>
      <c r="Q1890" s="57"/>
      <c r="R1890" s="52"/>
      <c r="S1890" s="52"/>
      <c r="T1890" s="52"/>
      <c r="U1890" s="58"/>
      <c r="V1890" s="80"/>
      <c r="W1890" s="52"/>
      <c r="X1890" s="52"/>
      <c r="Y1890" s="58"/>
      <c r="Z1890" s="57"/>
      <c r="AA1890" s="52"/>
      <c r="AB1890" s="52"/>
      <c r="AC1890" s="58"/>
      <c r="AD1890" s="57"/>
      <c r="AE1890" s="52"/>
      <c r="AF1890" s="52"/>
      <c r="AG1890" s="58"/>
      <c r="AH1890" s="57"/>
      <c r="AI1890" s="52"/>
      <c r="AJ1890" s="52"/>
      <c r="AK1890" s="58"/>
      <c r="AL1890" s="57"/>
      <c r="AM1890" s="52"/>
      <c r="AN1890" s="52"/>
      <c r="AO1890" s="58"/>
      <c r="AP1890" s="57"/>
      <c r="AQ1890" s="52"/>
      <c r="AR1890" s="52"/>
      <c r="AS1890" s="58"/>
      <c r="AT1890" s="57"/>
      <c r="AU1890" s="52"/>
      <c r="AV1890" s="52"/>
      <c r="AW1890" s="58"/>
      <c r="AX1890" s="33">
        <f t="shared" si="1933"/>
        <v>0</v>
      </c>
      <c r="AY1890" s="31">
        <f t="shared" si="1934"/>
        <v>0</v>
      </c>
      <c r="AZ1890" s="30">
        <f t="shared" si="1935"/>
        <v>0</v>
      </c>
      <c r="BA1890" s="34"/>
      <c r="BB1890" s="34"/>
      <c r="BC1890" s="34"/>
      <c r="BD1890" s="76"/>
      <c r="BE1890" s="34"/>
      <c r="BF1890" s="34"/>
      <c r="BG1890" s="34"/>
      <c r="BH1890" s="34"/>
    </row>
    <row r="1891" spans="1:60" s="17" customFormat="1" ht="19.5" customHeight="1" thickBot="1" x14ac:dyDescent="0.4">
      <c r="A1891" s="41">
        <f t="shared" ref="A1891:B1891" si="1940">A1890</f>
        <v>45449</v>
      </c>
      <c r="B1891" s="37" t="str">
        <f t="shared" si="1940"/>
        <v>Kol Reçme</v>
      </c>
      <c r="C1891" s="65">
        <f t="shared" si="1931"/>
        <v>0</v>
      </c>
      <c r="D1891" s="67">
        <f t="shared" si="1932"/>
        <v>60</v>
      </c>
      <c r="E1891" s="59"/>
      <c r="F1891" s="60"/>
      <c r="G1891" s="61"/>
      <c r="H1891" s="62"/>
      <c r="I1891" s="59"/>
      <c r="J1891" s="60"/>
      <c r="K1891" s="61"/>
      <c r="L1891" s="62"/>
      <c r="M1891" s="59"/>
      <c r="N1891" s="60"/>
      <c r="O1891" s="61"/>
      <c r="P1891" s="79"/>
      <c r="Q1891" s="64"/>
      <c r="R1891" s="61"/>
      <c r="S1891" s="61"/>
      <c r="T1891" s="61"/>
      <c r="U1891" s="62"/>
      <c r="V1891" s="81"/>
      <c r="W1891" s="60"/>
      <c r="X1891" s="61"/>
      <c r="Y1891" s="62"/>
      <c r="Z1891" s="59"/>
      <c r="AA1891" s="60"/>
      <c r="AB1891" s="61"/>
      <c r="AC1891" s="62"/>
      <c r="AD1891" s="59"/>
      <c r="AE1891" s="60"/>
      <c r="AF1891" s="61"/>
      <c r="AG1891" s="62"/>
      <c r="AH1891" s="59"/>
      <c r="AI1891" s="60"/>
      <c r="AJ1891" s="61"/>
      <c r="AK1891" s="62"/>
      <c r="AL1891" s="59"/>
      <c r="AM1891" s="60"/>
      <c r="AN1891" s="61"/>
      <c r="AO1891" s="62"/>
      <c r="AP1891" s="59"/>
      <c r="AQ1891" s="60"/>
      <c r="AR1891" s="61"/>
      <c r="AS1891" s="62"/>
      <c r="AT1891" s="59"/>
      <c r="AU1891" s="60"/>
      <c r="AV1891" s="61"/>
      <c r="AW1891" s="62"/>
      <c r="AX1891" s="33">
        <f t="shared" si="1933"/>
        <v>0</v>
      </c>
      <c r="AY1891" s="31">
        <f t="shared" si="1934"/>
        <v>0</v>
      </c>
      <c r="AZ1891" s="30">
        <f t="shared" si="1935"/>
        <v>0</v>
      </c>
      <c r="BA1891" s="34"/>
      <c r="BB1891" s="34"/>
      <c r="BC1891" s="34"/>
      <c r="BD1891" s="76"/>
      <c r="BE1891" s="34"/>
      <c r="BF1891" s="34"/>
      <c r="BG1891" s="34"/>
      <c r="BH1891" s="34"/>
    </row>
    <row r="1892" spans="1:60" s="17" customFormat="1" ht="19.5" customHeight="1" thickBot="1" x14ac:dyDescent="0.45">
      <c r="A1892" s="41">
        <f t="shared" ref="A1892" si="1941">A1891</f>
        <v>45449</v>
      </c>
      <c r="B1892" s="139" t="str">
        <f>B1885</f>
        <v>Kol Reçme</v>
      </c>
      <c r="C1892" s="140"/>
      <c r="D1892" s="40">
        <f>C1766/8</f>
        <v>500</v>
      </c>
      <c r="E1892" s="147">
        <f>SUM(E1885:H1891)</f>
        <v>0</v>
      </c>
      <c r="F1892" s="148"/>
      <c r="G1892" s="148"/>
      <c r="H1892" s="149"/>
      <c r="I1892" s="147">
        <f>SUM(I1885:L1891)</f>
        <v>0</v>
      </c>
      <c r="J1892" s="148"/>
      <c r="K1892" s="148"/>
      <c r="L1892" s="149"/>
      <c r="M1892" s="147">
        <f>SUM(M1885:P1891)</f>
        <v>0</v>
      </c>
      <c r="N1892" s="148"/>
      <c r="O1892" s="148"/>
      <c r="P1892" s="149"/>
      <c r="Q1892" s="151">
        <f>SUM(Q1885:U1891)</f>
        <v>0</v>
      </c>
      <c r="R1892" s="152"/>
      <c r="S1892" s="152"/>
      <c r="T1892" s="152"/>
      <c r="U1892" s="153"/>
      <c r="V1892" s="147">
        <f>SUM(V1885:Y1891)</f>
        <v>0</v>
      </c>
      <c r="W1892" s="148"/>
      <c r="X1892" s="148"/>
      <c r="Y1892" s="149"/>
      <c r="Z1892" s="147">
        <f>SUM(Z1885:AC1891)</f>
        <v>0</v>
      </c>
      <c r="AA1892" s="148"/>
      <c r="AB1892" s="148"/>
      <c r="AC1892" s="149"/>
      <c r="AD1892" s="147">
        <f>SUM(AD1885:AG1891)</f>
        <v>0</v>
      </c>
      <c r="AE1892" s="148"/>
      <c r="AF1892" s="148"/>
      <c r="AG1892" s="149"/>
      <c r="AH1892" s="147">
        <f>SUM(AH1885:AK1891)</f>
        <v>0</v>
      </c>
      <c r="AI1892" s="148"/>
      <c r="AJ1892" s="148"/>
      <c r="AK1892" s="149"/>
      <c r="AL1892" s="147">
        <f>SUM(AL1885:AO1891)</f>
        <v>0</v>
      </c>
      <c r="AM1892" s="148"/>
      <c r="AN1892" s="148"/>
      <c r="AO1892" s="149"/>
      <c r="AP1892" s="147">
        <f>SUM(AP1885:AS1891)</f>
        <v>0</v>
      </c>
      <c r="AQ1892" s="148"/>
      <c r="AR1892" s="148"/>
      <c r="AS1892" s="149"/>
      <c r="AT1892" s="147">
        <f>SUM(AT1885:AW1891)</f>
        <v>0</v>
      </c>
      <c r="AU1892" s="148"/>
      <c r="AV1892" s="148"/>
      <c r="AW1892" s="149"/>
      <c r="AX1892" s="87">
        <f>SUM(AX1885:AX1891)</f>
        <v>0</v>
      </c>
      <c r="AY1892" s="88">
        <f>IFERROR(AVERAGEIF(E1892:AV1892,"&lt;&gt;0",(E1892:AV1892)),)</f>
        <v>0</v>
      </c>
      <c r="AZ1892" s="46">
        <f>IFERROR(AX1892/BB1886,0)</f>
        <v>0</v>
      </c>
      <c r="BA1892" s="34"/>
      <c r="BB1892" s="34"/>
      <c r="BC1892" s="34"/>
      <c r="BD1892" s="76"/>
      <c r="BE1892" s="34"/>
      <c r="BF1892" s="34"/>
      <c r="BG1892" s="34"/>
      <c r="BH1892" s="34"/>
    </row>
    <row r="1893" spans="1:60" s="17" customFormat="1" ht="19.5" customHeight="1" thickBot="1" x14ac:dyDescent="0.4">
      <c r="A1893" s="42">
        <f>A1884</f>
        <v>45449</v>
      </c>
      <c r="B1893" s="38" t="str">
        <f>B1894</f>
        <v>Etek Reçme</v>
      </c>
      <c r="C1893" s="39" t="s">
        <v>180</v>
      </c>
      <c r="D1893" s="69" t="s">
        <v>181</v>
      </c>
      <c r="E1893" s="48">
        <v>0.34375</v>
      </c>
      <c r="F1893" s="49">
        <v>0.35416666666666669</v>
      </c>
      <c r="G1893" s="49">
        <v>0.36458333333333331</v>
      </c>
      <c r="H1893" s="50">
        <v>0.375</v>
      </c>
      <c r="I1893" s="48">
        <v>0.38541666666666702</v>
      </c>
      <c r="J1893" s="49">
        <v>0.39583333333333298</v>
      </c>
      <c r="K1893" s="49">
        <v>0.40625</v>
      </c>
      <c r="L1893" s="50">
        <v>0.41666666666666702</v>
      </c>
      <c r="M1893" s="48">
        <v>0.4375</v>
      </c>
      <c r="N1893" s="49">
        <v>0.44791666666666702</v>
      </c>
      <c r="O1893" s="49">
        <v>0.45833333333333398</v>
      </c>
      <c r="P1893" s="50">
        <v>0.46875</v>
      </c>
      <c r="Q1893" s="82">
        <v>0.47916666666666702</v>
      </c>
      <c r="R1893" s="83">
        <v>0.48958333333333398</v>
      </c>
      <c r="S1893" s="83">
        <v>0.5</v>
      </c>
      <c r="T1893" s="84">
        <v>0.51041666666666696</v>
      </c>
      <c r="U1893" s="85">
        <v>0.52083333333333204</v>
      </c>
      <c r="V1893" s="48">
        <v>0.5625</v>
      </c>
      <c r="W1893" s="49">
        <v>0.57291666666666663</v>
      </c>
      <c r="X1893" s="49">
        <v>0.58333333333333304</v>
      </c>
      <c r="Y1893" s="50">
        <v>0.59375</v>
      </c>
      <c r="Z1893" s="48">
        <v>0.60416666666666696</v>
      </c>
      <c r="AA1893" s="49">
        <v>0.61458333333333304</v>
      </c>
      <c r="AB1893" s="49">
        <v>0.625</v>
      </c>
      <c r="AC1893" s="50">
        <v>0.63541666666666596</v>
      </c>
      <c r="AD1893" s="48">
        <v>0.65625</v>
      </c>
      <c r="AE1893" s="49">
        <v>0.66666666666666663</v>
      </c>
      <c r="AF1893" s="49">
        <v>0.67708333333333304</v>
      </c>
      <c r="AG1893" s="50">
        <v>0.6875</v>
      </c>
      <c r="AH1893" s="48">
        <v>0.69791666666666696</v>
      </c>
      <c r="AI1893" s="49">
        <v>0.70833333333333304</v>
      </c>
      <c r="AJ1893" s="49">
        <v>0.71875</v>
      </c>
      <c r="AK1893" s="50">
        <v>0.72916666666666696</v>
      </c>
      <c r="AL1893" s="48">
        <v>0.73958333333333404</v>
      </c>
      <c r="AM1893" s="49">
        <v>0.750000000000001</v>
      </c>
      <c r="AN1893" s="49">
        <v>0.76041666666666796</v>
      </c>
      <c r="AO1893" s="50">
        <v>0.77083333333333504</v>
      </c>
      <c r="AP1893" s="48">
        <v>0.781250000000002</v>
      </c>
      <c r="AQ1893" s="49">
        <v>0.79166666666666896</v>
      </c>
      <c r="AR1893" s="49">
        <v>0.80208333333333603</v>
      </c>
      <c r="AS1893" s="50">
        <v>0.812500000000003</v>
      </c>
      <c r="AT1893" s="48">
        <v>0.82291666666666996</v>
      </c>
      <c r="AU1893" s="49">
        <v>0.83333333333333703</v>
      </c>
      <c r="AV1893" s="49">
        <v>0.843750000000004</v>
      </c>
      <c r="AW1893" s="50">
        <v>0.85416666666666663</v>
      </c>
      <c r="AX1893" s="68" t="s">
        <v>260</v>
      </c>
      <c r="AY1893" s="28" t="s">
        <v>261</v>
      </c>
      <c r="AZ1893" s="29" t="s">
        <v>262</v>
      </c>
      <c r="BA1893" s="136" t="str">
        <f>B1894</f>
        <v>Etek Reçme</v>
      </c>
      <c r="BB1893" s="137"/>
      <c r="BC1893" s="137"/>
      <c r="BD1893" s="137"/>
      <c r="BE1893" s="137"/>
      <c r="BF1893" s="137"/>
      <c r="BG1893" s="137"/>
      <c r="BH1893" s="138"/>
    </row>
    <row r="1894" spans="1:60" s="17" customFormat="1" ht="19.5" customHeight="1" thickBot="1" x14ac:dyDescent="0.4">
      <c r="A1894" s="41">
        <f t="shared" ref="A1894" si="1942">A1893</f>
        <v>45449</v>
      </c>
      <c r="B1894" s="37" t="str">
        <f>B1718</f>
        <v>Etek Reçme</v>
      </c>
      <c r="C1894" s="65" t="str">
        <f>C1718</f>
        <v>BEGÜM DURMAZ</v>
      </c>
      <c r="D1894" s="70">
        <f>D1718</f>
        <v>120</v>
      </c>
      <c r="E1894" s="63"/>
      <c r="F1894" s="55"/>
      <c r="G1894" s="55"/>
      <c r="H1894" s="56"/>
      <c r="I1894" s="63"/>
      <c r="J1894" s="55"/>
      <c r="K1894" s="55"/>
      <c r="L1894" s="56"/>
      <c r="M1894" s="63"/>
      <c r="N1894" s="55"/>
      <c r="O1894" s="55"/>
      <c r="P1894" s="56"/>
      <c r="Q1894" s="63"/>
      <c r="R1894" s="55"/>
      <c r="S1894" s="55"/>
      <c r="T1894" s="55"/>
      <c r="U1894" s="56"/>
      <c r="V1894" s="63"/>
      <c r="W1894" s="55"/>
      <c r="X1894" s="55"/>
      <c r="Y1894" s="56"/>
      <c r="Z1894" s="63"/>
      <c r="AA1894" s="55"/>
      <c r="AB1894" s="55"/>
      <c r="AC1894" s="56"/>
      <c r="AD1894" s="63"/>
      <c r="AE1894" s="55"/>
      <c r="AF1894" s="55"/>
      <c r="AG1894" s="56"/>
      <c r="AH1894" s="63"/>
      <c r="AI1894" s="55"/>
      <c r="AJ1894" s="55"/>
      <c r="AK1894" s="56"/>
      <c r="AL1894" s="53"/>
      <c r="AM1894" s="54"/>
      <c r="AN1894" s="55"/>
      <c r="AO1894" s="56"/>
      <c r="AP1894" s="53"/>
      <c r="AQ1894" s="54"/>
      <c r="AR1894" s="55"/>
      <c r="AS1894" s="56"/>
      <c r="AT1894" s="53"/>
      <c r="AU1894" s="54"/>
      <c r="AV1894" s="55"/>
      <c r="AW1894" s="56"/>
      <c r="AX1894" s="33">
        <f>SUM(E1894:AW1894)</f>
        <v>0</v>
      </c>
      <c r="AY1894" s="31">
        <f>IFERROR(AVERAGEIF(E1894:AW1894,"&lt;&gt;0",(E1894:AW1894)),)</f>
        <v>0</v>
      </c>
      <c r="AZ1894" s="30">
        <f>IFERROR(AY1894/D1894,0)</f>
        <v>0</v>
      </c>
      <c r="BA1894" s="103" t="s">
        <v>182</v>
      </c>
      <c r="BB1894" s="100" t="s">
        <v>183</v>
      </c>
      <c r="BC1894" s="100" t="s">
        <v>184</v>
      </c>
      <c r="BD1894" s="101" t="s">
        <v>185</v>
      </c>
      <c r="BE1894" s="100" t="s">
        <v>186</v>
      </c>
      <c r="BF1894" s="102" t="s">
        <v>187</v>
      </c>
      <c r="BG1894" s="100" t="s">
        <v>188</v>
      </c>
      <c r="BH1894" s="102" t="s">
        <v>189</v>
      </c>
    </row>
    <row r="1895" spans="1:60" s="17" customFormat="1" ht="19.5" customHeight="1" thickBot="1" x14ac:dyDescent="0.4">
      <c r="A1895" s="41">
        <f t="shared" ref="A1895:B1895" si="1943">A1894</f>
        <v>45449</v>
      </c>
      <c r="B1895" s="37" t="str">
        <f t="shared" si="1943"/>
        <v>Etek Reçme</v>
      </c>
      <c r="C1895" s="65">
        <f t="shared" ref="C1895:C1900" si="1944">C1719</f>
        <v>0</v>
      </c>
      <c r="D1895" s="67">
        <f t="shared" ref="D1895:D1900" si="1945">D1894</f>
        <v>120</v>
      </c>
      <c r="E1895" s="57"/>
      <c r="F1895" s="52"/>
      <c r="G1895" s="52"/>
      <c r="H1895" s="58"/>
      <c r="I1895" s="57"/>
      <c r="J1895" s="52"/>
      <c r="K1895" s="52"/>
      <c r="L1895" s="58"/>
      <c r="M1895" s="57"/>
      <c r="N1895" s="52"/>
      <c r="O1895" s="52"/>
      <c r="P1895" s="58"/>
      <c r="Q1895" s="57"/>
      <c r="R1895" s="52"/>
      <c r="S1895" s="52"/>
      <c r="T1895" s="52"/>
      <c r="U1895" s="58"/>
      <c r="V1895" s="57"/>
      <c r="W1895" s="52"/>
      <c r="X1895" s="52"/>
      <c r="Y1895" s="58"/>
      <c r="Z1895" s="57"/>
      <c r="AA1895" s="52"/>
      <c r="AB1895" s="52"/>
      <c r="AC1895" s="58"/>
      <c r="AD1895" s="57"/>
      <c r="AE1895" s="52"/>
      <c r="AF1895" s="52"/>
      <c r="AG1895" s="58"/>
      <c r="AH1895" s="57"/>
      <c r="AI1895" s="52"/>
      <c r="AJ1895" s="52"/>
      <c r="AK1895" s="58"/>
      <c r="AL1895" s="57"/>
      <c r="AM1895" s="52"/>
      <c r="AN1895" s="52"/>
      <c r="AO1895" s="58"/>
      <c r="AP1895" s="57"/>
      <c r="AQ1895" s="52"/>
      <c r="AR1895" s="52"/>
      <c r="AS1895" s="58"/>
      <c r="AT1895" s="57"/>
      <c r="AU1895" s="52"/>
      <c r="AV1895" s="52"/>
      <c r="AW1895" s="58"/>
      <c r="AX1895" s="33">
        <f t="shared" ref="AX1895:AX1900" si="1946">SUM(E1895:AW1895)</f>
        <v>0</v>
      </c>
      <c r="AY1895" s="31">
        <f t="shared" ref="AY1895:AY1900" si="1947">IFERROR(AVERAGEIF(E1895:AW1895,"&lt;&gt;0",(E1895:AW1895)),)</f>
        <v>0</v>
      </c>
      <c r="AZ1895" s="30">
        <f t="shared" ref="AZ1895:AZ1900" si="1948">IFERROR(AY1895/D1895,0)</f>
        <v>0</v>
      </c>
      <c r="BA1895" s="94">
        <f>AX1901+BA1719</f>
        <v>15508</v>
      </c>
      <c r="BB1895" s="95">
        <f>(D1901*8)</f>
        <v>4000</v>
      </c>
      <c r="BC1895" s="96">
        <f>C1765-BA1895</f>
        <v>26803</v>
      </c>
      <c r="BD1895" s="96">
        <f>BA1886-BA1895</f>
        <v>320</v>
      </c>
      <c r="BE1895" s="97">
        <f>IFERROR(BC1895/E1901,0)</f>
        <v>0</v>
      </c>
      <c r="BF1895" s="98">
        <f>IFERROR(BE1895/9,0)</f>
        <v>0</v>
      </c>
      <c r="BG1895" s="97">
        <f>IFERROR(BC1895/AY1901,0)</f>
        <v>0</v>
      </c>
      <c r="BH1895" s="97">
        <f>IFERROR(BG1895/9,0)</f>
        <v>0</v>
      </c>
    </row>
    <row r="1896" spans="1:60" s="17" customFormat="1" ht="19.5" customHeight="1" x14ac:dyDescent="0.35">
      <c r="A1896" s="41">
        <f t="shared" ref="A1896:B1896" si="1949">A1895</f>
        <v>45449</v>
      </c>
      <c r="B1896" s="37" t="str">
        <f t="shared" si="1949"/>
        <v>Etek Reçme</v>
      </c>
      <c r="C1896" s="65">
        <f t="shared" si="1944"/>
        <v>0</v>
      </c>
      <c r="D1896" s="67">
        <f t="shared" si="1945"/>
        <v>120</v>
      </c>
      <c r="E1896" s="57"/>
      <c r="F1896" s="52"/>
      <c r="G1896" s="52"/>
      <c r="H1896" s="58"/>
      <c r="I1896" s="57"/>
      <c r="J1896" s="52"/>
      <c r="K1896" s="52"/>
      <c r="L1896" s="58"/>
      <c r="M1896" s="57"/>
      <c r="N1896" s="52"/>
      <c r="O1896" s="52"/>
      <c r="P1896" s="58"/>
      <c r="Q1896" s="57"/>
      <c r="R1896" s="52"/>
      <c r="S1896" s="52"/>
      <c r="T1896" s="52"/>
      <c r="U1896" s="58"/>
      <c r="V1896" s="57"/>
      <c r="W1896" s="52"/>
      <c r="X1896" s="52"/>
      <c r="Y1896" s="58"/>
      <c r="Z1896" s="57"/>
      <c r="AA1896" s="52"/>
      <c r="AB1896" s="52"/>
      <c r="AC1896" s="58"/>
      <c r="AD1896" s="57"/>
      <c r="AE1896" s="52"/>
      <c r="AF1896" s="52"/>
      <c r="AG1896" s="58"/>
      <c r="AH1896" s="57"/>
      <c r="AI1896" s="52"/>
      <c r="AJ1896" s="52"/>
      <c r="AK1896" s="58"/>
      <c r="AL1896" s="57"/>
      <c r="AM1896" s="52"/>
      <c r="AN1896" s="52"/>
      <c r="AO1896" s="58"/>
      <c r="AP1896" s="57"/>
      <c r="AQ1896" s="52"/>
      <c r="AR1896" s="52"/>
      <c r="AS1896" s="58"/>
      <c r="AT1896" s="57"/>
      <c r="AU1896" s="52"/>
      <c r="AV1896" s="52"/>
      <c r="AW1896" s="58"/>
      <c r="AX1896" s="33">
        <f t="shared" si="1946"/>
        <v>0</v>
      </c>
      <c r="AY1896" s="31">
        <f t="shared" si="1947"/>
        <v>0</v>
      </c>
      <c r="AZ1896" s="30">
        <f t="shared" si="1948"/>
        <v>0</v>
      </c>
      <c r="BA1896" s="34"/>
      <c r="BB1896" s="34"/>
      <c r="BC1896" s="34"/>
      <c r="BD1896" s="76"/>
      <c r="BE1896" s="34"/>
      <c r="BF1896" s="34"/>
      <c r="BG1896" s="34"/>
      <c r="BH1896" s="34"/>
    </row>
    <row r="1897" spans="1:60" s="17" customFormat="1" ht="19.5" customHeight="1" x14ac:dyDescent="0.35">
      <c r="A1897" s="41">
        <f t="shared" ref="A1897:B1897" si="1950">A1896</f>
        <v>45449</v>
      </c>
      <c r="B1897" s="37" t="str">
        <f t="shared" si="1950"/>
        <v>Etek Reçme</v>
      </c>
      <c r="C1897" s="65">
        <f t="shared" si="1944"/>
        <v>0</v>
      </c>
      <c r="D1897" s="67">
        <f t="shared" si="1945"/>
        <v>120</v>
      </c>
      <c r="E1897" s="57"/>
      <c r="F1897" s="52"/>
      <c r="G1897" s="52"/>
      <c r="H1897" s="58"/>
      <c r="I1897" s="57"/>
      <c r="J1897" s="52"/>
      <c r="K1897" s="52"/>
      <c r="L1897" s="58"/>
      <c r="M1897" s="57"/>
      <c r="N1897" s="52"/>
      <c r="O1897" s="52"/>
      <c r="P1897" s="58"/>
      <c r="Q1897" s="57"/>
      <c r="R1897" s="52"/>
      <c r="S1897" s="52"/>
      <c r="T1897" s="52"/>
      <c r="U1897" s="58"/>
      <c r="V1897" s="57"/>
      <c r="W1897" s="52"/>
      <c r="X1897" s="52"/>
      <c r="Y1897" s="58"/>
      <c r="Z1897" s="57"/>
      <c r="AA1897" s="52"/>
      <c r="AB1897" s="52"/>
      <c r="AC1897" s="58"/>
      <c r="AD1897" s="57"/>
      <c r="AE1897" s="52"/>
      <c r="AF1897" s="52"/>
      <c r="AG1897" s="58"/>
      <c r="AH1897" s="57"/>
      <c r="AI1897" s="52"/>
      <c r="AJ1897" s="52"/>
      <c r="AK1897" s="58"/>
      <c r="AL1897" s="57"/>
      <c r="AM1897" s="52"/>
      <c r="AN1897" s="52"/>
      <c r="AO1897" s="58"/>
      <c r="AP1897" s="57"/>
      <c r="AQ1897" s="52"/>
      <c r="AR1897" s="52"/>
      <c r="AS1897" s="58"/>
      <c r="AT1897" s="57"/>
      <c r="AU1897" s="52"/>
      <c r="AV1897" s="52"/>
      <c r="AW1897" s="58"/>
      <c r="AX1897" s="33">
        <f t="shared" si="1946"/>
        <v>0</v>
      </c>
      <c r="AY1897" s="31">
        <f t="shared" si="1947"/>
        <v>0</v>
      </c>
      <c r="AZ1897" s="30">
        <f t="shared" si="1948"/>
        <v>0</v>
      </c>
      <c r="BA1897" s="34"/>
      <c r="BB1897" s="34"/>
      <c r="BC1897" s="34"/>
      <c r="BD1897" s="76"/>
      <c r="BE1897" s="34"/>
      <c r="BF1897" s="34"/>
      <c r="BG1897" s="34"/>
      <c r="BH1897" s="34"/>
    </row>
    <row r="1898" spans="1:60" s="17" customFormat="1" ht="19.5" customHeight="1" x14ac:dyDescent="0.35">
      <c r="A1898" s="41">
        <f>A1895</f>
        <v>45449</v>
      </c>
      <c r="B1898" s="37" t="str">
        <f t="shared" ref="B1898" si="1951">B1897</f>
        <v>Etek Reçme</v>
      </c>
      <c r="C1898" s="65">
        <f t="shared" si="1944"/>
        <v>0</v>
      </c>
      <c r="D1898" s="67">
        <f t="shared" si="1945"/>
        <v>120</v>
      </c>
      <c r="E1898" s="57"/>
      <c r="F1898" s="52"/>
      <c r="G1898" s="52"/>
      <c r="H1898" s="58"/>
      <c r="I1898" s="57"/>
      <c r="J1898" s="52"/>
      <c r="K1898" s="52"/>
      <c r="L1898" s="58"/>
      <c r="M1898" s="57"/>
      <c r="N1898" s="52"/>
      <c r="O1898" s="52"/>
      <c r="P1898" s="58"/>
      <c r="Q1898" s="57"/>
      <c r="R1898" s="52"/>
      <c r="S1898" s="52"/>
      <c r="T1898" s="52"/>
      <c r="U1898" s="58"/>
      <c r="V1898" s="57"/>
      <c r="W1898" s="52"/>
      <c r="X1898" s="52"/>
      <c r="Y1898" s="58"/>
      <c r="Z1898" s="57"/>
      <c r="AA1898" s="52"/>
      <c r="AB1898" s="52"/>
      <c r="AC1898" s="58"/>
      <c r="AD1898" s="57"/>
      <c r="AE1898" s="52"/>
      <c r="AF1898" s="52"/>
      <c r="AG1898" s="58"/>
      <c r="AH1898" s="57"/>
      <c r="AI1898" s="52"/>
      <c r="AJ1898" s="52"/>
      <c r="AK1898" s="58"/>
      <c r="AL1898" s="57"/>
      <c r="AM1898" s="52"/>
      <c r="AN1898" s="52"/>
      <c r="AO1898" s="58"/>
      <c r="AP1898" s="57"/>
      <c r="AQ1898" s="52"/>
      <c r="AR1898" s="52"/>
      <c r="AS1898" s="58"/>
      <c r="AT1898" s="57"/>
      <c r="AU1898" s="52"/>
      <c r="AV1898" s="52"/>
      <c r="AW1898" s="58"/>
      <c r="AX1898" s="33">
        <f t="shared" si="1946"/>
        <v>0</v>
      </c>
      <c r="AY1898" s="31">
        <f t="shared" si="1947"/>
        <v>0</v>
      </c>
      <c r="AZ1898" s="30">
        <f t="shared" si="1948"/>
        <v>0</v>
      </c>
      <c r="BA1898" s="34"/>
      <c r="BB1898" s="34"/>
      <c r="BC1898" s="34"/>
      <c r="BD1898" s="76"/>
      <c r="BE1898" s="34"/>
      <c r="BF1898" s="34"/>
      <c r="BG1898" s="34"/>
      <c r="BH1898" s="34"/>
    </row>
    <row r="1899" spans="1:60" s="17" customFormat="1" ht="19.5" customHeight="1" x14ac:dyDescent="0.35">
      <c r="A1899" s="41">
        <f t="shared" ref="A1899:B1899" si="1952">A1898</f>
        <v>45449</v>
      </c>
      <c r="B1899" s="37" t="str">
        <f t="shared" si="1952"/>
        <v>Etek Reçme</v>
      </c>
      <c r="C1899" s="65">
        <f t="shared" si="1944"/>
        <v>0</v>
      </c>
      <c r="D1899" s="67">
        <f t="shared" si="1945"/>
        <v>120</v>
      </c>
      <c r="E1899" s="57"/>
      <c r="F1899" s="52"/>
      <c r="G1899" s="52"/>
      <c r="H1899" s="58"/>
      <c r="I1899" s="57"/>
      <c r="J1899" s="52"/>
      <c r="K1899" s="52"/>
      <c r="L1899" s="58"/>
      <c r="M1899" s="57"/>
      <c r="N1899" s="52"/>
      <c r="O1899" s="52"/>
      <c r="P1899" s="78"/>
      <c r="Q1899" s="57"/>
      <c r="R1899" s="52"/>
      <c r="S1899" s="52"/>
      <c r="T1899" s="52"/>
      <c r="U1899" s="58"/>
      <c r="V1899" s="80"/>
      <c r="W1899" s="52"/>
      <c r="X1899" s="52"/>
      <c r="Y1899" s="58"/>
      <c r="Z1899" s="57"/>
      <c r="AA1899" s="52"/>
      <c r="AB1899" s="52"/>
      <c r="AC1899" s="58"/>
      <c r="AD1899" s="57"/>
      <c r="AE1899" s="52"/>
      <c r="AF1899" s="52"/>
      <c r="AG1899" s="58"/>
      <c r="AH1899" s="57"/>
      <c r="AI1899" s="52"/>
      <c r="AJ1899" s="52"/>
      <c r="AK1899" s="58"/>
      <c r="AL1899" s="57"/>
      <c r="AM1899" s="52"/>
      <c r="AN1899" s="52"/>
      <c r="AO1899" s="58"/>
      <c r="AP1899" s="57"/>
      <c r="AQ1899" s="52"/>
      <c r="AR1899" s="52"/>
      <c r="AS1899" s="58"/>
      <c r="AT1899" s="57"/>
      <c r="AU1899" s="52"/>
      <c r="AV1899" s="52"/>
      <c r="AW1899" s="58"/>
      <c r="AX1899" s="33">
        <f t="shared" si="1946"/>
        <v>0</v>
      </c>
      <c r="AY1899" s="31">
        <f t="shared" si="1947"/>
        <v>0</v>
      </c>
      <c r="AZ1899" s="30">
        <f t="shared" si="1948"/>
        <v>0</v>
      </c>
      <c r="BA1899" s="34"/>
      <c r="BB1899" s="34"/>
      <c r="BC1899" s="34"/>
      <c r="BD1899" s="76"/>
      <c r="BE1899" s="34"/>
      <c r="BF1899" s="34"/>
      <c r="BG1899" s="34"/>
      <c r="BH1899" s="34"/>
    </row>
    <row r="1900" spans="1:60" s="17" customFormat="1" ht="19.5" customHeight="1" thickBot="1" x14ac:dyDescent="0.4">
      <c r="A1900" s="41">
        <f t="shared" ref="A1900:B1900" si="1953">A1899</f>
        <v>45449</v>
      </c>
      <c r="B1900" s="37" t="str">
        <f t="shared" si="1953"/>
        <v>Etek Reçme</v>
      </c>
      <c r="C1900" s="65">
        <f t="shared" si="1944"/>
        <v>0</v>
      </c>
      <c r="D1900" s="67">
        <f t="shared" si="1945"/>
        <v>120</v>
      </c>
      <c r="E1900" s="59"/>
      <c r="F1900" s="60"/>
      <c r="G1900" s="61"/>
      <c r="H1900" s="62"/>
      <c r="I1900" s="59"/>
      <c r="J1900" s="60"/>
      <c r="K1900" s="61"/>
      <c r="L1900" s="62"/>
      <c r="M1900" s="59"/>
      <c r="N1900" s="60"/>
      <c r="O1900" s="61"/>
      <c r="P1900" s="79"/>
      <c r="Q1900" s="64"/>
      <c r="R1900" s="61"/>
      <c r="S1900" s="61"/>
      <c r="T1900" s="61"/>
      <c r="U1900" s="62"/>
      <c r="V1900" s="81"/>
      <c r="W1900" s="60"/>
      <c r="X1900" s="61"/>
      <c r="Y1900" s="62"/>
      <c r="Z1900" s="59"/>
      <c r="AA1900" s="60"/>
      <c r="AB1900" s="61"/>
      <c r="AC1900" s="62"/>
      <c r="AD1900" s="59"/>
      <c r="AE1900" s="60"/>
      <c r="AF1900" s="61"/>
      <c r="AG1900" s="62"/>
      <c r="AH1900" s="59"/>
      <c r="AI1900" s="60"/>
      <c r="AJ1900" s="61"/>
      <c r="AK1900" s="62"/>
      <c r="AL1900" s="59"/>
      <c r="AM1900" s="60"/>
      <c r="AN1900" s="61"/>
      <c r="AO1900" s="62"/>
      <c r="AP1900" s="59"/>
      <c r="AQ1900" s="60"/>
      <c r="AR1900" s="61"/>
      <c r="AS1900" s="62"/>
      <c r="AT1900" s="59"/>
      <c r="AU1900" s="60"/>
      <c r="AV1900" s="61"/>
      <c r="AW1900" s="62"/>
      <c r="AX1900" s="33">
        <f t="shared" si="1946"/>
        <v>0</v>
      </c>
      <c r="AY1900" s="31">
        <f t="shared" si="1947"/>
        <v>0</v>
      </c>
      <c r="AZ1900" s="30">
        <f t="shared" si="1948"/>
        <v>0</v>
      </c>
      <c r="BA1900" s="34"/>
      <c r="BB1900" s="34"/>
      <c r="BC1900" s="34"/>
      <c r="BD1900" s="76"/>
      <c r="BE1900" s="34"/>
      <c r="BF1900" s="34"/>
      <c r="BG1900" s="34"/>
      <c r="BH1900" s="34"/>
    </row>
    <row r="1901" spans="1:60" s="17" customFormat="1" ht="19.5" customHeight="1" thickBot="1" x14ac:dyDescent="0.45">
      <c r="A1901" s="41">
        <f t="shared" ref="A1901" si="1954">A1900</f>
        <v>45449</v>
      </c>
      <c r="B1901" s="139" t="str">
        <f>B1894</f>
        <v>Etek Reçme</v>
      </c>
      <c r="C1901" s="140"/>
      <c r="D1901" s="40">
        <f>C1766/8</f>
        <v>500</v>
      </c>
      <c r="E1901" s="147">
        <f>SUM(E1894:H1900)</f>
        <v>0</v>
      </c>
      <c r="F1901" s="148"/>
      <c r="G1901" s="148"/>
      <c r="H1901" s="149"/>
      <c r="I1901" s="147">
        <f>SUM(I1894:L1900)</f>
        <v>0</v>
      </c>
      <c r="J1901" s="148"/>
      <c r="K1901" s="148"/>
      <c r="L1901" s="149"/>
      <c r="M1901" s="147">
        <f>SUM(M1894:P1900)</f>
        <v>0</v>
      </c>
      <c r="N1901" s="148"/>
      <c r="O1901" s="148"/>
      <c r="P1901" s="149"/>
      <c r="Q1901" s="151">
        <f>SUM(Q1894:U1900)</f>
        <v>0</v>
      </c>
      <c r="R1901" s="152"/>
      <c r="S1901" s="152"/>
      <c r="T1901" s="152"/>
      <c r="U1901" s="153"/>
      <c r="V1901" s="147">
        <f>SUM(V1894:Y1900)</f>
        <v>0</v>
      </c>
      <c r="W1901" s="148"/>
      <c r="X1901" s="148"/>
      <c r="Y1901" s="149"/>
      <c r="Z1901" s="147">
        <f>SUM(Z1894:AC1900)</f>
        <v>0</v>
      </c>
      <c r="AA1901" s="148"/>
      <c r="AB1901" s="148"/>
      <c r="AC1901" s="149"/>
      <c r="AD1901" s="147">
        <f>SUM(AD1894:AG1900)</f>
        <v>0</v>
      </c>
      <c r="AE1901" s="148"/>
      <c r="AF1901" s="148"/>
      <c r="AG1901" s="149"/>
      <c r="AH1901" s="147">
        <f>SUM(AH1894:AK1900)</f>
        <v>0</v>
      </c>
      <c r="AI1901" s="148"/>
      <c r="AJ1901" s="148"/>
      <c r="AK1901" s="149"/>
      <c r="AL1901" s="147">
        <f>SUM(AL1894:AO1900)</f>
        <v>0</v>
      </c>
      <c r="AM1901" s="148"/>
      <c r="AN1901" s="148"/>
      <c r="AO1901" s="149"/>
      <c r="AP1901" s="147">
        <f>SUM(AP1894:AS1900)</f>
        <v>0</v>
      </c>
      <c r="AQ1901" s="148"/>
      <c r="AR1901" s="148"/>
      <c r="AS1901" s="149"/>
      <c r="AT1901" s="147">
        <f>SUM(AT1894:AW1900)</f>
        <v>0</v>
      </c>
      <c r="AU1901" s="148"/>
      <c r="AV1901" s="148"/>
      <c r="AW1901" s="149"/>
      <c r="AX1901" s="87">
        <f>SUM(AX1894:AX1900)</f>
        <v>0</v>
      </c>
      <c r="AY1901" s="88">
        <f>IFERROR(AVERAGEIF(E1901:AV1901,"&lt;&gt;0",(E1901:AV1901)),)</f>
        <v>0</v>
      </c>
      <c r="AZ1901" s="46">
        <f>IFERROR(AX1901/BB1895,0)</f>
        <v>0</v>
      </c>
      <c r="BA1901" s="34"/>
      <c r="BB1901" s="34"/>
      <c r="BC1901" s="34"/>
      <c r="BD1901" s="76"/>
      <c r="BE1901" s="34"/>
      <c r="BF1901" s="34"/>
      <c r="BG1901" s="34"/>
      <c r="BH1901" s="34"/>
    </row>
    <row r="1902" spans="1:60" s="17" customFormat="1" ht="19.5" customHeight="1" thickBot="1" x14ac:dyDescent="0.4">
      <c r="A1902" s="42">
        <f>A1866</f>
        <v>45449</v>
      </c>
      <c r="B1902" s="38" t="str">
        <f>B1903</f>
        <v>Çevirme</v>
      </c>
      <c r="C1902" s="39" t="s">
        <v>180</v>
      </c>
      <c r="D1902" s="69" t="s">
        <v>181</v>
      </c>
      <c r="E1902" s="48">
        <v>0.34375</v>
      </c>
      <c r="F1902" s="49">
        <v>0.35416666666666669</v>
      </c>
      <c r="G1902" s="49">
        <v>0.36458333333333331</v>
      </c>
      <c r="H1902" s="50">
        <v>0.375</v>
      </c>
      <c r="I1902" s="48">
        <v>0.38541666666666702</v>
      </c>
      <c r="J1902" s="49">
        <v>0.39583333333333298</v>
      </c>
      <c r="K1902" s="49">
        <v>0.40625</v>
      </c>
      <c r="L1902" s="50">
        <v>0.41666666666666702</v>
      </c>
      <c r="M1902" s="48">
        <v>0.4375</v>
      </c>
      <c r="N1902" s="49">
        <v>0.44791666666666702</v>
      </c>
      <c r="O1902" s="49">
        <v>0.45833333333333398</v>
      </c>
      <c r="P1902" s="50">
        <v>0.46875</v>
      </c>
      <c r="Q1902" s="48">
        <v>0.47916666666666702</v>
      </c>
      <c r="R1902" s="49">
        <v>0.48958333333333398</v>
      </c>
      <c r="S1902" s="49">
        <v>0.5</v>
      </c>
      <c r="T1902" s="50">
        <v>0.51041666666666696</v>
      </c>
      <c r="U1902" s="51">
        <v>0.52083333333333204</v>
      </c>
      <c r="V1902" s="48">
        <v>0.5625</v>
      </c>
      <c r="W1902" s="49">
        <v>0.57291666666666663</v>
      </c>
      <c r="X1902" s="49">
        <v>0.58333333333333304</v>
      </c>
      <c r="Y1902" s="50">
        <v>0.59375</v>
      </c>
      <c r="Z1902" s="48">
        <v>0.60416666666666696</v>
      </c>
      <c r="AA1902" s="49">
        <v>0.61458333333333304</v>
      </c>
      <c r="AB1902" s="49">
        <v>0.625</v>
      </c>
      <c r="AC1902" s="50">
        <v>0.63541666666666596</v>
      </c>
      <c r="AD1902" s="48">
        <v>0.65625</v>
      </c>
      <c r="AE1902" s="49">
        <v>0.66666666666666663</v>
      </c>
      <c r="AF1902" s="49">
        <v>0.67708333333333304</v>
      </c>
      <c r="AG1902" s="50">
        <v>0.6875</v>
      </c>
      <c r="AH1902" s="48">
        <v>0.69791666666666696</v>
      </c>
      <c r="AI1902" s="49">
        <v>0.70833333333333304</v>
      </c>
      <c r="AJ1902" s="49">
        <v>0.71875</v>
      </c>
      <c r="AK1902" s="50">
        <v>0.72916666666666696</v>
      </c>
      <c r="AL1902" s="48">
        <v>0.73958333333333404</v>
      </c>
      <c r="AM1902" s="49">
        <v>0.750000000000001</v>
      </c>
      <c r="AN1902" s="49">
        <v>0.76041666666666796</v>
      </c>
      <c r="AO1902" s="50">
        <v>0.77083333333333504</v>
      </c>
      <c r="AP1902" s="48">
        <v>0.781250000000002</v>
      </c>
      <c r="AQ1902" s="49">
        <v>0.79166666666666896</v>
      </c>
      <c r="AR1902" s="49">
        <v>0.80208333333333603</v>
      </c>
      <c r="AS1902" s="50">
        <v>0.812500000000003</v>
      </c>
      <c r="AT1902" s="48">
        <v>0.82291666666666996</v>
      </c>
      <c r="AU1902" s="49">
        <v>0.83333333333333703</v>
      </c>
      <c r="AV1902" s="49">
        <v>0.843750000000004</v>
      </c>
      <c r="AW1902" s="50">
        <v>0.85416666666666663</v>
      </c>
      <c r="AX1902" s="68" t="s">
        <v>260</v>
      </c>
      <c r="AY1902" s="28" t="s">
        <v>261</v>
      </c>
      <c r="AZ1902" s="29" t="s">
        <v>262</v>
      </c>
      <c r="BA1902" s="136" t="str">
        <f>B1903</f>
        <v>Çevirme</v>
      </c>
      <c r="BB1902" s="137"/>
      <c r="BC1902" s="137"/>
      <c r="BD1902" s="137"/>
      <c r="BE1902" s="137"/>
      <c r="BF1902" s="137"/>
      <c r="BG1902" s="137"/>
      <c r="BH1902" s="138"/>
    </row>
    <row r="1903" spans="1:60" s="17" customFormat="1" ht="19.5" customHeight="1" thickBot="1" x14ac:dyDescent="0.4">
      <c r="A1903" s="41">
        <f t="shared" ref="A1903" si="1955">A1902</f>
        <v>45449</v>
      </c>
      <c r="B1903" s="37" t="str">
        <f>B1727</f>
        <v>Çevirme</v>
      </c>
      <c r="C1903" s="65" t="str">
        <f>C1727</f>
        <v>SEZER BOZKURT</v>
      </c>
      <c r="D1903" s="70">
        <f>D1691</f>
        <v>40</v>
      </c>
      <c r="E1903" s="63"/>
      <c r="F1903" s="55"/>
      <c r="G1903" s="55"/>
      <c r="H1903" s="56"/>
      <c r="I1903" s="63"/>
      <c r="J1903" s="55"/>
      <c r="K1903" s="55"/>
      <c r="L1903" s="56"/>
      <c r="M1903" s="63"/>
      <c r="N1903" s="55"/>
      <c r="O1903" s="55"/>
      <c r="P1903" s="56"/>
      <c r="Q1903" s="63"/>
      <c r="R1903" s="55"/>
      <c r="S1903" s="55"/>
      <c r="T1903" s="55"/>
      <c r="U1903" s="56"/>
      <c r="V1903" s="63"/>
      <c r="W1903" s="55"/>
      <c r="X1903" s="55"/>
      <c r="Y1903" s="56"/>
      <c r="Z1903" s="63"/>
      <c r="AA1903" s="55"/>
      <c r="AB1903" s="55"/>
      <c r="AC1903" s="56"/>
      <c r="AD1903" s="63"/>
      <c r="AE1903" s="55"/>
      <c r="AF1903" s="55"/>
      <c r="AG1903" s="56"/>
      <c r="AH1903" s="63"/>
      <c r="AI1903" s="55"/>
      <c r="AJ1903" s="55"/>
      <c r="AK1903" s="56"/>
      <c r="AL1903" s="63"/>
      <c r="AM1903" s="55"/>
      <c r="AN1903" s="55"/>
      <c r="AO1903" s="56"/>
      <c r="AP1903" s="63"/>
      <c r="AQ1903" s="55"/>
      <c r="AR1903" s="55"/>
      <c r="AS1903" s="56"/>
      <c r="AT1903" s="53"/>
      <c r="AU1903" s="54"/>
      <c r="AV1903" s="55"/>
      <c r="AW1903" s="56"/>
      <c r="AX1903" s="33">
        <f>SUM(E1903:AW1903)</f>
        <v>0</v>
      </c>
      <c r="AY1903" s="31">
        <f>IFERROR(AVERAGEIF(E1903:AW1903,"&lt;&gt;0",(E1903:AW1903)),)</f>
        <v>0</v>
      </c>
      <c r="AZ1903" s="30">
        <f>IFERROR(AY1903/D1903,0)</f>
        <v>0</v>
      </c>
      <c r="BA1903" s="103" t="s">
        <v>182</v>
      </c>
      <c r="BB1903" s="100" t="s">
        <v>183</v>
      </c>
      <c r="BC1903" s="100" t="s">
        <v>184</v>
      </c>
      <c r="BD1903" s="101" t="s">
        <v>185</v>
      </c>
      <c r="BE1903" s="100" t="s">
        <v>186</v>
      </c>
      <c r="BF1903" s="102" t="s">
        <v>187</v>
      </c>
      <c r="BG1903" s="100" t="s">
        <v>188</v>
      </c>
      <c r="BH1903" s="102" t="s">
        <v>189</v>
      </c>
    </row>
    <row r="1904" spans="1:60" s="17" customFormat="1" ht="19.5" customHeight="1" thickBot="1" x14ac:dyDescent="0.4">
      <c r="A1904" s="41">
        <f t="shared" ref="A1904:B1904" si="1956">A1903</f>
        <v>45449</v>
      </c>
      <c r="B1904" s="37" t="str">
        <f t="shared" si="1956"/>
        <v>Çevirme</v>
      </c>
      <c r="C1904" s="65" t="str">
        <f t="shared" ref="C1904:C1909" si="1957">C1728</f>
        <v>SEMRA ARAZ</v>
      </c>
      <c r="D1904" s="67">
        <f t="shared" ref="D1904:D1909" si="1958">D1903</f>
        <v>40</v>
      </c>
      <c r="E1904" s="57"/>
      <c r="F1904" s="52"/>
      <c r="G1904" s="52"/>
      <c r="H1904" s="58"/>
      <c r="I1904" s="57"/>
      <c r="J1904" s="52"/>
      <c r="K1904" s="52"/>
      <c r="L1904" s="58"/>
      <c r="M1904" s="57"/>
      <c r="N1904" s="52"/>
      <c r="O1904" s="52"/>
      <c r="P1904" s="58"/>
      <c r="Q1904" s="57"/>
      <c r="R1904" s="52"/>
      <c r="S1904" s="52"/>
      <c r="T1904" s="52"/>
      <c r="U1904" s="58"/>
      <c r="V1904" s="57"/>
      <c r="W1904" s="52"/>
      <c r="X1904" s="52"/>
      <c r="Y1904" s="58"/>
      <c r="Z1904" s="57"/>
      <c r="AA1904" s="52"/>
      <c r="AB1904" s="52"/>
      <c r="AC1904" s="58"/>
      <c r="AD1904" s="57"/>
      <c r="AE1904" s="52"/>
      <c r="AF1904" s="52"/>
      <c r="AG1904" s="58"/>
      <c r="AH1904" s="57"/>
      <c r="AI1904" s="52"/>
      <c r="AJ1904" s="52"/>
      <c r="AK1904" s="58"/>
      <c r="AL1904" s="57"/>
      <c r="AM1904" s="52"/>
      <c r="AN1904" s="52"/>
      <c r="AO1904" s="58"/>
      <c r="AP1904" s="57"/>
      <c r="AQ1904" s="52"/>
      <c r="AR1904" s="52"/>
      <c r="AS1904" s="58"/>
      <c r="AT1904" s="57"/>
      <c r="AU1904" s="52"/>
      <c r="AV1904" s="52"/>
      <c r="AW1904" s="58"/>
      <c r="AX1904" s="33">
        <f t="shared" ref="AX1904:AX1909" si="1959">SUM(E1904:AW1904)</f>
        <v>0</v>
      </c>
      <c r="AY1904" s="31">
        <f t="shared" ref="AY1904:AY1909" si="1960">IFERROR(AVERAGEIF(E1904:AW1904,"&lt;&gt;0",(E1904:AW1904)),)</f>
        <v>0</v>
      </c>
      <c r="AZ1904" s="30">
        <f t="shared" ref="AZ1904:AZ1909" si="1961">IFERROR(AY1904/D1904,0)</f>
        <v>0</v>
      </c>
      <c r="BA1904" s="94">
        <f>AX1910+BA1728</f>
        <v>12121</v>
      </c>
      <c r="BB1904" s="95">
        <f>(D1910*8)</f>
        <v>4000</v>
      </c>
      <c r="BC1904" s="96">
        <f>C1765-BA1904</f>
        <v>30190</v>
      </c>
      <c r="BD1904" s="96">
        <f>BA1886-BA1904</f>
        <v>3707</v>
      </c>
      <c r="BE1904" s="97">
        <f>IFERROR(BC1904/E1910,0)</f>
        <v>0</v>
      </c>
      <c r="BF1904" s="98">
        <f>IFERROR(BE1904/9,0)</f>
        <v>0</v>
      </c>
      <c r="BG1904" s="97">
        <f>IFERROR(BC1904/AY1910,0)</f>
        <v>0</v>
      </c>
      <c r="BH1904" s="97">
        <f>IFERROR(BG1904/9,0)</f>
        <v>0</v>
      </c>
    </row>
    <row r="1905" spans="1:60" s="17" customFormat="1" ht="19.5" customHeight="1" x14ac:dyDescent="0.35">
      <c r="A1905" s="41">
        <f t="shared" ref="A1905:B1905" si="1962">A1904</f>
        <v>45449</v>
      </c>
      <c r="B1905" s="37" t="str">
        <f t="shared" si="1962"/>
        <v>Çevirme</v>
      </c>
      <c r="C1905" s="65" t="str">
        <f t="shared" si="1957"/>
        <v>NECLA KOÇ</v>
      </c>
      <c r="D1905" s="67">
        <f t="shared" si="1958"/>
        <v>40</v>
      </c>
      <c r="E1905" s="57"/>
      <c r="F1905" s="52"/>
      <c r="G1905" s="52"/>
      <c r="H1905" s="58"/>
      <c r="I1905" s="57"/>
      <c r="J1905" s="52"/>
      <c r="K1905" s="52"/>
      <c r="L1905" s="58"/>
      <c r="M1905" s="57"/>
      <c r="N1905" s="52"/>
      <c r="O1905" s="52"/>
      <c r="P1905" s="58"/>
      <c r="Q1905" s="57"/>
      <c r="R1905" s="52"/>
      <c r="S1905" s="52"/>
      <c r="T1905" s="52"/>
      <c r="U1905" s="58"/>
      <c r="V1905" s="57"/>
      <c r="W1905" s="52"/>
      <c r="X1905" s="52"/>
      <c r="Y1905" s="58"/>
      <c r="Z1905" s="57"/>
      <c r="AA1905" s="52"/>
      <c r="AB1905" s="52"/>
      <c r="AC1905" s="58"/>
      <c r="AD1905" s="57"/>
      <c r="AE1905" s="52"/>
      <c r="AF1905" s="52"/>
      <c r="AG1905" s="58"/>
      <c r="AH1905" s="57"/>
      <c r="AI1905" s="52"/>
      <c r="AJ1905" s="52"/>
      <c r="AK1905" s="58"/>
      <c r="AL1905" s="57"/>
      <c r="AM1905" s="52"/>
      <c r="AN1905" s="52"/>
      <c r="AO1905" s="58"/>
      <c r="AP1905" s="57"/>
      <c r="AQ1905" s="52"/>
      <c r="AR1905" s="52"/>
      <c r="AS1905" s="58"/>
      <c r="AT1905" s="57"/>
      <c r="AU1905" s="52"/>
      <c r="AV1905" s="52"/>
      <c r="AW1905" s="58"/>
      <c r="AX1905" s="33">
        <f t="shared" si="1959"/>
        <v>0</v>
      </c>
      <c r="AY1905" s="31">
        <f t="shared" si="1960"/>
        <v>0</v>
      </c>
      <c r="AZ1905" s="30">
        <f t="shared" si="1961"/>
        <v>0</v>
      </c>
      <c r="BA1905" s="34"/>
      <c r="BB1905" s="34"/>
      <c r="BC1905" s="34"/>
      <c r="BD1905" s="76"/>
      <c r="BE1905" s="34"/>
      <c r="BF1905" s="34"/>
      <c r="BG1905" s="34"/>
      <c r="BH1905" s="34"/>
    </row>
    <row r="1906" spans="1:60" s="17" customFormat="1" ht="19.5" customHeight="1" x14ac:dyDescent="0.35">
      <c r="A1906" s="41">
        <f t="shared" ref="A1906:B1906" si="1963">A1905</f>
        <v>45449</v>
      </c>
      <c r="B1906" s="37" t="str">
        <f t="shared" si="1963"/>
        <v>Çevirme</v>
      </c>
      <c r="C1906" s="65" t="str">
        <f t="shared" si="1957"/>
        <v>ARZU ÖZÇAĞLAYAN</v>
      </c>
      <c r="D1906" s="67">
        <f t="shared" si="1958"/>
        <v>40</v>
      </c>
      <c r="E1906" s="57"/>
      <c r="F1906" s="52"/>
      <c r="G1906" s="52"/>
      <c r="H1906" s="58"/>
      <c r="I1906" s="57"/>
      <c r="J1906" s="52"/>
      <c r="K1906" s="52"/>
      <c r="L1906" s="58"/>
      <c r="M1906" s="57"/>
      <c r="N1906" s="52"/>
      <c r="O1906" s="52"/>
      <c r="P1906" s="58"/>
      <c r="Q1906" s="57"/>
      <c r="R1906" s="52"/>
      <c r="S1906" s="52"/>
      <c r="T1906" s="52"/>
      <c r="U1906" s="58"/>
      <c r="V1906" s="57"/>
      <c r="W1906" s="52"/>
      <c r="X1906" s="52"/>
      <c r="Y1906" s="58"/>
      <c r="Z1906" s="57"/>
      <c r="AA1906" s="52"/>
      <c r="AB1906" s="52"/>
      <c r="AC1906" s="58"/>
      <c r="AD1906" s="57"/>
      <c r="AE1906" s="52"/>
      <c r="AF1906" s="52"/>
      <c r="AG1906" s="58"/>
      <c r="AH1906" s="57"/>
      <c r="AI1906" s="52"/>
      <c r="AJ1906" s="52"/>
      <c r="AK1906" s="58"/>
      <c r="AL1906" s="57"/>
      <c r="AM1906" s="52"/>
      <c r="AN1906" s="52"/>
      <c r="AO1906" s="58"/>
      <c r="AP1906" s="57"/>
      <c r="AQ1906" s="52"/>
      <c r="AR1906" s="52"/>
      <c r="AS1906" s="58"/>
      <c r="AT1906" s="57"/>
      <c r="AU1906" s="52"/>
      <c r="AV1906" s="52"/>
      <c r="AW1906" s="58"/>
      <c r="AX1906" s="33">
        <f t="shared" si="1959"/>
        <v>0</v>
      </c>
      <c r="AY1906" s="31">
        <f t="shared" si="1960"/>
        <v>0</v>
      </c>
      <c r="AZ1906" s="30">
        <f t="shared" si="1961"/>
        <v>0</v>
      </c>
      <c r="BA1906" s="34"/>
      <c r="BB1906" s="34"/>
      <c r="BC1906" s="34"/>
      <c r="BD1906" s="76"/>
      <c r="BE1906" s="34"/>
      <c r="BF1906" s="34"/>
      <c r="BG1906" s="34"/>
      <c r="BH1906" s="34"/>
    </row>
    <row r="1907" spans="1:60" s="17" customFormat="1" ht="19.5" customHeight="1" x14ac:dyDescent="0.35">
      <c r="A1907" s="41">
        <f>A1904</f>
        <v>45449</v>
      </c>
      <c r="B1907" s="37" t="str">
        <f t="shared" ref="B1907" si="1964">B1906</f>
        <v>Çevirme</v>
      </c>
      <c r="C1907" s="65">
        <f t="shared" si="1957"/>
        <v>0</v>
      </c>
      <c r="D1907" s="67">
        <f t="shared" si="1958"/>
        <v>40</v>
      </c>
      <c r="E1907" s="57"/>
      <c r="F1907" s="52"/>
      <c r="G1907" s="52"/>
      <c r="H1907" s="58"/>
      <c r="I1907" s="57"/>
      <c r="J1907" s="52"/>
      <c r="K1907" s="52"/>
      <c r="L1907" s="58"/>
      <c r="M1907" s="57"/>
      <c r="N1907" s="52"/>
      <c r="O1907" s="52"/>
      <c r="P1907" s="58"/>
      <c r="Q1907" s="57"/>
      <c r="R1907" s="52"/>
      <c r="S1907" s="52"/>
      <c r="T1907" s="52"/>
      <c r="U1907" s="58"/>
      <c r="V1907" s="57"/>
      <c r="W1907" s="52"/>
      <c r="X1907" s="52"/>
      <c r="Y1907" s="58"/>
      <c r="Z1907" s="57"/>
      <c r="AA1907" s="52"/>
      <c r="AB1907" s="52"/>
      <c r="AC1907" s="58"/>
      <c r="AD1907" s="57"/>
      <c r="AE1907" s="52"/>
      <c r="AF1907" s="52"/>
      <c r="AG1907" s="58"/>
      <c r="AH1907" s="57"/>
      <c r="AI1907" s="52"/>
      <c r="AJ1907" s="52"/>
      <c r="AK1907" s="58"/>
      <c r="AL1907" s="57"/>
      <c r="AM1907" s="52"/>
      <c r="AN1907" s="52"/>
      <c r="AO1907" s="58"/>
      <c r="AP1907" s="57"/>
      <c r="AQ1907" s="52"/>
      <c r="AR1907" s="52"/>
      <c r="AS1907" s="58"/>
      <c r="AT1907" s="57"/>
      <c r="AU1907" s="52"/>
      <c r="AV1907" s="52"/>
      <c r="AW1907" s="58"/>
      <c r="AX1907" s="33">
        <f t="shared" si="1959"/>
        <v>0</v>
      </c>
      <c r="AY1907" s="31">
        <f t="shared" si="1960"/>
        <v>0</v>
      </c>
      <c r="AZ1907" s="30">
        <f t="shared" si="1961"/>
        <v>0</v>
      </c>
      <c r="BA1907" s="34"/>
      <c r="BB1907" s="34"/>
      <c r="BC1907" s="34"/>
      <c r="BD1907" s="76"/>
      <c r="BE1907" s="34"/>
      <c r="BF1907" s="34"/>
      <c r="BG1907" s="34"/>
      <c r="BH1907" s="34"/>
    </row>
    <row r="1908" spans="1:60" s="17" customFormat="1" ht="19.5" customHeight="1" x14ac:dyDescent="0.35">
      <c r="A1908" s="41">
        <f t="shared" ref="A1908:B1908" si="1965">A1907</f>
        <v>45449</v>
      </c>
      <c r="B1908" s="37" t="str">
        <f t="shared" si="1965"/>
        <v>Çevirme</v>
      </c>
      <c r="C1908" s="65">
        <f t="shared" si="1957"/>
        <v>0</v>
      </c>
      <c r="D1908" s="67">
        <f t="shared" si="1958"/>
        <v>40</v>
      </c>
      <c r="E1908" s="57"/>
      <c r="F1908" s="52"/>
      <c r="G1908" s="52"/>
      <c r="H1908" s="58"/>
      <c r="I1908" s="57"/>
      <c r="J1908" s="52"/>
      <c r="K1908" s="52"/>
      <c r="L1908" s="58"/>
      <c r="M1908" s="57"/>
      <c r="N1908" s="52"/>
      <c r="O1908" s="52"/>
      <c r="P1908" s="58"/>
      <c r="Q1908" s="57"/>
      <c r="R1908" s="52"/>
      <c r="S1908" s="52"/>
      <c r="T1908" s="52"/>
      <c r="U1908" s="58"/>
      <c r="V1908" s="57"/>
      <c r="W1908" s="52"/>
      <c r="X1908" s="52"/>
      <c r="Y1908" s="58"/>
      <c r="Z1908" s="57"/>
      <c r="AA1908" s="52"/>
      <c r="AB1908" s="52"/>
      <c r="AC1908" s="58"/>
      <c r="AD1908" s="57"/>
      <c r="AE1908" s="52"/>
      <c r="AF1908" s="52"/>
      <c r="AG1908" s="58"/>
      <c r="AH1908" s="57"/>
      <c r="AI1908" s="52"/>
      <c r="AJ1908" s="52"/>
      <c r="AK1908" s="58"/>
      <c r="AL1908" s="57"/>
      <c r="AM1908" s="52"/>
      <c r="AN1908" s="52"/>
      <c r="AO1908" s="58"/>
      <c r="AP1908" s="57"/>
      <c r="AQ1908" s="52"/>
      <c r="AR1908" s="52"/>
      <c r="AS1908" s="58"/>
      <c r="AT1908" s="57"/>
      <c r="AU1908" s="52"/>
      <c r="AV1908" s="52"/>
      <c r="AW1908" s="58"/>
      <c r="AX1908" s="33">
        <f t="shared" si="1959"/>
        <v>0</v>
      </c>
      <c r="AY1908" s="31">
        <f t="shared" si="1960"/>
        <v>0</v>
      </c>
      <c r="AZ1908" s="30">
        <f t="shared" si="1961"/>
        <v>0</v>
      </c>
      <c r="BA1908" s="34"/>
      <c r="BB1908" s="34"/>
      <c r="BC1908" s="34"/>
      <c r="BD1908" s="76"/>
      <c r="BE1908" s="34"/>
      <c r="BF1908" s="34"/>
      <c r="BG1908" s="34"/>
      <c r="BH1908" s="34"/>
    </row>
    <row r="1909" spans="1:60" s="17" customFormat="1" ht="19.5" customHeight="1" thickBot="1" x14ac:dyDescent="0.4">
      <c r="A1909" s="41">
        <f t="shared" ref="A1909:B1909" si="1966">A1908</f>
        <v>45449</v>
      </c>
      <c r="B1909" s="37" t="str">
        <f t="shared" si="1966"/>
        <v>Çevirme</v>
      </c>
      <c r="C1909" s="65">
        <f t="shared" si="1957"/>
        <v>0</v>
      </c>
      <c r="D1909" s="67">
        <f t="shared" si="1958"/>
        <v>40</v>
      </c>
      <c r="E1909" s="59"/>
      <c r="F1909" s="60"/>
      <c r="G1909" s="61"/>
      <c r="H1909" s="62"/>
      <c r="I1909" s="59"/>
      <c r="J1909" s="60"/>
      <c r="K1909" s="61"/>
      <c r="L1909" s="62"/>
      <c r="M1909" s="59"/>
      <c r="N1909" s="60"/>
      <c r="O1909" s="61"/>
      <c r="P1909" s="62"/>
      <c r="Q1909" s="64"/>
      <c r="R1909" s="61"/>
      <c r="S1909" s="61"/>
      <c r="T1909" s="61"/>
      <c r="U1909" s="62"/>
      <c r="V1909" s="59"/>
      <c r="W1909" s="60"/>
      <c r="X1909" s="61"/>
      <c r="Y1909" s="62"/>
      <c r="Z1909" s="59"/>
      <c r="AA1909" s="60"/>
      <c r="AB1909" s="61"/>
      <c r="AC1909" s="62"/>
      <c r="AD1909" s="59"/>
      <c r="AE1909" s="60"/>
      <c r="AF1909" s="61"/>
      <c r="AG1909" s="62"/>
      <c r="AH1909" s="59"/>
      <c r="AI1909" s="60"/>
      <c r="AJ1909" s="61"/>
      <c r="AK1909" s="62"/>
      <c r="AL1909" s="59"/>
      <c r="AM1909" s="60"/>
      <c r="AN1909" s="61"/>
      <c r="AO1909" s="62"/>
      <c r="AP1909" s="59"/>
      <c r="AQ1909" s="60"/>
      <c r="AR1909" s="61"/>
      <c r="AS1909" s="62"/>
      <c r="AT1909" s="59"/>
      <c r="AU1909" s="60"/>
      <c r="AV1909" s="61"/>
      <c r="AW1909" s="62"/>
      <c r="AX1909" s="33">
        <f t="shared" si="1959"/>
        <v>0</v>
      </c>
      <c r="AY1909" s="31">
        <f t="shared" si="1960"/>
        <v>0</v>
      </c>
      <c r="AZ1909" s="30">
        <f t="shared" si="1961"/>
        <v>0</v>
      </c>
      <c r="BA1909" s="34"/>
      <c r="BB1909" s="34"/>
      <c r="BC1909" s="34"/>
      <c r="BD1909" s="76"/>
      <c r="BE1909" s="34"/>
      <c r="BF1909" s="34"/>
      <c r="BG1909" s="34"/>
      <c r="BH1909" s="34"/>
    </row>
    <row r="1910" spans="1:60" s="17" customFormat="1" ht="19.5" customHeight="1" thickBot="1" x14ac:dyDescent="0.45">
      <c r="A1910" s="41">
        <f t="shared" ref="A1910" si="1967">A1909</f>
        <v>45449</v>
      </c>
      <c r="B1910" s="139" t="str">
        <f>B1903</f>
        <v>Çevirme</v>
      </c>
      <c r="C1910" s="140"/>
      <c r="D1910" s="40">
        <f>C1766/8</f>
        <v>500</v>
      </c>
      <c r="E1910" s="147">
        <f>SUM(E1903:H1909)</f>
        <v>0</v>
      </c>
      <c r="F1910" s="148"/>
      <c r="G1910" s="148"/>
      <c r="H1910" s="149"/>
      <c r="I1910" s="147">
        <f>SUM(I1903:L1909)</f>
        <v>0</v>
      </c>
      <c r="J1910" s="148"/>
      <c r="K1910" s="148"/>
      <c r="L1910" s="149"/>
      <c r="M1910" s="147">
        <f>SUM(M1903:P1909)</f>
        <v>0</v>
      </c>
      <c r="N1910" s="148"/>
      <c r="O1910" s="148"/>
      <c r="P1910" s="149"/>
      <c r="Q1910" s="147">
        <f>SUM(Q1903:U1909)</f>
        <v>0</v>
      </c>
      <c r="R1910" s="148"/>
      <c r="S1910" s="148"/>
      <c r="T1910" s="148"/>
      <c r="U1910" s="149"/>
      <c r="V1910" s="147">
        <f>SUM(V1903:Y1909)</f>
        <v>0</v>
      </c>
      <c r="W1910" s="148"/>
      <c r="X1910" s="148"/>
      <c r="Y1910" s="149"/>
      <c r="Z1910" s="147">
        <f>SUM(Z1903:AC1909)</f>
        <v>0</v>
      </c>
      <c r="AA1910" s="148"/>
      <c r="AB1910" s="148"/>
      <c r="AC1910" s="149"/>
      <c r="AD1910" s="147">
        <f>SUM(AD1903:AG1909)</f>
        <v>0</v>
      </c>
      <c r="AE1910" s="148"/>
      <c r="AF1910" s="148"/>
      <c r="AG1910" s="149"/>
      <c r="AH1910" s="147">
        <f>SUM(AH1903:AK1909)</f>
        <v>0</v>
      </c>
      <c r="AI1910" s="148"/>
      <c r="AJ1910" s="148"/>
      <c r="AK1910" s="149"/>
      <c r="AL1910" s="147">
        <f>SUM(AL1903:AO1909)</f>
        <v>0</v>
      </c>
      <c r="AM1910" s="148"/>
      <c r="AN1910" s="148"/>
      <c r="AO1910" s="149"/>
      <c r="AP1910" s="147">
        <f>SUM(AP1903:AS1909)</f>
        <v>0</v>
      </c>
      <c r="AQ1910" s="148"/>
      <c r="AR1910" s="148"/>
      <c r="AS1910" s="149"/>
      <c r="AT1910" s="147">
        <f>SUM(AT1903:AW1909)</f>
        <v>0</v>
      </c>
      <c r="AU1910" s="148"/>
      <c r="AV1910" s="148"/>
      <c r="AW1910" s="149"/>
      <c r="AX1910" s="87">
        <f>SUM(AX1903:AX1909)</f>
        <v>0</v>
      </c>
      <c r="AY1910" s="88">
        <f>IFERROR(AVERAGEIF(E1910:AV1910,"&lt;&gt;0",(E1910:AV1910)),)</f>
        <v>0</v>
      </c>
      <c r="AZ1910" s="46">
        <f>IFERROR(AX1910/BB1904,0)</f>
        <v>0</v>
      </c>
      <c r="BA1910" s="34"/>
      <c r="BB1910" s="34"/>
      <c r="BC1910" s="34"/>
      <c r="BD1910" s="76"/>
      <c r="BE1910" s="34"/>
      <c r="BF1910" s="34"/>
      <c r="BG1910" s="34"/>
      <c r="BH1910" s="34"/>
    </row>
    <row r="1911" spans="1:60" s="17" customFormat="1" ht="19.5" customHeight="1" thickBot="1" x14ac:dyDescent="0.4">
      <c r="A1911" s="42">
        <f>A1902</f>
        <v>45449</v>
      </c>
      <c r="B1911" s="38" t="str">
        <f>B1912</f>
        <v>ÇEVİRME BEDEN</v>
      </c>
      <c r="C1911" s="39" t="s">
        <v>180</v>
      </c>
      <c r="D1911" s="69" t="s">
        <v>181</v>
      </c>
      <c r="E1911" s="48">
        <v>0.34375</v>
      </c>
      <c r="F1911" s="49">
        <v>0.35416666666666669</v>
      </c>
      <c r="G1911" s="49">
        <v>0.36458333333333331</v>
      </c>
      <c r="H1911" s="50">
        <v>0.375</v>
      </c>
      <c r="I1911" s="48">
        <v>0.38541666666666702</v>
      </c>
      <c r="J1911" s="49">
        <v>0.39583333333333298</v>
      </c>
      <c r="K1911" s="49">
        <v>0.40625</v>
      </c>
      <c r="L1911" s="50">
        <v>0.41666666666666702</v>
      </c>
      <c r="M1911" s="48">
        <v>0.4375</v>
      </c>
      <c r="N1911" s="49">
        <v>0.44791666666666702</v>
      </c>
      <c r="O1911" s="49">
        <v>0.45833333333333398</v>
      </c>
      <c r="P1911" s="50">
        <v>0.46875</v>
      </c>
      <c r="Q1911" s="48">
        <v>0.47916666666666702</v>
      </c>
      <c r="R1911" s="49">
        <v>0.48958333333333398</v>
      </c>
      <c r="S1911" s="49">
        <v>0.5</v>
      </c>
      <c r="T1911" s="50">
        <v>0.51041666666666696</v>
      </c>
      <c r="U1911" s="51">
        <v>0.52083333333333204</v>
      </c>
      <c r="V1911" s="48">
        <v>0.5625</v>
      </c>
      <c r="W1911" s="49">
        <v>0.57291666666666663</v>
      </c>
      <c r="X1911" s="49">
        <v>0.58333333333333304</v>
      </c>
      <c r="Y1911" s="50">
        <v>0.59375</v>
      </c>
      <c r="Z1911" s="48">
        <v>0.60416666666666696</v>
      </c>
      <c r="AA1911" s="49">
        <v>0.61458333333333304</v>
      </c>
      <c r="AB1911" s="49">
        <v>0.625</v>
      </c>
      <c r="AC1911" s="50">
        <v>0.63541666666666596</v>
      </c>
      <c r="AD1911" s="48">
        <v>0.65625</v>
      </c>
      <c r="AE1911" s="49">
        <v>0.66666666666666663</v>
      </c>
      <c r="AF1911" s="49">
        <v>0.67708333333333304</v>
      </c>
      <c r="AG1911" s="50">
        <v>0.6875</v>
      </c>
      <c r="AH1911" s="48">
        <v>0.69791666666666696</v>
      </c>
      <c r="AI1911" s="49">
        <v>0.70833333333333304</v>
      </c>
      <c r="AJ1911" s="49">
        <v>0.71875</v>
      </c>
      <c r="AK1911" s="50">
        <v>0.72916666666666696</v>
      </c>
      <c r="AL1911" s="48">
        <v>0.73958333333333404</v>
      </c>
      <c r="AM1911" s="49">
        <v>0.750000000000001</v>
      </c>
      <c r="AN1911" s="49">
        <v>0.76041666666666796</v>
      </c>
      <c r="AO1911" s="50">
        <v>0.77083333333333504</v>
      </c>
      <c r="AP1911" s="48">
        <v>0.781250000000002</v>
      </c>
      <c r="AQ1911" s="49">
        <v>0.79166666666666896</v>
      </c>
      <c r="AR1911" s="49">
        <v>0.80208333333333603</v>
      </c>
      <c r="AS1911" s="50">
        <v>0.812500000000003</v>
      </c>
      <c r="AT1911" s="48">
        <v>0.82291666666666996</v>
      </c>
      <c r="AU1911" s="49">
        <v>0.83333333333333703</v>
      </c>
      <c r="AV1911" s="49">
        <v>0.843750000000004</v>
      </c>
      <c r="AW1911" s="50">
        <v>0.85416666666666663</v>
      </c>
      <c r="AX1911" s="68" t="s">
        <v>260</v>
      </c>
      <c r="AY1911" s="28" t="s">
        <v>261</v>
      </c>
      <c r="AZ1911" s="29" t="s">
        <v>262</v>
      </c>
      <c r="BA1911" s="136" t="str">
        <f>B1912</f>
        <v>ÇEVİRME BEDEN</v>
      </c>
      <c r="BB1911" s="137"/>
      <c r="BC1911" s="137"/>
      <c r="BD1911" s="137"/>
      <c r="BE1911" s="137"/>
      <c r="BF1911" s="137"/>
      <c r="BG1911" s="137"/>
      <c r="BH1911" s="138"/>
    </row>
    <row r="1912" spans="1:60" s="17" customFormat="1" ht="19.5" customHeight="1" thickBot="1" x14ac:dyDescent="0.4">
      <c r="A1912" s="41">
        <f t="shared" ref="A1912" si="1968">A1911</f>
        <v>45449</v>
      </c>
      <c r="B1912" s="37" t="str">
        <f>B1736</f>
        <v>ÇEVİRME BEDEN</v>
      </c>
      <c r="C1912" s="65" t="str">
        <f>C1736</f>
        <v>ARZU ÖZÇAĞLAYAN</v>
      </c>
      <c r="D1912" s="70">
        <f>D1727</f>
        <v>40</v>
      </c>
      <c r="E1912" s="63"/>
      <c r="F1912" s="55"/>
      <c r="G1912" s="55"/>
      <c r="H1912" s="56"/>
      <c r="I1912" s="63"/>
      <c r="J1912" s="55"/>
      <c r="K1912" s="55"/>
      <c r="L1912" s="56"/>
      <c r="M1912" s="63"/>
      <c r="N1912" s="55"/>
      <c r="O1912" s="55"/>
      <c r="P1912" s="56"/>
      <c r="Q1912" s="63"/>
      <c r="R1912" s="55"/>
      <c r="S1912" s="55"/>
      <c r="T1912" s="55"/>
      <c r="U1912" s="56"/>
      <c r="V1912" s="63"/>
      <c r="W1912" s="55"/>
      <c r="X1912" s="55"/>
      <c r="Y1912" s="56"/>
      <c r="Z1912" s="63"/>
      <c r="AA1912" s="55"/>
      <c r="AB1912" s="55"/>
      <c r="AC1912" s="56"/>
      <c r="AD1912" s="63"/>
      <c r="AE1912" s="55"/>
      <c r="AF1912" s="55"/>
      <c r="AG1912" s="56"/>
      <c r="AH1912" s="63"/>
      <c r="AI1912" s="55"/>
      <c r="AJ1912" s="55"/>
      <c r="AK1912" s="56"/>
      <c r="AL1912" s="63"/>
      <c r="AM1912" s="55"/>
      <c r="AN1912" s="55"/>
      <c r="AO1912" s="56"/>
      <c r="AP1912" s="63"/>
      <c r="AQ1912" s="55"/>
      <c r="AR1912" s="55"/>
      <c r="AS1912" s="56"/>
      <c r="AT1912" s="53"/>
      <c r="AU1912" s="54"/>
      <c r="AV1912" s="55"/>
      <c r="AW1912" s="56"/>
      <c r="AX1912" s="33">
        <f>SUM(E1912:AW1912)</f>
        <v>0</v>
      </c>
      <c r="AY1912" s="31">
        <f>IFERROR(AVERAGEIF(E1912:AW1912,"&lt;&gt;0",(E1912:AW1912)),)</f>
        <v>0</v>
      </c>
      <c r="AZ1912" s="30">
        <f>IFERROR(AY1912/D1912,0)</f>
        <v>0</v>
      </c>
      <c r="BA1912" s="93"/>
      <c r="BB1912" s="93" t="str">
        <f t="shared" ref="BB1912" si="1969">BA1766</f>
        <v>XS</v>
      </c>
      <c r="BC1912" s="93" t="str">
        <f t="shared" ref="BC1912" si="1970">BB1766</f>
        <v>S</v>
      </c>
      <c r="BD1912" s="93" t="str">
        <f t="shared" ref="BD1912" si="1971">BC1766</f>
        <v>M</v>
      </c>
      <c r="BE1912" s="93" t="str">
        <f t="shared" ref="BE1912" si="1972">BD1766</f>
        <v>L</v>
      </c>
      <c r="BF1912" s="93" t="str">
        <f t="shared" ref="BF1912" si="1973">BE1766</f>
        <v>XL</v>
      </c>
      <c r="BG1912" s="93" t="str">
        <f t="shared" ref="BG1912" si="1974">BF1766</f>
        <v>XXL</v>
      </c>
      <c r="BH1912" s="93"/>
    </row>
    <row r="1913" spans="1:60" s="17" customFormat="1" ht="19.5" customHeight="1" thickBot="1" x14ac:dyDescent="0.4">
      <c r="A1913" s="41">
        <f t="shared" ref="A1913:B1913" si="1975">A1912</f>
        <v>45449</v>
      </c>
      <c r="B1913" s="37" t="str">
        <f t="shared" si="1975"/>
        <v>ÇEVİRME BEDEN</v>
      </c>
      <c r="C1913" s="65" t="str">
        <f t="shared" ref="C1913:C1918" si="1976">C1737</f>
        <v>NECLA KOÇ</v>
      </c>
      <c r="D1913" s="67">
        <f t="shared" ref="D1913:D1918" si="1977">D1912</f>
        <v>40</v>
      </c>
      <c r="E1913" s="57"/>
      <c r="F1913" s="52"/>
      <c r="G1913" s="52"/>
      <c r="H1913" s="58"/>
      <c r="I1913" s="57"/>
      <c r="J1913" s="52"/>
      <c r="K1913" s="52"/>
      <c r="L1913" s="58"/>
      <c r="M1913" s="57"/>
      <c r="N1913" s="52"/>
      <c r="O1913" s="52"/>
      <c r="P1913" s="58"/>
      <c r="Q1913" s="57"/>
      <c r="R1913" s="52"/>
      <c r="S1913" s="52"/>
      <c r="T1913" s="52"/>
      <c r="U1913" s="58"/>
      <c r="V1913" s="57"/>
      <c r="W1913" s="52"/>
      <c r="X1913" s="52"/>
      <c r="Y1913" s="58"/>
      <c r="Z1913" s="57"/>
      <c r="AA1913" s="52"/>
      <c r="AB1913" s="52"/>
      <c r="AC1913" s="58"/>
      <c r="AD1913" s="57"/>
      <c r="AE1913" s="52"/>
      <c r="AF1913" s="52"/>
      <c r="AG1913" s="58"/>
      <c r="AH1913" s="57"/>
      <c r="AI1913" s="52"/>
      <c r="AJ1913" s="52"/>
      <c r="AK1913" s="58"/>
      <c r="AL1913" s="57"/>
      <c r="AM1913" s="52"/>
      <c r="AN1913" s="52"/>
      <c r="AO1913" s="58"/>
      <c r="AP1913" s="57"/>
      <c r="AQ1913" s="52"/>
      <c r="AR1913" s="52"/>
      <c r="AS1913" s="58"/>
      <c r="AT1913" s="57"/>
      <c r="AU1913" s="52"/>
      <c r="AV1913" s="52"/>
      <c r="AW1913" s="58"/>
      <c r="AX1913" s="33">
        <f t="shared" ref="AX1913:AX1918" si="1978">SUM(E1913:AW1913)</f>
        <v>0</v>
      </c>
      <c r="AY1913" s="31">
        <f t="shared" ref="AY1913:AY1918" si="1979">IFERROR(AVERAGEIF(E1913:AW1913,"&lt;&gt;0",(E1913:AW1913)),)</f>
        <v>0</v>
      </c>
      <c r="AZ1913" s="30">
        <f t="shared" ref="AZ1913:AZ1918" si="1980">IFERROR(AY1913/D1913,0)</f>
        <v>0</v>
      </c>
      <c r="BA1913" s="94" t="s">
        <v>194</v>
      </c>
      <c r="BB1913" s="96">
        <f t="shared" ref="BB1913:BG1913" si="1981">BB1805</f>
        <v>0</v>
      </c>
      <c r="BC1913" s="96">
        <f t="shared" si="1981"/>
        <v>0</v>
      </c>
      <c r="BD1913" s="96">
        <f t="shared" si="1981"/>
        <v>0</v>
      </c>
      <c r="BE1913" s="96">
        <f t="shared" si="1981"/>
        <v>0</v>
      </c>
      <c r="BF1913" s="96">
        <f t="shared" si="1981"/>
        <v>0</v>
      </c>
      <c r="BG1913" s="96">
        <f t="shared" si="1981"/>
        <v>0</v>
      </c>
      <c r="BH1913" s="99">
        <f>SUM(BB1913:BG1913)</f>
        <v>0</v>
      </c>
    </row>
    <row r="1914" spans="1:60" s="17" customFormat="1" ht="19.5" customHeight="1" thickBot="1" x14ac:dyDescent="0.4">
      <c r="A1914" s="41">
        <f t="shared" ref="A1914:B1914" si="1982">A1913</f>
        <v>45449</v>
      </c>
      <c r="B1914" s="37" t="str">
        <f t="shared" si="1982"/>
        <v>ÇEVİRME BEDEN</v>
      </c>
      <c r="C1914" s="65" t="str">
        <f t="shared" si="1976"/>
        <v>SEZER BOZKURT</v>
      </c>
      <c r="D1914" s="67">
        <f t="shared" si="1977"/>
        <v>40</v>
      </c>
      <c r="E1914" s="57"/>
      <c r="F1914" s="52"/>
      <c r="G1914" s="52"/>
      <c r="H1914" s="58"/>
      <c r="I1914" s="57"/>
      <c r="J1914" s="52"/>
      <c r="K1914" s="52"/>
      <c r="L1914" s="58"/>
      <c r="M1914" s="57"/>
      <c r="N1914" s="52"/>
      <c r="O1914" s="52"/>
      <c r="P1914" s="58"/>
      <c r="Q1914" s="57"/>
      <c r="R1914" s="52"/>
      <c r="S1914" s="52"/>
      <c r="T1914" s="52"/>
      <c r="U1914" s="58"/>
      <c r="V1914" s="57"/>
      <c r="W1914" s="52"/>
      <c r="X1914" s="52"/>
      <c r="Y1914" s="58"/>
      <c r="Z1914" s="57"/>
      <c r="AA1914" s="52"/>
      <c r="AB1914" s="52"/>
      <c r="AC1914" s="58"/>
      <c r="AD1914" s="57"/>
      <c r="AE1914" s="52"/>
      <c r="AF1914" s="52"/>
      <c r="AG1914" s="58"/>
      <c r="AH1914" s="57"/>
      <c r="AI1914" s="52"/>
      <c r="AJ1914" s="52"/>
      <c r="AK1914" s="58"/>
      <c r="AL1914" s="57"/>
      <c r="AM1914" s="52"/>
      <c r="AN1914" s="52"/>
      <c r="AO1914" s="58"/>
      <c r="AP1914" s="57"/>
      <c r="AQ1914" s="52"/>
      <c r="AR1914" s="52"/>
      <c r="AS1914" s="58"/>
      <c r="AT1914" s="57"/>
      <c r="AU1914" s="52"/>
      <c r="AV1914" s="52"/>
      <c r="AW1914" s="58"/>
      <c r="AX1914" s="33">
        <f t="shared" si="1978"/>
        <v>0</v>
      </c>
      <c r="AY1914" s="31">
        <f t="shared" si="1979"/>
        <v>0</v>
      </c>
      <c r="AZ1914" s="30">
        <f t="shared" si="1980"/>
        <v>0</v>
      </c>
      <c r="BA1914" s="94" t="s">
        <v>195</v>
      </c>
      <c r="BB1914" s="96">
        <f>SUMIF(C1912:C1918,BB1912,AX1912:AX1918)+BB1738</f>
        <v>0</v>
      </c>
      <c r="BC1914" s="96">
        <f>SUMIF(C1912:C1918,BC1912,AX1912:AX1918)+BC1738</f>
        <v>0</v>
      </c>
      <c r="BD1914" s="96">
        <f>SUMIF(C1912:C1918,BD1912,AX1912:AX1918)+BD1738</f>
        <v>0</v>
      </c>
      <c r="BE1914" s="96">
        <f>SUMIF(C1912:C1918,BE1912,AX1912:AX1918)+BE1738</f>
        <v>0</v>
      </c>
      <c r="BF1914" s="96">
        <f>SUMIF(C1912:C1918,BF1912,AX1912:AX1918)+BF1738</f>
        <v>0</v>
      </c>
      <c r="BG1914" s="96">
        <f>SUMIF(C1912:C1918,BG1912,AX1912:AX1918)+BG1738</f>
        <v>0</v>
      </c>
      <c r="BH1914" s="99">
        <f>SUM(BB1914:BG1914)</f>
        <v>0</v>
      </c>
    </row>
    <row r="1915" spans="1:60" s="17" customFormat="1" ht="19.5" customHeight="1" thickBot="1" x14ac:dyDescent="0.4">
      <c r="A1915" s="41">
        <f t="shared" ref="A1915:B1915" si="1983">A1914</f>
        <v>45449</v>
      </c>
      <c r="B1915" s="37" t="str">
        <f t="shared" si="1983"/>
        <v>ÇEVİRME BEDEN</v>
      </c>
      <c r="C1915" s="65" t="str">
        <f t="shared" si="1976"/>
        <v>MELAHAT EROL</v>
      </c>
      <c r="D1915" s="67">
        <f t="shared" si="1977"/>
        <v>40</v>
      </c>
      <c r="E1915" s="57"/>
      <c r="F1915" s="52"/>
      <c r="G1915" s="52"/>
      <c r="H1915" s="58"/>
      <c r="I1915" s="57"/>
      <c r="J1915" s="52"/>
      <c r="K1915" s="52"/>
      <c r="L1915" s="58"/>
      <c r="M1915" s="57"/>
      <c r="N1915" s="52"/>
      <c r="O1915" s="52"/>
      <c r="P1915" s="58"/>
      <c r="Q1915" s="57"/>
      <c r="R1915" s="52"/>
      <c r="S1915" s="52"/>
      <c r="T1915" s="52"/>
      <c r="U1915" s="58"/>
      <c r="V1915" s="57"/>
      <c r="W1915" s="52"/>
      <c r="X1915" s="52"/>
      <c r="Y1915" s="58"/>
      <c r="Z1915" s="57"/>
      <c r="AA1915" s="52"/>
      <c r="AB1915" s="52"/>
      <c r="AC1915" s="58"/>
      <c r="AD1915" s="57"/>
      <c r="AE1915" s="52"/>
      <c r="AF1915" s="52"/>
      <c r="AG1915" s="58"/>
      <c r="AH1915" s="57"/>
      <c r="AI1915" s="52"/>
      <c r="AJ1915" s="52"/>
      <c r="AK1915" s="58"/>
      <c r="AL1915" s="57"/>
      <c r="AM1915" s="52"/>
      <c r="AN1915" s="52"/>
      <c r="AO1915" s="58"/>
      <c r="AP1915" s="57"/>
      <c r="AQ1915" s="52"/>
      <c r="AR1915" s="52"/>
      <c r="AS1915" s="58"/>
      <c r="AT1915" s="57"/>
      <c r="AU1915" s="52"/>
      <c r="AV1915" s="52"/>
      <c r="AW1915" s="58"/>
      <c r="AX1915" s="33">
        <f t="shared" si="1978"/>
        <v>0</v>
      </c>
      <c r="AY1915" s="31">
        <f t="shared" si="1979"/>
        <v>0</v>
      </c>
      <c r="AZ1915" s="30">
        <f t="shared" si="1980"/>
        <v>0</v>
      </c>
      <c r="BA1915" s="94" t="s">
        <v>196</v>
      </c>
      <c r="BB1915" s="96">
        <f t="shared" ref="BB1915:BG1915" si="1984">BB1913-BB1914</f>
        <v>0</v>
      </c>
      <c r="BC1915" s="96">
        <f t="shared" si="1984"/>
        <v>0</v>
      </c>
      <c r="BD1915" s="96">
        <f t="shared" si="1984"/>
        <v>0</v>
      </c>
      <c r="BE1915" s="96">
        <f t="shared" si="1984"/>
        <v>0</v>
      </c>
      <c r="BF1915" s="96">
        <f t="shared" si="1984"/>
        <v>0</v>
      </c>
      <c r="BG1915" s="96">
        <f t="shared" si="1984"/>
        <v>0</v>
      </c>
      <c r="BH1915" s="99">
        <f>SUM(BB1915:BG1915)</f>
        <v>0</v>
      </c>
    </row>
    <row r="1916" spans="1:60" s="17" customFormat="1" ht="19.5" customHeight="1" x14ac:dyDescent="0.35">
      <c r="A1916" s="41">
        <f>A1913</f>
        <v>45449</v>
      </c>
      <c r="B1916" s="37" t="str">
        <f t="shared" ref="B1916" si="1985">B1915</f>
        <v>ÇEVİRME BEDEN</v>
      </c>
      <c r="C1916" s="65" t="str">
        <f t="shared" si="1976"/>
        <v>DERYA KESKİN</v>
      </c>
      <c r="D1916" s="67">
        <f t="shared" si="1977"/>
        <v>40</v>
      </c>
      <c r="E1916" s="57"/>
      <c r="F1916" s="52"/>
      <c r="G1916" s="52"/>
      <c r="H1916" s="58"/>
      <c r="I1916" s="57"/>
      <c r="J1916" s="52"/>
      <c r="K1916" s="52"/>
      <c r="L1916" s="58"/>
      <c r="M1916" s="57"/>
      <c r="N1916" s="52"/>
      <c r="O1916" s="52"/>
      <c r="P1916" s="58"/>
      <c r="Q1916" s="57"/>
      <c r="R1916" s="52"/>
      <c r="S1916" s="52"/>
      <c r="T1916" s="52"/>
      <c r="U1916" s="58"/>
      <c r="V1916" s="57"/>
      <c r="W1916" s="52"/>
      <c r="X1916" s="52"/>
      <c r="Y1916" s="58"/>
      <c r="Z1916" s="57"/>
      <c r="AA1916" s="52"/>
      <c r="AB1916" s="52"/>
      <c r="AC1916" s="58"/>
      <c r="AD1916" s="57"/>
      <c r="AE1916" s="52"/>
      <c r="AF1916" s="52"/>
      <c r="AG1916" s="58"/>
      <c r="AH1916" s="57"/>
      <c r="AI1916" s="52"/>
      <c r="AJ1916" s="52"/>
      <c r="AK1916" s="58"/>
      <c r="AL1916" s="57"/>
      <c r="AM1916" s="52"/>
      <c r="AN1916" s="52"/>
      <c r="AO1916" s="58"/>
      <c r="AP1916" s="57"/>
      <c r="AQ1916" s="52"/>
      <c r="AR1916" s="52"/>
      <c r="AS1916" s="58"/>
      <c r="AT1916" s="57"/>
      <c r="AU1916" s="52"/>
      <c r="AV1916" s="52"/>
      <c r="AW1916" s="58"/>
      <c r="AX1916" s="33">
        <f t="shared" si="1978"/>
        <v>0</v>
      </c>
      <c r="AY1916" s="31">
        <f t="shared" si="1979"/>
        <v>0</v>
      </c>
      <c r="AZ1916" s="30">
        <f t="shared" si="1980"/>
        <v>0</v>
      </c>
      <c r="BA1916" s="34"/>
      <c r="BB1916" s="34"/>
      <c r="BC1916" s="34"/>
      <c r="BD1916" s="76"/>
      <c r="BE1916" s="34"/>
      <c r="BF1916" s="34"/>
      <c r="BG1916" s="34"/>
      <c r="BH1916" s="34"/>
    </row>
    <row r="1917" spans="1:60" s="17" customFormat="1" ht="19.5" customHeight="1" x14ac:dyDescent="0.35">
      <c r="A1917" s="41">
        <f t="shared" ref="A1917:B1917" si="1986">A1916</f>
        <v>45449</v>
      </c>
      <c r="B1917" s="37" t="str">
        <f t="shared" si="1986"/>
        <v>ÇEVİRME BEDEN</v>
      </c>
      <c r="C1917" s="65">
        <f t="shared" si="1976"/>
        <v>0</v>
      </c>
      <c r="D1917" s="67">
        <f t="shared" si="1977"/>
        <v>40</v>
      </c>
      <c r="E1917" s="57"/>
      <c r="F1917" s="52"/>
      <c r="G1917" s="52"/>
      <c r="H1917" s="58"/>
      <c r="I1917" s="57"/>
      <c r="J1917" s="52"/>
      <c r="K1917" s="52"/>
      <c r="L1917" s="58"/>
      <c r="M1917" s="57"/>
      <c r="N1917" s="52"/>
      <c r="O1917" s="52"/>
      <c r="P1917" s="58"/>
      <c r="Q1917" s="57"/>
      <c r="R1917" s="52"/>
      <c r="S1917" s="52"/>
      <c r="T1917" s="52"/>
      <c r="U1917" s="58"/>
      <c r="V1917" s="57"/>
      <c r="W1917" s="52"/>
      <c r="X1917" s="52"/>
      <c r="Y1917" s="58"/>
      <c r="Z1917" s="57"/>
      <c r="AA1917" s="52"/>
      <c r="AB1917" s="52"/>
      <c r="AC1917" s="58"/>
      <c r="AD1917" s="57"/>
      <c r="AE1917" s="52"/>
      <c r="AF1917" s="52"/>
      <c r="AG1917" s="58"/>
      <c r="AH1917" s="57"/>
      <c r="AI1917" s="52"/>
      <c r="AJ1917" s="52"/>
      <c r="AK1917" s="58"/>
      <c r="AL1917" s="57"/>
      <c r="AM1917" s="52"/>
      <c r="AN1917" s="52"/>
      <c r="AO1917" s="58"/>
      <c r="AP1917" s="57"/>
      <c r="AQ1917" s="52"/>
      <c r="AR1917" s="52"/>
      <c r="AS1917" s="58"/>
      <c r="AT1917" s="57"/>
      <c r="AU1917" s="52"/>
      <c r="AV1917" s="52"/>
      <c r="AW1917" s="58"/>
      <c r="AX1917" s="33">
        <f t="shared" si="1978"/>
        <v>0</v>
      </c>
      <c r="AY1917" s="31">
        <f t="shared" si="1979"/>
        <v>0</v>
      </c>
      <c r="AZ1917" s="30">
        <f t="shared" si="1980"/>
        <v>0</v>
      </c>
      <c r="BA1917" s="34"/>
      <c r="BB1917" s="34"/>
      <c r="BC1917" s="34"/>
      <c r="BD1917" s="76"/>
      <c r="BE1917" s="34"/>
      <c r="BF1917" s="34"/>
      <c r="BG1917" s="34"/>
      <c r="BH1917" s="34"/>
    </row>
    <row r="1918" spans="1:60" s="17" customFormat="1" ht="19.5" customHeight="1" thickBot="1" x14ac:dyDescent="0.4">
      <c r="A1918" s="41">
        <f t="shared" ref="A1918:B1918" si="1987">A1917</f>
        <v>45449</v>
      </c>
      <c r="B1918" s="37" t="str">
        <f t="shared" si="1987"/>
        <v>ÇEVİRME BEDEN</v>
      </c>
      <c r="C1918" s="65">
        <f t="shared" si="1976"/>
        <v>0</v>
      </c>
      <c r="D1918" s="67">
        <f t="shared" si="1977"/>
        <v>40</v>
      </c>
      <c r="E1918" s="59"/>
      <c r="F1918" s="60"/>
      <c r="G1918" s="61"/>
      <c r="H1918" s="62"/>
      <c r="I1918" s="59"/>
      <c r="J1918" s="60"/>
      <c r="K1918" s="61"/>
      <c r="L1918" s="62"/>
      <c r="M1918" s="59"/>
      <c r="N1918" s="60"/>
      <c r="O1918" s="61"/>
      <c r="P1918" s="62"/>
      <c r="Q1918" s="64"/>
      <c r="R1918" s="61"/>
      <c r="S1918" s="61"/>
      <c r="T1918" s="61"/>
      <c r="U1918" s="62"/>
      <c r="V1918" s="59"/>
      <c r="W1918" s="60"/>
      <c r="X1918" s="61"/>
      <c r="Y1918" s="62"/>
      <c r="Z1918" s="59"/>
      <c r="AA1918" s="60"/>
      <c r="AB1918" s="61"/>
      <c r="AC1918" s="62"/>
      <c r="AD1918" s="59"/>
      <c r="AE1918" s="60"/>
      <c r="AF1918" s="61"/>
      <c r="AG1918" s="62"/>
      <c r="AH1918" s="59"/>
      <c r="AI1918" s="60"/>
      <c r="AJ1918" s="61"/>
      <c r="AK1918" s="62"/>
      <c r="AL1918" s="59"/>
      <c r="AM1918" s="60"/>
      <c r="AN1918" s="61"/>
      <c r="AO1918" s="62"/>
      <c r="AP1918" s="59"/>
      <c r="AQ1918" s="60"/>
      <c r="AR1918" s="61"/>
      <c r="AS1918" s="62"/>
      <c r="AT1918" s="59"/>
      <c r="AU1918" s="60"/>
      <c r="AV1918" s="61"/>
      <c r="AW1918" s="62"/>
      <c r="AX1918" s="33">
        <f t="shared" si="1978"/>
        <v>0</v>
      </c>
      <c r="AY1918" s="31">
        <f t="shared" si="1979"/>
        <v>0</v>
      </c>
      <c r="AZ1918" s="30">
        <f t="shared" si="1980"/>
        <v>0</v>
      </c>
      <c r="BA1918" s="34"/>
      <c r="BB1918" s="34"/>
      <c r="BC1918" s="34"/>
      <c r="BD1918" s="76"/>
      <c r="BE1918" s="34"/>
      <c r="BF1918" s="34"/>
      <c r="BG1918" s="34"/>
      <c r="BH1918" s="34"/>
    </row>
    <row r="1919" spans="1:60" s="17" customFormat="1" ht="19.5" customHeight="1" thickBot="1" x14ac:dyDescent="0.45">
      <c r="A1919" s="41">
        <f t="shared" ref="A1919" si="1988">A1918</f>
        <v>45449</v>
      </c>
      <c r="B1919" s="139" t="str">
        <f>B1912</f>
        <v>ÇEVİRME BEDEN</v>
      </c>
      <c r="C1919" s="140"/>
      <c r="D1919" s="40">
        <f>C1766/8</f>
        <v>500</v>
      </c>
      <c r="E1919" s="147">
        <f>SUM(E1912:H1918)</f>
        <v>0</v>
      </c>
      <c r="F1919" s="148"/>
      <c r="G1919" s="148"/>
      <c r="H1919" s="149"/>
      <c r="I1919" s="147">
        <f>SUM(I1912:L1918)</f>
        <v>0</v>
      </c>
      <c r="J1919" s="148"/>
      <c r="K1919" s="148"/>
      <c r="L1919" s="149"/>
      <c r="M1919" s="147">
        <f>SUM(M1912:P1918)</f>
        <v>0</v>
      </c>
      <c r="N1919" s="148"/>
      <c r="O1919" s="148"/>
      <c r="P1919" s="149"/>
      <c r="Q1919" s="147">
        <f>SUM(Q1912:U1918)</f>
        <v>0</v>
      </c>
      <c r="R1919" s="148"/>
      <c r="S1919" s="148"/>
      <c r="T1919" s="148"/>
      <c r="U1919" s="149"/>
      <c r="V1919" s="147">
        <f>SUM(V1912:Y1918)</f>
        <v>0</v>
      </c>
      <c r="W1919" s="148"/>
      <c r="X1919" s="148"/>
      <c r="Y1919" s="149"/>
      <c r="Z1919" s="147">
        <f>SUM(Z1912:AC1918)</f>
        <v>0</v>
      </c>
      <c r="AA1919" s="148"/>
      <c r="AB1919" s="148"/>
      <c r="AC1919" s="149"/>
      <c r="AD1919" s="147">
        <f>SUM(AD1912:AG1918)</f>
        <v>0</v>
      </c>
      <c r="AE1919" s="148"/>
      <c r="AF1919" s="148"/>
      <c r="AG1919" s="149"/>
      <c r="AH1919" s="147">
        <f>SUM(AH1912:AK1918)</f>
        <v>0</v>
      </c>
      <c r="AI1919" s="148"/>
      <c r="AJ1919" s="148"/>
      <c r="AK1919" s="149"/>
      <c r="AL1919" s="147">
        <f>SUM(AL1912:AO1918)</f>
        <v>0</v>
      </c>
      <c r="AM1919" s="148"/>
      <c r="AN1919" s="148"/>
      <c r="AO1919" s="149"/>
      <c r="AP1919" s="147">
        <f>SUM(AP1912:AS1918)</f>
        <v>0</v>
      </c>
      <c r="AQ1919" s="148"/>
      <c r="AR1919" s="148"/>
      <c r="AS1919" s="149"/>
      <c r="AT1919" s="147">
        <f>SUM(AT1912:AW1918)</f>
        <v>0</v>
      </c>
      <c r="AU1919" s="148"/>
      <c r="AV1919" s="148"/>
      <c r="AW1919" s="149"/>
      <c r="AX1919" s="87">
        <f>SUM(AX1912:AX1918)</f>
        <v>0</v>
      </c>
      <c r="AY1919" s="88">
        <f>IFERROR(AVERAGEIF(E1919:AV1919,"&lt;&gt;0",(E1919:AV1919)),)</f>
        <v>0</v>
      </c>
      <c r="AZ1919" s="46">
        <f>IFERROR(AX1919/BB1913,0)</f>
        <v>0</v>
      </c>
      <c r="BA1919" s="34"/>
      <c r="BB1919" s="34"/>
      <c r="BC1919" s="34"/>
      <c r="BD1919" s="76"/>
      <c r="BE1919" s="34"/>
      <c r="BF1919" s="34"/>
      <c r="BG1919" s="34"/>
      <c r="BH1919" s="34"/>
    </row>
    <row r="1920" spans="1:60" s="17" customFormat="1" ht="19.5" customHeight="1" thickBot="1" x14ac:dyDescent="0.4">
      <c r="A1920" s="42">
        <f>A1911</f>
        <v>45449</v>
      </c>
      <c r="B1920" s="38">
        <v>50</v>
      </c>
      <c r="C1920" s="39" t="s">
        <v>180</v>
      </c>
      <c r="D1920" s="69" t="s">
        <v>181</v>
      </c>
      <c r="E1920" s="48">
        <v>0.34375</v>
      </c>
      <c r="F1920" s="49">
        <v>0.35416666666666669</v>
      </c>
      <c r="G1920" s="49">
        <v>0.36458333333333331</v>
      </c>
      <c r="H1920" s="50">
        <v>0.375</v>
      </c>
      <c r="I1920" s="48">
        <v>0.38541666666666702</v>
      </c>
      <c r="J1920" s="49">
        <v>0.39583333333333298</v>
      </c>
      <c r="K1920" s="49">
        <v>0.40625</v>
      </c>
      <c r="L1920" s="50">
        <v>0.41666666666666702</v>
      </c>
      <c r="M1920" s="48">
        <v>0.4375</v>
      </c>
      <c r="N1920" s="49">
        <v>0.44791666666666702</v>
      </c>
      <c r="O1920" s="49">
        <v>0.45833333333333398</v>
      </c>
      <c r="P1920" s="50">
        <v>0.46875</v>
      </c>
      <c r="Q1920" s="82">
        <v>0.47916666666666702</v>
      </c>
      <c r="R1920" s="83">
        <v>0.48958333333333398</v>
      </c>
      <c r="S1920" s="83">
        <v>0.5</v>
      </c>
      <c r="T1920" s="84">
        <v>0.51041666666666696</v>
      </c>
      <c r="U1920" s="85">
        <v>0.52083333333333204</v>
      </c>
      <c r="V1920" s="48">
        <v>0.5625</v>
      </c>
      <c r="W1920" s="49">
        <v>0.57291666666666663</v>
      </c>
      <c r="X1920" s="49">
        <v>0.58333333333333304</v>
      </c>
      <c r="Y1920" s="50">
        <v>0.59375</v>
      </c>
      <c r="Z1920" s="48">
        <v>0.60416666666666696</v>
      </c>
      <c r="AA1920" s="49">
        <v>0.61458333333333304</v>
      </c>
      <c r="AB1920" s="49">
        <v>0.625</v>
      </c>
      <c r="AC1920" s="50">
        <v>0.63541666666666596</v>
      </c>
      <c r="AD1920" s="48">
        <v>0.65625</v>
      </c>
      <c r="AE1920" s="49">
        <v>0.66666666666666663</v>
      </c>
      <c r="AF1920" s="49">
        <v>0.67708333333333304</v>
      </c>
      <c r="AG1920" s="50">
        <v>0.6875</v>
      </c>
      <c r="AH1920" s="48">
        <v>0.69791666666666696</v>
      </c>
      <c r="AI1920" s="49">
        <v>0.70833333333333304</v>
      </c>
      <c r="AJ1920" s="49">
        <v>0.71875</v>
      </c>
      <c r="AK1920" s="50">
        <v>0.72916666666666696</v>
      </c>
      <c r="AL1920" s="48">
        <v>0.73958333333333404</v>
      </c>
      <c r="AM1920" s="49">
        <v>0.750000000000001</v>
      </c>
      <c r="AN1920" s="49">
        <v>0.76041666666666796</v>
      </c>
      <c r="AO1920" s="50">
        <v>0.77083333333333504</v>
      </c>
      <c r="AP1920" s="48">
        <v>0.781250000000002</v>
      </c>
      <c r="AQ1920" s="49">
        <v>0.79166666666666896</v>
      </c>
      <c r="AR1920" s="49">
        <v>0.80208333333333603</v>
      </c>
      <c r="AS1920" s="50">
        <v>0.812500000000003</v>
      </c>
      <c r="AT1920" s="48">
        <v>0.82291666666666996</v>
      </c>
      <c r="AU1920" s="49">
        <v>0.83333333333333703</v>
      </c>
      <c r="AV1920" s="49">
        <v>0.843750000000004</v>
      </c>
      <c r="AW1920" s="50">
        <v>0.85416666666666663</v>
      </c>
      <c r="AX1920" s="68" t="s">
        <v>260</v>
      </c>
      <c r="AY1920" s="28" t="s">
        <v>261</v>
      </c>
      <c r="AZ1920" s="29" t="s">
        <v>262</v>
      </c>
      <c r="BA1920" s="136" t="str">
        <f>B1921</f>
        <v>Ütü</v>
      </c>
      <c r="BB1920" s="137"/>
      <c r="BC1920" s="137"/>
      <c r="BD1920" s="137"/>
      <c r="BE1920" s="137"/>
      <c r="BF1920" s="137"/>
      <c r="BG1920" s="137"/>
      <c r="BH1920" s="138"/>
    </row>
    <row r="1921" spans="1:60" s="17" customFormat="1" ht="19.5" customHeight="1" thickBot="1" x14ac:dyDescent="0.4">
      <c r="A1921" s="41">
        <f t="shared" ref="A1921" si="1989">A1920</f>
        <v>45449</v>
      </c>
      <c r="B1921" s="37" t="str">
        <f>B1745</f>
        <v>Ütü</v>
      </c>
      <c r="C1921" s="65" t="str">
        <f>C1745</f>
        <v>FARUK BİÇER</v>
      </c>
      <c r="D1921" s="70">
        <f>D1745</f>
        <v>45</v>
      </c>
      <c r="E1921" s="63"/>
      <c r="F1921" s="55"/>
      <c r="G1921" s="55"/>
      <c r="H1921" s="56"/>
      <c r="I1921" s="63"/>
      <c r="J1921" s="55"/>
      <c r="K1921" s="55"/>
      <c r="L1921" s="56"/>
      <c r="M1921" s="63"/>
      <c r="N1921" s="55"/>
      <c r="O1921" s="55"/>
      <c r="P1921" s="56"/>
      <c r="Q1921" s="63"/>
      <c r="R1921" s="55"/>
      <c r="S1921" s="55"/>
      <c r="T1921" s="55"/>
      <c r="U1921" s="56"/>
      <c r="V1921" s="63"/>
      <c r="W1921" s="55"/>
      <c r="X1921" s="55"/>
      <c r="Y1921" s="56"/>
      <c r="Z1921" s="63"/>
      <c r="AA1921" s="55"/>
      <c r="AB1921" s="55"/>
      <c r="AC1921" s="56"/>
      <c r="AD1921" s="63"/>
      <c r="AE1921" s="55"/>
      <c r="AF1921" s="55"/>
      <c r="AG1921" s="56"/>
      <c r="AH1921" s="63"/>
      <c r="AI1921" s="55"/>
      <c r="AJ1921" s="55"/>
      <c r="AK1921" s="56"/>
      <c r="AL1921" s="53"/>
      <c r="AM1921" s="54"/>
      <c r="AN1921" s="55"/>
      <c r="AO1921" s="56"/>
      <c r="AP1921" s="53"/>
      <c r="AQ1921" s="54"/>
      <c r="AR1921" s="55"/>
      <c r="AS1921" s="56"/>
      <c r="AT1921" s="53"/>
      <c r="AU1921" s="54"/>
      <c r="AV1921" s="55"/>
      <c r="AW1921" s="56"/>
      <c r="AX1921" s="33">
        <f>SUM(E1921:AW1921)</f>
        <v>0</v>
      </c>
      <c r="AY1921" s="31">
        <f>IFERROR(AVERAGEIF(E1921:AW1921,"&lt;&gt;0",(E1921:AW1921)),)</f>
        <v>0</v>
      </c>
      <c r="AZ1921" s="30">
        <f>IFERROR(AY1921/D1921,0)</f>
        <v>0</v>
      </c>
      <c r="BA1921" s="103" t="s">
        <v>182</v>
      </c>
      <c r="BB1921" s="100" t="s">
        <v>183</v>
      </c>
      <c r="BC1921" s="100" t="s">
        <v>184</v>
      </c>
      <c r="BD1921" s="101" t="s">
        <v>185</v>
      </c>
      <c r="BE1921" s="100" t="s">
        <v>186</v>
      </c>
      <c r="BF1921" s="102" t="s">
        <v>187</v>
      </c>
      <c r="BG1921" s="100" t="s">
        <v>188</v>
      </c>
      <c r="BH1921" s="102" t="s">
        <v>189</v>
      </c>
    </row>
    <row r="1922" spans="1:60" s="17" customFormat="1" ht="19.5" customHeight="1" thickBot="1" x14ac:dyDescent="0.4">
      <c r="A1922" s="41">
        <f t="shared" ref="A1922:B1922" si="1990">A1921</f>
        <v>45449</v>
      </c>
      <c r="B1922" s="37" t="str">
        <f t="shared" si="1990"/>
        <v>Ütü</v>
      </c>
      <c r="C1922" s="65" t="str">
        <f t="shared" ref="C1922:C1927" si="1991">C1746</f>
        <v>HANİFE BOZKURT</v>
      </c>
      <c r="D1922" s="67">
        <f t="shared" ref="D1922:D1927" si="1992">D1921</f>
        <v>45</v>
      </c>
      <c r="E1922" s="57"/>
      <c r="F1922" s="52"/>
      <c r="G1922" s="52"/>
      <c r="H1922" s="58"/>
      <c r="I1922" s="57"/>
      <c r="J1922" s="52"/>
      <c r="K1922" s="52"/>
      <c r="L1922" s="58"/>
      <c r="M1922" s="57"/>
      <c r="N1922" s="52"/>
      <c r="O1922" s="52"/>
      <c r="P1922" s="58"/>
      <c r="Q1922" s="57"/>
      <c r="R1922" s="52"/>
      <c r="S1922" s="52"/>
      <c r="T1922" s="52"/>
      <c r="U1922" s="58"/>
      <c r="V1922" s="57"/>
      <c r="W1922" s="52"/>
      <c r="X1922" s="52"/>
      <c r="Y1922" s="58"/>
      <c r="Z1922" s="57"/>
      <c r="AA1922" s="52"/>
      <c r="AB1922" s="52"/>
      <c r="AC1922" s="58"/>
      <c r="AD1922" s="57"/>
      <c r="AE1922" s="52"/>
      <c r="AF1922" s="52"/>
      <c r="AG1922" s="58"/>
      <c r="AH1922" s="57"/>
      <c r="AI1922" s="52"/>
      <c r="AJ1922" s="52"/>
      <c r="AK1922" s="58"/>
      <c r="AL1922" s="57"/>
      <c r="AM1922" s="52"/>
      <c r="AN1922" s="52"/>
      <c r="AO1922" s="58"/>
      <c r="AP1922" s="57"/>
      <c r="AQ1922" s="52"/>
      <c r="AR1922" s="52"/>
      <c r="AS1922" s="58"/>
      <c r="AT1922" s="57"/>
      <c r="AU1922" s="52"/>
      <c r="AV1922" s="52"/>
      <c r="AW1922" s="58"/>
      <c r="AX1922" s="33">
        <f t="shared" ref="AX1922:AX1927" si="1993">SUM(E1922:AW1922)</f>
        <v>0</v>
      </c>
      <c r="AY1922" s="31">
        <f t="shared" ref="AY1922:AY1927" si="1994">IFERROR(AVERAGEIF(E1922:AW1922,"&lt;&gt;0",(E1922:AW1922)),)</f>
        <v>0</v>
      </c>
      <c r="AZ1922" s="30">
        <f t="shared" ref="AZ1922:AZ1927" si="1995">IFERROR(AY1922/D1922,0)</f>
        <v>0</v>
      </c>
      <c r="BA1922" s="94">
        <f>AX1928+BA1746</f>
        <v>10947</v>
      </c>
      <c r="BB1922" s="95">
        <f>(D1910*8)</f>
        <v>4000</v>
      </c>
      <c r="BC1922" s="96">
        <f>C1765-BA1922</f>
        <v>31364</v>
      </c>
      <c r="BD1922" s="96">
        <f>BA1895-BA1922</f>
        <v>4561</v>
      </c>
      <c r="BE1922" s="97">
        <f>IFERROR(BC1922/E1928,0)</f>
        <v>0</v>
      </c>
      <c r="BF1922" s="98">
        <f>IFERROR(BE1922/9,0)</f>
        <v>0</v>
      </c>
      <c r="BG1922" s="97">
        <f>IFERROR(BC1922/AY1928,0)</f>
        <v>0</v>
      </c>
      <c r="BH1922" s="97">
        <f>IFERROR(BG1922/9,0)</f>
        <v>0</v>
      </c>
    </row>
    <row r="1923" spans="1:60" s="17" customFormat="1" ht="19.5" customHeight="1" x14ac:dyDescent="0.35">
      <c r="A1923" s="41">
        <f t="shared" ref="A1923:B1923" si="1996">A1922</f>
        <v>45449</v>
      </c>
      <c r="B1923" s="37" t="str">
        <f t="shared" si="1996"/>
        <v>Ütü</v>
      </c>
      <c r="C1923" s="65" t="str">
        <f t="shared" si="1991"/>
        <v>BAİSE KURTULDU</v>
      </c>
      <c r="D1923" s="67">
        <f t="shared" si="1992"/>
        <v>45</v>
      </c>
      <c r="E1923" s="57"/>
      <c r="F1923" s="52"/>
      <c r="G1923" s="52"/>
      <c r="H1923" s="58"/>
      <c r="I1923" s="57"/>
      <c r="J1923" s="52"/>
      <c r="K1923" s="52"/>
      <c r="L1923" s="58"/>
      <c r="M1923" s="57"/>
      <c r="N1923" s="52"/>
      <c r="O1923" s="52"/>
      <c r="P1923" s="58"/>
      <c r="Q1923" s="57"/>
      <c r="R1923" s="52"/>
      <c r="S1923" s="52"/>
      <c r="T1923" s="52"/>
      <c r="U1923" s="58"/>
      <c r="V1923" s="57"/>
      <c r="W1923" s="52"/>
      <c r="X1923" s="52"/>
      <c r="Y1923" s="58"/>
      <c r="Z1923" s="57"/>
      <c r="AA1923" s="52"/>
      <c r="AB1923" s="52"/>
      <c r="AC1923" s="58"/>
      <c r="AD1923" s="57"/>
      <c r="AE1923" s="52"/>
      <c r="AF1923" s="52"/>
      <c r="AG1923" s="58"/>
      <c r="AH1923" s="57"/>
      <c r="AI1923" s="52"/>
      <c r="AJ1923" s="52"/>
      <c r="AK1923" s="58"/>
      <c r="AL1923" s="57"/>
      <c r="AM1923" s="52"/>
      <c r="AN1923" s="52"/>
      <c r="AO1923" s="58"/>
      <c r="AP1923" s="57"/>
      <c r="AQ1923" s="52"/>
      <c r="AR1923" s="52"/>
      <c r="AS1923" s="58"/>
      <c r="AT1923" s="57"/>
      <c r="AU1923" s="52"/>
      <c r="AV1923" s="52"/>
      <c r="AW1923" s="58"/>
      <c r="AX1923" s="33">
        <f t="shared" si="1993"/>
        <v>0</v>
      </c>
      <c r="AY1923" s="31">
        <f t="shared" si="1994"/>
        <v>0</v>
      </c>
      <c r="AZ1923" s="30">
        <f t="shared" si="1995"/>
        <v>0</v>
      </c>
      <c r="BA1923" s="34"/>
      <c r="BB1923" s="34"/>
      <c r="BC1923" s="34"/>
      <c r="BD1923" s="76"/>
      <c r="BE1923" s="34"/>
      <c r="BF1923" s="34"/>
      <c r="BG1923" s="34"/>
      <c r="BH1923" s="34"/>
    </row>
    <row r="1924" spans="1:60" s="17" customFormat="1" ht="19.5" customHeight="1" x14ac:dyDescent="0.35">
      <c r="A1924" s="41">
        <f t="shared" ref="A1924:B1924" si="1997">A1923</f>
        <v>45449</v>
      </c>
      <c r="B1924" s="37" t="str">
        <f t="shared" si="1997"/>
        <v>Ütü</v>
      </c>
      <c r="C1924" s="65" t="str">
        <f t="shared" si="1991"/>
        <v>DERYA KESKİN</v>
      </c>
      <c r="D1924" s="67">
        <f t="shared" si="1992"/>
        <v>45</v>
      </c>
      <c r="E1924" s="57"/>
      <c r="F1924" s="52"/>
      <c r="G1924" s="52"/>
      <c r="H1924" s="58"/>
      <c r="I1924" s="57"/>
      <c r="J1924" s="52"/>
      <c r="K1924" s="52"/>
      <c r="L1924" s="58"/>
      <c r="M1924" s="57"/>
      <c r="N1924" s="52"/>
      <c r="O1924" s="52"/>
      <c r="P1924" s="58"/>
      <c r="Q1924" s="57"/>
      <c r="R1924" s="52"/>
      <c r="S1924" s="52"/>
      <c r="T1924" s="52"/>
      <c r="U1924" s="58"/>
      <c r="V1924" s="57"/>
      <c r="W1924" s="52"/>
      <c r="X1924" s="52"/>
      <c r="Y1924" s="58"/>
      <c r="Z1924" s="57"/>
      <c r="AA1924" s="52"/>
      <c r="AB1924" s="52"/>
      <c r="AC1924" s="58"/>
      <c r="AD1924" s="57"/>
      <c r="AE1924" s="52"/>
      <c r="AF1924" s="52"/>
      <c r="AG1924" s="58"/>
      <c r="AH1924" s="57"/>
      <c r="AI1924" s="52"/>
      <c r="AJ1924" s="52"/>
      <c r="AK1924" s="58"/>
      <c r="AL1924" s="57"/>
      <c r="AM1924" s="52"/>
      <c r="AN1924" s="52"/>
      <c r="AO1924" s="58"/>
      <c r="AP1924" s="57"/>
      <c r="AQ1924" s="52"/>
      <c r="AR1924" s="52"/>
      <c r="AS1924" s="58"/>
      <c r="AT1924" s="57"/>
      <c r="AU1924" s="52"/>
      <c r="AV1924" s="52"/>
      <c r="AW1924" s="58"/>
      <c r="AX1924" s="33">
        <f t="shared" si="1993"/>
        <v>0</v>
      </c>
      <c r="AY1924" s="31">
        <f t="shared" si="1994"/>
        <v>0</v>
      </c>
      <c r="AZ1924" s="30">
        <f t="shared" si="1995"/>
        <v>0</v>
      </c>
      <c r="BA1924" s="34"/>
      <c r="BB1924" s="34"/>
      <c r="BC1924" s="34"/>
      <c r="BD1924" s="76"/>
      <c r="BE1924" s="34"/>
      <c r="BF1924" s="34"/>
      <c r="BG1924" s="34"/>
      <c r="BH1924" s="34"/>
    </row>
    <row r="1925" spans="1:60" s="17" customFormat="1" ht="19.5" customHeight="1" x14ac:dyDescent="0.35">
      <c r="A1925" s="41">
        <f>A1922</f>
        <v>45449</v>
      </c>
      <c r="B1925" s="37" t="str">
        <f t="shared" ref="B1925" si="1998">B1924</f>
        <v>Ütü</v>
      </c>
      <c r="C1925" s="65" t="str">
        <f t="shared" si="1991"/>
        <v>NEDİME KÖSE</v>
      </c>
      <c r="D1925" s="67">
        <f t="shared" si="1992"/>
        <v>45</v>
      </c>
      <c r="E1925" s="57"/>
      <c r="F1925" s="52"/>
      <c r="G1925" s="52"/>
      <c r="H1925" s="58"/>
      <c r="I1925" s="57"/>
      <c r="J1925" s="52"/>
      <c r="K1925" s="52"/>
      <c r="L1925" s="58"/>
      <c r="M1925" s="57"/>
      <c r="N1925" s="52"/>
      <c r="O1925" s="52"/>
      <c r="P1925" s="58"/>
      <c r="Q1925" s="57"/>
      <c r="R1925" s="52"/>
      <c r="S1925" s="52"/>
      <c r="T1925" s="52"/>
      <c r="U1925" s="58"/>
      <c r="V1925" s="57"/>
      <c r="W1925" s="52"/>
      <c r="X1925" s="52"/>
      <c r="Y1925" s="58"/>
      <c r="Z1925" s="57"/>
      <c r="AA1925" s="52"/>
      <c r="AB1925" s="52"/>
      <c r="AC1925" s="58"/>
      <c r="AD1925" s="57"/>
      <c r="AE1925" s="52"/>
      <c r="AF1925" s="52"/>
      <c r="AG1925" s="58"/>
      <c r="AH1925" s="57"/>
      <c r="AI1925" s="52"/>
      <c r="AJ1925" s="52"/>
      <c r="AK1925" s="58"/>
      <c r="AL1925" s="57"/>
      <c r="AM1925" s="52"/>
      <c r="AN1925" s="52"/>
      <c r="AO1925" s="58"/>
      <c r="AP1925" s="57"/>
      <c r="AQ1925" s="52"/>
      <c r="AR1925" s="52"/>
      <c r="AS1925" s="58"/>
      <c r="AT1925" s="57"/>
      <c r="AU1925" s="52"/>
      <c r="AV1925" s="52"/>
      <c r="AW1925" s="58"/>
      <c r="AX1925" s="33">
        <f t="shared" si="1993"/>
        <v>0</v>
      </c>
      <c r="AY1925" s="31">
        <f t="shared" si="1994"/>
        <v>0</v>
      </c>
      <c r="AZ1925" s="30">
        <f t="shared" si="1995"/>
        <v>0</v>
      </c>
      <c r="BA1925" s="34"/>
      <c r="BB1925" s="34"/>
      <c r="BC1925" s="34"/>
      <c r="BD1925" s="76"/>
      <c r="BE1925" s="34"/>
      <c r="BF1925" s="34"/>
      <c r="BG1925" s="34"/>
      <c r="BH1925" s="34"/>
    </row>
    <row r="1926" spans="1:60" s="17" customFormat="1" ht="19.5" customHeight="1" x14ac:dyDescent="0.35">
      <c r="A1926" s="41">
        <f t="shared" ref="A1926:B1926" si="1999">A1925</f>
        <v>45449</v>
      </c>
      <c r="B1926" s="37" t="str">
        <f t="shared" si="1999"/>
        <v>Ütü</v>
      </c>
      <c r="C1926" s="65">
        <f t="shared" si="1991"/>
        <v>0</v>
      </c>
      <c r="D1926" s="67">
        <f t="shared" si="1992"/>
        <v>45</v>
      </c>
      <c r="E1926" s="57"/>
      <c r="F1926" s="52"/>
      <c r="G1926" s="52"/>
      <c r="H1926" s="58"/>
      <c r="I1926" s="57"/>
      <c r="J1926" s="52"/>
      <c r="K1926" s="52"/>
      <c r="L1926" s="58"/>
      <c r="M1926" s="57"/>
      <c r="N1926" s="52"/>
      <c r="O1926" s="52"/>
      <c r="P1926" s="78"/>
      <c r="Q1926" s="57"/>
      <c r="R1926" s="52"/>
      <c r="S1926" s="52"/>
      <c r="T1926" s="52"/>
      <c r="U1926" s="58"/>
      <c r="V1926" s="80"/>
      <c r="W1926" s="52"/>
      <c r="X1926" s="52"/>
      <c r="Y1926" s="58"/>
      <c r="Z1926" s="57"/>
      <c r="AA1926" s="52"/>
      <c r="AB1926" s="52"/>
      <c r="AC1926" s="58"/>
      <c r="AD1926" s="57"/>
      <c r="AE1926" s="52"/>
      <c r="AF1926" s="52"/>
      <c r="AG1926" s="58"/>
      <c r="AH1926" s="57"/>
      <c r="AI1926" s="52"/>
      <c r="AJ1926" s="52"/>
      <c r="AK1926" s="58"/>
      <c r="AL1926" s="57"/>
      <c r="AM1926" s="52"/>
      <c r="AN1926" s="52"/>
      <c r="AO1926" s="58"/>
      <c r="AP1926" s="57"/>
      <c r="AQ1926" s="52"/>
      <c r="AR1926" s="52"/>
      <c r="AS1926" s="58"/>
      <c r="AT1926" s="57"/>
      <c r="AU1926" s="52"/>
      <c r="AV1926" s="52"/>
      <c r="AW1926" s="58"/>
      <c r="AX1926" s="33">
        <f t="shared" si="1993"/>
        <v>0</v>
      </c>
      <c r="AY1926" s="31">
        <f t="shared" si="1994"/>
        <v>0</v>
      </c>
      <c r="AZ1926" s="30">
        <f t="shared" si="1995"/>
        <v>0</v>
      </c>
      <c r="BA1926" s="34"/>
      <c r="BB1926" s="34"/>
      <c r="BC1926" s="34"/>
      <c r="BD1926" s="76"/>
      <c r="BE1926" s="34"/>
      <c r="BF1926" s="34"/>
      <c r="BG1926" s="34"/>
      <c r="BH1926" s="34"/>
    </row>
    <row r="1927" spans="1:60" s="17" customFormat="1" ht="19.5" customHeight="1" thickBot="1" x14ac:dyDescent="0.4">
      <c r="A1927" s="41">
        <f t="shared" ref="A1927:B1927" si="2000">A1926</f>
        <v>45449</v>
      </c>
      <c r="B1927" s="37" t="str">
        <f t="shared" si="2000"/>
        <v>Ütü</v>
      </c>
      <c r="C1927" s="65">
        <f t="shared" si="1991"/>
        <v>0</v>
      </c>
      <c r="D1927" s="67">
        <f t="shared" si="1992"/>
        <v>45</v>
      </c>
      <c r="E1927" s="59"/>
      <c r="F1927" s="60"/>
      <c r="G1927" s="61"/>
      <c r="H1927" s="62"/>
      <c r="I1927" s="59"/>
      <c r="J1927" s="60"/>
      <c r="K1927" s="61"/>
      <c r="L1927" s="62"/>
      <c r="M1927" s="59"/>
      <c r="N1927" s="60"/>
      <c r="O1927" s="61"/>
      <c r="P1927" s="79"/>
      <c r="Q1927" s="64"/>
      <c r="R1927" s="61"/>
      <c r="S1927" s="61"/>
      <c r="T1927" s="61"/>
      <c r="U1927" s="62"/>
      <c r="V1927" s="81"/>
      <c r="W1927" s="60"/>
      <c r="X1927" s="61"/>
      <c r="Y1927" s="62"/>
      <c r="Z1927" s="59"/>
      <c r="AA1927" s="60"/>
      <c r="AB1927" s="61"/>
      <c r="AC1927" s="62"/>
      <c r="AD1927" s="59"/>
      <c r="AE1927" s="60"/>
      <c r="AF1927" s="61"/>
      <c r="AG1927" s="62"/>
      <c r="AH1927" s="59"/>
      <c r="AI1927" s="60"/>
      <c r="AJ1927" s="61"/>
      <c r="AK1927" s="62"/>
      <c r="AL1927" s="59"/>
      <c r="AM1927" s="60"/>
      <c r="AN1927" s="61"/>
      <c r="AO1927" s="62"/>
      <c r="AP1927" s="59"/>
      <c r="AQ1927" s="60"/>
      <c r="AR1927" s="61"/>
      <c r="AS1927" s="62"/>
      <c r="AT1927" s="59"/>
      <c r="AU1927" s="60"/>
      <c r="AV1927" s="61"/>
      <c r="AW1927" s="62"/>
      <c r="AX1927" s="33">
        <f t="shared" si="1993"/>
        <v>0</v>
      </c>
      <c r="AY1927" s="31">
        <f t="shared" si="1994"/>
        <v>0</v>
      </c>
      <c r="AZ1927" s="30">
        <f t="shared" si="1995"/>
        <v>0</v>
      </c>
      <c r="BA1927" s="34"/>
      <c r="BB1927" s="34"/>
      <c r="BC1927" s="34"/>
      <c r="BD1927" s="76"/>
      <c r="BE1927" s="34"/>
      <c r="BF1927" s="34"/>
      <c r="BG1927" s="34"/>
      <c r="BH1927" s="34"/>
    </row>
    <row r="1928" spans="1:60" s="17" customFormat="1" ht="19.5" customHeight="1" thickBot="1" x14ac:dyDescent="0.45">
      <c r="A1928" s="41">
        <f t="shared" ref="A1928" si="2001">A1927</f>
        <v>45449</v>
      </c>
      <c r="B1928" s="139" t="str">
        <f>B1921</f>
        <v>Ütü</v>
      </c>
      <c r="C1928" s="140"/>
      <c r="D1928" s="40">
        <f>C1766/8</f>
        <v>500</v>
      </c>
      <c r="E1928" s="141">
        <f>SUM(E1921:H1927)</f>
        <v>0</v>
      </c>
      <c r="F1928" s="142"/>
      <c r="G1928" s="142"/>
      <c r="H1928" s="143"/>
      <c r="I1928" s="141">
        <f>SUM(I1921:L1927)</f>
        <v>0</v>
      </c>
      <c r="J1928" s="142"/>
      <c r="K1928" s="142"/>
      <c r="L1928" s="143"/>
      <c r="M1928" s="141">
        <f>SUM(M1921:P1927)</f>
        <v>0</v>
      </c>
      <c r="N1928" s="142"/>
      <c r="O1928" s="142"/>
      <c r="P1928" s="143"/>
      <c r="Q1928" s="144">
        <f>SUM(Q1921:U1927)</f>
        <v>0</v>
      </c>
      <c r="R1928" s="145"/>
      <c r="S1928" s="145"/>
      <c r="T1928" s="145"/>
      <c r="U1928" s="146"/>
      <c r="V1928" s="141">
        <f>SUM(V1921:Y1927)</f>
        <v>0</v>
      </c>
      <c r="W1928" s="142"/>
      <c r="X1928" s="142"/>
      <c r="Y1928" s="143"/>
      <c r="Z1928" s="141">
        <f>SUM(Z1921:AC1927)</f>
        <v>0</v>
      </c>
      <c r="AA1928" s="142"/>
      <c r="AB1928" s="142"/>
      <c r="AC1928" s="143"/>
      <c r="AD1928" s="147">
        <f>SUM(AD1921:AG1927)</f>
        <v>0</v>
      </c>
      <c r="AE1928" s="148"/>
      <c r="AF1928" s="148"/>
      <c r="AG1928" s="149"/>
      <c r="AH1928" s="147">
        <f>SUM(AH1921:AK1927)</f>
        <v>0</v>
      </c>
      <c r="AI1928" s="148"/>
      <c r="AJ1928" s="148"/>
      <c r="AK1928" s="149"/>
      <c r="AL1928" s="147">
        <f>SUM(AL1921:AO1927)</f>
        <v>0</v>
      </c>
      <c r="AM1928" s="148"/>
      <c r="AN1928" s="148"/>
      <c r="AO1928" s="149"/>
      <c r="AP1928" s="147">
        <f>SUM(AP1921:AS1927)</f>
        <v>0</v>
      </c>
      <c r="AQ1928" s="148"/>
      <c r="AR1928" s="148"/>
      <c r="AS1928" s="149"/>
      <c r="AT1928" s="147">
        <f>SUM(AT1921:AW1927)</f>
        <v>0</v>
      </c>
      <c r="AU1928" s="148"/>
      <c r="AV1928" s="148"/>
      <c r="AW1928" s="149"/>
      <c r="AX1928" s="87">
        <f>SUM(AX1921:AX1927)</f>
        <v>0</v>
      </c>
      <c r="AY1928" s="88">
        <f>IFERROR(AVERAGEIF(E1928:AV1928,"&lt;&gt;0",(E1928:AV1928)),)</f>
        <v>0</v>
      </c>
      <c r="AZ1928" s="46">
        <f>IFERROR(AX1928/BB1922,0)</f>
        <v>0</v>
      </c>
      <c r="BA1928" s="34"/>
      <c r="BB1928" s="34"/>
      <c r="BC1928" s="34"/>
      <c r="BD1928" s="76"/>
      <c r="BE1928" s="34"/>
      <c r="BF1928" s="34"/>
      <c r="BG1928" s="34"/>
      <c r="BH1928" s="34"/>
    </row>
    <row r="1929" spans="1:60" s="17" customFormat="1" ht="19.5" customHeight="1" thickBot="1" x14ac:dyDescent="0.4">
      <c r="A1929" s="115">
        <f>A1920</f>
        <v>45449</v>
      </c>
      <c r="B1929" s="113" t="str">
        <f>B1930</f>
        <v>Kalite</v>
      </c>
      <c r="C1929" s="39" t="s">
        <v>180</v>
      </c>
      <c r="D1929" s="69" t="s">
        <v>181</v>
      </c>
      <c r="E1929" s="48">
        <v>0.34375</v>
      </c>
      <c r="F1929" s="49">
        <v>0.35416666666666669</v>
      </c>
      <c r="G1929" s="49">
        <v>0.36458333333333331</v>
      </c>
      <c r="H1929" s="50">
        <v>0.375</v>
      </c>
      <c r="I1929" s="48">
        <v>0.38541666666666702</v>
      </c>
      <c r="J1929" s="49">
        <v>0.39583333333333298</v>
      </c>
      <c r="K1929" s="49">
        <v>0.40625</v>
      </c>
      <c r="L1929" s="50">
        <v>0.41666666666666702</v>
      </c>
      <c r="M1929" s="48">
        <v>0.4375</v>
      </c>
      <c r="N1929" s="49">
        <v>0.44791666666666702</v>
      </c>
      <c r="O1929" s="49">
        <v>0.45833333333333398</v>
      </c>
      <c r="P1929" s="50">
        <v>0.46875</v>
      </c>
      <c r="Q1929" s="82">
        <v>0.47916666666666702</v>
      </c>
      <c r="R1929" s="83">
        <v>0.48958333333333398</v>
      </c>
      <c r="S1929" s="83">
        <v>0.5</v>
      </c>
      <c r="T1929" s="84">
        <v>0.51041666666666696</v>
      </c>
      <c r="U1929" s="85">
        <v>0.52083333333333204</v>
      </c>
      <c r="V1929" s="48">
        <v>0.5625</v>
      </c>
      <c r="W1929" s="49">
        <v>0.57291666666666663</v>
      </c>
      <c r="X1929" s="49">
        <v>0.58333333333333304</v>
      </c>
      <c r="Y1929" s="50">
        <v>0.59375</v>
      </c>
      <c r="Z1929" s="48">
        <v>0.60416666666666696</v>
      </c>
      <c r="AA1929" s="49">
        <v>0.61458333333333304</v>
      </c>
      <c r="AB1929" s="49">
        <v>0.625</v>
      </c>
      <c r="AC1929" s="50">
        <v>0.63541666666666596</v>
      </c>
      <c r="AD1929" s="48">
        <v>0.65625</v>
      </c>
      <c r="AE1929" s="49">
        <v>0.66666666666666663</v>
      </c>
      <c r="AF1929" s="49">
        <v>0.67708333333333304</v>
      </c>
      <c r="AG1929" s="50">
        <v>0.6875</v>
      </c>
      <c r="AH1929" s="48">
        <v>0.69791666666666696</v>
      </c>
      <c r="AI1929" s="49">
        <v>0.70833333333333304</v>
      </c>
      <c r="AJ1929" s="49">
        <v>0.71875</v>
      </c>
      <c r="AK1929" s="50">
        <v>0.72916666666666696</v>
      </c>
      <c r="AL1929" s="48">
        <v>0.73958333333333404</v>
      </c>
      <c r="AM1929" s="49">
        <v>0.750000000000001</v>
      </c>
      <c r="AN1929" s="49">
        <v>0.76041666666666796</v>
      </c>
      <c r="AO1929" s="50">
        <v>0.77083333333333504</v>
      </c>
      <c r="AP1929" s="48">
        <v>0.781250000000002</v>
      </c>
      <c r="AQ1929" s="49">
        <v>0.79166666666666896</v>
      </c>
      <c r="AR1929" s="49">
        <v>0.80208333333333603</v>
      </c>
      <c r="AS1929" s="50">
        <v>0.812500000000003</v>
      </c>
      <c r="AT1929" s="48">
        <v>0.82291666666666996</v>
      </c>
      <c r="AU1929" s="49">
        <v>0.83333333333333703</v>
      </c>
      <c r="AV1929" s="49">
        <v>0.843750000000004</v>
      </c>
      <c r="AW1929" s="50">
        <v>0.85416666666666663</v>
      </c>
      <c r="AX1929" s="68" t="s">
        <v>260</v>
      </c>
      <c r="AY1929" s="28" t="s">
        <v>261</v>
      </c>
      <c r="AZ1929" s="29" t="s">
        <v>262</v>
      </c>
      <c r="BA1929" s="136" t="str">
        <f>B1930</f>
        <v>Kalite</v>
      </c>
      <c r="BB1929" s="137"/>
      <c r="BC1929" s="137"/>
      <c r="BD1929" s="137"/>
      <c r="BE1929" s="137"/>
      <c r="BF1929" s="137"/>
      <c r="BG1929" s="137"/>
      <c r="BH1929" s="138"/>
    </row>
    <row r="1930" spans="1:60" s="17" customFormat="1" ht="19.5" customHeight="1" thickBot="1" x14ac:dyDescent="0.4">
      <c r="A1930" s="116">
        <f t="shared" ref="A1930" si="2002">A1929</f>
        <v>45449</v>
      </c>
      <c r="B1930" s="114" t="str">
        <f>B1754</f>
        <v>Kalite</v>
      </c>
      <c r="C1930" s="65" t="str">
        <f>C1754</f>
        <v>MELAHAT EROL</v>
      </c>
      <c r="D1930" s="70">
        <f>D1754</f>
        <v>28</v>
      </c>
      <c r="E1930" s="63"/>
      <c r="F1930" s="55"/>
      <c r="G1930" s="55"/>
      <c r="H1930" s="56"/>
      <c r="I1930" s="63"/>
      <c r="J1930" s="55"/>
      <c r="K1930" s="55"/>
      <c r="L1930" s="56"/>
      <c r="M1930" s="63"/>
      <c r="N1930" s="55"/>
      <c r="O1930" s="55"/>
      <c r="P1930" s="56"/>
      <c r="Q1930" s="63"/>
      <c r="R1930" s="55"/>
      <c r="S1930" s="55"/>
      <c r="T1930" s="55"/>
      <c r="U1930" s="56"/>
      <c r="V1930" s="63"/>
      <c r="W1930" s="55"/>
      <c r="X1930" s="55"/>
      <c r="Y1930" s="56"/>
      <c r="Z1930" s="63"/>
      <c r="AA1930" s="55"/>
      <c r="AB1930" s="55"/>
      <c r="AC1930" s="56"/>
      <c r="AD1930" s="63"/>
      <c r="AE1930" s="55"/>
      <c r="AF1930" s="55"/>
      <c r="AG1930" s="56"/>
      <c r="AH1930" s="63"/>
      <c r="AI1930" s="55"/>
      <c r="AJ1930" s="55"/>
      <c r="AK1930" s="56"/>
      <c r="AL1930" s="53"/>
      <c r="AM1930" s="54"/>
      <c r="AN1930" s="55"/>
      <c r="AO1930" s="56"/>
      <c r="AP1930" s="53"/>
      <c r="AQ1930" s="54"/>
      <c r="AR1930" s="55"/>
      <c r="AS1930" s="56"/>
      <c r="AT1930" s="53"/>
      <c r="AU1930" s="54"/>
      <c r="AV1930" s="55"/>
      <c r="AW1930" s="56"/>
      <c r="AX1930" s="33">
        <f>SUM(E1930:AW1930)</f>
        <v>0</v>
      </c>
      <c r="AY1930" s="31">
        <f>IFERROR(AVERAGEIF(E1930:AW1930,"&lt;&gt;0",(E1930:AW1930)),)</f>
        <v>0</v>
      </c>
      <c r="AZ1930" s="30">
        <f>IFERROR(AY1930/D1930,0)</f>
        <v>0</v>
      </c>
      <c r="BA1930" s="103" t="s">
        <v>182</v>
      </c>
      <c r="BB1930" s="100" t="s">
        <v>183</v>
      </c>
      <c r="BC1930" s="100" t="s">
        <v>184</v>
      </c>
      <c r="BD1930" s="101" t="s">
        <v>185</v>
      </c>
      <c r="BE1930" s="100" t="s">
        <v>186</v>
      </c>
      <c r="BF1930" s="102" t="s">
        <v>187</v>
      </c>
      <c r="BG1930" s="100" t="s">
        <v>188</v>
      </c>
      <c r="BH1930" s="102" t="s">
        <v>189</v>
      </c>
    </row>
    <row r="1931" spans="1:60" s="17" customFormat="1" ht="19.5" customHeight="1" thickBot="1" x14ac:dyDescent="0.4">
      <c r="A1931" s="116">
        <f t="shared" ref="A1931:B1931" si="2003">A1930</f>
        <v>45449</v>
      </c>
      <c r="B1931" s="114" t="str">
        <f t="shared" si="2003"/>
        <v>Kalite</v>
      </c>
      <c r="C1931" s="65" t="str">
        <f t="shared" ref="C1931:C1936" si="2004">C1755</f>
        <v>DERYA KESKİN</v>
      </c>
      <c r="D1931" s="67">
        <f t="shared" ref="D1931:D1936" si="2005">D1930</f>
        <v>28</v>
      </c>
      <c r="E1931" s="57"/>
      <c r="F1931" s="52"/>
      <c r="G1931" s="52"/>
      <c r="H1931" s="58"/>
      <c r="I1931" s="57"/>
      <c r="J1931" s="52"/>
      <c r="K1931" s="52"/>
      <c r="L1931" s="58"/>
      <c r="M1931" s="57"/>
      <c r="N1931" s="52"/>
      <c r="O1931" s="52"/>
      <c r="P1931" s="58"/>
      <c r="Q1931" s="57"/>
      <c r="R1931" s="52"/>
      <c r="S1931" s="52"/>
      <c r="T1931" s="52"/>
      <c r="U1931" s="58"/>
      <c r="V1931" s="57"/>
      <c r="W1931" s="52"/>
      <c r="X1931" s="52"/>
      <c r="Y1931" s="58"/>
      <c r="Z1931" s="57"/>
      <c r="AA1931" s="52"/>
      <c r="AB1931" s="52"/>
      <c r="AC1931" s="58"/>
      <c r="AD1931" s="57"/>
      <c r="AE1931" s="52"/>
      <c r="AF1931" s="52"/>
      <c r="AG1931" s="58"/>
      <c r="AH1931" s="57"/>
      <c r="AI1931" s="52"/>
      <c r="AJ1931" s="52"/>
      <c r="AK1931" s="58"/>
      <c r="AL1931" s="57"/>
      <c r="AM1931" s="52"/>
      <c r="AN1931" s="52"/>
      <c r="AO1931" s="58"/>
      <c r="AP1931" s="57"/>
      <c r="AQ1931" s="52"/>
      <c r="AR1931" s="52"/>
      <c r="AS1931" s="58"/>
      <c r="AT1931" s="57"/>
      <c r="AU1931" s="52"/>
      <c r="AV1931" s="52"/>
      <c r="AW1931" s="58"/>
      <c r="AX1931" s="33">
        <f t="shared" ref="AX1931:AX1936" si="2006">SUM(E1931:AW1931)</f>
        <v>0</v>
      </c>
      <c r="AY1931" s="31">
        <f t="shared" ref="AY1931:AY1936" si="2007">IFERROR(AVERAGEIF(E1931:AW1931,"&lt;&gt;0",(E1931:AW1931)),)</f>
        <v>0</v>
      </c>
      <c r="AZ1931" s="30">
        <f t="shared" ref="AZ1931:AZ1936" si="2008">IFERROR(AY1931/D1931,0)</f>
        <v>0</v>
      </c>
      <c r="BA1931" s="94">
        <f>AX1937+BA1755</f>
        <v>10543</v>
      </c>
      <c r="BB1931" s="95">
        <f>(D1937*8)</f>
        <v>4000</v>
      </c>
      <c r="BC1931" s="96">
        <f>C1765-BA1931</f>
        <v>31768</v>
      </c>
      <c r="BD1931" s="96">
        <f>BA1922-BA1931</f>
        <v>404</v>
      </c>
      <c r="BE1931" s="97">
        <f>IFERROR(BC1931/E1937,0)</f>
        <v>0</v>
      </c>
      <c r="BF1931" s="98">
        <f>IFERROR(BE1931/9,0)</f>
        <v>0</v>
      </c>
      <c r="BG1931" s="97">
        <f>IFERROR(BC1931/AY1937,0)</f>
        <v>0</v>
      </c>
      <c r="BH1931" s="97">
        <f>IFERROR(BG1931/9,0)</f>
        <v>0</v>
      </c>
    </row>
    <row r="1932" spans="1:60" s="17" customFormat="1" ht="19.5" customHeight="1" x14ac:dyDescent="0.35">
      <c r="A1932" s="116">
        <f t="shared" ref="A1932:B1932" si="2009">A1931</f>
        <v>45449</v>
      </c>
      <c r="B1932" s="114" t="str">
        <f t="shared" si="2009"/>
        <v>Kalite</v>
      </c>
      <c r="C1932" s="65" t="str">
        <f t="shared" si="2004"/>
        <v>GÜLCAN MUHTANCI</v>
      </c>
      <c r="D1932" s="67">
        <f t="shared" si="2005"/>
        <v>28</v>
      </c>
      <c r="E1932" s="57"/>
      <c r="F1932" s="52"/>
      <c r="G1932" s="52"/>
      <c r="H1932" s="58"/>
      <c r="I1932" s="57"/>
      <c r="J1932" s="52"/>
      <c r="K1932" s="52"/>
      <c r="L1932" s="58"/>
      <c r="M1932" s="57"/>
      <c r="N1932" s="52"/>
      <c r="O1932" s="52"/>
      <c r="P1932" s="58"/>
      <c r="Q1932" s="57"/>
      <c r="R1932" s="52"/>
      <c r="S1932" s="52"/>
      <c r="T1932" s="52"/>
      <c r="U1932" s="58"/>
      <c r="V1932" s="57"/>
      <c r="W1932" s="52"/>
      <c r="X1932" s="52"/>
      <c r="Y1932" s="58"/>
      <c r="Z1932" s="57"/>
      <c r="AA1932" s="52"/>
      <c r="AB1932" s="52"/>
      <c r="AC1932" s="58"/>
      <c r="AD1932" s="57"/>
      <c r="AE1932" s="52"/>
      <c r="AF1932" s="52"/>
      <c r="AG1932" s="58"/>
      <c r="AH1932" s="57"/>
      <c r="AI1932" s="52"/>
      <c r="AJ1932" s="52"/>
      <c r="AK1932" s="58"/>
      <c r="AL1932" s="57"/>
      <c r="AM1932" s="52"/>
      <c r="AN1932" s="52"/>
      <c r="AO1932" s="58"/>
      <c r="AP1932" s="57"/>
      <c r="AQ1932" s="52"/>
      <c r="AR1932" s="52"/>
      <c r="AS1932" s="58"/>
      <c r="AT1932" s="57"/>
      <c r="AU1932" s="52"/>
      <c r="AV1932" s="52"/>
      <c r="AW1932" s="58"/>
      <c r="AX1932" s="33">
        <f t="shared" si="2006"/>
        <v>0</v>
      </c>
      <c r="AY1932" s="31">
        <f t="shared" si="2007"/>
        <v>0</v>
      </c>
      <c r="AZ1932" s="30">
        <f t="shared" si="2008"/>
        <v>0</v>
      </c>
      <c r="BA1932" s="34"/>
      <c r="BB1932" s="34"/>
      <c r="BC1932" s="34"/>
      <c r="BD1932" s="76"/>
      <c r="BE1932" s="34"/>
      <c r="BF1932" s="34"/>
      <c r="BG1932" s="34"/>
      <c r="BH1932" s="34"/>
    </row>
    <row r="1933" spans="1:60" s="17" customFormat="1" ht="19.5" customHeight="1" x14ac:dyDescent="0.35">
      <c r="A1933" s="116">
        <f t="shared" ref="A1933:B1933" si="2010">A1932</f>
        <v>45449</v>
      </c>
      <c r="B1933" s="114" t="str">
        <f t="shared" si="2010"/>
        <v>Kalite</v>
      </c>
      <c r="C1933" s="65" t="str">
        <f t="shared" si="2004"/>
        <v>NEZAHAT ALTIN</v>
      </c>
      <c r="D1933" s="67">
        <f t="shared" si="2005"/>
        <v>28</v>
      </c>
      <c r="E1933" s="57"/>
      <c r="F1933" s="52"/>
      <c r="G1933" s="52"/>
      <c r="H1933" s="58"/>
      <c r="I1933" s="57"/>
      <c r="J1933" s="52"/>
      <c r="K1933" s="52"/>
      <c r="L1933" s="58"/>
      <c r="M1933" s="57"/>
      <c r="N1933" s="52"/>
      <c r="O1933" s="52"/>
      <c r="P1933" s="58"/>
      <c r="Q1933" s="57"/>
      <c r="R1933" s="52"/>
      <c r="S1933" s="52"/>
      <c r="T1933" s="52"/>
      <c r="U1933" s="58"/>
      <c r="V1933" s="57"/>
      <c r="W1933" s="52"/>
      <c r="X1933" s="52"/>
      <c r="Y1933" s="58"/>
      <c r="Z1933" s="57"/>
      <c r="AA1933" s="52"/>
      <c r="AB1933" s="52"/>
      <c r="AC1933" s="58"/>
      <c r="AD1933" s="57"/>
      <c r="AE1933" s="52"/>
      <c r="AF1933" s="52"/>
      <c r="AG1933" s="58"/>
      <c r="AH1933" s="57"/>
      <c r="AI1933" s="52"/>
      <c r="AJ1933" s="52"/>
      <c r="AK1933" s="58"/>
      <c r="AL1933" s="57"/>
      <c r="AM1933" s="52"/>
      <c r="AN1933" s="52"/>
      <c r="AO1933" s="58"/>
      <c r="AP1933" s="57"/>
      <c r="AQ1933" s="52"/>
      <c r="AR1933" s="52"/>
      <c r="AS1933" s="58"/>
      <c r="AT1933" s="57"/>
      <c r="AU1933" s="52"/>
      <c r="AV1933" s="52"/>
      <c r="AW1933" s="58"/>
      <c r="AX1933" s="33">
        <f t="shared" si="2006"/>
        <v>0</v>
      </c>
      <c r="AY1933" s="31">
        <f t="shared" si="2007"/>
        <v>0</v>
      </c>
      <c r="AZ1933" s="30">
        <f t="shared" si="2008"/>
        <v>0</v>
      </c>
      <c r="BA1933" s="34"/>
      <c r="BB1933" s="34"/>
      <c r="BC1933" s="34"/>
      <c r="BD1933" s="76"/>
      <c r="BE1933" s="34"/>
      <c r="BF1933" s="34"/>
      <c r="BG1933" s="34"/>
      <c r="BH1933" s="34"/>
    </row>
    <row r="1934" spans="1:60" s="17" customFormat="1" ht="19.5" customHeight="1" x14ac:dyDescent="0.35">
      <c r="A1934" s="116">
        <f>A1931</f>
        <v>45449</v>
      </c>
      <c r="B1934" s="114" t="str">
        <f t="shared" ref="B1934" si="2011">B1933</f>
        <v>Kalite</v>
      </c>
      <c r="C1934" s="65" t="str">
        <f t="shared" si="2004"/>
        <v>NEDİME KÖSE</v>
      </c>
      <c r="D1934" s="67">
        <f t="shared" si="2005"/>
        <v>28</v>
      </c>
      <c r="E1934" s="57"/>
      <c r="F1934" s="52"/>
      <c r="G1934" s="52"/>
      <c r="H1934" s="58"/>
      <c r="I1934" s="57"/>
      <c r="J1934" s="52"/>
      <c r="K1934" s="52"/>
      <c r="L1934" s="58"/>
      <c r="M1934" s="57"/>
      <c r="N1934" s="52"/>
      <c r="O1934" s="52"/>
      <c r="P1934" s="58"/>
      <c r="Q1934" s="57"/>
      <c r="R1934" s="52"/>
      <c r="S1934" s="52"/>
      <c r="T1934" s="52"/>
      <c r="U1934" s="58"/>
      <c r="V1934" s="57"/>
      <c r="W1934" s="52"/>
      <c r="X1934" s="52"/>
      <c r="Y1934" s="58"/>
      <c r="Z1934" s="57"/>
      <c r="AA1934" s="52"/>
      <c r="AB1934" s="52"/>
      <c r="AC1934" s="58"/>
      <c r="AD1934" s="57"/>
      <c r="AE1934" s="52"/>
      <c r="AF1934" s="52"/>
      <c r="AG1934" s="58"/>
      <c r="AH1934" s="57"/>
      <c r="AI1934" s="52"/>
      <c r="AJ1934" s="52"/>
      <c r="AK1934" s="58"/>
      <c r="AL1934" s="57"/>
      <c r="AM1934" s="52"/>
      <c r="AN1934" s="52"/>
      <c r="AO1934" s="58"/>
      <c r="AP1934" s="57"/>
      <c r="AQ1934" s="52"/>
      <c r="AR1934" s="52"/>
      <c r="AS1934" s="58"/>
      <c r="AT1934" s="57"/>
      <c r="AU1934" s="52"/>
      <c r="AV1934" s="52"/>
      <c r="AW1934" s="58"/>
      <c r="AX1934" s="33">
        <f t="shared" si="2006"/>
        <v>0</v>
      </c>
      <c r="AY1934" s="31">
        <f t="shared" si="2007"/>
        <v>0</v>
      </c>
      <c r="AZ1934" s="30">
        <f t="shared" si="2008"/>
        <v>0</v>
      </c>
      <c r="BA1934" s="34"/>
      <c r="BB1934" s="34"/>
      <c r="BC1934" s="34"/>
      <c r="BD1934" s="76"/>
      <c r="BE1934" s="34"/>
      <c r="BF1934" s="34"/>
      <c r="BG1934" s="34"/>
      <c r="BH1934" s="34"/>
    </row>
    <row r="1935" spans="1:60" s="17" customFormat="1" ht="19.5" customHeight="1" x14ac:dyDescent="0.35">
      <c r="A1935" s="116">
        <f t="shared" ref="A1935:B1935" si="2012">A1934</f>
        <v>45449</v>
      </c>
      <c r="B1935" s="114" t="str">
        <f t="shared" si="2012"/>
        <v>Kalite</v>
      </c>
      <c r="C1935" s="65" t="str">
        <f t="shared" si="2004"/>
        <v>ESRA DURSUN</v>
      </c>
      <c r="D1935" s="67">
        <f t="shared" si="2005"/>
        <v>28</v>
      </c>
      <c r="E1935" s="57"/>
      <c r="F1935" s="52"/>
      <c r="G1935" s="52"/>
      <c r="H1935" s="58"/>
      <c r="I1935" s="57"/>
      <c r="J1935" s="52"/>
      <c r="K1935" s="52"/>
      <c r="L1935" s="58"/>
      <c r="M1935" s="57"/>
      <c r="N1935" s="52"/>
      <c r="O1935" s="52"/>
      <c r="P1935" s="78"/>
      <c r="Q1935" s="57"/>
      <c r="R1935" s="52"/>
      <c r="S1935" s="52"/>
      <c r="T1935" s="52"/>
      <c r="U1935" s="58"/>
      <c r="V1935" s="80"/>
      <c r="W1935" s="52"/>
      <c r="X1935" s="52"/>
      <c r="Y1935" s="58"/>
      <c r="Z1935" s="57"/>
      <c r="AA1935" s="52"/>
      <c r="AB1935" s="52"/>
      <c r="AC1935" s="58"/>
      <c r="AD1935" s="57"/>
      <c r="AE1935" s="52"/>
      <c r="AF1935" s="52"/>
      <c r="AG1935" s="58"/>
      <c r="AH1935" s="57"/>
      <c r="AI1935" s="52"/>
      <c r="AJ1935" s="52"/>
      <c r="AK1935" s="58"/>
      <c r="AL1935" s="57"/>
      <c r="AM1935" s="52"/>
      <c r="AN1935" s="52"/>
      <c r="AO1935" s="58"/>
      <c r="AP1935" s="57"/>
      <c r="AQ1935" s="52"/>
      <c r="AR1935" s="52"/>
      <c r="AS1935" s="58"/>
      <c r="AT1935" s="57"/>
      <c r="AU1935" s="52"/>
      <c r="AV1935" s="52"/>
      <c r="AW1935" s="58"/>
      <c r="AX1935" s="33">
        <f t="shared" si="2006"/>
        <v>0</v>
      </c>
      <c r="AY1935" s="31">
        <f t="shared" si="2007"/>
        <v>0</v>
      </c>
      <c r="AZ1935" s="30">
        <f t="shared" si="2008"/>
        <v>0</v>
      </c>
      <c r="BA1935" s="34"/>
      <c r="BB1935" s="34"/>
      <c r="BC1935" s="34"/>
      <c r="BD1935" s="76"/>
      <c r="BE1935" s="34"/>
      <c r="BF1935" s="34"/>
      <c r="BG1935" s="34"/>
      <c r="BH1935" s="34"/>
    </row>
    <row r="1936" spans="1:60" s="17" customFormat="1" ht="19.5" customHeight="1" thickBot="1" x14ac:dyDescent="0.4">
      <c r="A1936" s="116">
        <f t="shared" ref="A1936:B1936" si="2013">A1935</f>
        <v>45449</v>
      </c>
      <c r="B1936" s="114" t="str">
        <f t="shared" si="2013"/>
        <v>Kalite</v>
      </c>
      <c r="C1936" s="65" t="str">
        <f t="shared" si="2004"/>
        <v>NECLA KOÇ</v>
      </c>
      <c r="D1936" s="67">
        <f t="shared" si="2005"/>
        <v>28</v>
      </c>
      <c r="E1936" s="59"/>
      <c r="F1936" s="60"/>
      <c r="G1936" s="61"/>
      <c r="H1936" s="62"/>
      <c r="I1936" s="59"/>
      <c r="J1936" s="60"/>
      <c r="K1936" s="61"/>
      <c r="L1936" s="62"/>
      <c r="M1936" s="59"/>
      <c r="N1936" s="60"/>
      <c r="O1936" s="61"/>
      <c r="P1936" s="79"/>
      <c r="Q1936" s="64"/>
      <c r="R1936" s="61"/>
      <c r="S1936" s="61"/>
      <c r="T1936" s="61"/>
      <c r="U1936" s="62"/>
      <c r="V1936" s="81"/>
      <c r="W1936" s="60"/>
      <c r="X1936" s="61"/>
      <c r="Y1936" s="62"/>
      <c r="Z1936" s="59"/>
      <c r="AA1936" s="60"/>
      <c r="AB1936" s="61"/>
      <c r="AC1936" s="62"/>
      <c r="AD1936" s="59"/>
      <c r="AE1936" s="60"/>
      <c r="AF1936" s="61"/>
      <c r="AG1936" s="62"/>
      <c r="AH1936" s="59"/>
      <c r="AI1936" s="60"/>
      <c r="AJ1936" s="61"/>
      <c r="AK1936" s="62"/>
      <c r="AL1936" s="59"/>
      <c r="AM1936" s="60"/>
      <c r="AN1936" s="61"/>
      <c r="AO1936" s="62"/>
      <c r="AP1936" s="59"/>
      <c r="AQ1936" s="60"/>
      <c r="AR1936" s="61"/>
      <c r="AS1936" s="62"/>
      <c r="AT1936" s="59"/>
      <c r="AU1936" s="60"/>
      <c r="AV1936" s="61"/>
      <c r="AW1936" s="62"/>
      <c r="AX1936" s="33">
        <f t="shared" si="2006"/>
        <v>0</v>
      </c>
      <c r="AY1936" s="31">
        <f t="shared" si="2007"/>
        <v>0</v>
      </c>
      <c r="AZ1936" s="30">
        <f t="shared" si="2008"/>
        <v>0</v>
      </c>
      <c r="BA1936" s="34"/>
      <c r="BB1936" s="34"/>
      <c r="BC1936" s="34"/>
      <c r="BD1936" s="76"/>
      <c r="BE1936" s="34"/>
      <c r="BF1936" s="34"/>
      <c r="BG1936" s="34"/>
      <c r="BH1936" s="34"/>
    </row>
    <row r="1937" spans="1:60" s="17" customFormat="1" ht="19.5" customHeight="1" thickBot="1" x14ac:dyDescent="0.45">
      <c r="A1937" s="117">
        <f t="shared" ref="A1937" si="2014">A1936</f>
        <v>45449</v>
      </c>
      <c r="B1937" s="150" t="str">
        <f>B1930</f>
        <v>Kalite</v>
      </c>
      <c r="C1937" s="140"/>
      <c r="D1937" s="40">
        <f>C1766/8</f>
        <v>500</v>
      </c>
      <c r="E1937" s="147">
        <f>SUM(E1930:H1936)</f>
        <v>0</v>
      </c>
      <c r="F1937" s="148"/>
      <c r="G1937" s="148"/>
      <c r="H1937" s="149"/>
      <c r="I1937" s="147">
        <f>SUM(I1930:L1936)</f>
        <v>0</v>
      </c>
      <c r="J1937" s="148"/>
      <c r="K1937" s="148"/>
      <c r="L1937" s="149"/>
      <c r="M1937" s="147">
        <f>SUM(M1930:P1936)</f>
        <v>0</v>
      </c>
      <c r="N1937" s="148"/>
      <c r="O1937" s="148"/>
      <c r="P1937" s="149"/>
      <c r="Q1937" s="147">
        <f>SUM(Q1930:U1936)</f>
        <v>0</v>
      </c>
      <c r="R1937" s="148"/>
      <c r="S1937" s="148"/>
      <c r="T1937" s="148"/>
      <c r="U1937" s="149"/>
      <c r="V1937" s="147">
        <f>SUM(V1930:Y1936)</f>
        <v>0</v>
      </c>
      <c r="W1937" s="148"/>
      <c r="X1937" s="148"/>
      <c r="Y1937" s="149"/>
      <c r="Z1937" s="147">
        <f>SUM(Z1930:AC1936)</f>
        <v>0</v>
      </c>
      <c r="AA1937" s="148"/>
      <c r="AB1937" s="148"/>
      <c r="AC1937" s="149"/>
      <c r="AD1937" s="147">
        <f>SUM(AD1930:AG1936)</f>
        <v>0</v>
      </c>
      <c r="AE1937" s="148"/>
      <c r="AF1937" s="148"/>
      <c r="AG1937" s="149"/>
      <c r="AH1937" s="147">
        <f>SUM(AH1930:AK1936)</f>
        <v>0</v>
      </c>
      <c r="AI1937" s="148"/>
      <c r="AJ1937" s="148"/>
      <c r="AK1937" s="149"/>
      <c r="AL1937" s="147">
        <f>SUM(AL1930:AO1936)</f>
        <v>0</v>
      </c>
      <c r="AM1937" s="148"/>
      <c r="AN1937" s="148"/>
      <c r="AO1937" s="149"/>
      <c r="AP1937" s="147">
        <f>SUM(AP1930:AS1936)</f>
        <v>0</v>
      </c>
      <c r="AQ1937" s="148"/>
      <c r="AR1937" s="148"/>
      <c r="AS1937" s="149"/>
      <c r="AT1937" s="147">
        <f>SUM(AT1930:AW1936)</f>
        <v>0</v>
      </c>
      <c r="AU1937" s="148"/>
      <c r="AV1937" s="148"/>
      <c r="AW1937" s="149"/>
      <c r="AX1937" s="87">
        <f>SUM(AX1930:AX1936)</f>
        <v>0</v>
      </c>
      <c r="AY1937" s="88">
        <f>IFERROR(AVERAGEIF(E1937:AV1937,"&lt;&gt;0",(E1937:AV1937)),)</f>
        <v>0</v>
      </c>
      <c r="AZ1937" s="46">
        <f>IFERROR(AX1937/BB1931,0)</f>
        <v>0</v>
      </c>
      <c r="BA1937" s="34"/>
      <c r="BB1937" s="34"/>
      <c r="BC1937" s="34"/>
      <c r="BD1937" s="76"/>
      <c r="BE1937" s="34"/>
      <c r="BF1937" s="34"/>
      <c r="BG1937" s="34"/>
      <c r="BH1937" s="34"/>
    </row>
  </sheetData>
  <autoFilter ref="A1:BH1937"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1" showButton="0"/>
    <filterColumn colId="22" showButton="0"/>
    <filterColumn colId="23" showButton="0"/>
    <filterColumn colId="25" showButton="0"/>
    <filterColumn colId="26" showButton="0"/>
    <filterColumn colId="27" showButton="0"/>
    <filterColumn colId="29" showButton="0"/>
    <filterColumn colId="30" showButton="0"/>
    <filterColumn colId="31" showButton="0"/>
    <filterColumn colId="33" showButton="0"/>
    <filterColumn colId="34" showButton="0"/>
    <filterColumn colId="35" showButton="0"/>
    <filterColumn colId="37" showButton="0"/>
    <filterColumn colId="38" showButton="0"/>
    <filterColumn colId="39" showButton="0"/>
    <filterColumn colId="41" showButton="0"/>
    <filterColumn colId="42" showButton="0"/>
    <filterColumn colId="43" showButton="0"/>
    <filterColumn colId="45" showButton="0"/>
    <filterColumn colId="46" showButton="0"/>
    <filterColumn colId="47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</autoFilter>
  <mergeCells count="2873">
    <mergeCell ref="BA1920:BH1920"/>
    <mergeCell ref="B1928:C1928"/>
    <mergeCell ref="E1928:H1928"/>
    <mergeCell ref="I1928:L1928"/>
    <mergeCell ref="M1928:P1928"/>
    <mergeCell ref="Q1928:U1928"/>
    <mergeCell ref="V1928:Y1928"/>
    <mergeCell ref="Z1928:AC1928"/>
    <mergeCell ref="AD1928:AG1928"/>
    <mergeCell ref="AH1928:AK1928"/>
    <mergeCell ref="AL1928:AO1928"/>
    <mergeCell ref="AP1928:AS1928"/>
    <mergeCell ref="AT1928:AW1928"/>
    <mergeCell ref="BA1929:BH1929"/>
    <mergeCell ref="B1937:C1937"/>
    <mergeCell ref="E1937:H1937"/>
    <mergeCell ref="I1937:L1937"/>
    <mergeCell ref="M1937:P1937"/>
    <mergeCell ref="Q1937:U1937"/>
    <mergeCell ref="V1937:Y1937"/>
    <mergeCell ref="Z1937:AC1937"/>
    <mergeCell ref="AD1937:AG1937"/>
    <mergeCell ref="AH1937:AK1937"/>
    <mergeCell ref="AL1937:AO1937"/>
    <mergeCell ref="AP1937:AS1937"/>
    <mergeCell ref="AT1937:AW1937"/>
    <mergeCell ref="BA1902:BH1902"/>
    <mergeCell ref="B1910:C1910"/>
    <mergeCell ref="E1910:H1910"/>
    <mergeCell ref="I1910:L1910"/>
    <mergeCell ref="M1910:P1910"/>
    <mergeCell ref="Q1910:U1910"/>
    <mergeCell ref="V1910:Y1910"/>
    <mergeCell ref="Z1910:AC1910"/>
    <mergeCell ref="AD1910:AG1910"/>
    <mergeCell ref="AH1910:AK1910"/>
    <mergeCell ref="AL1910:AO1910"/>
    <mergeCell ref="AP1910:AS1910"/>
    <mergeCell ref="AT1910:AW1910"/>
    <mergeCell ref="BA1911:BH1911"/>
    <mergeCell ref="B1919:C1919"/>
    <mergeCell ref="E1919:H1919"/>
    <mergeCell ref="I1919:L1919"/>
    <mergeCell ref="M1919:P1919"/>
    <mergeCell ref="Q1919:U1919"/>
    <mergeCell ref="V1919:Y1919"/>
    <mergeCell ref="Z1919:AC1919"/>
    <mergeCell ref="AD1919:AG1919"/>
    <mergeCell ref="AH1919:AK1919"/>
    <mergeCell ref="AL1919:AO1919"/>
    <mergeCell ref="AP1919:AS1919"/>
    <mergeCell ref="AT1919:AW1919"/>
    <mergeCell ref="BA1884:BH1884"/>
    <mergeCell ref="B1892:C1892"/>
    <mergeCell ref="E1892:H1892"/>
    <mergeCell ref="I1892:L1892"/>
    <mergeCell ref="M1892:P1892"/>
    <mergeCell ref="Q1892:U1892"/>
    <mergeCell ref="V1892:Y1892"/>
    <mergeCell ref="Z1892:AC1892"/>
    <mergeCell ref="AD1892:AG1892"/>
    <mergeCell ref="AH1892:AK1892"/>
    <mergeCell ref="AL1892:AO1892"/>
    <mergeCell ref="AP1892:AS1892"/>
    <mergeCell ref="AT1892:AW1892"/>
    <mergeCell ref="BA1893:BH1893"/>
    <mergeCell ref="B1901:C1901"/>
    <mergeCell ref="E1901:H1901"/>
    <mergeCell ref="I1901:L1901"/>
    <mergeCell ref="M1901:P1901"/>
    <mergeCell ref="Q1901:U1901"/>
    <mergeCell ref="V1901:Y1901"/>
    <mergeCell ref="Z1901:AC1901"/>
    <mergeCell ref="AD1901:AG1901"/>
    <mergeCell ref="AH1901:AK1901"/>
    <mergeCell ref="AL1901:AO1901"/>
    <mergeCell ref="AP1901:AS1901"/>
    <mergeCell ref="AT1901:AW1901"/>
    <mergeCell ref="BA1866:BH1866"/>
    <mergeCell ref="B1874:C1874"/>
    <mergeCell ref="E1874:H1874"/>
    <mergeCell ref="I1874:L1874"/>
    <mergeCell ref="M1874:P1874"/>
    <mergeCell ref="Q1874:U1874"/>
    <mergeCell ref="V1874:Y1874"/>
    <mergeCell ref="Z1874:AC1874"/>
    <mergeCell ref="AD1874:AG1874"/>
    <mergeCell ref="AH1874:AK1874"/>
    <mergeCell ref="AL1874:AO1874"/>
    <mergeCell ref="AP1874:AS1874"/>
    <mergeCell ref="AT1874:AW1874"/>
    <mergeCell ref="BA1875:BH1875"/>
    <mergeCell ref="B1883:C1883"/>
    <mergeCell ref="E1883:H1883"/>
    <mergeCell ref="I1883:L1883"/>
    <mergeCell ref="M1883:P1883"/>
    <mergeCell ref="Q1883:U1883"/>
    <mergeCell ref="V1883:Y1883"/>
    <mergeCell ref="Z1883:AC1883"/>
    <mergeCell ref="AD1883:AG1883"/>
    <mergeCell ref="AH1883:AK1883"/>
    <mergeCell ref="AL1883:AO1883"/>
    <mergeCell ref="AP1883:AS1883"/>
    <mergeCell ref="AT1883:AW1883"/>
    <mergeCell ref="BA1848:BH1848"/>
    <mergeCell ref="B1856:C1856"/>
    <mergeCell ref="E1856:H1856"/>
    <mergeCell ref="I1856:L1856"/>
    <mergeCell ref="M1856:P1856"/>
    <mergeCell ref="Q1856:U1856"/>
    <mergeCell ref="V1856:Y1856"/>
    <mergeCell ref="Z1856:AC1856"/>
    <mergeCell ref="AD1856:AG1856"/>
    <mergeCell ref="AH1856:AK1856"/>
    <mergeCell ref="AL1856:AO1856"/>
    <mergeCell ref="AP1856:AS1856"/>
    <mergeCell ref="AT1856:AW1856"/>
    <mergeCell ref="BA1857:BH1857"/>
    <mergeCell ref="B1865:C1865"/>
    <mergeCell ref="E1865:H1865"/>
    <mergeCell ref="I1865:L1865"/>
    <mergeCell ref="M1865:P1865"/>
    <mergeCell ref="Q1865:U1865"/>
    <mergeCell ref="V1865:Y1865"/>
    <mergeCell ref="Z1865:AC1865"/>
    <mergeCell ref="AD1865:AG1865"/>
    <mergeCell ref="AH1865:AK1865"/>
    <mergeCell ref="AL1865:AO1865"/>
    <mergeCell ref="AP1865:AS1865"/>
    <mergeCell ref="AT1865:AW1865"/>
    <mergeCell ref="BA1830:BH1830"/>
    <mergeCell ref="B1838:C1838"/>
    <mergeCell ref="E1838:H1838"/>
    <mergeCell ref="I1838:L1838"/>
    <mergeCell ref="M1838:P1838"/>
    <mergeCell ref="Q1838:U1838"/>
    <mergeCell ref="V1838:Y1838"/>
    <mergeCell ref="Z1838:AC1838"/>
    <mergeCell ref="AD1838:AG1838"/>
    <mergeCell ref="AH1838:AK1838"/>
    <mergeCell ref="AL1838:AO1838"/>
    <mergeCell ref="AP1838:AS1838"/>
    <mergeCell ref="AT1838:AW1838"/>
    <mergeCell ref="BA1839:BH1839"/>
    <mergeCell ref="B1847:C1847"/>
    <mergeCell ref="E1847:H1847"/>
    <mergeCell ref="I1847:L1847"/>
    <mergeCell ref="M1847:P1847"/>
    <mergeCell ref="Q1847:U1847"/>
    <mergeCell ref="V1847:Y1847"/>
    <mergeCell ref="Z1847:AC1847"/>
    <mergeCell ref="AD1847:AG1847"/>
    <mergeCell ref="AH1847:AK1847"/>
    <mergeCell ref="AL1847:AO1847"/>
    <mergeCell ref="AP1847:AS1847"/>
    <mergeCell ref="AT1847:AW1847"/>
    <mergeCell ref="BA1812:BH1812"/>
    <mergeCell ref="B1820:C1820"/>
    <mergeCell ref="E1820:H1820"/>
    <mergeCell ref="I1820:L1820"/>
    <mergeCell ref="M1820:P1820"/>
    <mergeCell ref="Q1820:U1820"/>
    <mergeCell ref="V1820:Y1820"/>
    <mergeCell ref="Z1820:AC1820"/>
    <mergeCell ref="AD1820:AG1820"/>
    <mergeCell ref="AH1820:AK1820"/>
    <mergeCell ref="AL1820:AO1820"/>
    <mergeCell ref="AP1820:AS1820"/>
    <mergeCell ref="AT1820:AW1820"/>
    <mergeCell ref="BA1821:BH1821"/>
    <mergeCell ref="B1829:C1829"/>
    <mergeCell ref="E1829:H1829"/>
    <mergeCell ref="I1829:L1829"/>
    <mergeCell ref="M1829:P1829"/>
    <mergeCell ref="Q1829:U1829"/>
    <mergeCell ref="V1829:Y1829"/>
    <mergeCell ref="Z1829:AC1829"/>
    <mergeCell ref="AD1829:AG1829"/>
    <mergeCell ref="AH1829:AK1829"/>
    <mergeCell ref="AL1829:AO1829"/>
    <mergeCell ref="AP1829:AS1829"/>
    <mergeCell ref="AT1829:AW1829"/>
    <mergeCell ref="BA1796:BH1796"/>
    <mergeCell ref="B1802:C1802"/>
    <mergeCell ref="E1802:H1802"/>
    <mergeCell ref="I1802:L1802"/>
    <mergeCell ref="M1802:P1802"/>
    <mergeCell ref="Q1802:U1802"/>
    <mergeCell ref="V1802:Y1802"/>
    <mergeCell ref="Z1802:AC1802"/>
    <mergeCell ref="AD1802:AG1802"/>
    <mergeCell ref="AH1802:AK1802"/>
    <mergeCell ref="AL1802:AO1802"/>
    <mergeCell ref="AP1802:AS1802"/>
    <mergeCell ref="AT1802:AW1802"/>
    <mergeCell ref="BA1803:BH1803"/>
    <mergeCell ref="B1811:C1811"/>
    <mergeCell ref="E1811:H1811"/>
    <mergeCell ref="I1811:L1811"/>
    <mergeCell ref="M1811:P1811"/>
    <mergeCell ref="Q1811:U1811"/>
    <mergeCell ref="V1811:Y1811"/>
    <mergeCell ref="Z1811:AC1811"/>
    <mergeCell ref="AD1811:AG1811"/>
    <mergeCell ref="AH1811:AK1811"/>
    <mergeCell ref="AL1811:AO1811"/>
    <mergeCell ref="AP1811:AS1811"/>
    <mergeCell ref="AT1811:AW1811"/>
    <mergeCell ref="BA1782:BH1782"/>
    <mergeCell ref="B1788:C1788"/>
    <mergeCell ref="E1788:H1788"/>
    <mergeCell ref="I1788:L1788"/>
    <mergeCell ref="M1788:P1788"/>
    <mergeCell ref="Q1788:U1788"/>
    <mergeCell ref="V1788:Y1788"/>
    <mergeCell ref="Z1788:AC1788"/>
    <mergeCell ref="AD1788:AG1788"/>
    <mergeCell ref="AH1788:AK1788"/>
    <mergeCell ref="AL1788:AO1788"/>
    <mergeCell ref="AP1788:AS1788"/>
    <mergeCell ref="AT1788:AW1788"/>
    <mergeCell ref="BA1789:BH1789"/>
    <mergeCell ref="B1795:C1795"/>
    <mergeCell ref="E1795:H1795"/>
    <mergeCell ref="I1795:L1795"/>
    <mergeCell ref="M1795:P1795"/>
    <mergeCell ref="Q1795:U1795"/>
    <mergeCell ref="V1795:Y1795"/>
    <mergeCell ref="Z1795:AC1795"/>
    <mergeCell ref="AD1795:AG1795"/>
    <mergeCell ref="AH1795:AK1795"/>
    <mergeCell ref="AL1795:AO1795"/>
    <mergeCell ref="AP1795:AS1795"/>
    <mergeCell ref="AT1795:AW1795"/>
    <mergeCell ref="BA1768:BH1768"/>
    <mergeCell ref="B1774:C1774"/>
    <mergeCell ref="E1774:H1774"/>
    <mergeCell ref="I1774:L1774"/>
    <mergeCell ref="M1774:P1774"/>
    <mergeCell ref="Q1774:U1774"/>
    <mergeCell ref="V1774:Y1774"/>
    <mergeCell ref="Z1774:AC1774"/>
    <mergeCell ref="AD1774:AG1774"/>
    <mergeCell ref="AH1774:AK1774"/>
    <mergeCell ref="AL1774:AO1774"/>
    <mergeCell ref="AP1774:AS1774"/>
    <mergeCell ref="AT1774:AW1774"/>
    <mergeCell ref="BA1775:BH1775"/>
    <mergeCell ref="B1781:C1781"/>
    <mergeCell ref="E1781:H1781"/>
    <mergeCell ref="I1781:L1781"/>
    <mergeCell ref="M1781:P1781"/>
    <mergeCell ref="Q1781:U1781"/>
    <mergeCell ref="V1781:Y1781"/>
    <mergeCell ref="Z1781:AC1781"/>
    <mergeCell ref="AD1781:AG1781"/>
    <mergeCell ref="AH1781:AK1781"/>
    <mergeCell ref="AL1781:AO1781"/>
    <mergeCell ref="AP1781:AS1781"/>
    <mergeCell ref="AT1781:AW1781"/>
    <mergeCell ref="BA1744:BH1744"/>
    <mergeCell ref="B1752:C1752"/>
    <mergeCell ref="E1752:H1752"/>
    <mergeCell ref="I1752:L1752"/>
    <mergeCell ref="M1752:P1752"/>
    <mergeCell ref="Q1752:U1752"/>
    <mergeCell ref="V1752:Y1752"/>
    <mergeCell ref="Z1752:AC1752"/>
    <mergeCell ref="AD1752:AG1752"/>
    <mergeCell ref="AH1752:AK1752"/>
    <mergeCell ref="AL1752:AO1752"/>
    <mergeCell ref="AP1752:AS1752"/>
    <mergeCell ref="AT1752:AW1752"/>
    <mergeCell ref="BA1753:BH1753"/>
    <mergeCell ref="B1761:C1761"/>
    <mergeCell ref="E1761:H1761"/>
    <mergeCell ref="I1761:L1761"/>
    <mergeCell ref="M1761:P1761"/>
    <mergeCell ref="Q1761:U1761"/>
    <mergeCell ref="V1761:Y1761"/>
    <mergeCell ref="Z1761:AC1761"/>
    <mergeCell ref="AD1761:AG1761"/>
    <mergeCell ref="AH1761:AK1761"/>
    <mergeCell ref="AL1761:AO1761"/>
    <mergeCell ref="AP1761:AS1761"/>
    <mergeCell ref="AT1761:AW1761"/>
    <mergeCell ref="BA1726:BH1726"/>
    <mergeCell ref="B1734:C1734"/>
    <mergeCell ref="E1734:H1734"/>
    <mergeCell ref="I1734:L1734"/>
    <mergeCell ref="M1734:P1734"/>
    <mergeCell ref="Q1734:U1734"/>
    <mergeCell ref="V1734:Y1734"/>
    <mergeCell ref="Z1734:AC1734"/>
    <mergeCell ref="AD1734:AG1734"/>
    <mergeCell ref="AH1734:AK1734"/>
    <mergeCell ref="AL1734:AO1734"/>
    <mergeCell ref="AP1734:AS1734"/>
    <mergeCell ref="AT1734:AW1734"/>
    <mergeCell ref="BA1735:BH1735"/>
    <mergeCell ref="B1743:C1743"/>
    <mergeCell ref="E1743:H1743"/>
    <mergeCell ref="I1743:L1743"/>
    <mergeCell ref="M1743:P1743"/>
    <mergeCell ref="Q1743:U1743"/>
    <mergeCell ref="V1743:Y1743"/>
    <mergeCell ref="Z1743:AC1743"/>
    <mergeCell ref="AD1743:AG1743"/>
    <mergeCell ref="AH1743:AK1743"/>
    <mergeCell ref="AL1743:AO1743"/>
    <mergeCell ref="AP1743:AS1743"/>
    <mergeCell ref="AT1743:AW1743"/>
    <mergeCell ref="BA1708:BH1708"/>
    <mergeCell ref="B1716:C1716"/>
    <mergeCell ref="E1716:H1716"/>
    <mergeCell ref="I1716:L1716"/>
    <mergeCell ref="M1716:P1716"/>
    <mergeCell ref="Q1716:U1716"/>
    <mergeCell ref="V1716:Y1716"/>
    <mergeCell ref="Z1716:AC1716"/>
    <mergeCell ref="AD1716:AG1716"/>
    <mergeCell ref="AH1716:AK1716"/>
    <mergeCell ref="AL1716:AO1716"/>
    <mergeCell ref="AP1716:AS1716"/>
    <mergeCell ref="AT1716:AW1716"/>
    <mergeCell ref="BA1717:BH1717"/>
    <mergeCell ref="B1725:C1725"/>
    <mergeCell ref="E1725:H1725"/>
    <mergeCell ref="I1725:L1725"/>
    <mergeCell ref="M1725:P1725"/>
    <mergeCell ref="Q1725:U1725"/>
    <mergeCell ref="V1725:Y1725"/>
    <mergeCell ref="Z1725:AC1725"/>
    <mergeCell ref="AD1725:AG1725"/>
    <mergeCell ref="AH1725:AK1725"/>
    <mergeCell ref="AL1725:AO1725"/>
    <mergeCell ref="AP1725:AS1725"/>
    <mergeCell ref="AT1725:AW1725"/>
    <mergeCell ref="BA1690:BH1690"/>
    <mergeCell ref="B1698:C1698"/>
    <mergeCell ref="E1698:H1698"/>
    <mergeCell ref="I1698:L1698"/>
    <mergeCell ref="M1698:P1698"/>
    <mergeCell ref="Q1698:U1698"/>
    <mergeCell ref="V1698:Y1698"/>
    <mergeCell ref="Z1698:AC1698"/>
    <mergeCell ref="AD1698:AG1698"/>
    <mergeCell ref="AH1698:AK1698"/>
    <mergeCell ref="AL1698:AO1698"/>
    <mergeCell ref="AP1698:AS1698"/>
    <mergeCell ref="AT1698:AW1698"/>
    <mergeCell ref="BA1699:BH1699"/>
    <mergeCell ref="B1707:C1707"/>
    <mergeCell ref="E1707:H1707"/>
    <mergeCell ref="I1707:L1707"/>
    <mergeCell ref="M1707:P1707"/>
    <mergeCell ref="Q1707:U1707"/>
    <mergeCell ref="V1707:Y1707"/>
    <mergeCell ref="Z1707:AC1707"/>
    <mergeCell ref="AD1707:AG1707"/>
    <mergeCell ref="AH1707:AK1707"/>
    <mergeCell ref="AL1707:AO1707"/>
    <mergeCell ref="AP1707:AS1707"/>
    <mergeCell ref="AT1707:AW1707"/>
    <mergeCell ref="BA1672:BH1672"/>
    <mergeCell ref="B1680:C1680"/>
    <mergeCell ref="E1680:H1680"/>
    <mergeCell ref="I1680:L1680"/>
    <mergeCell ref="M1680:P1680"/>
    <mergeCell ref="Q1680:U1680"/>
    <mergeCell ref="V1680:Y1680"/>
    <mergeCell ref="Z1680:AC1680"/>
    <mergeCell ref="AD1680:AG1680"/>
    <mergeCell ref="AH1680:AK1680"/>
    <mergeCell ref="AL1680:AO1680"/>
    <mergeCell ref="AP1680:AS1680"/>
    <mergeCell ref="AT1680:AW1680"/>
    <mergeCell ref="BA1681:BH1681"/>
    <mergeCell ref="B1689:C1689"/>
    <mergeCell ref="E1689:H1689"/>
    <mergeCell ref="I1689:L1689"/>
    <mergeCell ref="M1689:P1689"/>
    <mergeCell ref="Q1689:U1689"/>
    <mergeCell ref="V1689:Y1689"/>
    <mergeCell ref="Z1689:AC1689"/>
    <mergeCell ref="AD1689:AG1689"/>
    <mergeCell ref="AH1689:AK1689"/>
    <mergeCell ref="AL1689:AO1689"/>
    <mergeCell ref="AP1689:AS1689"/>
    <mergeCell ref="AT1689:AW1689"/>
    <mergeCell ref="BA1654:BH1654"/>
    <mergeCell ref="B1662:C1662"/>
    <mergeCell ref="E1662:H1662"/>
    <mergeCell ref="I1662:L1662"/>
    <mergeCell ref="M1662:P1662"/>
    <mergeCell ref="Q1662:U1662"/>
    <mergeCell ref="V1662:Y1662"/>
    <mergeCell ref="Z1662:AC1662"/>
    <mergeCell ref="AD1662:AG1662"/>
    <mergeCell ref="AH1662:AK1662"/>
    <mergeCell ref="AL1662:AO1662"/>
    <mergeCell ref="AP1662:AS1662"/>
    <mergeCell ref="AT1662:AW1662"/>
    <mergeCell ref="BA1663:BH1663"/>
    <mergeCell ref="B1671:C1671"/>
    <mergeCell ref="E1671:H1671"/>
    <mergeCell ref="I1671:L1671"/>
    <mergeCell ref="M1671:P1671"/>
    <mergeCell ref="Q1671:U1671"/>
    <mergeCell ref="V1671:Y1671"/>
    <mergeCell ref="Z1671:AC1671"/>
    <mergeCell ref="AD1671:AG1671"/>
    <mergeCell ref="AH1671:AK1671"/>
    <mergeCell ref="AL1671:AO1671"/>
    <mergeCell ref="AP1671:AS1671"/>
    <mergeCell ref="AT1671:AW1671"/>
    <mergeCell ref="BA1636:BH1636"/>
    <mergeCell ref="B1644:C1644"/>
    <mergeCell ref="E1644:H1644"/>
    <mergeCell ref="I1644:L1644"/>
    <mergeCell ref="M1644:P1644"/>
    <mergeCell ref="Q1644:U1644"/>
    <mergeCell ref="V1644:Y1644"/>
    <mergeCell ref="Z1644:AC1644"/>
    <mergeCell ref="AD1644:AG1644"/>
    <mergeCell ref="AH1644:AK1644"/>
    <mergeCell ref="AL1644:AO1644"/>
    <mergeCell ref="AP1644:AS1644"/>
    <mergeCell ref="AT1644:AW1644"/>
    <mergeCell ref="BA1645:BH1645"/>
    <mergeCell ref="B1653:C1653"/>
    <mergeCell ref="E1653:H1653"/>
    <mergeCell ref="I1653:L1653"/>
    <mergeCell ref="M1653:P1653"/>
    <mergeCell ref="Q1653:U1653"/>
    <mergeCell ref="V1653:Y1653"/>
    <mergeCell ref="Z1653:AC1653"/>
    <mergeCell ref="AD1653:AG1653"/>
    <mergeCell ref="AH1653:AK1653"/>
    <mergeCell ref="AL1653:AO1653"/>
    <mergeCell ref="AP1653:AS1653"/>
    <mergeCell ref="AT1653:AW1653"/>
    <mergeCell ref="BA1620:BH1620"/>
    <mergeCell ref="B1626:C1626"/>
    <mergeCell ref="E1626:H1626"/>
    <mergeCell ref="I1626:L1626"/>
    <mergeCell ref="M1626:P1626"/>
    <mergeCell ref="Q1626:U1626"/>
    <mergeCell ref="V1626:Y1626"/>
    <mergeCell ref="Z1626:AC1626"/>
    <mergeCell ref="AD1626:AG1626"/>
    <mergeCell ref="AH1626:AK1626"/>
    <mergeCell ref="AL1626:AO1626"/>
    <mergeCell ref="AP1626:AS1626"/>
    <mergeCell ref="AT1626:AW1626"/>
    <mergeCell ref="BA1627:BH1627"/>
    <mergeCell ref="B1635:C1635"/>
    <mergeCell ref="E1635:H1635"/>
    <mergeCell ref="I1635:L1635"/>
    <mergeCell ref="M1635:P1635"/>
    <mergeCell ref="Q1635:U1635"/>
    <mergeCell ref="V1635:Y1635"/>
    <mergeCell ref="Z1635:AC1635"/>
    <mergeCell ref="AD1635:AG1635"/>
    <mergeCell ref="AH1635:AK1635"/>
    <mergeCell ref="AL1635:AO1635"/>
    <mergeCell ref="AP1635:AS1635"/>
    <mergeCell ref="AT1635:AW1635"/>
    <mergeCell ref="BA1606:BH1606"/>
    <mergeCell ref="B1612:C1612"/>
    <mergeCell ref="E1612:H1612"/>
    <mergeCell ref="I1612:L1612"/>
    <mergeCell ref="M1612:P1612"/>
    <mergeCell ref="Q1612:U1612"/>
    <mergeCell ref="V1612:Y1612"/>
    <mergeCell ref="Z1612:AC1612"/>
    <mergeCell ref="AD1612:AG1612"/>
    <mergeCell ref="AH1612:AK1612"/>
    <mergeCell ref="AL1612:AO1612"/>
    <mergeCell ref="AP1612:AS1612"/>
    <mergeCell ref="AT1612:AW1612"/>
    <mergeCell ref="BA1613:BH1613"/>
    <mergeCell ref="B1619:C1619"/>
    <mergeCell ref="E1619:H1619"/>
    <mergeCell ref="I1619:L1619"/>
    <mergeCell ref="M1619:P1619"/>
    <mergeCell ref="Q1619:U1619"/>
    <mergeCell ref="V1619:Y1619"/>
    <mergeCell ref="Z1619:AC1619"/>
    <mergeCell ref="AD1619:AG1619"/>
    <mergeCell ref="AH1619:AK1619"/>
    <mergeCell ref="AL1619:AO1619"/>
    <mergeCell ref="AP1619:AS1619"/>
    <mergeCell ref="AT1619:AW1619"/>
    <mergeCell ref="BA1592:BH1592"/>
    <mergeCell ref="B1598:C1598"/>
    <mergeCell ref="E1598:H1598"/>
    <mergeCell ref="I1598:L1598"/>
    <mergeCell ref="M1598:P1598"/>
    <mergeCell ref="Q1598:U1598"/>
    <mergeCell ref="V1598:Y1598"/>
    <mergeCell ref="Z1598:AC1598"/>
    <mergeCell ref="AD1598:AG1598"/>
    <mergeCell ref="AH1598:AK1598"/>
    <mergeCell ref="AL1598:AO1598"/>
    <mergeCell ref="AP1598:AS1598"/>
    <mergeCell ref="AT1598:AW1598"/>
    <mergeCell ref="BA1599:BH1599"/>
    <mergeCell ref="B1605:C1605"/>
    <mergeCell ref="E1605:H1605"/>
    <mergeCell ref="I1605:L1605"/>
    <mergeCell ref="M1605:P1605"/>
    <mergeCell ref="Q1605:U1605"/>
    <mergeCell ref="V1605:Y1605"/>
    <mergeCell ref="Z1605:AC1605"/>
    <mergeCell ref="AD1605:AG1605"/>
    <mergeCell ref="AH1605:AK1605"/>
    <mergeCell ref="AL1605:AO1605"/>
    <mergeCell ref="AP1605:AS1605"/>
    <mergeCell ref="AT1605:AW1605"/>
    <mergeCell ref="BA1568:BH1568"/>
    <mergeCell ref="B1576:C1576"/>
    <mergeCell ref="E1576:H1576"/>
    <mergeCell ref="I1576:L1576"/>
    <mergeCell ref="M1576:P1576"/>
    <mergeCell ref="Q1576:U1576"/>
    <mergeCell ref="V1576:Y1576"/>
    <mergeCell ref="Z1576:AC1576"/>
    <mergeCell ref="AD1576:AG1576"/>
    <mergeCell ref="AH1576:AK1576"/>
    <mergeCell ref="AL1576:AO1576"/>
    <mergeCell ref="AP1576:AS1576"/>
    <mergeCell ref="AT1576:AW1576"/>
    <mergeCell ref="BA1577:BH1577"/>
    <mergeCell ref="B1585:C1585"/>
    <mergeCell ref="E1585:H1585"/>
    <mergeCell ref="I1585:L1585"/>
    <mergeCell ref="M1585:P1585"/>
    <mergeCell ref="Q1585:U1585"/>
    <mergeCell ref="V1585:Y1585"/>
    <mergeCell ref="Z1585:AC1585"/>
    <mergeCell ref="AD1585:AG1585"/>
    <mergeCell ref="AH1585:AK1585"/>
    <mergeCell ref="AL1585:AO1585"/>
    <mergeCell ref="AP1585:AS1585"/>
    <mergeCell ref="AT1585:AW1585"/>
    <mergeCell ref="BA1550:BH1550"/>
    <mergeCell ref="B1558:C1558"/>
    <mergeCell ref="E1558:H1558"/>
    <mergeCell ref="I1558:L1558"/>
    <mergeCell ref="M1558:P1558"/>
    <mergeCell ref="Q1558:U1558"/>
    <mergeCell ref="V1558:Y1558"/>
    <mergeCell ref="Z1558:AC1558"/>
    <mergeCell ref="AD1558:AG1558"/>
    <mergeCell ref="AH1558:AK1558"/>
    <mergeCell ref="AL1558:AO1558"/>
    <mergeCell ref="AP1558:AS1558"/>
    <mergeCell ref="AT1558:AW1558"/>
    <mergeCell ref="BA1559:BH1559"/>
    <mergeCell ref="B1567:C1567"/>
    <mergeCell ref="E1567:H1567"/>
    <mergeCell ref="I1567:L1567"/>
    <mergeCell ref="M1567:P1567"/>
    <mergeCell ref="Q1567:U1567"/>
    <mergeCell ref="V1567:Y1567"/>
    <mergeCell ref="Z1567:AC1567"/>
    <mergeCell ref="AD1567:AG1567"/>
    <mergeCell ref="AH1567:AK1567"/>
    <mergeCell ref="AL1567:AO1567"/>
    <mergeCell ref="AP1567:AS1567"/>
    <mergeCell ref="AT1567:AW1567"/>
    <mergeCell ref="BA1532:BH1532"/>
    <mergeCell ref="B1540:C1540"/>
    <mergeCell ref="E1540:H1540"/>
    <mergeCell ref="I1540:L1540"/>
    <mergeCell ref="M1540:P1540"/>
    <mergeCell ref="Q1540:U1540"/>
    <mergeCell ref="V1540:Y1540"/>
    <mergeCell ref="Z1540:AC1540"/>
    <mergeCell ref="AD1540:AG1540"/>
    <mergeCell ref="AH1540:AK1540"/>
    <mergeCell ref="AL1540:AO1540"/>
    <mergeCell ref="AP1540:AS1540"/>
    <mergeCell ref="AT1540:AW1540"/>
    <mergeCell ref="BA1541:BH1541"/>
    <mergeCell ref="B1549:C1549"/>
    <mergeCell ref="E1549:H1549"/>
    <mergeCell ref="I1549:L1549"/>
    <mergeCell ref="M1549:P1549"/>
    <mergeCell ref="Q1549:U1549"/>
    <mergeCell ref="V1549:Y1549"/>
    <mergeCell ref="Z1549:AC1549"/>
    <mergeCell ref="AD1549:AG1549"/>
    <mergeCell ref="AH1549:AK1549"/>
    <mergeCell ref="AL1549:AO1549"/>
    <mergeCell ref="AP1549:AS1549"/>
    <mergeCell ref="AT1549:AW1549"/>
    <mergeCell ref="BA1514:BH1514"/>
    <mergeCell ref="B1522:C1522"/>
    <mergeCell ref="E1522:H1522"/>
    <mergeCell ref="I1522:L1522"/>
    <mergeCell ref="M1522:P1522"/>
    <mergeCell ref="Q1522:U1522"/>
    <mergeCell ref="V1522:Y1522"/>
    <mergeCell ref="Z1522:AC1522"/>
    <mergeCell ref="AD1522:AG1522"/>
    <mergeCell ref="AH1522:AK1522"/>
    <mergeCell ref="AL1522:AO1522"/>
    <mergeCell ref="AP1522:AS1522"/>
    <mergeCell ref="AT1522:AW1522"/>
    <mergeCell ref="BA1523:BH1523"/>
    <mergeCell ref="B1531:C1531"/>
    <mergeCell ref="E1531:H1531"/>
    <mergeCell ref="I1531:L1531"/>
    <mergeCell ref="M1531:P1531"/>
    <mergeCell ref="Q1531:U1531"/>
    <mergeCell ref="V1531:Y1531"/>
    <mergeCell ref="Z1531:AC1531"/>
    <mergeCell ref="AD1531:AG1531"/>
    <mergeCell ref="AH1531:AK1531"/>
    <mergeCell ref="AL1531:AO1531"/>
    <mergeCell ref="AP1531:AS1531"/>
    <mergeCell ref="AT1531:AW1531"/>
    <mergeCell ref="BA1496:BH1496"/>
    <mergeCell ref="B1504:C1504"/>
    <mergeCell ref="E1504:H1504"/>
    <mergeCell ref="I1504:L1504"/>
    <mergeCell ref="M1504:P1504"/>
    <mergeCell ref="Q1504:U1504"/>
    <mergeCell ref="V1504:Y1504"/>
    <mergeCell ref="Z1504:AC1504"/>
    <mergeCell ref="AD1504:AG1504"/>
    <mergeCell ref="AH1504:AK1504"/>
    <mergeCell ref="AL1504:AO1504"/>
    <mergeCell ref="AP1504:AS1504"/>
    <mergeCell ref="AT1504:AW1504"/>
    <mergeCell ref="BA1505:BH1505"/>
    <mergeCell ref="B1513:C1513"/>
    <mergeCell ref="E1513:H1513"/>
    <mergeCell ref="I1513:L1513"/>
    <mergeCell ref="M1513:P1513"/>
    <mergeCell ref="Q1513:U1513"/>
    <mergeCell ref="V1513:Y1513"/>
    <mergeCell ref="Z1513:AC1513"/>
    <mergeCell ref="AD1513:AG1513"/>
    <mergeCell ref="AH1513:AK1513"/>
    <mergeCell ref="AL1513:AO1513"/>
    <mergeCell ref="AP1513:AS1513"/>
    <mergeCell ref="AT1513:AW1513"/>
    <mergeCell ref="BA1478:BH1478"/>
    <mergeCell ref="B1486:C1486"/>
    <mergeCell ref="E1486:H1486"/>
    <mergeCell ref="I1486:L1486"/>
    <mergeCell ref="M1486:P1486"/>
    <mergeCell ref="Q1486:U1486"/>
    <mergeCell ref="V1486:Y1486"/>
    <mergeCell ref="Z1486:AC1486"/>
    <mergeCell ref="AD1486:AG1486"/>
    <mergeCell ref="AH1486:AK1486"/>
    <mergeCell ref="AL1486:AO1486"/>
    <mergeCell ref="AP1486:AS1486"/>
    <mergeCell ref="AT1486:AW1486"/>
    <mergeCell ref="BA1487:BH1487"/>
    <mergeCell ref="B1495:C1495"/>
    <mergeCell ref="E1495:H1495"/>
    <mergeCell ref="I1495:L1495"/>
    <mergeCell ref="M1495:P1495"/>
    <mergeCell ref="Q1495:U1495"/>
    <mergeCell ref="V1495:Y1495"/>
    <mergeCell ref="Z1495:AC1495"/>
    <mergeCell ref="AD1495:AG1495"/>
    <mergeCell ref="AH1495:AK1495"/>
    <mergeCell ref="AL1495:AO1495"/>
    <mergeCell ref="AP1495:AS1495"/>
    <mergeCell ref="AT1495:AW1495"/>
    <mergeCell ref="BA1460:BH1460"/>
    <mergeCell ref="B1468:C1468"/>
    <mergeCell ref="E1468:H1468"/>
    <mergeCell ref="I1468:L1468"/>
    <mergeCell ref="M1468:P1468"/>
    <mergeCell ref="Q1468:U1468"/>
    <mergeCell ref="V1468:Y1468"/>
    <mergeCell ref="Z1468:AC1468"/>
    <mergeCell ref="AD1468:AG1468"/>
    <mergeCell ref="AH1468:AK1468"/>
    <mergeCell ref="AL1468:AO1468"/>
    <mergeCell ref="AP1468:AS1468"/>
    <mergeCell ref="AT1468:AW1468"/>
    <mergeCell ref="BA1469:BH1469"/>
    <mergeCell ref="B1477:C1477"/>
    <mergeCell ref="E1477:H1477"/>
    <mergeCell ref="I1477:L1477"/>
    <mergeCell ref="M1477:P1477"/>
    <mergeCell ref="Q1477:U1477"/>
    <mergeCell ref="V1477:Y1477"/>
    <mergeCell ref="Z1477:AC1477"/>
    <mergeCell ref="AD1477:AG1477"/>
    <mergeCell ref="AH1477:AK1477"/>
    <mergeCell ref="AL1477:AO1477"/>
    <mergeCell ref="AP1477:AS1477"/>
    <mergeCell ref="AT1477:AW1477"/>
    <mergeCell ref="BA1444:BH1444"/>
    <mergeCell ref="B1450:C1450"/>
    <mergeCell ref="E1450:H1450"/>
    <mergeCell ref="I1450:L1450"/>
    <mergeCell ref="M1450:P1450"/>
    <mergeCell ref="Q1450:U1450"/>
    <mergeCell ref="V1450:Y1450"/>
    <mergeCell ref="Z1450:AC1450"/>
    <mergeCell ref="AD1450:AG1450"/>
    <mergeCell ref="AH1450:AK1450"/>
    <mergeCell ref="AL1450:AO1450"/>
    <mergeCell ref="AP1450:AS1450"/>
    <mergeCell ref="AT1450:AW1450"/>
    <mergeCell ref="BA1451:BH1451"/>
    <mergeCell ref="B1459:C1459"/>
    <mergeCell ref="E1459:H1459"/>
    <mergeCell ref="I1459:L1459"/>
    <mergeCell ref="M1459:P1459"/>
    <mergeCell ref="Q1459:U1459"/>
    <mergeCell ref="V1459:Y1459"/>
    <mergeCell ref="Z1459:AC1459"/>
    <mergeCell ref="AD1459:AG1459"/>
    <mergeCell ref="AH1459:AK1459"/>
    <mergeCell ref="AL1459:AO1459"/>
    <mergeCell ref="AP1459:AS1459"/>
    <mergeCell ref="AT1459:AW1459"/>
    <mergeCell ref="BA1430:BH1430"/>
    <mergeCell ref="B1436:C1436"/>
    <mergeCell ref="E1436:H1436"/>
    <mergeCell ref="I1436:L1436"/>
    <mergeCell ref="M1436:P1436"/>
    <mergeCell ref="Q1436:U1436"/>
    <mergeCell ref="V1436:Y1436"/>
    <mergeCell ref="Z1436:AC1436"/>
    <mergeCell ref="AD1436:AG1436"/>
    <mergeCell ref="AH1436:AK1436"/>
    <mergeCell ref="AL1436:AO1436"/>
    <mergeCell ref="AP1436:AS1436"/>
    <mergeCell ref="AT1436:AW1436"/>
    <mergeCell ref="BA1437:BH1437"/>
    <mergeCell ref="B1443:C1443"/>
    <mergeCell ref="E1443:H1443"/>
    <mergeCell ref="I1443:L1443"/>
    <mergeCell ref="M1443:P1443"/>
    <mergeCell ref="Q1443:U1443"/>
    <mergeCell ref="V1443:Y1443"/>
    <mergeCell ref="Z1443:AC1443"/>
    <mergeCell ref="AD1443:AG1443"/>
    <mergeCell ref="AH1443:AK1443"/>
    <mergeCell ref="AL1443:AO1443"/>
    <mergeCell ref="AP1443:AS1443"/>
    <mergeCell ref="AT1443:AW1443"/>
    <mergeCell ref="BA1416:BH1416"/>
    <mergeCell ref="B1422:C1422"/>
    <mergeCell ref="E1422:H1422"/>
    <mergeCell ref="I1422:L1422"/>
    <mergeCell ref="M1422:P1422"/>
    <mergeCell ref="Q1422:U1422"/>
    <mergeCell ref="V1422:Y1422"/>
    <mergeCell ref="Z1422:AC1422"/>
    <mergeCell ref="AD1422:AG1422"/>
    <mergeCell ref="AH1422:AK1422"/>
    <mergeCell ref="AL1422:AO1422"/>
    <mergeCell ref="AP1422:AS1422"/>
    <mergeCell ref="AT1422:AW1422"/>
    <mergeCell ref="BA1423:BH1423"/>
    <mergeCell ref="B1429:C1429"/>
    <mergeCell ref="E1429:H1429"/>
    <mergeCell ref="I1429:L1429"/>
    <mergeCell ref="M1429:P1429"/>
    <mergeCell ref="Q1429:U1429"/>
    <mergeCell ref="V1429:Y1429"/>
    <mergeCell ref="Z1429:AC1429"/>
    <mergeCell ref="AD1429:AG1429"/>
    <mergeCell ref="AH1429:AK1429"/>
    <mergeCell ref="AL1429:AO1429"/>
    <mergeCell ref="AP1429:AS1429"/>
    <mergeCell ref="AT1429:AW1429"/>
    <mergeCell ref="BA1040:BH1040"/>
    <mergeCell ref="B1048:C1048"/>
    <mergeCell ref="E1048:H1048"/>
    <mergeCell ref="I1048:L1048"/>
    <mergeCell ref="M1048:P1048"/>
    <mergeCell ref="Q1048:U1048"/>
    <mergeCell ref="V1048:Y1048"/>
    <mergeCell ref="Z1048:AC1048"/>
    <mergeCell ref="AD1048:AG1048"/>
    <mergeCell ref="AH1048:AK1048"/>
    <mergeCell ref="AL1048:AO1048"/>
    <mergeCell ref="AP1048:AS1048"/>
    <mergeCell ref="AT1048:AW1048"/>
    <mergeCell ref="BA1049:BH1049"/>
    <mergeCell ref="B1057:C1057"/>
    <mergeCell ref="E1057:H1057"/>
    <mergeCell ref="I1057:L1057"/>
    <mergeCell ref="M1057:P1057"/>
    <mergeCell ref="Q1057:U1057"/>
    <mergeCell ref="V1057:Y1057"/>
    <mergeCell ref="Z1057:AC1057"/>
    <mergeCell ref="AD1057:AG1057"/>
    <mergeCell ref="AH1057:AK1057"/>
    <mergeCell ref="AL1057:AO1057"/>
    <mergeCell ref="AP1057:AS1057"/>
    <mergeCell ref="AT1057:AW1057"/>
    <mergeCell ref="BA1022:BH1022"/>
    <mergeCell ref="B1030:C1030"/>
    <mergeCell ref="E1030:H1030"/>
    <mergeCell ref="I1030:L1030"/>
    <mergeCell ref="M1030:P1030"/>
    <mergeCell ref="Q1030:U1030"/>
    <mergeCell ref="V1030:Y1030"/>
    <mergeCell ref="Z1030:AC1030"/>
    <mergeCell ref="AD1030:AG1030"/>
    <mergeCell ref="AH1030:AK1030"/>
    <mergeCell ref="AL1030:AO1030"/>
    <mergeCell ref="AP1030:AS1030"/>
    <mergeCell ref="AT1030:AW1030"/>
    <mergeCell ref="BA1031:BH1031"/>
    <mergeCell ref="B1039:C1039"/>
    <mergeCell ref="E1039:H1039"/>
    <mergeCell ref="I1039:L1039"/>
    <mergeCell ref="M1039:P1039"/>
    <mergeCell ref="Q1039:U1039"/>
    <mergeCell ref="V1039:Y1039"/>
    <mergeCell ref="Z1039:AC1039"/>
    <mergeCell ref="AD1039:AG1039"/>
    <mergeCell ref="AH1039:AK1039"/>
    <mergeCell ref="AL1039:AO1039"/>
    <mergeCell ref="AP1039:AS1039"/>
    <mergeCell ref="AT1039:AW1039"/>
    <mergeCell ref="BA1004:BH1004"/>
    <mergeCell ref="B1012:C1012"/>
    <mergeCell ref="E1012:H1012"/>
    <mergeCell ref="I1012:L1012"/>
    <mergeCell ref="M1012:P1012"/>
    <mergeCell ref="Q1012:U1012"/>
    <mergeCell ref="V1012:Y1012"/>
    <mergeCell ref="Z1012:AC1012"/>
    <mergeCell ref="AD1012:AG1012"/>
    <mergeCell ref="AH1012:AK1012"/>
    <mergeCell ref="AL1012:AO1012"/>
    <mergeCell ref="AP1012:AS1012"/>
    <mergeCell ref="AT1012:AW1012"/>
    <mergeCell ref="BA1013:BH1013"/>
    <mergeCell ref="B1021:C1021"/>
    <mergeCell ref="E1021:H1021"/>
    <mergeCell ref="I1021:L1021"/>
    <mergeCell ref="M1021:P1021"/>
    <mergeCell ref="Q1021:U1021"/>
    <mergeCell ref="V1021:Y1021"/>
    <mergeCell ref="Z1021:AC1021"/>
    <mergeCell ref="AD1021:AG1021"/>
    <mergeCell ref="AH1021:AK1021"/>
    <mergeCell ref="AL1021:AO1021"/>
    <mergeCell ref="AP1021:AS1021"/>
    <mergeCell ref="AT1021:AW1021"/>
    <mergeCell ref="BA986:BH986"/>
    <mergeCell ref="B994:C994"/>
    <mergeCell ref="E994:H994"/>
    <mergeCell ref="I994:L994"/>
    <mergeCell ref="M994:P994"/>
    <mergeCell ref="Q994:U994"/>
    <mergeCell ref="V994:Y994"/>
    <mergeCell ref="Z994:AC994"/>
    <mergeCell ref="AD994:AG994"/>
    <mergeCell ref="AH994:AK994"/>
    <mergeCell ref="AL994:AO994"/>
    <mergeCell ref="AP994:AS994"/>
    <mergeCell ref="AT994:AW994"/>
    <mergeCell ref="BA995:BH995"/>
    <mergeCell ref="B1003:C1003"/>
    <mergeCell ref="E1003:H1003"/>
    <mergeCell ref="I1003:L1003"/>
    <mergeCell ref="M1003:P1003"/>
    <mergeCell ref="Q1003:U1003"/>
    <mergeCell ref="V1003:Y1003"/>
    <mergeCell ref="Z1003:AC1003"/>
    <mergeCell ref="AD1003:AG1003"/>
    <mergeCell ref="AH1003:AK1003"/>
    <mergeCell ref="AL1003:AO1003"/>
    <mergeCell ref="AP1003:AS1003"/>
    <mergeCell ref="AT1003:AW1003"/>
    <mergeCell ref="BA968:BH968"/>
    <mergeCell ref="B976:C976"/>
    <mergeCell ref="E976:H976"/>
    <mergeCell ref="I976:L976"/>
    <mergeCell ref="M976:P976"/>
    <mergeCell ref="Q976:U976"/>
    <mergeCell ref="V976:Y976"/>
    <mergeCell ref="Z976:AC976"/>
    <mergeCell ref="AD976:AG976"/>
    <mergeCell ref="AH976:AK976"/>
    <mergeCell ref="AL976:AO976"/>
    <mergeCell ref="AP976:AS976"/>
    <mergeCell ref="AT976:AW976"/>
    <mergeCell ref="BA977:BH977"/>
    <mergeCell ref="B985:C985"/>
    <mergeCell ref="E985:H985"/>
    <mergeCell ref="I985:L985"/>
    <mergeCell ref="M985:P985"/>
    <mergeCell ref="Q985:U985"/>
    <mergeCell ref="V985:Y985"/>
    <mergeCell ref="Z985:AC985"/>
    <mergeCell ref="AD985:AG985"/>
    <mergeCell ref="AH985:AK985"/>
    <mergeCell ref="AL985:AO985"/>
    <mergeCell ref="AP985:AS985"/>
    <mergeCell ref="AT985:AW985"/>
    <mergeCell ref="BA950:BH950"/>
    <mergeCell ref="B958:C958"/>
    <mergeCell ref="E958:H958"/>
    <mergeCell ref="I958:L958"/>
    <mergeCell ref="M958:P958"/>
    <mergeCell ref="Q958:U958"/>
    <mergeCell ref="V958:Y958"/>
    <mergeCell ref="Z958:AC958"/>
    <mergeCell ref="AD958:AG958"/>
    <mergeCell ref="AH958:AK958"/>
    <mergeCell ref="AL958:AO958"/>
    <mergeCell ref="AP958:AS958"/>
    <mergeCell ref="AT958:AW958"/>
    <mergeCell ref="BA959:BH959"/>
    <mergeCell ref="B967:C967"/>
    <mergeCell ref="E967:H967"/>
    <mergeCell ref="I967:L967"/>
    <mergeCell ref="M967:P967"/>
    <mergeCell ref="Q967:U967"/>
    <mergeCell ref="V967:Y967"/>
    <mergeCell ref="Z967:AC967"/>
    <mergeCell ref="AD967:AG967"/>
    <mergeCell ref="AH967:AK967"/>
    <mergeCell ref="AL967:AO967"/>
    <mergeCell ref="AP967:AS967"/>
    <mergeCell ref="AT967:AW967"/>
    <mergeCell ref="BA932:BH932"/>
    <mergeCell ref="B940:C940"/>
    <mergeCell ref="E940:H940"/>
    <mergeCell ref="I940:L940"/>
    <mergeCell ref="M940:P940"/>
    <mergeCell ref="Q940:U940"/>
    <mergeCell ref="V940:Y940"/>
    <mergeCell ref="Z940:AC940"/>
    <mergeCell ref="AD940:AG940"/>
    <mergeCell ref="AH940:AK940"/>
    <mergeCell ref="AL940:AO940"/>
    <mergeCell ref="AP940:AS940"/>
    <mergeCell ref="AT940:AW940"/>
    <mergeCell ref="BA941:BH941"/>
    <mergeCell ref="B949:C949"/>
    <mergeCell ref="E949:H949"/>
    <mergeCell ref="I949:L949"/>
    <mergeCell ref="M949:P949"/>
    <mergeCell ref="Q949:U949"/>
    <mergeCell ref="V949:Y949"/>
    <mergeCell ref="Z949:AC949"/>
    <mergeCell ref="AD949:AG949"/>
    <mergeCell ref="AH949:AK949"/>
    <mergeCell ref="AL949:AO949"/>
    <mergeCell ref="AP949:AS949"/>
    <mergeCell ref="AT949:AW949"/>
    <mergeCell ref="BA916:BH916"/>
    <mergeCell ref="B922:C922"/>
    <mergeCell ref="E922:H922"/>
    <mergeCell ref="I922:L922"/>
    <mergeCell ref="M922:P922"/>
    <mergeCell ref="Q922:U922"/>
    <mergeCell ref="V922:Y922"/>
    <mergeCell ref="Z922:AC922"/>
    <mergeCell ref="AD922:AG922"/>
    <mergeCell ref="AH922:AK922"/>
    <mergeCell ref="AL922:AO922"/>
    <mergeCell ref="AP922:AS922"/>
    <mergeCell ref="AT922:AW922"/>
    <mergeCell ref="BA923:BH923"/>
    <mergeCell ref="B931:C931"/>
    <mergeCell ref="E931:H931"/>
    <mergeCell ref="I931:L931"/>
    <mergeCell ref="M931:P931"/>
    <mergeCell ref="Q931:U931"/>
    <mergeCell ref="V931:Y931"/>
    <mergeCell ref="Z931:AC931"/>
    <mergeCell ref="AD931:AG931"/>
    <mergeCell ref="AH931:AK931"/>
    <mergeCell ref="AL931:AO931"/>
    <mergeCell ref="AP931:AS931"/>
    <mergeCell ref="AT931:AW931"/>
    <mergeCell ref="BA902:BH902"/>
    <mergeCell ref="B908:C908"/>
    <mergeCell ref="E908:H908"/>
    <mergeCell ref="I908:L908"/>
    <mergeCell ref="M908:P908"/>
    <mergeCell ref="Q908:U908"/>
    <mergeCell ref="V908:Y908"/>
    <mergeCell ref="Z908:AC908"/>
    <mergeCell ref="AD908:AG908"/>
    <mergeCell ref="AH908:AK908"/>
    <mergeCell ref="AL908:AO908"/>
    <mergeCell ref="AP908:AS908"/>
    <mergeCell ref="AT908:AW908"/>
    <mergeCell ref="BA909:BH909"/>
    <mergeCell ref="B915:C915"/>
    <mergeCell ref="E915:H915"/>
    <mergeCell ref="I915:L915"/>
    <mergeCell ref="M915:P915"/>
    <mergeCell ref="Q915:U915"/>
    <mergeCell ref="V915:Y915"/>
    <mergeCell ref="Z915:AC915"/>
    <mergeCell ref="AD915:AG915"/>
    <mergeCell ref="AH915:AK915"/>
    <mergeCell ref="AL915:AO915"/>
    <mergeCell ref="AP915:AS915"/>
    <mergeCell ref="AT915:AW915"/>
    <mergeCell ref="BA888:BH888"/>
    <mergeCell ref="B894:C894"/>
    <mergeCell ref="E894:H894"/>
    <mergeCell ref="I894:L894"/>
    <mergeCell ref="M894:P894"/>
    <mergeCell ref="Q894:U894"/>
    <mergeCell ref="V894:Y894"/>
    <mergeCell ref="Z894:AC894"/>
    <mergeCell ref="AD894:AG894"/>
    <mergeCell ref="AH894:AK894"/>
    <mergeCell ref="AL894:AO894"/>
    <mergeCell ref="AP894:AS894"/>
    <mergeCell ref="AT894:AW894"/>
    <mergeCell ref="BA895:BH895"/>
    <mergeCell ref="B901:C901"/>
    <mergeCell ref="E901:H901"/>
    <mergeCell ref="I901:L901"/>
    <mergeCell ref="M901:P901"/>
    <mergeCell ref="Q901:U901"/>
    <mergeCell ref="V901:Y901"/>
    <mergeCell ref="Z901:AC901"/>
    <mergeCell ref="AD901:AG901"/>
    <mergeCell ref="AH901:AK901"/>
    <mergeCell ref="AL901:AO901"/>
    <mergeCell ref="AP901:AS901"/>
    <mergeCell ref="AT901:AW901"/>
    <mergeCell ref="BA864:BH864"/>
    <mergeCell ref="B872:C872"/>
    <mergeCell ref="E872:H872"/>
    <mergeCell ref="I872:L872"/>
    <mergeCell ref="M872:P872"/>
    <mergeCell ref="Q872:U872"/>
    <mergeCell ref="V872:Y872"/>
    <mergeCell ref="Z872:AC872"/>
    <mergeCell ref="AD872:AG872"/>
    <mergeCell ref="AH872:AK872"/>
    <mergeCell ref="AL872:AO872"/>
    <mergeCell ref="AP872:AS872"/>
    <mergeCell ref="AT872:AW872"/>
    <mergeCell ref="BA873:BH873"/>
    <mergeCell ref="B881:C881"/>
    <mergeCell ref="E881:H881"/>
    <mergeCell ref="I881:L881"/>
    <mergeCell ref="M881:P881"/>
    <mergeCell ref="Q881:U881"/>
    <mergeCell ref="V881:Y881"/>
    <mergeCell ref="Z881:AC881"/>
    <mergeCell ref="AD881:AG881"/>
    <mergeCell ref="AH881:AK881"/>
    <mergeCell ref="AL881:AO881"/>
    <mergeCell ref="AP881:AS881"/>
    <mergeCell ref="AT881:AW881"/>
    <mergeCell ref="BA846:BH846"/>
    <mergeCell ref="B854:C854"/>
    <mergeCell ref="E854:H854"/>
    <mergeCell ref="I854:L854"/>
    <mergeCell ref="M854:P854"/>
    <mergeCell ref="Q854:U854"/>
    <mergeCell ref="V854:Y854"/>
    <mergeCell ref="Z854:AC854"/>
    <mergeCell ref="AD854:AG854"/>
    <mergeCell ref="AH854:AK854"/>
    <mergeCell ref="AL854:AO854"/>
    <mergeCell ref="AP854:AS854"/>
    <mergeCell ref="AT854:AW854"/>
    <mergeCell ref="BA855:BH855"/>
    <mergeCell ref="B863:C863"/>
    <mergeCell ref="E863:H863"/>
    <mergeCell ref="I863:L863"/>
    <mergeCell ref="M863:P863"/>
    <mergeCell ref="Q863:U863"/>
    <mergeCell ref="V863:Y863"/>
    <mergeCell ref="Z863:AC863"/>
    <mergeCell ref="AD863:AG863"/>
    <mergeCell ref="AH863:AK863"/>
    <mergeCell ref="AL863:AO863"/>
    <mergeCell ref="AP863:AS863"/>
    <mergeCell ref="AT863:AW863"/>
    <mergeCell ref="BA828:BH828"/>
    <mergeCell ref="B836:C836"/>
    <mergeCell ref="E836:H836"/>
    <mergeCell ref="I836:L836"/>
    <mergeCell ref="M836:P836"/>
    <mergeCell ref="Q836:U836"/>
    <mergeCell ref="V836:Y836"/>
    <mergeCell ref="Z836:AC836"/>
    <mergeCell ref="AD836:AG836"/>
    <mergeCell ref="AH836:AK836"/>
    <mergeCell ref="AL836:AO836"/>
    <mergeCell ref="AP836:AS836"/>
    <mergeCell ref="AT836:AW836"/>
    <mergeCell ref="BA837:BH837"/>
    <mergeCell ref="B845:C845"/>
    <mergeCell ref="E845:H845"/>
    <mergeCell ref="I845:L845"/>
    <mergeCell ref="M845:P845"/>
    <mergeCell ref="Q845:U845"/>
    <mergeCell ref="V845:Y845"/>
    <mergeCell ref="Z845:AC845"/>
    <mergeCell ref="AD845:AG845"/>
    <mergeCell ref="AH845:AK845"/>
    <mergeCell ref="AL845:AO845"/>
    <mergeCell ref="AP845:AS845"/>
    <mergeCell ref="AT845:AW845"/>
    <mergeCell ref="BA810:BH810"/>
    <mergeCell ref="B818:C818"/>
    <mergeCell ref="E818:H818"/>
    <mergeCell ref="I818:L818"/>
    <mergeCell ref="M818:P818"/>
    <mergeCell ref="Q818:U818"/>
    <mergeCell ref="V818:Y818"/>
    <mergeCell ref="Z818:AC818"/>
    <mergeCell ref="AD818:AG818"/>
    <mergeCell ref="AH818:AK818"/>
    <mergeCell ref="AL818:AO818"/>
    <mergeCell ref="AP818:AS818"/>
    <mergeCell ref="AT818:AW818"/>
    <mergeCell ref="BA819:BH819"/>
    <mergeCell ref="B827:C827"/>
    <mergeCell ref="E827:H827"/>
    <mergeCell ref="I827:L827"/>
    <mergeCell ref="M827:P827"/>
    <mergeCell ref="Q827:U827"/>
    <mergeCell ref="V827:Y827"/>
    <mergeCell ref="Z827:AC827"/>
    <mergeCell ref="AD827:AG827"/>
    <mergeCell ref="AH827:AK827"/>
    <mergeCell ref="AL827:AO827"/>
    <mergeCell ref="AP827:AS827"/>
    <mergeCell ref="AT827:AW827"/>
    <mergeCell ref="BA792:BH792"/>
    <mergeCell ref="B800:C800"/>
    <mergeCell ref="E800:H800"/>
    <mergeCell ref="I800:L800"/>
    <mergeCell ref="M800:P800"/>
    <mergeCell ref="Q800:U800"/>
    <mergeCell ref="V800:Y800"/>
    <mergeCell ref="Z800:AC800"/>
    <mergeCell ref="AD800:AG800"/>
    <mergeCell ref="AH800:AK800"/>
    <mergeCell ref="AL800:AO800"/>
    <mergeCell ref="AP800:AS800"/>
    <mergeCell ref="AT800:AW800"/>
    <mergeCell ref="BA801:BH801"/>
    <mergeCell ref="B809:C809"/>
    <mergeCell ref="E809:H809"/>
    <mergeCell ref="I809:L809"/>
    <mergeCell ref="M809:P809"/>
    <mergeCell ref="Q809:U809"/>
    <mergeCell ref="V809:Y809"/>
    <mergeCell ref="Z809:AC809"/>
    <mergeCell ref="AD809:AG809"/>
    <mergeCell ref="AH809:AK809"/>
    <mergeCell ref="AL809:AO809"/>
    <mergeCell ref="AP809:AS809"/>
    <mergeCell ref="AT809:AW809"/>
    <mergeCell ref="BA774:BH774"/>
    <mergeCell ref="B782:C782"/>
    <mergeCell ref="E782:H782"/>
    <mergeCell ref="I782:L782"/>
    <mergeCell ref="M782:P782"/>
    <mergeCell ref="Q782:U782"/>
    <mergeCell ref="V782:Y782"/>
    <mergeCell ref="Z782:AC782"/>
    <mergeCell ref="AD782:AG782"/>
    <mergeCell ref="AH782:AK782"/>
    <mergeCell ref="AL782:AO782"/>
    <mergeCell ref="AP782:AS782"/>
    <mergeCell ref="AT782:AW782"/>
    <mergeCell ref="BA783:BH783"/>
    <mergeCell ref="B791:C791"/>
    <mergeCell ref="E791:H791"/>
    <mergeCell ref="I791:L791"/>
    <mergeCell ref="M791:P791"/>
    <mergeCell ref="Q791:U791"/>
    <mergeCell ref="V791:Y791"/>
    <mergeCell ref="Z791:AC791"/>
    <mergeCell ref="AD791:AG791"/>
    <mergeCell ref="AH791:AK791"/>
    <mergeCell ref="AL791:AO791"/>
    <mergeCell ref="AP791:AS791"/>
    <mergeCell ref="AT791:AW791"/>
    <mergeCell ref="BA756:BH756"/>
    <mergeCell ref="B764:C764"/>
    <mergeCell ref="E764:H764"/>
    <mergeCell ref="I764:L764"/>
    <mergeCell ref="M764:P764"/>
    <mergeCell ref="Q764:U764"/>
    <mergeCell ref="V764:Y764"/>
    <mergeCell ref="Z764:AC764"/>
    <mergeCell ref="AD764:AG764"/>
    <mergeCell ref="AH764:AK764"/>
    <mergeCell ref="AL764:AO764"/>
    <mergeCell ref="AP764:AS764"/>
    <mergeCell ref="AT764:AW764"/>
    <mergeCell ref="BA765:BH765"/>
    <mergeCell ref="B773:C773"/>
    <mergeCell ref="E773:H773"/>
    <mergeCell ref="I773:L773"/>
    <mergeCell ref="M773:P773"/>
    <mergeCell ref="Q773:U773"/>
    <mergeCell ref="V773:Y773"/>
    <mergeCell ref="Z773:AC773"/>
    <mergeCell ref="AD773:AG773"/>
    <mergeCell ref="AH773:AK773"/>
    <mergeCell ref="AL773:AO773"/>
    <mergeCell ref="AP773:AS773"/>
    <mergeCell ref="AT773:AW773"/>
    <mergeCell ref="BA740:BH740"/>
    <mergeCell ref="B746:C746"/>
    <mergeCell ref="E746:H746"/>
    <mergeCell ref="I746:L746"/>
    <mergeCell ref="M746:P746"/>
    <mergeCell ref="Q746:U746"/>
    <mergeCell ref="V746:Y746"/>
    <mergeCell ref="Z746:AC746"/>
    <mergeCell ref="AD746:AG746"/>
    <mergeCell ref="AH746:AK746"/>
    <mergeCell ref="AL746:AO746"/>
    <mergeCell ref="AP746:AS746"/>
    <mergeCell ref="AT746:AW746"/>
    <mergeCell ref="BA747:BH747"/>
    <mergeCell ref="B755:C755"/>
    <mergeCell ref="E755:H755"/>
    <mergeCell ref="I755:L755"/>
    <mergeCell ref="M755:P755"/>
    <mergeCell ref="Q755:U755"/>
    <mergeCell ref="V755:Y755"/>
    <mergeCell ref="Z755:AC755"/>
    <mergeCell ref="AD755:AG755"/>
    <mergeCell ref="AH755:AK755"/>
    <mergeCell ref="AL755:AO755"/>
    <mergeCell ref="AP755:AS755"/>
    <mergeCell ref="AT755:AW755"/>
    <mergeCell ref="BA726:BH726"/>
    <mergeCell ref="B732:C732"/>
    <mergeCell ref="E732:H732"/>
    <mergeCell ref="I732:L732"/>
    <mergeCell ref="M732:P732"/>
    <mergeCell ref="Q732:U732"/>
    <mergeCell ref="V732:Y732"/>
    <mergeCell ref="Z732:AC732"/>
    <mergeCell ref="AD732:AG732"/>
    <mergeCell ref="AH732:AK732"/>
    <mergeCell ref="AL732:AO732"/>
    <mergeCell ref="AP732:AS732"/>
    <mergeCell ref="AT732:AW732"/>
    <mergeCell ref="BA733:BH733"/>
    <mergeCell ref="B739:C739"/>
    <mergeCell ref="E739:H739"/>
    <mergeCell ref="I739:L739"/>
    <mergeCell ref="M739:P739"/>
    <mergeCell ref="Q739:U739"/>
    <mergeCell ref="V739:Y739"/>
    <mergeCell ref="Z739:AC739"/>
    <mergeCell ref="AD739:AG739"/>
    <mergeCell ref="AH739:AK739"/>
    <mergeCell ref="AL739:AO739"/>
    <mergeCell ref="AP739:AS739"/>
    <mergeCell ref="AT739:AW739"/>
    <mergeCell ref="BA712:BH712"/>
    <mergeCell ref="B718:C718"/>
    <mergeCell ref="E718:H718"/>
    <mergeCell ref="I718:L718"/>
    <mergeCell ref="M718:P718"/>
    <mergeCell ref="Q718:U718"/>
    <mergeCell ref="V718:Y718"/>
    <mergeCell ref="Z718:AC718"/>
    <mergeCell ref="AD718:AG718"/>
    <mergeCell ref="AH718:AK718"/>
    <mergeCell ref="AL718:AO718"/>
    <mergeCell ref="AP718:AS718"/>
    <mergeCell ref="AT718:AW718"/>
    <mergeCell ref="BA719:BH719"/>
    <mergeCell ref="B725:C725"/>
    <mergeCell ref="E725:H725"/>
    <mergeCell ref="I725:L725"/>
    <mergeCell ref="M725:P725"/>
    <mergeCell ref="Q725:U725"/>
    <mergeCell ref="V725:Y725"/>
    <mergeCell ref="Z725:AC725"/>
    <mergeCell ref="AD725:AG725"/>
    <mergeCell ref="AH725:AK725"/>
    <mergeCell ref="AL725:AO725"/>
    <mergeCell ref="AP725:AS725"/>
    <mergeCell ref="AT725:AW725"/>
    <mergeCell ref="AT705:AW705"/>
    <mergeCell ref="V705:Y705"/>
    <mergeCell ref="Z705:AC705"/>
    <mergeCell ref="AD705:AG705"/>
    <mergeCell ref="AH705:AK705"/>
    <mergeCell ref="AL705:AO705"/>
    <mergeCell ref="AP705:AS705"/>
    <mergeCell ref="AH696:AK696"/>
    <mergeCell ref="AL696:AO696"/>
    <mergeCell ref="AP696:AS696"/>
    <mergeCell ref="AT696:AW696"/>
    <mergeCell ref="BA697:BH697"/>
    <mergeCell ref="B705:C705"/>
    <mergeCell ref="E705:H705"/>
    <mergeCell ref="I705:L705"/>
    <mergeCell ref="M705:P705"/>
    <mergeCell ref="Q705:U705"/>
    <mergeCell ref="AT687:AW687"/>
    <mergeCell ref="BA688:BH688"/>
    <mergeCell ref="B696:C696"/>
    <mergeCell ref="E696:H696"/>
    <mergeCell ref="I696:L696"/>
    <mergeCell ref="M696:P696"/>
    <mergeCell ref="Q696:U696"/>
    <mergeCell ref="V696:Y696"/>
    <mergeCell ref="Z696:AC696"/>
    <mergeCell ref="AD696:AG696"/>
    <mergeCell ref="V687:Y687"/>
    <mergeCell ref="Z687:AC687"/>
    <mergeCell ref="AD687:AG687"/>
    <mergeCell ref="AH687:AK687"/>
    <mergeCell ref="AL687:AO687"/>
    <mergeCell ref="AP687:AS687"/>
    <mergeCell ref="AH678:AK678"/>
    <mergeCell ref="AL678:AO678"/>
    <mergeCell ref="AP678:AS678"/>
    <mergeCell ref="AT678:AW678"/>
    <mergeCell ref="BA679:BH679"/>
    <mergeCell ref="B687:C687"/>
    <mergeCell ref="E687:H687"/>
    <mergeCell ref="I687:L687"/>
    <mergeCell ref="M687:P687"/>
    <mergeCell ref="Q687:U687"/>
    <mergeCell ref="AT669:AW669"/>
    <mergeCell ref="BA670:BH670"/>
    <mergeCell ref="B678:C678"/>
    <mergeCell ref="E678:H678"/>
    <mergeCell ref="I678:L678"/>
    <mergeCell ref="M678:P678"/>
    <mergeCell ref="Q678:U678"/>
    <mergeCell ref="V678:Y678"/>
    <mergeCell ref="Z678:AC678"/>
    <mergeCell ref="AD678:AG678"/>
    <mergeCell ref="V669:Y669"/>
    <mergeCell ref="Z669:AC669"/>
    <mergeCell ref="AD669:AG669"/>
    <mergeCell ref="AH669:AK669"/>
    <mergeCell ref="AL669:AO669"/>
    <mergeCell ref="AP669:AS669"/>
    <mergeCell ref="AH660:AK660"/>
    <mergeCell ref="AL660:AO660"/>
    <mergeCell ref="AP660:AS660"/>
    <mergeCell ref="AT660:AW660"/>
    <mergeCell ref="BA661:BH661"/>
    <mergeCell ref="B669:C669"/>
    <mergeCell ref="E669:H669"/>
    <mergeCell ref="I669:L669"/>
    <mergeCell ref="M669:P669"/>
    <mergeCell ref="Q669:U669"/>
    <mergeCell ref="AT651:AW651"/>
    <mergeCell ref="BA652:BH652"/>
    <mergeCell ref="B660:C660"/>
    <mergeCell ref="E660:H660"/>
    <mergeCell ref="I660:L660"/>
    <mergeCell ref="M660:P660"/>
    <mergeCell ref="Q660:U660"/>
    <mergeCell ref="V660:Y660"/>
    <mergeCell ref="Z660:AC660"/>
    <mergeCell ref="AD660:AG660"/>
    <mergeCell ref="V651:Y651"/>
    <mergeCell ref="Z651:AC651"/>
    <mergeCell ref="AD651:AG651"/>
    <mergeCell ref="AH651:AK651"/>
    <mergeCell ref="AL651:AO651"/>
    <mergeCell ref="AP651:AS651"/>
    <mergeCell ref="AH642:AK642"/>
    <mergeCell ref="AL642:AO642"/>
    <mergeCell ref="AP642:AS642"/>
    <mergeCell ref="AT642:AW642"/>
    <mergeCell ref="BA643:BH643"/>
    <mergeCell ref="B651:C651"/>
    <mergeCell ref="E651:H651"/>
    <mergeCell ref="I651:L651"/>
    <mergeCell ref="M651:P651"/>
    <mergeCell ref="Q651:U651"/>
    <mergeCell ref="AT633:AW633"/>
    <mergeCell ref="BA634:BH634"/>
    <mergeCell ref="B642:C642"/>
    <mergeCell ref="E642:H642"/>
    <mergeCell ref="I642:L642"/>
    <mergeCell ref="M642:P642"/>
    <mergeCell ref="Q642:U642"/>
    <mergeCell ref="V642:Y642"/>
    <mergeCell ref="Z642:AC642"/>
    <mergeCell ref="AD642:AG642"/>
    <mergeCell ref="V633:Y633"/>
    <mergeCell ref="Z633:AC633"/>
    <mergeCell ref="AD633:AG633"/>
    <mergeCell ref="AH633:AK633"/>
    <mergeCell ref="AL633:AO633"/>
    <mergeCell ref="AP633:AS633"/>
    <mergeCell ref="AH624:AK624"/>
    <mergeCell ref="AL624:AO624"/>
    <mergeCell ref="AP624:AS624"/>
    <mergeCell ref="AT624:AW624"/>
    <mergeCell ref="BA625:BH625"/>
    <mergeCell ref="B633:C633"/>
    <mergeCell ref="E633:H633"/>
    <mergeCell ref="I633:L633"/>
    <mergeCell ref="M633:P633"/>
    <mergeCell ref="Q633:U633"/>
    <mergeCell ref="AT615:AW615"/>
    <mergeCell ref="BA616:BH616"/>
    <mergeCell ref="B624:C624"/>
    <mergeCell ref="E624:H624"/>
    <mergeCell ref="I624:L624"/>
    <mergeCell ref="M624:P624"/>
    <mergeCell ref="Q624:U624"/>
    <mergeCell ref="V624:Y624"/>
    <mergeCell ref="Z624:AC624"/>
    <mergeCell ref="AD624:AG624"/>
    <mergeCell ref="V615:Y615"/>
    <mergeCell ref="Z615:AC615"/>
    <mergeCell ref="AD615:AG615"/>
    <mergeCell ref="AH615:AK615"/>
    <mergeCell ref="AL615:AO615"/>
    <mergeCell ref="AP615:AS615"/>
    <mergeCell ref="AH606:AK606"/>
    <mergeCell ref="AL606:AO606"/>
    <mergeCell ref="AP606:AS606"/>
    <mergeCell ref="AT606:AW606"/>
    <mergeCell ref="BA607:BH607"/>
    <mergeCell ref="B615:C615"/>
    <mergeCell ref="E615:H615"/>
    <mergeCell ref="I615:L615"/>
    <mergeCell ref="M615:P615"/>
    <mergeCell ref="Q615:U615"/>
    <mergeCell ref="AT597:AW597"/>
    <mergeCell ref="BA598:BH598"/>
    <mergeCell ref="B606:C606"/>
    <mergeCell ref="E606:H606"/>
    <mergeCell ref="I606:L606"/>
    <mergeCell ref="M606:P606"/>
    <mergeCell ref="Q606:U606"/>
    <mergeCell ref="V606:Y606"/>
    <mergeCell ref="Z606:AC606"/>
    <mergeCell ref="AD606:AG606"/>
    <mergeCell ref="V597:Y597"/>
    <mergeCell ref="Z597:AC597"/>
    <mergeCell ref="AD597:AG597"/>
    <mergeCell ref="AH597:AK597"/>
    <mergeCell ref="AL597:AO597"/>
    <mergeCell ref="AP597:AS597"/>
    <mergeCell ref="AH588:AK588"/>
    <mergeCell ref="AL588:AO588"/>
    <mergeCell ref="AP588:AS588"/>
    <mergeCell ref="AT588:AW588"/>
    <mergeCell ref="BA589:BH589"/>
    <mergeCell ref="B597:C597"/>
    <mergeCell ref="E597:H597"/>
    <mergeCell ref="I597:L597"/>
    <mergeCell ref="M597:P597"/>
    <mergeCell ref="Q597:U597"/>
    <mergeCell ref="AT579:AW579"/>
    <mergeCell ref="BA580:BH580"/>
    <mergeCell ref="B588:C588"/>
    <mergeCell ref="E588:H588"/>
    <mergeCell ref="I588:L588"/>
    <mergeCell ref="M588:P588"/>
    <mergeCell ref="Q588:U588"/>
    <mergeCell ref="V588:Y588"/>
    <mergeCell ref="Z588:AC588"/>
    <mergeCell ref="AD588:AG588"/>
    <mergeCell ref="V579:Y579"/>
    <mergeCell ref="Z579:AC579"/>
    <mergeCell ref="AD579:AG579"/>
    <mergeCell ref="AH579:AK579"/>
    <mergeCell ref="AL579:AO579"/>
    <mergeCell ref="AP579:AS579"/>
    <mergeCell ref="AH570:AK570"/>
    <mergeCell ref="AL570:AO570"/>
    <mergeCell ref="AP570:AS570"/>
    <mergeCell ref="AT570:AW570"/>
    <mergeCell ref="BA571:BH571"/>
    <mergeCell ref="B579:C579"/>
    <mergeCell ref="E579:H579"/>
    <mergeCell ref="I579:L579"/>
    <mergeCell ref="M579:P579"/>
    <mergeCell ref="Q579:U579"/>
    <mergeCell ref="AT563:AW563"/>
    <mergeCell ref="BA564:BH564"/>
    <mergeCell ref="B570:C570"/>
    <mergeCell ref="E570:H570"/>
    <mergeCell ref="I570:L570"/>
    <mergeCell ref="M570:P570"/>
    <mergeCell ref="Q570:U570"/>
    <mergeCell ref="V570:Y570"/>
    <mergeCell ref="Z570:AC570"/>
    <mergeCell ref="AD570:AG570"/>
    <mergeCell ref="V563:Y563"/>
    <mergeCell ref="Z563:AC563"/>
    <mergeCell ref="AD563:AG563"/>
    <mergeCell ref="AH563:AK563"/>
    <mergeCell ref="AL563:AO563"/>
    <mergeCell ref="AP563:AS563"/>
    <mergeCell ref="AH556:AK556"/>
    <mergeCell ref="AL556:AO556"/>
    <mergeCell ref="AP556:AS556"/>
    <mergeCell ref="AT556:AW556"/>
    <mergeCell ref="BA557:BH557"/>
    <mergeCell ref="B563:C563"/>
    <mergeCell ref="E563:H563"/>
    <mergeCell ref="I563:L563"/>
    <mergeCell ref="M563:P563"/>
    <mergeCell ref="Q563:U563"/>
    <mergeCell ref="AT549:AW549"/>
    <mergeCell ref="BA550:BH550"/>
    <mergeCell ref="B556:C556"/>
    <mergeCell ref="E556:H556"/>
    <mergeCell ref="I556:L556"/>
    <mergeCell ref="M556:P556"/>
    <mergeCell ref="Q556:U556"/>
    <mergeCell ref="V556:Y556"/>
    <mergeCell ref="Z556:AC556"/>
    <mergeCell ref="AD556:AG556"/>
    <mergeCell ref="V549:Y549"/>
    <mergeCell ref="Z549:AC549"/>
    <mergeCell ref="AD549:AG549"/>
    <mergeCell ref="AH549:AK549"/>
    <mergeCell ref="AL549:AO549"/>
    <mergeCell ref="AP549:AS549"/>
    <mergeCell ref="AH542:AK542"/>
    <mergeCell ref="AL542:AO542"/>
    <mergeCell ref="AP542:AS542"/>
    <mergeCell ref="AT542:AW542"/>
    <mergeCell ref="BA543:BH543"/>
    <mergeCell ref="B549:C549"/>
    <mergeCell ref="E549:H549"/>
    <mergeCell ref="I549:L549"/>
    <mergeCell ref="M549:P549"/>
    <mergeCell ref="Q549:U549"/>
    <mergeCell ref="AT529:AW529"/>
    <mergeCell ref="BA536:BH536"/>
    <mergeCell ref="B542:C542"/>
    <mergeCell ref="E542:H542"/>
    <mergeCell ref="I542:L542"/>
    <mergeCell ref="M542:P542"/>
    <mergeCell ref="Q542:U542"/>
    <mergeCell ref="V542:Y542"/>
    <mergeCell ref="Z542:AC542"/>
    <mergeCell ref="AD542:AG542"/>
    <mergeCell ref="V529:Y529"/>
    <mergeCell ref="Z529:AC529"/>
    <mergeCell ref="AD529:AG529"/>
    <mergeCell ref="AH529:AK529"/>
    <mergeCell ref="AL529:AO529"/>
    <mergeCell ref="AP529:AS529"/>
    <mergeCell ref="AH520:AK520"/>
    <mergeCell ref="AL520:AO520"/>
    <mergeCell ref="AP520:AS520"/>
    <mergeCell ref="AT520:AW520"/>
    <mergeCell ref="BA521:BH521"/>
    <mergeCell ref="B529:C529"/>
    <mergeCell ref="E529:H529"/>
    <mergeCell ref="I529:L529"/>
    <mergeCell ref="M529:P529"/>
    <mergeCell ref="Q529:U529"/>
    <mergeCell ref="AT511:AW511"/>
    <mergeCell ref="BA512:BH512"/>
    <mergeCell ref="B520:C520"/>
    <mergeCell ref="E520:H520"/>
    <mergeCell ref="I520:L520"/>
    <mergeCell ref="M520:P520"/>
    <mergeCell ref="Q520:U520"/>
    <mergeCell ref="V520:Y520"/>
    <mergeCell ref="Z520:AC520"/>
    <mergeCell ref="AD520:AG520"/>
    <mergeCell ref="V511:Y511"/>
    <mergeCell ref="Z511:AC511"/>
    <mergeCell ref="AD511:AG511"/>
    <mergeCell ref="AH511:AK511"/>
    <mergeCell ref="AL511:AO511"/>
    <mergeCell ref="AP511:AS511"/>
    <mergeCell ref="AH502:AK502"/>
    <mergeCell ref="AL502:AO502"/>
    <mergeCell ref="AP502:AS502"/>
    <mergeCell ref="AT502:AW502"/>
    <mergeCell ref="BA503:BH503"/>
    <mergeCell ref="B511:C511"/>
    <mergeCell ref="E511:H511"/>
    <mergeCell ref="I511:L511"/>
    <mergeCell ref="M511:P511"/>
    <mergeCell ref="Q511:U511"/>
    <mergeCell ref="AT493:AW493"/>
    <mergeCell ref="BA494:BH494"/>
    <mergeCell ref="B502:C502"/>
    <mergeCell ref="E502:H502"/>
    <mergeCell ref="I502:L502"/>
    <mergeCell ref="M502:P502"/>
    <mergeCell ref="Q502:U502"/>
    <mergeCell ref="V502:Y502"/>
    <mergeCell ref="Z502:AC502"/>
    <mergeCell ref="AD502:AG502"/>
    <mergeCell ref="V493:Y493"/>
    <mergeCell ref="Z493:AC493"/>
    <mergeCell ref="AD493:AG493"/>
    <mergeCell ref="AH493:AK493"/>
    <mergeCell ref="AL493:AO493"/>
    <mergeCell ref="AP493:AS493"/>
    <mergeCell ref="AH484:AK484"/>
    <mergeCell ref="AL484:AO484"/>
    <mergeCell ref="AP484:AS484"/>
    <mergeCell ref="AT484:AW484"/>
    <mergeCell ref="BA485:BH485"/>
    <mergeCell ref="B493:C493"/>
    <mergeCell ref="E493:H493"/>
    <mergeCell ref="I493:L493"/>
    <mergeCell ref="M493:P493"/>
    <mergeCell ref="Q493:U493"/>
    <mergeCell ref="AT475:AW475"/>
    <mergeCell ref="BA476:BH476"/>
    <mergeCell ref="B484:C484"/>
    <mergeCell ref="E484:H484"/>
    <mergeCell ref="I484:L484"/>
    <mergeCell ref="M484:P484"/>
    <mergeCell ref="Q484:U484"/>
    <mergeCell ref="V484:Y484"/>
    <mergeCell ref="Z484:AC484"/>
    <mergeCell ref="AD484:AG484"/>
    <mergeCell ref="V475:Y475"/>
    <mergeCell ref="Z475:AC475"/>
    <mergeCell ref="AD475:AG475"/>
    <mergeCell ref="AH475:AK475"/>
    <mergeCell ref="AL475:AO475"/>
    <mergeCell ref="AP475:AS475"/>
    <mergeCell ref="AH466:AK466"/>
    <mergeCell ref="AL466:AO466"/>
    <mergeCell ref="AP466:AS466"/>
    <mergeCell ref="AT466:AW466"/>
    <mergeCell ref="BA467:BH467"/>
    <mergeCell ref="B475:C475"/>
    <mergeCell ref="E475:H475"/>
    <mergeCell ref="I475:L475"/>
    <mergeCell ref="M475:P475"/>
    <mergeCell ref="Q475:U475"/>
    <mergeCell ref="AT457:AW457"/>
    <mergeCell ref="BA458:BH458"/>
    <mergeCell ref="B466:C466"/>
    <mergeCell ref="E466:H466"/>
    <mergeCell ref="I466:L466"/>
    <mergeCell ref="M466:P466"/>
    <mergeCell ref="Q466:U466"/>
    <mergeCell ref="V466:Y466"/>
    <mergeCell ref="Z466:AC466"/>
    <mergeCell ref="AD466:AG466"/>
    <mergeCell ref="V457:Y457"/>
    <mergeCell ref="Z457:AC457"/>
    <mergeCell ref="AD457:AG457"/>
    <mergeCell ref="AH457:AK457"/>
    <mergeCell ref="AL457:AO457"/>
    <mergeCell ref="AP457:AS457"/>
    <mergeCell ref="AH448:AK448"/>
    <mergeCell ref="AL448:AO448"/>
    <mergeCell ref="AP448:AS448"/>
    <mergeCell ref="AT448:AW448"/>
    <mergeCell ref="BA449:BH449"/>
    <mergeCell ref="B457:C457"/>
    <mergeCell ref="E457:H457"/>
    <mergeCell ref="I457:L457"/>
    <mergeCell ref="M457:P457"/>
    <mergeCell ref="Q457:U457"/>
    <mergeCell ref="AT439:AW439"/>
    <mergeCell ref="BA440:BH440"/>
    <mergeCell ref="B448:C448"/>
    <mergeCell ref="E448:H448"/>
    <mergeCell ref="I448:L448"/>
    <mergeCell ref="M448:P448"/>
    <mergeCell ref="Q448:U448"/>
    <mergeCell ref="V448:Y448"/>
    <mergeCell ref="Z448:AC448"/>
    <mergeCell ref="AD448:AG448"/>
    <mergeCell ref="V439:Y439"/>
    <mergeCell ref="Z439:AC439"/>
    <mergeCell ref="AD439:AG439"/>
    <mergeCell ref="AH439:AK439"/>
    <mergeCell ref="AL439:AO439"/>
    <mergeCell ref="AP439:AS439"/>
    <mergeCell ref="AH430:AK430"/>
    <mergeCell ref="AL430:AO430"/>
    <mergeCell ref="AP430:AS430"/>
    <mergeCell ref="AT430:AW430"/>
    <mergeCell ref="BA431:BH431"/>
    <mergeCell ref="B439:C439"/>
    <mergeCell ref="E439:H439"/>
    <mergeCell ref="I439:L439"/>
    <mergeCell ref="M439:P439"/>
    <mergeCell ref="Q439:U439"/>
    <mergeCell ref="AT421:AW421"/>
    <mergeCell ref="BA422:BH422"/>
    <mergeCell ref="B430:C430"/>
    <mergeCell ref="E430:H430"/>
    <mergeCell ref="I430:L430"/>
    <mergeCell ref="M430:P430"/>
    <mergeCell ref="Q430:U430"/>
    <mergeCell ref="V430:Y430"/>
    <mergeCell ref="Z430:AC430"/>
    <mergeCell ref="AD430:AG430"/>
    <mergeCell ref="V421:Y421"/>
    <mergeCell ref="Z421:AC421"/>
    <mergeCell ref="AD421:AG421"/>
    <mergeCell ref="AH421:AK421"/>
    <mergeCell ref="AL421:AO421"/>
    <mergeCell ref="AP421:AS421"/>
    <mergeCell ref="AH412:AK412"/>
    <mergeCell ref="AL412:AO412"/>
    <mergeCell ref="AP412:AS412"/>
    <mergeCell ref="AT412:AW412"/>
    <mergeCell ref="BA413:BH413"/>
    <mergeCell ref="B421:C421"/>
    <mergeCell ref="E421:H421"/>
    <mergeCell ref="I421:L421"/>
    <mergeCell ref="M421:P421"/>
    <mergeCell ref="Q421:U421"/>
    <mergeCell ref="AT403:AW403"/>
    <mergeCell ref="BA404:BH404"/>
    <mergeCell ref="B412:C412"/>
    <mergeCell ref="E412:H412"/>
    <mergeCell ref="I412:L412"/>
    <mergeCell ref="M412:P412"/>
    <mergeCell ref="Q412:U412"/>
    <mergeCell ref="V412:Y412"/>
    <mergeCell ref="Z412:AC412"/>
    <mergeCell ref="AD412:AG412"/>
    <mergeCell ref="V403:Y403"/>
    <mergeCell ref="Z403:AC403"/>
    <mergeCell ref="AD403:AG403"/>
    <mergeCell ref="AH403:AK403"/>
    <mergeCell ref="AL403:AO403"/>
    <mergeCell ref="AP403:AS403"/>
    <mergeCell ref="AH394:AK394"/>
    <mergeCell ref="AL394:AO394"/>
    <mergeCell ref="AP394:AS394"/>
    <mergeCell ref="AT394:AW394"/>
    <mergeCell ref="BA395:BH395"/>
    <mergeCell ref="B403:C403"/>
    <mergeCell ref="E403:H403"/>
    <mergeCell ref="I403:L403"/>
    <mergeCell ref="M403:P403"/>
    <mergeCell ref="Q403:U403"/>
    <mergeCell ref="AT387:AW387"/>
    <mergeCell ref="BA388:BH388"/>
    <mergeCell ref="B394:C394"/>
    <mergeCell ref="E394:H394"/>
    <mergeCell ref="I394:L394"/>
    <mergeCell ref="M394:P394"/>
    <mergeCell ref="Q394:U394"/>
    <mergeCell ref="V394:Y394"/>
    <mergeCell ref="Z394:AC394"/>
    <mergeCell ref="AD394:AG394"/>
    <mergeCell ref="V387:Y387"/>
    <mergeCell ref="Z387:AC387"/>
    <mergeCell ref="AD387:AG387"/>
    <mergeCell ref="AH387:AK387"/>
    <mergeCell ref="AL387:AO387"/>
    <mergeCell ref="AP387:AS387"/>
    <mergeCell ref="AH380:AK380"/>
    <mergeCell ref="AL380:AO380"/>
    <mergeCell ref="AP380:AS380"/>
    <mergeCell ref="AT380:AW380"/>
    <mergeCell ref="BA381:BH381"/>
    <mergeCell ref="B387:C387"/>
    <mergeCell ref="E387:H387"/>
    <mergeCell ref="I387:L387"/>
    <mergeCell ref="M387:P387"/>
    <mergeCell ref="Q387:U387"/>
    <mergeCell ref="AT373:AW373"/>
    <mergeCell ref="BA374:BH374"/>
    <mergeCell ref="B380:C380"/>
    <mergeCell ref="E380:H380"/>
    <mergeCell ref="I380:L380"/>
    <mergeCell ref="M380:P380"/>
    <mergeCell ref="Q380:U380"/>
    <mergeCell ref="V380:Y380"/>
    <mergeCell ref="Z380:AC380"/>
    <mergeCell ref="AD380:AG380"/>
    <mergeCell ref="V373:Y373"/>
    <mergeCell ref="Z373:AC373"/>
    <mergeCell ref="AD373:AG373"/>
    <mergeCell ref="AH373:AK373"/>
    <mergeCell ref="AL373:AO373"/>
    <mergeCell ref="AP373:AS373"/>
    <mergeCell ref="AH366:AK366"/>
    <mergeCell ref="AL366:AO366"/>
    <mergeCell ref="AP366:AS366"/>
    <mergeCell ref="AT366:AW366"/>
    <mergeCell ref="BA367:BH367"/>
    <mergeCell ref="B373:C373"/>
    <mergeCell ref="E373:H373"/>
    <mergeCell ref="I373:L373"/>
    <mergeCell ref="M373:P373"/>
    <mergeCell ref="Q373:U373"/>
    <mergeCell ref="AT353:AW353"/>
    <mergeCell ref="BA360:BH360"/>
    <mergeCell ref="B366:C366"/>
    <mergeCell ref="E366:H366"/>
    <mergeCell ref="I366:L366"/>
    <mergeCell ref="M366:P366"/>
    <mergeCell ref="Q366:U366"/>
    <mergeCell ref="V366:Y366"/>
    <mergeCell ref="Z366:AC366"/>
    <mergeCell ref="AD366:AG366"/>
    <mergeCell ref="V353:Y353"/>
    <mergeCell ref="Z353:AC353"/>
    <mergeCell ref="AD353:AG353"/>
    <mergeCell ref="AH353:AK353"/>
    <mergeCell ref="AL353:AO353"/>
    <mergeCell ref="AP353:AS353"/>
    <mergeCell ref="AH344:AK344"/>
    <mergeCell ref="AL344:AO344"/>
    <mergeCell ref="AP344:AS344"/>
    <mergeCell ref="AT344:AW344"/>
    <mergeCell ref="BA345:BH345"/>
    <mergeCell ref="B353:C353"/>
    <mergeCell ref="E353:H353"/>
    <mergeCell ref="I353:L353"/>
    <mergeCell ref="M353:P353"/>
    <mergeCell ref="Q353:U353"/>
    <mergeCell ref="AT335:AW335"/>
    <mergeCell ref="BA336:BH336"/>
    <mergeCell ref="B344:C344"/>
    <mergeCell ref="E344:H344"/>
    <mergeCell ref="I344:L344"/>
    <mergeCell ref="M344:P344"/>
    <mergeCell ref="Q344:U344"/>
    <mergeCell ref="V344:Y344"/>
    <mergeCell ref="Z344:AC344"/>
    <mergeCell ref="AD344:AG344"/>
    <mergeCell ref="V335:Y335"/>
    <mergeCell ref="Z335:AC335"/>
    <mergeCell ref="AD335:AG335"/>
    <mergeCell ref="AH335:AK335"/>
    <mergeCell ref="AL335:AO335"/>
    <mergeCell ref="AP335:AS335"/>
    <mergeCell ref="AH326:AK326"/>
    <mergeCell ref="AL326:AO326"/>
    <mergeCell ref="AP326:AS326"/>
    <mergeCell ref="AT326:AW326"/>
    <mergeCell ref="BA327:BH327"/>
    <mergeCell ref="B335:C335"/>
    <mergeCell ref="E335:H335"/>
    <mergeCell ref="I335:L335"/>
    <mergeCell ref="M335:P335"/>
    <mergeCell ref="Q335:U335"/>
    <mergeCell ref="AT317:AW317"/>
    <mergeCell ref="BA318:BH318"/>
    <mergeCell ref="B326:C326"/>
    <mergeCell ref="E326:H326"/>
    <mergeCell ref="I326:L326"/>
    <mergeCell ref="M326:P326"/>
    <mergeCell ref="Q326:U326"/>
    <mergeCell ref="V326:Y326"/>
    <mergeCell ref="Z326:AC326"/>
    <mergeCell ref="AD326:AG326"/>
    <mergeCell ref="V317:Y317"/>
    <mergeCell ref="Z317:AC317"/>
    <mergeCell ref="AD317:AG317"/>
    <mergeCell ref="AH317:AK317"/>
    <mergeCell ref="AL317:AO317"/>
    <mergeCell ref="AP317:AS317"/>
    <mergeCell ref="AH308:AK308"/>
    <mergeCell ref="AL308:AO308"/>
    <mergeCell ref="AP308:AS308"/>
    <mergeCell ref="AT308:AW308"/>
    <mergeCell ref="BA309:BH309"/>
    <mergeCell ref="B317:C317"/>
    <mergeCell ref="E317:H317"/>
    <mergeCell ref="I317:L317"/>
    <mergeCell ref="M317:P317"/>
    <mergeCell ref="Q317:U317"/>
    <mergeCell ref="AT299:AW299"/>
    <mergeCell ref="BA300:BH300"/>
    <mergeCell ref="B308:C308"/>
    <mergeCell ref="E308:H308"/>
    <mergeCell ref="I308:L308"/>
    <mergeCell ref="M308:P308"/>
    <mergeCell ref="Q308:U308"/>
    <mergeCell ref="V308:Y308"/>
    <mergeCell ref="Z308:AC308"/>
    <mergeCell ref="AD308:AG308"/>
    <mergeCell ref="V299:Y299"/>
    <mergeCell ref="Z299:AC299"/>
    <mergeCell ref="AD299:AG299"/>
    <mergeCell ref="AH299:AK299"/>
    <mergeCell ref="AL299:AO299"/>
    <mergeCell ref="AP299:AS299"/>
    <mergeCell ref="AH290:AK290"/>
    <mergeCell ref="AL290:AO290"/>
    <mergeCell ref="AP290:AS290"/>
    <mergeCell ref="AT290:AW290"/>
    <mergeCell ref="BA291:BH291"/>
    <mergeCell ref="B299:C299"/>
    <mergeCell ref="E299:H299"/>
    <mergeCell ref="I299:L299"/>
    <mergeCell ref="M299:P299"/>
    <mergeCell ref="Q299:U299"/>
    <mergeCell ref="AT281:AW281"/>
    <mergeCell ref="BA282:BH282"/>
    <mergeCell ref="B290:C290"/>
    <mergeCell ref="E290:H290"/>
    <mergeCell ref="I290:L290"/>
    <mergeCell ref="M290:P290"/>
    <mergeCell ref="Q290:U290"/>
    <mergeCell ref="V290:Y290"/>
    <mergeCell ref="Z290:AC290"/>
    <mergeCell ref="AD290:AG290"/>
    <mergeCell ref="V281:Y281"/>
    <mergeCell ref="Z281:AC281"/>
    <mergeCell ref="AD281:AG281"/>
    <mergeCell ref="AH281:AK281"/>
    <mergeCell ref="AL281:AO281"/>
    <mergeCell ref="AP281:AS281"/>
    <mergeCell ref="AH272:AK272"/>
    <mergeCell ref="AL272:AO272"/>
    <mergeCell ref="AP272:AS272"/>
    <mergeCell ref="AT272:AW272"/>
    <mergeCell ref="BA273:BH273"/>
    <mergeCell ref="B281:C281"/>
    <mergeCell ref="E281:H281"/>
    <mergeCell ref="I281:L281"/>
    <mergeCell ref="M281:P281"/>
    <mergeCell ref="Q281:U281"/>
    <mergeCell ref="AT263:AW263"/>
    <mergeCell ref="BA264:BH264"/>
    <mergeCell ref="B272:C272"/>
    <mergeCell ref="E272:H272"/>
    <mergeCell ref="I272:L272"/>
    <mergeCell ref="M272:P272"/>
    <mergeCell ref="Q272:U272"/>
    <mergeCell ref="V272:Y272"/>
    <mergeCell ref="Z272:AC272"/>
    <mergeCell ref="AD272:AG272"/>
    <mergeCell ref="V263:Y263"/>
    <mergeCell ref="Z263:AC263"/>
    <mergeCell ref="AD263:AG263"/>
    <mergeCell ref="AH263:AK263"/>
    <mergeCell ref="AL263:AO263"/>
    <mergeCell ref="AP263:AS263"/>
    <mergeCell ref="AH254:AK254"/>
    <mergeCell ref="AL254:AO254"/>
    <mergeCell ref="AP254:AS254"/>
    <mergeCell ref="AT254:AW254"/>
    <mergeCell ref="BA255:BH255"/>
    <mergeCell ref="B263:C263"/>
    <mergeCell ref="E263:H263"/>
    <mergeCell ref="I263:L263"/>
    <mergeCell ref="M263:P263"/>
    <mergeCell ref="Q263:U263"/>
    <mergeCell ref="AT245:AW245"/>
    <mergeCell ref="BA246:BH246"/>
    <mergeCell ref="B254:C254"/>
    <mergeCell ref="E254:H254"/>
    <mergeCell ref="I254:L254"/>
    <mergeCell ref="M254:P254"/>
    <mergeCell ref="Q254:U254"/>
    <mergeCell ref="V254:Y254"/>
    <mergeCell ref="Z254:AC254"/>
    <mergeCell ref="AD254:AG254"/>
    <mergeCell ref="V245:Y245"/>
    <mergeCell ref="Z245:AC245"/>
    <mergeCell ref="AD245:AG245"/>
    <mergeCell ref="AH245:AK245"/>
    <mergeCell ref="AL245:AO245"/>
    <mergeCell ref="AP245:AS245"/>
    <mergeCell ref="AH236:AK236"/>
    <mergeCell ref="AL236:AO236"/>
    <mergeCell ref="AP236:AS236"/>
    <mergeCell ref="AT236:AW236"/>
    <mergeCell ref="BA237:BH237"/>
    <mergeCell ref="B245:C245"/>
    <mergeCell ref="E245:H245"/>
    <mergeCell ref="I245:L245"/>
    <mergeCell ref="M245:P245"/>
    <mergeCell ref="Q245:U245"/>
    <mergeCell ref="AT227:AW227"/>
    <mergeCell ref="BA228:BH228"/>
    <mergeCell ref="B236:C236"/>
    <mergeCell ref="E236:H236"/>
    <mergeCell ref="I236:L236"/>
    <mergeCell ref="M236:P236"/>
    <mergeCell ref="Q236:U236"/>
    <mergeCell ref="V236:Y236"/>
    <mergeCell ref="Z236:AC236"/>
    <mergeCell ref="AD236:AG236"/>
    <mergeCell ref="V227:Y227"/>
    <mergeCell ref="Z227:AC227"/>
    <mergeCell ref="AD227:AG227"/>
    <mergeCell ref="AH227:AK227"/>
    <mergeCell ref="AL227:AO227"/>
    <mergeCell ref="AP227:AS227"/>
    <mergeCell ref="AH218:AK218"/>
    <mergeCell ref="AL218:AO218"/>
    <mergeCell ref="AP218:AS218"/>
    <mergeCell ref="AT218:AW218"/>
    <mergeCell ref="BA219:BH219"/>
    <mergeCell ref="B227:C227"/>
    <mergeCell ref="E227:H227"/>
    <mergeCell ref="I227:L227"/>
    <mergeCell ref="M227:P227"/>
    <mergeCell ref="Q227:U227"/>
    <mergeCell ref="AT211:AW211"/>
    <mergeCell ref="BA212:BH212"/>
    <mergeCell ref="B218:C218"/>
    <mergeCell ref="E218:H218"/>
    <mergeCell ref="I218:L218"/>
    <mergeCell ref="M218:P218"/>
    <mergeCell ref="Q218:U218"/>
    <mergeCell ref="V218:Y218"/>
    <mergeCell ref="Z218:AC218"/>
    <mergeCell ref="AD218:AG218"/>
    <mergeCell ref="V211:Y211"/>
    <mergeCell ref="Z211:AC211"/>
    <mergeCell ref="AD211:AG211"/>
    <mergeCell ref="AH211:AK211"/>
    <mergeCell ref="AL211:AO211"/>
    <mergeCell ref="AP211:AS211"/>
    <mergeCell ref="AH204:AK204"/>
    <mergeCell ref="AL204:AO204"/>
    <mergeCell ref="AP204:AS204"/>
    <mergeCell ref="AT204:AW204"/>
    <mergeCell ref="BA205:BH205"/>
    <mergeCell ref="B211:C211"/>
    <mergeCell ref="E211:H211"/>
    <mergeCell ref="I211:L211"/>
    <mergeCell ref="M211:P211"/>
    <mergeCell ref="Q211:U211"/>
    <mergeCell ref="AT197:AW197"/>
    <mergeCell ref="BA198:BH198"/>
    <mergeCell ref="B204:C204"/>
    <mergeCell ref="E204:H204"/>
    <mergeCell ref="I204:L204"/>
    <mergeCell ref="M204:P204"/>
    <mergeCell ref="Q204:U204"/>
    <mergeCell ref="V204:Y204"/>
    <mergeCell ref="Z204:AC204"/>
    <mergeCell ref="AD204:AG204"/>
    <mergeCell ref="V197:Y197"/>
    <mergeCell ref="Z197:AC197"/>
    <mergeCell ref="AD197:AG197"/>
    <mergeCell ref="AH197:AK197"/>
    <mergeCell ref="AL197:AO197"/>
    <mergeCell ref="AP197:AS197"/>
    <mergeCell ref="AH190:AK190"/>
    <mergeCell ref="AL190:AO190"/>
    <mergeCell ref="AP190:AS190"/>
    <mergeCell ref="AT190:AW190"/>
    <mergeCell ref="BA191:BH191"/>
    <mergeCell ref="B197:C197"/>
    <mergeCell ref="E197:H197"/>
    <mergeCell ref="I197:L197"/>
    <mergeCell ref="M197:P197"/>
    <mergeCell ref="Q197:U197"/>
    <mergeCell ref="AT177:AW177"/>
    <mergeCell ref="BA184:BH184"/>
    <mergeCell ref="B190:C190"/>
    <mergeCell ref="E190:H190"/>
    <mergeCell ref="I190:L190"/>
    <mergeCell ref="M190:P190"/>
    <mergeCell ref="Q190:U190"/>
    <mergeCell ref="V190:Y190"/>
    <mergeCell ref="Z190:AC190"/>
    <mergeCell ref="AD190:AG190"/>
    <mergeCell ref="V177:Y177"/>
    <mergeCell ref="Z177:AC177"/>
    <mergeCell ref="AD177:AG177"/>
    <mergeCell ref="AH177:AK177"/>
    <mergeCell ref="AL177:AO177"/>
    <mergeCell ref="AP177:AS177"/>
    <mergeCell ref="AH168:AK168"/>
    <mergeCell ref="AL168:AO168"/>
    <mergeCell ref="AP168:AS168"/>
    <mergeCell ref="AT168:AW168"/>
    <mergeCell ref="BA169:BH169"/>
    <mergeCell ref="B177:C177"/>
    <mergeCell ref="E177:H177"/>
    <mergeCell ref="I177:L177"/>
    <mergeCell ref="M177:P177"/>
    <mergeCell ref="Q177:U177"/>
    <mergeCell ref="AT159:AW159"/>
    <mergeCell ref="BA160:BH160"/>
    <mergeCell ref="B168:C168"/>
    <mergeCell ref="E168:H168"/>
    <mergeCell ref="I168:L168"/>
    <mergeCell ref="M168:P168"/>
    <mergeCell ref="Q168:U168"/>
    <mergeCell ref="V168:Y168"/>
    <mergeCell ref="Z168:AC168"/>
    <mergeCell ref="AD168:AG168"/>
    <mergeCell ref="V159:Y159"/>
    <mergeCell ref="Z159:AC159"/>
    <mergeCell ref="AD159:AG159"/>
    <mergeCell ref="AH159:AK159"/>
    <mergeCell ref="AL159:AO159"/>
    <mergeCell ref="AP159:AS159"/>
    <mergeCell ref="AH150:AK150"/>
    <mergeCell ref="AL150:AO150"/>
    <mergeCell ref="AP150:AS150"/>
    <mergeCell ref="AT150:AW150"/>
    <mergeCell ref="BA151:BH151"/>
    <mergeCell ref="B159:C159"/>
    <mergeCell ref="E159:H159"/>
    <mergeCell ref="I159:L159"/>
    <mergeCell ref="M159:P159"/>
    <mergeCell ref="Q159:U159"/>
    <mergeCell ref="AT141:AW141"/>
    <mergeCell ref="BA142:BH142"/>
    <mergeCell ref="B150:C150"/>
    <mergeCell ref="E150:H150"/>
    <mergeCell ref="I150:L150"/>
    <mergeCell ref="M150:P150"/>
    <mergeCell ref="Q150:U150"/>
    <mergeCell ref="V150:Y150"/>
    <mergeCell ref="Z150:AC150"/>
    <mergeCell ref="AD150:AG150"/>
    <mergeCell ref="V141:Y141"/>
    <mergeCell ref="Z141:AC141"/>
    <mergeCell ref="AD141:AG141"/>
    <mergeCell ref="AH141:AK141"/>
    <mergeCell ref="AL141:AO141"/>
    <mergeCell ref="AP141:AS141"/>
    <mergeCell ref="AH132:AK132"/>
    <mergeCell ref="AL132:AO132"/>
    <mergeCell ref="AP132:AS132"/>
    <mergeCell ref="AT132:AW132"/>
    <mergeCell ref="BA133:BH133"/>
    <mergeCell ref="B141:C141"/>
    <mergeCell ref="E141:H141"/>
    <mergeCell ref="I141:L141"/>
    <mergeCell ref="M141:P141"/>
    <mergeCell ref="Q141:U141"/>
    <mergeCell ref="AT123:AW123"/>
    <mergeCell ref="BA124:BH124"/>
    <mergeCell ref="B132:C132"/>
    <mergeCell ref="E132:H132"/>
    <mergeCell ref="I132:L132"/>
    <mergeCell ref="M132:P132"/>
    <mergeCell ref="Q132:U132"/>
    <mergeCell ref="V132:Y132"/>
    <mergeCell ref="Z132:AC132"/>
    <mergeCell ref="AD132:AG132"/>
    <mergeCell ref="V123:Y123"/>
    <mergeCell ref="Z123:AC123"/>
    <mergeCell ref="AD123:AG123"/>
    <mergeCell ref="AH123:AK123"/>
    <mergeCell ref="AL123:AO123"/>
    <mergeCell ref="AP123:AS123"/>
    <mergeCell ref="AH114:AK114"/>
    <mergeCell ref="AL114:AO114"/>
    <mergeCell ref="AP114:AS114"/>
    <mergeCell ref="AT114:AW114"/>
    <mergeCell ref="BA115:BH115"/>
    <mergeCell ref="B123:C123"/>
    <mergeCell ref="E123:H123"/>
    <mergeCell ref="I123:L123"/>
    <mergeCell ref="M123:P123"/>
    <mergeCell ref="Q123:U123"/>
    <mergeCell ref="AT105:AW105"/>
    <mergeCell ref="BA106:BH106"/>
    <mergeCell ref="B114:C114"/>
    <mergeCell ref="E114:H114"/>
    <mergeCell ref="I114:L114"/>
    <mergeCell ref="M114:P114"/>
    <mergeCell ref="Q114:U114"/>
    <mergeCell ref="V114:Y114"/>
    <mergeCell ref="Z114:AC114"/>
    <mergeCell ref="AD114:AG114"/>
    <mergeCell ref="V105:Y105"/>
    <mergeCell ref="Z105:AC105"/>
    <mergeCell ref="AD105:AG105"/>
    <mergeCell ref="AH105:AK105"/>
    <mergeCell ref="AL105:AO105"/>
    <mergeCell ref="AP105:AS105"/>
    <mergeCell ref="AH96:AK96"/>
    <mergeCell ref="AL96:AO96"/>
    <mergeCell ref="AP96:AS96"/>
    <mergeCell ref="AT96:AW96"/>
    <mergeCell ref="BA97:BH97"/>
    <mergeCell ref="B105:C105"/>
    <mergeCell ref="E105:H105"/>
    <mergeCell ref="I105:L105"/>
    <mergeCell ref="M105:P105"/>
    <mergeCell ref="Q105:U105"/>
    <mergeCell ref="AT87:AW87"/>
    <mergeCell ref="BA88:BH88"/>
    <mergeCell ref="B96:C96"/>
    <mergeCell ref="E96:H96"/>
    <mergeCell ref="I96:L96"/>
    <mergeCell ref="M96:P96"/>
    <mergeCell ref="Q96:U96"/>
    <mergeCell ref="V96:Y96"/>
    <mergeCell ref="Z96:AC96"/>
    <mergeCell ref="AD96:AG96"/>
    <mergeCell ref="V87:Y87"/>
    <mergeCell ref="Z87:AC87"/>
    <mergeCell ref="AD87:AG87"/>
    <mergeCell ref="AH87:AK87"/>
    <mergeCell ref="AL87:AO87"/>
    <mergeCell ref="AP87:AS87"/>
    <mergeCell ref="AH78:AK78"/>
    <mergeCell ref="AL78:AO78"/>
    <mergeCell ref="AP78:AS78"/>
    <mergeCell ref="AT78:AW78"/>
    <mergeCell ref="BA79:BH79"/>
    <mergeCell ref="B87:C87"/>
    <mergeCell ref="E87:H87"/>
    <mergeCell ref="I87:L87"/>
    <mergeCell ref="M87:P87"/>
    <mergeCell ref="Q87:U87"/>
    <mergeCell ref="AT69:AW69"/>
    <mergeCell ref="BA70:BH70"/>
    <mergeCell ref="B78:C78"/>
    <mergeCell ref="E78:H78"/>
    <mergeCell ref="I78:L78"/>
    <mergeCell ref="M78:P78"/>
    <mergeCell ref="Q78:U78"/>
    <mergeCell ref="V78:Y78"/>
    <mergeCell ref="Z78:AC78"/>
    <mergeCell ref="AD78:AG78"/>
    <mergeCell ref="V69:Y69"/>
    <mergeCell ref="Z69:AC69"/>
    <mergeCell ref="AD69:AG69"/>
    <mergeCell ref="AH69:AK69"/>
    <mergeCell ref="AL69:AO69"/>
    <mergeCell ref="AP69:AS69"/>
    <mergeCell ref="AH60:AK60"/>
    <mergeCell ref="AL60:AO60"/>
    <mergeCell ref="AP60:AS60"/>
    <mergeCell ref="AT60:AW60"/>
    <mergeCell ref="BA61:BH61"/>
    <mergeCell ref="B69:C69"/>
    <mergeCell ref="E69:H69"/>
    <mergeCell ref="I69:L69"/>
    <mergeCell ref="M69:P69"/>
    <mergeCell ref="Q69:U69"/>
    <mergeCell ref="AT51:AW51"/>
    <mergeCell ref="BA52:BH52"/>
    <mergeCell ref="B60:C60"/>
    <mergeCell ref="E60:H60"/>
    <mergeCell ref="I60:L60"/>
    <mergeCell ref="M60:P60"/>
    <mergeCell ref="Q60:U60"/>
    <mergeCell ref="V60:Y60"/>
    <mergeCell ref="Z60:AC60"/>
    <mergeCell ref="AD60:AG60"/>
    <mergeCell ref="V51:Y51"/>
    <mergeCell ref="Z51:AC51"/>
    <mergeCell ref="AD51:AG51"/>
    <mergeCell ref="AH51:AK51"/>
    <mergeCell ref="AL51:AO51"/>
    <mergeCell ref="AP51:AS51"/>
    <mergeCell ref="AH42:AK42"/>
    <mergeCell ref="AL42:AO42"/>
    <mergeCell ref="AP42:AS42"/>
    <mergeCell ref="AT42:AW42"/>
    <mergeCell ref="BA43:BH43"/>
    <mergeCell ref="B51:C51"/>
    <mergeCell ref="E51:H51"/>
    <mergeCell ref="I51:L51"/>
    <mergeCell ref="M51:P51"/>
    <mergeCell ref="Q51:U51"/>
    <mergeCell ref="AT35:AW35"/>
    <mergeCell ref="BA36:BH36"/>
    <mergeCell ref="B42:C42"/>
    <mergeCell ref="E42:H42"/>
    <mergeCell ref="I42:L42"/>
    <mergeCell ref="M42:P42"/>
    <mergeCell ref="Q42:U42"/>
    <mergeCell ref="V42:Y42"/>
    <mergeCell ref="Z42:AC42"/>
    <mergeCell ref="AD42:AG42"/>
    <mergeCell ref="V35:Y35"/>
    <mergeCell ref="Z35:AC35"/>
    <mergeCell ref="AD35:AG35"/>
    <mergeCell ref="AH35:AK35"/>
    <mergeCell ref="AL35:AO35"/>
    <mergeCell ref="AP35:AS35"/>
    <mergeCell ref="AH28:AK28"/>
    <mergeCell ref="AL28:AO28"/>
    <mergeCell ref="AP28:AS28"/>
    <mergeCell ref="AT28:AW28"/>
    <mergeCell ref="BA29:BH29"/>
    <mergeCell ref="B35:C35"/>
    <mergeCell ref="E35:H35"/>
    <mergeCell ref="I35:L35"/>
    <mergeCell ref="M35:P35"/>
    <mergeCell ref="Q35:U35"/>
    <mergeCell ref="AT21:AW21"/>
    <mergeCell ref="BA22:BH22"/>
    <mergeCell ref="B28:C28"/>
    <mergeCell ref="E28:H28"/>
    <mergeCell ref="I28:L28"/>
    <mergeCell ref="M28:P28"/>
    <mergeCell ref="Q28:U28"/>
    <mergeCell ref="V28:Y28"/>
    <mergeCell ref="Z28:AC28"/>
    <mergeCell ref="AD28:AG28"/>
    <mergeCell ref="V21:Y21"/>
    <mergeCell ref="Z21:AC21"/>
    <mergeCell ref="AD21:AG21"/>
    <mergeCell ref="AH21:AK21"/>
    <mergeCell ref="AL21:AO21"/>
    <mergeCell ref="AP21:AS21"/>
    <mergeCell ref="AH14:AK14"/>
    <mergeCell ref="AL14:AO14"/>
    <mergeCell ref="AP14:AS14"/>
    <mergeCell ref="AT14:AW14"/>
    <mergeCell ref="BA15:BH15"/>
    <mergeCell ref="B21:C21"/>
    <mergeCell ref="E21:H21"/>
    <mergeCell ref="I21:L21"/>
    <mergeCell ref="M21:P21"/>
    <mergeCell ref="Q21:U21"/>
    <mergeCell ref="D5:AD5"/>
    <mergeCell ref="BA8:BH8"/>
    <mergeCell ref="B14:C14"/>
    <mergeCell ref="E14:H14"/>
    <mergeCell ref="I14:L14"/>
    <mergeCell ref="M14:P14"/>
    <mergeCell ref="Q14:U14"/>
    <mergeCell ref="V14:Y14"/>
    <mergeCell ref="Z14:AC14"/>
    <mergeCell ref="AD14:AG14"/>
    <mergeCell ref="AD1:AG1"/>
    <mergeCell ref="AH1:AK1"/>
    <mergeCell ref="AL1:AO1"/>
    <mergeCell ref="AP1:AS1"/>
    <mergeCell ref="AT1:AW1"/>
    <mergeCell ref="BA1:BH1"/>
    <mergeCell ref="E1:H1"/>
    <mergeCell ref="I1:L1"/>
    <mergeCell ref="M1:P1"/>
    <mergeCell ref="Q1:U1"/>
    <mergeCell ref="V1:Y1"/>
    <mergeCell ref="Z1:AC1"/>
    <mergeCell ref="BA1064:BH1064"/>
    <mergeCell ref="B1070:C1070"/>
    <mergeCell ref="E1070:H1070"/>
    <mergeCell ref="I1070:L1070"/>
    <mergeCell ref="M1070:P1070"/>
    <mergeCell ref="Q1070:U1070"/>
    <mergeCell ref="V1070:Y1070"/>
    <mergeCell ref="Z1070:AC1070"/>
    <mergeCell ref="AD1070:AG1070"/>
    <mergeCell ref="AH1070:AK1070"/>
    <mergeCell ref="AL1070:AO1070"/>
    <mergeCell ref="AP1070:AS1070"/>
    <mergeCell ref="AT1070:AW1070"/>
    <mergeCell ref="BA1071:BH1071"/>
    <mergeCell ref="B1077:C1077"/>
    <mergeCell ref="E1077:H1077"/>
    <mergeCell ref="I1077:L1077"/>
    <mergeCell ref="M1077:P1077"/>
    <mergeCell ref="Q1077:U1077"/>
    <mergeCell ref="V1077:Y1077"/>
    <mergeCell ref="Z1077:AC1077"/>
    <mergeCell ref="AD1077:AG1077"/>
    <mergeCell ref="AH1077:AK1077"/>
    <mergeCell ref="AL1077:AO1077"/>
    <mergeCell ref="AP1077:AS1077"/>
    <mergeCell ref="AT1077:AW1077"/>
    <mergeCell ref="BA1078:BH1078"/>
    <mergeCell ref="B1084:C1084"/>
    <mergeCell ref="E1084:H1084"/>
    <mergeCell ref="I1084:L1084"/>
    <mergeCell ref="M1084:P1084"/>
    <mergeCell ref="Q1084:U1084"/>
    <mergeCell ref="V1084:Y1084"/>
    <mergeCell ref="Z1084:AC1084"/>
    <mergeCell ref="AD1084:AG1084"/>
    <mergeCell ref="AH1084:AK1084"/>
    <mergeCell ref="AL1084:AO1084"/>
    <mergeCell ref="AP1084:AS1084"/>
    <mergeCell ref="AT1084:AW1084"/>
    <mergeCell ref="BA1085:BH1085"/>
    <mergeCell ref="B1091:C1091"/>
    <mergeCell ref="E1091:H1091"/>
    <mergeCell ref="I1091:L1091"/>
    <mergeCell ref="M1091:P1091"/>
    <mergeCell ref="Q1091:U1091"/>
    <mergeCell ref="V1091:Y1091"/>
    <mergeCell ref="Z1091:AC1091"/>
    <mergeCell ref="AD1091:AG1091"/>
    <mergeCell ref="AH1091:AK1091"/>
    <mergeCell ref="AL1091:AO1091"/>
    <mergeCell ref="AP1091:AS1091"/>
    <mergeCell ref="AT1091:AW1091"/>
    <mergeCell ref="BA1092:BH1092"/>
    <mergeCell ref="B1098:C1098"/>
    <mergeCell ref="E1098:H1098"/>
    <mergeCell ref="I1098:L1098"/>
    <mergeCell ref="M1098:P1098"/>
    <mergeCell ref="Q1098:U1098"/>
    <mergeCell ref="V1098:Y1098"/>
    <mergeCell ref="Z1098:AC1098"/>
    <mergeCell ref="AD1098:AG1098"/>
    <mergeCell ref="AH1098:AK1098"/>
    <mergeCell ref="AL1098:AO1098"/>
    <mergeCell ref="AP1098:AS1098"/>
    <mergeCell ref="AT1098:AW1098"/>
    <mergeCell ref="BA1099:BH1099"/>
    <mergeCell ref="B1107:C1107"/>
    <mergeCell ref="E1107:H1107"/>
    <mergeCell ref="I1107:L1107"/>
    <mergeCell ref="M1107:P1107"/>
    <mergeCell ref="Q1107:U1107"/>
    <mergeCell ref="V1107:Y1107"/>
    <mergeCell ref="Z1107:AC1107"/>
    <mergeCell ref="AD1107:AG1107"/>
    <mergeCell ref="AH1107:AK1107"/>
    <mergeCell ref="AL1107:AO1107"/>
    <mergeCell ref="AP1107:AS1107"/>
    <mergeCell ref="AT1107:AW1107"/>
    <mergeCell ref="BA1108:BH1108"/>
    <mergeCell ref="B1116:C1116"/>
    <mergeCell ref="E1116:H1116"/>
    <mergeCell ref="I1116:L1116"/>
    <mergeCell ref="M1116:P1116"/>
    <mergeCell ref="Q1116:U1116"/>
    <mergeCell ref="V1116:Y1116"/>
    <mergeCell ref="Z1116:AC1116"/>
    <mergeCell ref="AD1116:AG1116"/>
    <mergeCell ref="AH1116:AK1116"/>
    <mergeCell ref="AL1116:AO1116"/>
    <mergeCell ref="AP1116:AS1116"/>
    <mergeCell ref="AT1116:AW1116"/>
    <mergeCell ref="BA1117:BH1117"/>
    <mergeCell ref="B1125:C1125"/>
    <mergeCell ref="E1125:H1125"/>
    <mergeCell ref="I1125:L1125"/>
    <mergeCell ref="M1125:P1125"/>
    <mergeCell ref="Q1125:U1125"/>
    <mergeCell ref="V1125:Y1125"/>
    <mergeCell ref="Z1125:AC1125"/>
    <mergeCell ref="AD1125:AG1125"/>
    <mergeCell ref="AH1125:AK1125"/>
    <mergeCell ref="AL1125:AO1125"/>
    <mergeCell ref="AP1125:AS1125"/>
    <mergeCell ref="AT1125:AW1125"/>
    <mergeCell ref="BA1126:BH1126"/>
    <mergeCell ref="B1134:C1134"/>
    <mergeCell ref="E1134:H1134"/>
    <mergeCell ref="I1134:L1134"/>
    <mergeCell ref="M1134:P1134"/>
    <mergeCell ref="Q1134:U1134"/>
    <mergeCell ref="V1134:Y1134"/>
    <mergeCell ref="Z1134:AC1134"/>
    <mergeCell ref="AD1134:AG1134"/>
    <mergeCell ref="AH1134:AK1134"/>
    <mergeCell ref="AL1134:AO1134"/>
    <mergeCell ref="AP1134:AS1134"/>
    <mergeCell ref="AT1134:AW1134"/>
    <mergeCell ref="BA1135:BH1135"/>
    <mergeCell ref="B1143:C1143"/>
    <mergeCell ref="E1143:H1143"/>
    <mergeCell ref="I1143:L1143"/>
    <mergeCell ref="M1143:P1143"/>
    <mergeCell ref="Q1143:U1143"/>
    <mergeCell ref="V1143:Y1143"/>
    <mergeCell ref="Z1143:AC1143"/>
    <mergeCell ref="AD1143:AG1143"/>
    <mergeCell ref="AH1143:AK1143"/>
    <mergeCell ref="AL1143:AO1143"/>
    <mergeCell ref="AP1143:AS1143"/>
    <mergeCell ref="AT1143:AW1143"/>
    <mergeCell ref="BA1144:BH1144"/>
    <mergeCell ref="B1152:C1152"/>
    <mergeCell ref="E1152:H1152"/>
    <mergeCell ref="I1152:L1152"/>
    <mergeCell ref="M1152:P1152"/>
    <mergeCell ref="Q1152:U1152"/>
    <mergeCell ref="V1152:Y1152"/>
    <mergeCell ref="Z1152:AC1152"/>
    <mergeCell ref="AD1152:AG1152"/>
    <mergeCell ref="AH1152:AK1152"/>
    <mergeCell ref="AL1152:AO1152"/>
    <mergeCell ref="AP1152:AS1152"/>
    <mergeCell ref="AT1152:AW1152"/>
    <mergeCell ref="BA1153:BH1153"/>
    <mergeCell ref="B1161:C1161"/>
    <mergeCell ref="E1161:H1161"/>
    <mergeCell ref="I1161:L1161"/>
    <mergeCell ref="M1161:P1161"/>
    <mergeCell ref="Q1161:U1161"/>
    <mergeCell ref="V1161:Y1161"/>
    <mergeCell ref="Z1161:AC1161"/>
    <mergeCell ref="AD1161:AG1161"/>
    <mergeCell ref="AH1161:AK1161"/>
    <mergeCell ref="AL1161:AO1161"/>
    <mergeCell ref="AP1161:AS1161"/>
    <mergeCell ref="AT1161:AW1161"/>
    <mergeCell ref="BA1162:BH1162"/>
    <mergeCell ref="B1170:C1170"/>
    <mergeCell ref="E1170:H1170"/>
    <mergeCell ref="I1170:L1170"/>
    <mergeCell ref="M1170:P1170"/>
    <mergeCell ref="Q1170:U1170"/>
    <mergeCell ref="V1170:Y1170"/>
    <mergeCell ref="Z1170:AC1170"/>
    <mergeCell ref="AD1170:AG1170"/>
    <mergeCell ref="AH1170:AK1170"/>
    <mergeCell ref="AL1170:AO1170"/>
    <mergeCell ref="AP1170:AS1170"/>
    <mergeCell ref="AT1170:AW1170"/>
    <mergeCell ref="BA1171:BH1171"/>
    <mergeCell ref="B1179:C1179"/>
    <mergeCell ref="E1179:H1179"/>
    <mergeCell ref="I1179:L1179"/>
    <mergeCell ref="M1179:P1179"/>
    <mergeCell ref="Q1179:U1179"/>
    <mergeCell ref="V1179:Y1179"/>
    <mergeCell ref="Z1179:AC1179"/>
    <mergeCell ref="AD1179:AG1179"/>
    <mergeCell ref="AH1179:AK1179"/>
    <mergeCell ref="AL1179:AO1179"/>
    <mergeCell ref="AP1179:AS1179"/>
    <mergeCell ref="AT1179:AW1179"/>
    <mergeCell ref="BA1180:BH1180"/>
    <mergeCell ref="B1188:C1188"/>
    <mergeCell ref="E1188:H1188"/>
    <mergeCell ref="I1188:L1188"/>
    <mergeCell ref="M1188:P1188"/>
    <mergeCell ref="Q1188:U1188"/>
    <mergeCell ref="V1188:Y1188"/>
    <mergeCell ref="Z1188:AC1188"/>
    <mergeCell ref="AD1188:AG1188"/>
    <mergeCell ref="AH1188:AK1188"/>
    <mergeCell ref="AL1188:AO1188"/>
    <mergeCell ref="AP1188:AS1188"/>
    <mergeCell ref="AT1188:AW1188"/>
    <mergeCell ref="BA1189:BH1189"/>
    <mergeCell ref="B1197:C1197"/>
    <mergeCell ref="E1197:H1197"/>
    <mergeCell ref="I1197:L1197"/>
    <mergeCell ref="M1197:P1197"/>
    <mergeCell ref="Q1197:U1197"/>
    <mergeCell ref="V1197:Y1197"/>
    <mergeCell ref="Z1197:AC1197"/>
    <mergeCell ref="AD1197:AG1197"/>
    <mergeCell ref="AH1197:AK1197"/>
    <mergeCell ref="AL1197:AO1197"/>
    <mergeCell ref="AP1197:AS1197"/>
    <mergeCell ref="AT1197:AW1197"/>
    <mergeCell ref="BA1198:BH1198"/>
    <mergeCell ref="B1206:C1206"/>
    <mergeCell ref="E1206:H1206"/>
    <mergeCell ref="I1206:L1206"/>
    <mergeCell ref="M1206:P1206"/>
    <mergeCell ref="Q1206:U1206"/>
    <mergeCell ref="V1206:Y1206"/>
    <mergeCell ref="Z1206:AC1206"/>
    <mergeCell ref="AD1206:AG1206"/>
    <mergeCell ref="AH1206:AK1206"/>
    <mergeCell ref="AL1206:AO1206"/>
    <mergeCell ref="AP1206:AS1206"/>
    <mergeCell ref="AT1206:AW1206"/>
    <mergeCell ref="BA1207:BH1207"/>
    <mergeCell ref="B1215:C1215"/>
    <mergeCell ref="E1215:H1215"/>
    <mergeCell ref="I1215:L1215"/>
    <mergeCell ref="M1215:P1215"/>
    <mergeCell ref="Q1215:U1215"/>
    <mergeCell ref="V1215:Y1215"/>
    <mergeCell ref="Z1215:AC1215"/>
    <mergeCell ref="AD1215:AG1215"/>
    <mergeCell ref="AH1215:AK1215"/>
    <mergeCell ref="AL1215:AO1215"/>
    <mergeCell ref="AP1215:AS1215"/>
    <mergeCell ref="AT1215:AW1215"/>
    <mergeCell ref="BA1216:BH1216"/>
    <mergeCell ref="B1224:C1224"/>
    <mergeCell ref="E1224:H1224"/>
    <mergeCell ref="I1224:L1224"/>
    <mergeCell ref="M1224:P1224"/>
    <mergeCell ref="Q1224:U1224"/>
    <mergeCell ref="V1224:Y1224"/>
    <mergeCell ref="Z1224:AC1224"/>
    <mergeCell ref="AD1224:AG1224"/>
    <mergeCell ref="AH1224:AK1224"/>
    <mergeCell ref="AL1224:AO1224"/>
    <mergeCell ref="AP1224:AS1224"/>
    <mergeCell ref="AT1224:AW1224"/>
    <mergeCell ref="BA1225:BH1225"/>
    <mergeCell ref="B1233:C1233"/>
    <mergeCell ref="E1233:H1233"/>
    <mergeCell ref="I1233:L1233"/>
    <mergeCell ref="M1233:P1233"/>
    <mergeCell ref="Q1233:U1233"/>
    <mergeCell ref="V1233:Y1233"/>
    <mergeCell ref="Z1233:AC1233"/>
    <mergeCell ref="AD1233:AG1233"/>
    <mergeCell ref="AH1233:AK1233"/>
    <mergeCell ref="AL1233:AO1233"/>
    <mergeCell ref="AP1233:AS1233"/>
    <mergeCell ref="AT1233:AW1233"/>
    <mergeCell ref="BA1240:BH1240"/>
    <mergeCell ref="B1246:C1246"/>
    <mergeCell ref="E1246:H1246"/>
    <mergeCell ref="I1246:L1246"/>
    <mergeCell ref="M1246:P1246"/>
    <mergeCell ref="Q1246:U1246"/>
    <mergeCell ref="V1246:Y1246"/>
    <mergeCell ref="Z1246:AC1246"/>
    <mergeCell ref="AD1246:AG1246"/>
    <mergeCell ref="AH1246:AK1246"/>
    <mergeCell ref="AL1246:AO1246"/>
    <mergeCell ref="AP1246:AS1246"/>
    <mergeCell ref="AT1246:AW1246"/>
    <mergeCell ref="BA1247:BH1247"/>
    <mergeCell ref="B1253:C1253"/>
    <mergeCell ref="E1253:H1253"/>
    <mergeCell ref="I1253:L1253"/>
    <mergeCell ref="M1253:P1253"/>
    <mergeCell ref="Q1253:U1253"/>
    <mergeCell ref="V1253:Y1253"/>
    <mergeCell ref="Z1253:AC1253"/>
    <mergeCell ref="AD1253:AG1253"/>
    <mergeCell ref="AH1253:AK1253"/>
    <mergeCell ref="AL1253:AO1253"/>
    <mergeCell ref="AP1253:AS1253"/>
    <mergeCell ref="AT1253:AW1253"/>
    <mergeCell ref="BA1254:BH1254"/>
    <mergeCell ref="B1260:C1260"/>
    <mergeCell ref="E1260:H1260"/>
    <mergeCell ref="I1260:L1260"/>
    <mergeCell ref="M1260:P1260"/>
    <mergeCell ref="Q1260:U1260"/>
    <mergeCell ref="V1260:Y1260"/>
    <mergeCell ref="Z1260:AC1260"/>
    <mergeCell ref="AD1260:AG1260"/>
    <mergeCell ref="AH1260:AK1260"/>
    <mergeCell ref="AL1260:AO1260"/>
    <mergeCell ref="AP1260:AS1260"/>
    <mergeCell ref="AT1260:AW1260"/>
    <mergeCell ref="BA1261:BH1261"/>
    <mergeCell ref="B1267:C1267"/>
    <mergeCell ref="E1267:H1267"/>
    <mergeCell ref="I1267:L1267"/>
    <mergeCell ref="M1267:P1267"/>
    <mergeCell ref="Q1267:U1267"/>
    <mergeCell ref="V1267:Y1267"/>
    <mergeCell ref="Z1267:AC1267"/>
    <mergeCell ref="AD1267:AG1267"/>
    <mergeCell ref="AH1267:AK1267"/>
    <mergeCell ref="AL1267:AO1267"/>
    <mergeCell ref="AP1267:AS1267"/>
    <mergeCell ref="AT1267:AW1267"/>
    <mergeCell ref="BA1268:BH1268"/>
    <mergeCell ref="B1274:C1274"/>
    <mergeCell ref="E1274:H1274"/>
    <mergeCell ref="I1274:L1274"/>
    <mergeCell ref="M1274:P1274"/>
    <mergeCell ref="Q1274:U1274"/>
    <mergeCell ref="V1274:Y1274"/>
    <mergeCell ref="Z1274:AC1274"/>
    <mergeCell ref="AD1274:AG1274"/>
    <mergeCell ref="AH1274:AK1274"/>
    <mergeCell ref="AL1274:AO1274"/>
    <mergeCell ref="AP1274:AS1274"/>
    <mergeCell ref="AT1274:AW1274"/>
    <mergeCell ref="BA1275:BH1275"/>
    <mergeCell ref="B1283:C1283"/>
    <mergeCell ref="E1283:H1283"/>
    <mergeCell ref="I1283:L1283"/>
    <mergeCell ref="M1283:P1283"/>
    <mergeCell ref="Q1283:U1283"/>
    <mergeCell ref="V1283:Y1283"/>
    <mergeCell ref="Z1283:AC1283"/>
    <mergeCell ref="AD1283:AG1283"/>
    <mergeCell ref="AH1283:AK1283"/>
    <mergeCell ref="AL1283:AO1283"/>
    <mergeCell ref="AP1283:AS1283"/>
    <mergeCell ref="AT1283:AW1283"/>
    <mergeCell ref="BA1284:BH1284"/>
    <mergeCell ref="B1292:C1292"/>
    <mergeCell ref="E1292:H1292"/>
    <mergeCell ref="I1292:L1292"/>
    <mergeCell ref="M1292:P1292"/>
    <mergeCell ref="Q1292:U1292"/>
    <mergeCell ref="V1292:Y1292"/>
    <mergeCell ref="Z1292:AC1292"/>
    <mergeCell ref="AD1292:AG1292"/>
    <mergeCell ref="AH1292:AK1292"/>
    <mergeCell ref="AL1292:AO1292"/>
    <mergeCell ref="AP1292:AS1292"/>
    <mergeCell ref="AT1292:AW1292"/>
    <mergeCell ref="BA1293:BH1293"/>
    <mergeCell ref="B1301:C1301"/>
    <mergeCell ref="E1301:H1301"/>
    <mergeCell ref="I1301:L1301"/>
    <mergeCell ref="M1301:P1301"/>
    <mergeCell ref="Q1301:U1301"/>
    <mergeCell ref="V1301:Y1301"/>
    <mergeCell ref="Z1301:AC1301"/>
    <mergeCell ref="AD1301:AG1301"/>
    <mergeCell ref="AH1301:AK1301"/>
    <mergeCell ref="AL1301:AO1301"/>
    <mergeCell ref="AP1301:AS1301"/>
    <mergeCell ref="AT1301:AW1301"/>
    <mergeCell ref="BA1302:BH1302"/>
    <mergeCell ref="B1310:C1310"/>
    <mergeCell ref="E1310:H1310"/>
    <mergeCell ref="I1310:L1310"/>
    <mergeCell ref="M1310:P1310"/>
    <mergeCell ref="Q1310:U1310"/>
    <mergeCell ref="V1310:Y1310"/>
    <mergeCell ref="Z1310:AC1310"/>
    <mergeCell ref="AD1310:AG1310"/>
    <mergeCell ref="AH1310:AK1310"/>
    <mergeCell ref="AL1310:AO1310"/>
    <mergeCell ref="AP1310:AS1310"/>
    <mergeCell ref="AT1310:AW1310"/>
    <mergeCell ref="BA1311:BH1311"/>
    <mergeCell ref="B1319:C1319"/>
    <mergeCell ref="E1319:H1319"/>
    <mergeCell ref="I1319:L1319"/>
    <mergeCell ref="M1319:P1319"/>
    <mergeCell ref="Q1319:U1319"/>
    <mergeCell ref="V1319:Y1319"/>
    <mergeCell ref="Z1319:AC1319"/>
    <mergeCell ref="AD1319:AG1319"/>
    <mergeCell ref="AH1319:AK1319"/>
    <mergeCell ref="AL1319:AO1319"/>
    <mergeCell ref="AP1319:AS1319"/>
    <mergeCell ref="AT1319:AW1319"/>
    <mergeCell ref="BA1320:BH1320"/>
    <mergeCell ref="B1328:C1328"/>
    <mergeCell ref="E1328:H1328"/>
    <mergeCell ref="I1328:L1328"/>
    <mergeCell ref="M1328:P1328"/>
    <mergeCell ref="Q1328:U1328"/>
    <mergeCell ref="V1328:Y1328"/>
    <mergeCell ref="Z1328:AC1328"/>
    <mergeCell ref="AD1328:AG1328"/>
    <mergeCell ref="AH1328:AK1328"/>
    <mergeCell ref="AL1328:AO1328"/>
    <mergeCell ref="AP1328:AS1328"/>
    <mergeCell ref="AT1328:AW1328"/>
    <mergeCell ref="BA1329:BH1329"/>
    <mergeCell ref="B1337:C1337"/>
    <mergeCell ref="E1337:H1337"/>
    <mergeCell ref="I1337:L1337"/>
    <mergeCell ref="M1337:P1337"/>
    <mergeCell ref="Q1337:U1337"/>
    <mergeCell ref="V1337:Y1337"/>
    <mergeCell ref="Z1337:AC1337"/>
    <mergeCell ref="AD1337:AG1337"/>
    <mergeCell ref="AH1337:AK1337"/>
    <mergeCell ref="AL1337:AO1337"/>
    <mergeCell ref="AP1337:AS1337"/>
    <mergeCell ref="AT1337:AW1337"/>
    <mergeCell ref="BA1338:BH1338"/>
    <mergeCell ref="B1346:C1346"/>
    <mergeCell ref="E1346:H1346"/>
    <mergeCell ref="I1346:L1346"/>
    <mergeCell ref="M1346:P1346"/>
    <mergeCell ref="Q1346:U1346"/>
    <mergeCell ref="V1346:Y1346"/>
    <mergeCell ref="Z1346:AC1346"/>
    <mergeCell ref="AD1346:AG1346"/>
    <mergeCell ref="AH1346:AK1346"/>
    <mergeCell ref="AL1346:AO1346"/>
    <mergeCell ref="AP1346:AS1346"/>
    <mergeCell ref="AT1346:AW1346"/>
    <mergeCell ref="BA1347:BH1347"/>
    <mergeCell ref="B1355:C1355"/>
    <mergeCell ref="E1355:H1355"/>
    <mergeCell ref="I1355:L1355"/>
    <mergeCell ref="M1355:P1355"/>
    <mergeCell ref="Q1355:U1355"/>
    <mergeCell ref="V1355:Y1355"/>
    <mergeCell ref="Z1355:AC1355"/>
    <mergeCell ref="AD1355:AG1355"/>
    <mergeCell ref="AH1355:AK1355"/>
    <mergeCell ref="AL1355:AO1355"/>
    <mergeCell ref="AP1355:AS1355"/>
    <mergeCell ref="AT1355:AW1355"/>
    <mergeCell ref="BA1356:BH1356"/>
    <mergeCell ref="B1364:C1364"/>
    <mergeCell ref="E1364:H1364"/>
    <mergeCell ref="I1364:L1364"/>
    <mergeCell ref="M1364:P1364"/>
    <mergeCell ref="Q1364:U1364"/>
    <mergeCell ref="V1364:Y1364"/>
    <mergeCell ref="Z1364:AC1364"/>
    <mergeCell ref="AD1364:AG1364"/>
    <mergeCell ref="AH1364:AK1364"/>
    <mergeCell ref="AL1364:AO1364"/>
    <mergeCell ref="AP1364:AS1364"/>
    <mergeCell ref="AT1364:AW1364"/>
    <mergeCell ref="BA1365:BH1365"/>
    <mergeCell ref="B1373:C1373"/>
    <mergeCell ref="E1373:H1373"/>
    <mergeCell ref="I1373:L1373"/>
    <mergeCell ref="M1373:P1373"/>
    <mergeCell ref="Q1373:U1373"/>
    <mergeCell ref="V1373:Y1373"/>
    <mergeCell ref="Z1373:AC1373"/>
    <mergeCell ref="AD1373:AG1373"/>
    <mergeCell ref="AH1373:AK1373"/>
    <mergeCell ref="AL1373:AO1373"/>
    <mergeCell ref="AP1373:AS1373"/>
    <mergeCell ref="AT1373:AW1373"/>
    <mergeCell ref="BA1374:BH1374"/>
    <mergeCell ref="B1382:C1382"/>
    <mergeCell ref="E1382:H1382"/>
    <mergeCell ref="I1382:L1382"/>
    <mergeCell ref="M1382:P1382"/>
    <mergeCell ref="Q1382:U1382"/>
    <mergeCell ref="V1382:Y1382"/>
    <mergeCell ref="Z1382:AC1382"/>
    <mergeCell ref="AD1382:AG1382"/>
    <mergeCell ref="AH1382:AK1382"/>
    <mergeCell ref="AL1382:AO1382"/>
    <mergeCell ref="AP1382:AS1382"/>
    <mergeCell ref="AT1382:AW1382"/>
    <mergeCell ref="BA1383:BH1383"/>
    <mergeCell ref="B1391:C1391"/>
    <mergeCell ref="E1391:H1391"/>
    <mergeCell ref="I1391:L1391"/>
    <mergeCell ref="M1391:P1391"/>
    <mergeCell ref="Q1391:U1391"/>
    <mergeCell ref="V1391:Y1391"/>
    <mergeCell ref="Z1391:AC1391"/>
    <mergeCell ref="AD1391:AG1391"/>
    <mergeCell ref="AH1391:AK1391"/>
    <mergeCell ref="AL1391:AO1391"/>
    <mergeCell ref="AP1391:AS1391"/>
    <mergeCell ref="AT1391:AW1391"/>
    <mergeCell ref="BA1392:BH1392"/>
    <mergeCell ref="B1400:C1400"/>
    <mergeCell ref="E1400:H1400"/>
    <mergeCell ref="I1400:L1400"/>
    <mergeCell ref="M1400:P1400"/>
    <mergeCell ref="Q1400:U1400"/>
    <mergeCell ref="V1400:Y1400"/>
    <mergeCell ref="Z1400:AC1400"/>
    <mergeCell ref="AD1400:AG1400"/>
    <mergeCell ref="AH1400:AK1400"/>
    <mergeCell ref="AL1400:AO1400"/>
    <mergeCell ref="AP1400:AS1400"/>
    <mergeCell ref="AT1400:AW1400"/>
    <mergeCell ref="BA1401:BH1401"/>
    <mergeCell ref="B1409:C1409"/>
    <mergeCell ref="E1409:H1409"/>
    <mergeCell ref="I1409:L1409"/>
    <mergeCell ref="M1409:P1409"/>
    <mergeCell ref="Q1409:U1409"/>
    <mergeCell ref="V1409:Y1409"/>
    <mergeCell ref="Z1409:AC1409"/>
    <mergeCell ref="AD1409:AG1409"/>
    <mergeCell ref="AH1409:AK1409"/>
    <mergeCell ref="AL1409:AO1409"/>
    <mergeCell ref="AP1409:AS1409"/>
    <mergeCell ref="AT1409:AW1409"/>
  </mergeCells>
  <conditionalFormatting sqref="AZ62 AZ98 AZ53 AZ71 AZ107">
    <cfRule type="iconSet" priority="1441">
      <iconSet iconSet="3Symbols">
        <cfvo type="percent" val="0"/>
        <cfvo type="num" val="0.75"/>
        <cfvo type="num" val="0.85"/>
      </iconSet>
    </cfRule>
    <cfRule type="dataBar" priority="1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{531B812D-A9D7-4D57-B153-AC8D7D825C5B}</x14:id>
        </ext>
      </extLst>
    </cfRule>
  </conditionalFormatting>
  <conditionalFormatting sqref="AZ102:AZ104 AZ57:AZ59 AZ66:AZ68 AZ75:AZ77 AZ111:AZ113 AZ54 AZ63 AZ72 AZ99 AZ108">
    <cfRule type="iconSet" priority="1443">
      <iconSet iconSet="3Symbols">
        <cfvo type="percent" val="0"/>
        <cfvo type="num" val="0.75"/>
        <cfvo type="num" val="0.85"/>
      </iconSet>
    </cfRule>
    <cfRule type="dataBar" priority="1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{C83AE902-11AA-4019-BB48-437AFA701C7D}</x14:id>
        </ext>
      </extLst>
    </cfRule>
  </conditionalFormatting>
  <conditionalFormatting sqref="AZ69 AZ105 AZ60 AZ78 AZ114">
    <cfRule type="iconSet" priority="1445">
      <iconSet iconSet="3Symbols">
        <cfvo type="percent" val="0"/>
        <cfvo type="num" val="0.75"/>
        <cfvo type="num" val="0.85"/>
      </iconSet>
    </cfRule>
    <cfRule type="dataBar" priority="1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{D66D41E1-6E22-43E5-AAA4-CFAA2E68F1BE}</x14:id>
        </ext>
      </extLst>
    </cfRule>
  </conditionalFormatting>
  <conditionalFormatting sqref="AZ64 AZ100 AZ55 AZ73 AZ109">
    <cfRule type="iconSet" priority="1447">
      <iconSet iconSet="3Symbols">
        <cfvo type="percent" val="0"/>
        <cfvo type="num" val="0.75"/>
        <cfvo type="num" val="0.85"/>
      </iconSet>
    </cfRule>
    <cfRule type="dataBar" priority="14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{4072AD43-10F2-4F01-80A0-FAF20470DC4A}</x14:id>
        </ext>
      </extLst>
    </cfRule>
  </conditionalFormatting>
  <conditionalFormatting sqref="AZ65 AZ101 AZ56 AZ74 AZ110">
    <cfRule type="iconSet" priority="1449">
      <iconSet iconSet="3Symbols">
        <cfvo type="percent" val="0"/>
        <cfvo type="num" val="0.75"/>
        <cfvo type="num" val="0.85"/>
      </iconSet>
    </cfRule>
    <cfRule type="dataBar" priority="14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{20385112-5D01-4DE7-BF75-BA431A93A393}</x14:id>
        </ext>
      </extLst>
    </cfRule>
  </conditionalFormatting>
  <conditionalFormatting sqref="AZ229 AZ274 AZ238 AZ247 AZ283">
    <cfRule type="iconSet" priority="1451">
      <iconSet iconSet="3Symbols">
        <cfvo type="percent" val="0"/>
        <cfvo type="num" val="0.75"/>
        <cfvo type="num" val="0.85"/>
      </iconSet>
    </cfRule>
    <cfRule type="dataBar" priority="1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{622DA77B-5644-406C-8BE2-698F50D95DD5}</x14:id>
        </ext>
      </extLst>
    </cfRule>
  </conditionalFormatting>
  <conditionalFormatting sqref="AZ278:AZ280 AZ233:AZ235 AZ242:AZ244 AZ251:AZ253 AZ287:AZ289 AZ230 AZ239 AZ248 AZ275 AZ284">
    <cfRule type="iconSet" priority="1453">
      <iconSet iconSet="3Symbols">
        <cfvo type="percent" val="0"/>
        <cfvo type="num" val="0.75"/>
        <cfvo type="num" val="0.85"/>
      </iconSet>
    </cfRule>
    <cfRule type="dataBar" priority="14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{857AA824-4782-4EDD-906C-D9655AF297AC}</x14:id>
        </ext>
      </extLst>
    </cfRule>
  </conditionalFormatting>
  <conditionalFormatting sqref="AZ236 AZ281 AZ245 AZ254 AZ290">
    <cfRule type="iconSet" priority="1455">
      <iconSet iconSet="3Symbols">
        <cfvo type="percent" val="0"/>
        <cfvo type="num" val="0.75"/>
        <cfvo type="num" val="0.85"/>
      </iconSet>
    </cfRule>
    <cfRule type="dataBar" priority="14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{4D7DAF4F-3A76-4047-838D-23EB8FF4C427}</x14:id>
        </ext>
      </extLst>
    </cfRule>
  </conditionalFormatting>
  <conditionalFormatting sqref="AZ231 AZ276 AZ240 AZ249 AZ285">
    <cfRule type="iconSet" priority="1457">
      <iconSet iconSet="3Symbols">
        <cfvo type="percent" val="0"/>
        <cfvo type="num" val="0.75"/>
        <cfvo type="num" val="0.85"/>
      </iconSet>
    </cfRule>
    <cfRule type="dataBar" priority="1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{CCD9332B-781E-4C18-BC9F-5810E652C83C}</x14:id>
        </ext>
      </extLst>
    </cfRule>
  </conditionalFormatting>
  <conditionalFormatting sqref="AZ232 AZ277 AZ241 AZ250 AZ286">
    <cfRule type="iconSet" priority="1459">
      <iconSet iconSet="3Symbols">
        <cfvo type="percent" val="0"/>
        <cfvo type="num" val="0.75"/>
        <cfvo type="num" val="0.85"/>
      </iconSet>
    </cfRule>
    <cfRule type="dataBar" priority="14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{7C10A42E-F5DF-4417-ADCA-233832F460C7}</x14:id>
        </ext>
      </extLst>
    </cfRule>
  </conditionalFormatting>
  <conditionalFormatting sqref="AZ80">
    <cfRule type="iconSet" priority="1431">
      <iconSet iconSet="3Symbols">
        <cfvo type="percent" val="0"/>
        <cfvo type="num" val="0.75"/>
        <cfvo type="num" val="0.85"/>
      </iconSet>
    </cfRule>
    <cfRule type="dataBar" priority="14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{ACCBA5E2-4173-4D3C-8AC1-453AE6C412EA}</x14:id>
        </ext>
      </extLst>
    </cfRule>
  </conditionalFormatting>
  <conditionalFormatting sqref="AZ84:AZ86 AZ81">
    <cfRule type="iconSet" priority="1433">
      <iconSet iconSet="3Symbols">
        <cfvo type="percent" val="0"/>
        <cfvo type="num" val="0.75"/>
        <cfvo type="num" val="0.85"/>
      </iconSet>
    </cfRule>
    <cfRule type="dataBar" priority="14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{03B7FCFE-EF85-488B-BF37-F6D0B48F266B}</x14:id>
        </ext>
      </extLst>
    </cfRule>
  </conditionalFormatting>
  <conditionalFormatting sqref="AZ87">
    <cfRule type="iconSet" priority="1435">
      <iconSet iconSet="3Symbols">
        <cfvo type="percent" val="0"/>
        <cfvo type="num" val="0.75"/>
        <cfvo type="num" val="0.85"/>
      </iconSet>
    </cfRule>
    <cfRule type="dataBar" priority="1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{8E11EA7A-ABB6-4650-9F46-5D9F31E0B3E1}</x14:id>
        </ext>
      </extLst>
    </cfRule>
  </conditionalFormatting>
  <conditionalFormatting sqref="AZ82">
    <cfRule type="iconSet" priority="1437">
      <iconSet iconSet="3Symbols">
        <cfvo type="percent" val="0"/>
        <cfvo type="num" val="0.75"/>
        <cfvo type="num" val="0.85"/>
      </iconSet>
    </cfRule>
    <cfRule type="dataBar" priority="14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{B9B68EA8-AC5B-42C7-9293-5EB7BD9EBD05}</x14:id>
        </ext>
      </extLst>
    </cfRule>
  </conditionalFormatting>
  <conditionalFormatting sqref="AZ83">
    <cfRule type="iconSet" priority="1439">
      <iconSet iconSet="3Symbols">
        <cfvo type="percent" val="0"/>
        <cfvo type="num" val="0.75"/>
        <cfvo type="num" val="0.85"/>
      </iconSet>
    </cfRule>
    <cfRule type="dataBar" priority="14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{97039A7D-CFA1-469C-873C-86C1DCFB3EBD}</x14:id>
        </ext>
      </extLst>
    </cfRule>
  </conditionalFormatting>
  <conditionalFormatting sqref="AZ256">
    <cfRule type="iconSet" priority="1421">
      <iconSet iconSet="3Symbols">
        <cfvo type="percent" val="0"/>
        <cfvo type="num" val="0.75"/>
        <cfvo type="num" val="0.85"/>
      </iconSet>
    </cfRule>
    <cfRule type="dataBar" priority="14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{40468CEC-1CFB-475D-B408-C4281454CF55}</x14:id>
        </ext>
      </extLst>
    </cfRule>
  </conditionalFormatting>
  <conditionalFormatting sqref="AZ260:AZ262 AZ257">
    <cfRule type="iconSet" priority="1423">
      <iconSet iconSet="3Symbols">
        <cfvo type="percent" val="0"/>
        <cfvo type="num" val="0.75"/>
        <cfvo type="num" val="0.85"/>
      </iconSet>
    </cfRule>
    <cfRule type="dataBar" priority="14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{7DAE6BAA-F557-46A1-B47E-03C180BAEE90}</x14:id>
        </ext>
      </extLst>
    </cfRule>
  </conditionalFormatting>
  <conditionalFormatting sqref="AZ263">
    <cfRule type="iconSet" priority="1425">
      <iconSet iconSet="3Symbols">
        <cfvo type="percent" val="0"/>
        <cfvo type="num" val="0.75"/>
        <cfvo type="num" val="0.85"/>
      </iconSet>
    </cfRule>
    <cfRule type="dataBar" priority="14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{45D46E1D-66CA-4F2A-844E-4E6C7CE63EB3}</x14:id>
        </ext>
      </extLst>
    </cfRule>
  </conditionalFormatting>
  <conditionalFormatting sqref="AZ258">
    <cfRule type="iconSet" priority="1427">
      <iconSet iconSet="3Symbols">
        <cfvo type="percent" val="0"/>
        <cfvo type="num" val="0.75"/>
        <cfvo type="num" val="0.85"/>
      </iconSet>
    </cfRule>
    <cfRule type="dataBar" priority="14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{9E0D15C0-9337-4468-BCD9-841A6A097833}</x14:id>
        </ext>
      </extLst>
    </cfRule>
  </conditionalFormatting>
  <conditionalFormatting sqref="AZ259">
    <cfRule type="iconSet" priority="1429">
      <iconSet iconSet="3Symbols">
        <cfvo type="percent" val="0"/>
        <cfvo type="num" val="0.75"/>
        <cfvo type="num" val="0.85"/>
      </iconSet>
    </cfRule>
    <cfRule type="dataBar" priority="14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{654A4CEB-1839-428C-A4A6-16D1A7F8F36F}</x14:id>
        </ext>
      </extLst>
    </cfRule>
  </conditionalFormatting>
  <conditionalFormatting sqref="AZ10:AZ13">
    <cfRule type="iconSet" priority="1419">
      <iconSet iconSet="3Symbols">
        <cfvo type="percent" val="0"/>
        <cfvo type="num" val="0.75"/>
        <cfvo type="num" val="0.85"/>
      </iconSet>
    </cfRule>
    <cfRule type="dataBar" priority="14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{0F9E4E93-B900-4A99-ACAA-7484619AA61E}</x14:id>
        </ext>
      </extLst>
    </cfRule>
  </conditionalFormatting>
  <conditionalFormatting sqref="AZ14">
    <cfRule type="iconSet" priority="1417">
      <iconSet iconSet="3Symbols">
        <cfvo type="percent" val="0"/>
        <cfvo type="num" val="0.75"/>
        <cfvo type="num" val="0.85"/>
      </iconSet>
    </cfRule>
    <cfRule type="dataBar" priority="14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{C7D6D1FF-997F-4A32-8CAA-B8F127E5ACBF}</x14:id>
        </ext>
      </extLst>
    </cfRule>
  </conditionalFormatting>
  <conditionalFormatting sqref="AZ185">
    <cfRule type="iconSet" priority="1415">
      <iconSet iconSet="3Symbols">
        <cfvo type="percent" val="0"/>
        <cfvo type="num" val="0.75"/>
        <cfvo type="num" val="0.85"/>
      </iconSet>
    </cfRule>
    <cfRule type="dataBar" priority="1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{5DD88C26-8F69-4FA0-9100-D80548C2398F}</x14:id>
        </ext>
      </extLst>
    </cfRule>
  </conditionalFormatting>
  <conditionalFormatting sqref="AZ186:AZ189">
    <cfRule type="iconSet" priority="1413">
      <iconSet iconSet="3Symbols">
        <cfvo type="percent" val="0"/>
        <cfvo type="num" val="0.75"/>
        <cfvo type="num" val="0.85"/>
      </iconSet>
    </cfRule>
    <cfRule type="dataBar" priority="14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{2DC6EAA5-3C05-40E8-BB7C-A72316621FE7}</x14:id>
        </ext>
      </extLst>
    </cfRule>
  </conditionalFormatting>
  <conditionalFormatting sqref="AZ190">
    <cfRule type="iconSet" priority="1411">
      <iconSet iconSet="3Symbols">
        <cfvo type="percent" val="0"/>
        <cfvo type="num" val="0.75"/>
        <cfvo type="num" val="0.85"/>
      </iconSet>
    </cfRule>
    <cfRule type="dataBar" priority="14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{52684563-140B-4340-B19B-82E10604407F}</x14:id>
        </ext>
      </extLst>
    </cfRule>
  </conditionalFormatting>
  <conditionalFormatting sqref="AZ45">
    <cfRule type="iconSet" priority="1409">
      <iconSet iconSet="3Symbols">
        <cfvo type="percent" val="0"/>
        <cfvo type="num" val="0.75"/>
        <cfvo type="num" val="0.85"/>
      </iconSet>
    </cfRule>
    <cfRule type="dataBar" priority="1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{294145BE-2665-4F02-9984-A88370FAD287}</x14:id>
        </ext>
      </extLst>
    </cfRule>
  </conditionalFormatting>
  <conditionalFormatting sqref="AZ221">
    <cfRule type="iconSet" priority="1407">
      <iconSet iconSet="3Symbols">
        <cfvo type="percent" val="0"/>
        <cfvo type="num" val="0.75"/>
        <cfvo type="num" val="0.85"/>
      </iconSet>
    </cfRule>
    <cfRule type="dataBar" priority="14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{75BE4B20-2D95-44E5-9369-35C8D37235D0}</x14:id>
        </ext>
      </extLst>
    </cfRule>
  </conditionalFormatting>
  <conditionalFormatting sqref="AZ144">
    <cfRule type="iconSet" priority="1405">
      <iconSet iconSet="3Symbols">
        <cfvo type="percent" val="0"/>
        <cfvo type="num" val="0.75"/>
        <cfvo type="num" val="0.85"/>
      </iconSet>
    </cfRule>
    <cfRule type="dataBar" priority="14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{7D858BDF-E59E-408E-9C3E-0DBA66905141}</x14:id>
        </ext>
      </extLst>
    </cfRule>
  </conditionalFormatting>
  <conditionalFormatting sqref="AZ143">
    <cfRule type="iconSet" priority="1395">
      <iconSet iconSet="3Symbols">
        <cfvo type="percent" val="0"/>
        <cfvo type="num" val="0.75"/>
        <cfvo type="num" val="0.85"/>
      </iconSet>
    </cfRule>
    <cfRule type="dataBar" priority="1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{4653ED19-E0AD-4717-AA8B-E2DE244FBFB0}</x14:id>
        </ext>
      </extLst>
    </cfRule>
  </conditionalFormatting>
  <conditionalFormatting sqref="AZ147:AZ149">
    <cfRule type="iconSet" priority="1397">
      <iconSet iconSet="3Symbols">
        <cfvo type="percent" val="0"/>
        <cfvo type="num" val="0.75"/>
        <cfvo type="num" val="0.85"/>
      </iconSet>
    </cfRule>
    <cfRule type="dataBar" priority="1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{F154880D-E12C-484F-9206-9FF3923E283B}</x14:id>
        </ext>
      </extLst>
    </cfRule>
  </conditionalFormatting>
  <conditionalFormatting sqref="AZ150">
    <cfRule type="iconSet" priority="1399">
      <iconSet iconSet="3Symbols">
        <cfvo type="percent" val="0"/>
        <cfvo type="num" val="0.75"/>
        <cfvo type="num" val="0.85"/>
      </iconSet>
    </cfRule>
    <cfRule type="dataBar" priority="1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{0D288D5B-7A82-4542-870E-07993CD2AE1C}</x14:id>
        </ext>
      </extLst>
    </cfRule>
  </conditionalFormatting>
  <conditionalFormatting sqref="AZ145">
    <cfRule type="iconSet" priority="1401">
      <iconSet iconSet="3Symbols">
        <cfvo type="percent" val="0"/>
        <cfvo type="num" val="0.75"/>
        <cfvo type="num" val="0.85"/>
      </iconSet>
    </cfRule>
    <cfRule type="dataBar" priority="1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{F72A11FC-E70E-4F87-BC91-E35953469DDC}</x14:id>
        </ext>
      </extLst>
    </cfRule>
  </conditionalFormatting>
  <conditionalFormatting sqref="AZ146">
    <cfRule type="iconSet" priority="1403">
      <iconSet iconSet="3Symbols">
        <cfvo type="percent" val="0"/>
        <cfvo type="num" val="0.75"/>
        <cfvo type="num" val="0.85"/>
      </iconSet>
    </cfRule>
    <cfRule type="dataBar" priority="14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{AD5E6ECF-8F9A-4A77-A0DA-C6B03DAA63B6}</x14:id>
        </ext>
      </extLst>
    </cfRule>
  </conditionalFormatting>
  <conditionalFormatting sqref="AZ171">
    <cfRule type="iconSet" priority="1393">
      <iconSet iconSet="3Symbols">
        <cfvo type="percent" val="0"/>
        <cfvo type="num" val="0.75"/>
        <cfvo type="num" val="0.85"/>
      </iconSet>
    </cfRule>
    <cfRule type="dataBar" priority="13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{15D63706-D329-4016-BEC9-9A539E17532B}</x14:id>
        </ext>
      </extLst>
    </cfRule>
  </conditionalFormatting>
  <conditionalFormatting sqref="AZ44">
    <cfRule type="iconSet" priority="1383">
      <iconSet iconSet="3Symbols">
        <cfvo type="percent" val="0"/>
        <cfvo type="num" val="0.75"/>
        <cfvo type="num" val="0.85"/>
      </iconSet>
    </cfRule>
    <cfRule type="dataBar" priority="13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{61E5C907-5748-4334-B629-CD412BDF4576}</x14:id>
        </ext>
      </extLst>
    </cfRule>
  </conditionalFormatting>
  <conditionalFormatting sqref="AZ48:AZ50">
    <cfRule type="iconSet" priority="1385">
      <iconSet iconSet="3Symbols">
        <cfvo type="percent" val="0"/>
        <cfvo type="num" val="0.75"/>
        <cfvo type="num" val="0.85"/>
      </iconSet>
    </cfRule>
    <cfRule type="dataBar" priority="13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{C6928B23-6476-4A17-8CC4-A8AB809AF48D}</x14:id>
        </ext>
      </extLst>
    </cfRule>
  </conditionalFormatting>
  <conditionalFormatting sqref="AZ51">
    <cfRule type="iconSet" priority="1387">
      <iconSet iconSet="3Symbols">
        <cfvo type="percent" val="0"/>
        <cfvo type="num" val="0.75"/>
        <cfvo type="num" val="0.85"/>
      </iconSet>
    </cfRule>
    <cfRule type="dataBar" priority="1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{A3A76557-98D6-4E7A-AAE7-9B47CDFA68A0}</x14:id>
        </ext>
      </extLst>
    </cfRule>
  </conditionalFormatting>
  <conditionalFormatting sqref="AZ46">
    <cfRule type="iconSet" priority="1389">
      <iconSet iconSet="3Symbols">
        <cfvo type="percent" val="0"/>
        <cfvo type="num" val="0.75"/>
        <cfvo type="num" val="0.85"/>
      </iconSet>
    </cfRule>
    <cfRule type="dataBar" priority="13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{6331F1FC-AE98-4555-8F70-FDC1F1DF46FD}</x14:id>
        </ext>
      </extLst>
    </cfRule>
  </conditionalFormatting>
  <conditionalFormatting sqref="AZ47">
    <cfRule type="iconSet" priority="1391">
      <iconSet iconSet="3Symbols">
        <cfvo type="percent" val="0"/>
        <cfvo type="num" val="0.75"/>
        <cfvo type="num" val="0.85"/>
      </iconSet>
    </cfRule>
    <cfRule type="dataBar" priority="13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{DDE0A301-3ED8-4580-AD90-7054E1A3D9E1}</x14:id>
        </ext>
      </extLst>
    </cfRule>
  </conditionalFormatting>
  <conditionalFormatting sqref="AZ220">
    <cfRule type="iconSet" priority="1373">
      <iconSet iconSet="3Symbols">
        <cfvo type="percent" val="0"/>
        <cfvo type="num" val="0.75"/>
        <cfvo type="num" val="0.85"/>
      </iconSet>
    </cfRule>
    <cfRule type="dataBar" priority="1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{C7AAB3A8-5B57-4654-9AB6-C5155CD6903A}</x14:id>
        </ext>
      </extLst>
    </cfRule>
  </conditionalFormatting>
  <conditionalFormatting sqref="AZ224:AZ226">
    <cfRule type="iconSet" priority="1375">
      <iconSet iconSet="3Symbols">
        <cfvo type="percent" val="0"/>
        <cfvo type="num" val="0.75"/>
        <cfvo type="num" val="0.85"/>
      </iconSet>
    </cfRule>
    <cfRule type="dataBar" priority="1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{D3D297C2-1C90-4F08-A102-B07A8A733A7B}</x14:id>
        </ext>
      </extLst>
    </cfRule>
  </conditionalFormatting>
  <conditionalFormatting sqref="AZ227">
    <cfRule type="iconSet" priority="1377">
      <iconSet iconSet="3Symbols">
        <cfvo type="percent" val="0"/>
        <cfvo type="num" val="0.75"/>
        <cfvo type="num" val="0.85"/>
      </iconSet>
    </cfRule>
    <cfRule type="dataBar" priority="13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{59BC2A7F-1B34-45CA-B156-A9DC272D5FAB}</x14:id>
        </ext>
      </extLst>
    </cfRule>
  </conditionalFormatting>
  <conditionalFormatting sqref="AZ222">
    <cfRule type="iconSet" priority="1379">
      <iconSet iconSet="3Symbols">
        <cfvo type="percent" val="0"/>
        <cfvo type="num" val="0.75"/>
        <cfvo type="num" val="0.85"/>
      </iconSet>
    </cfRule>
    <cfRule type="dataBar" priority="13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{30D1B715-207C-4860-A60A-5A5DEDE8C37E}</x14:id>
        </ext>
      </extLst>
    </cfRule>
  </conditionalFormatting>
  <conditionalFormatting sqref="AZ223">
    <cfRule type="iconSet" priority="1381">
      <iconSet iconSet="3Symbols">
        <cfvo type="percent" val="0"/>
        <cfvo type="num" val="0.75"/>
        <cfvo type="num" val="0.85"/>
      </iconSet>
    </cfRule>
    <cfRule type="dataBar" priority="1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{A876BAD4-7982-4173-A30F-2FAE642F51C8}</x14:id>
        </ext>
      </extLst>
    </cfRule>
  </conditionalFormatting>
  <conditionalFormatting sqref="AZ153">
    <cfRule type="iconSet" priority="1371">
      <iconSet iconSet="3Symbols">
        <cfvo type="percent" val="0"/>
        <cfvo type="num" val="0.75"/>
        <cfvo type="num" val="0.85"/>
      </iconSet>
    </cfRule>
    <cfRule type="dataBar" priority="1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{7D9EDDA8-44A6-40F5-8076-83C26FC5329C}</x14:id>
        </ext>
      </extLst>
    </cfRule>
  </conditionalFormatting>
  <conditionalFormatting sqref="AZ328">
    <cfRule type="iconSet" priority="1361">
      <iconSet iconSet="3Symbols">
        <cfvo type="percent" val="0"/>
        <cfvo type="num" val="0.75"/>
        <cfvo type="num" val="0.85"/>
      </iconSet>
    </cfRule>
    <cfRule type="dataBar" priority="1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{89F28F00-F6AA-4E01-95E9-28D2C7F16664}</x14:id>
        </ext>
      </extLst>
    </cfRule>
  </conditionalFormatting>
  <conditionalFormatting sqref="AZ332:AZ334 AZ329">
    <cfRule type="iconSet" priority="1363">
      <iconSet iconSet="3Symbols">
        <cfvo type="percent" val="0"/>
        <cfvo type="num" val="0.75"/>
        <cfvo type="num" val="0.85"/>
      </iconSet>
    </cfRule>
    <cfRule type="dataBar" priority="13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{7F348536-89A9-42DB-8A26-65B0635E7483}</x14:id>
        </ext>
      </extLst>
    </cfRule>
  </conditionalFormatting>
  <conditionalFormatting sqref="AZ335">
    <cfRule type="iconSet" priority="1365">
      <iconSet iconSet="3Symbols">
        <cfvo type="percent" val="0"/>
        <cfvo type="num" val="0.75"/>
        <cfvo type="num" val="0.85"/>
      </iconSet>
    </cfRule>
    <cfRule type="dataBar" priority="1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{1BD57529-A1A4-4215-8C47-058FFE2B86E6}</x14:id>
        </ext>
      </extLst>
    </cfRule>
  </conditionalFormatting>
  <conditionalFormatting sqref="AZ330">
    <cfRule type="iconSet" priority="1367">
      <iconSet iconSet="3Symbols">
        <cfvo type="percent" val="0"/>
        <cfvo type="num" val="0.75"/>
        <cfvo type="num" val="0.85"/>
      </iconSet>
    </cfRule>
    <cfRule type="dataBar" priority="13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{0145781D-67EF-4B07-8EFB-5A6734BD2476}</x14:id>
        </ext>
      </extLst>
    </cfRule>
  </conditionalFormatting>
  <conditionalFormatting sqref="AZ331">
    <cfRule type="iconSet" priority="1369">
      <iconSet iconSet="3Symbols">
        <cfvo type="percent" val="0"/>
        <cfvo type="num" val="0.75"/>
        <cfvo type="num" val="0.85"/>
      </iconSet>
    </cfRule>
    <cfRule type="dataBar" priority="13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{8EEE475B-A4B8-497A-A7F0-9CA981125CF6}</x14:id>
        </ext>
      </extLst>
    </cfRule>
  </conditionalFormatting>
  <conditionalFormatting sqref="AZ152">
    <cfRule type="iconSet" priority="1351">
      <iconSet iconSet="3Symbols">
        <cfvo type="percent" val="0"/>
        <cfvo type="num" val="0.75"/>
        <cfvo type="num" val="0.85"/>
      </iconSet>
    </cfRule>
    <cfRule type="dataBar" priority="13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{9FC38A6E-3F01-4678-889D-1EFE78C0225E}</x14:id>
        </ext>
      </extLst>
    </cfRule>
  </conditionalFormatting>
  <conditionalFormatting sqref="AZ156:AZ158">
    <cfRule type="iconSet" priority="1353">
      <iconSet iconSet="3Symbols">
        <cfvo type="percent" val="0"/>
        <cfvo type="num" val="0.75"/>
        <cfvo type="num" val="0.85"/>
      </iconSet>
    </cfRule>
    <cfRule type="dataBar" priority="13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{BF1E8B6F-3515-4207-A37A-D4C518FFA12B}</x14:id>
        </ext>
      </extLst>
    </cfRule>
  </conditionalFormatting>
  <conditionalFormatting sqref="AZ159">
    <cfRule type="iconSet" priority="1355">
      <iconSet iconSet="3Symbols">
        <cfvo type="percent" val="0"/>
        <cfvo type="num" val="0.75"/>
        <cfvo type="num" val="0.85"/>
      </iconSet>
    </cfRule>
    <cfRule type="dataBar" priority="13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{9AE3BCA1-DB73-4A37-BD99-E6A2A58DD852}</x14:id>
        </ext>
      </extLst>
    </cfRule>
  </conditionalFormatting>
  <conditionalFormatting sqref="AZ154">
    <cfRule type="iconSet" priority="1357">
      <iconSet iconSet="3Symbols">
        <cfvo type="percent" val="0"/>
        <cfvo type="num" val="0.75"/>
        <cfvo type="num" val="0.85"/>
      </iconSet>
    </cfRule>
    <cfRule type="dataBar" priority="13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{76787874-3A99-4C8B-A7D4-FE75922A7AA2}</x14:id>
        </ext>
      </extLst>
    </cfRule>
  </conditionalFormatting>
  <conditionalFormatting sqref="AZ155">
    <cfRule type="iconSet" priority="1359">
      <iconSet iconSet="3Symbols">
        <cfvo type="percent" val="0"/>
        <cfvo type="num" val="0.75"/>
        <cfvo type="num" val="0.85"/>
      </iconSet>
    </cfRule>
    <cfRule type="dataBar" priority="13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{E62E40F6-52BA-4EFF-A2B5-38F1A00AEFC4}</x14:id>
        </ext>
      </extLst>
    </cfRule>
  </conditionalFormatting>
  <conditionalFormatting sqref="AZ319">
    <cfRule type="iconSet" priority="1341">
      <iconSet iconSet="3Symbols">
        <cfvo type="percent" val="0"/>
        <cfvo type="num" val="0.75"/>
        <cfvo type="num" val="0.85"/>
      </iconSet>
    </cfRule>
    <cfRule type="dataBar" priority="1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{BCE0BEF5-BBB7-4A21-A651-16C027BD4F96}</x14:id>
        </ext>
      </extLst>
    </cfRule>
  </conditionalFormatting>
  <conditionalFormatting sqref="AZ323:AZ325 AZ320">
    <cfRule type="iconSet" priority="1343">
      <iconSet iconSet="3Symbols">
        <cfvo type="percent" val="0"/>
        <cfvo type="num" val="0.75"/>
        <cfvo type="num" val="0.85"/>
      </iconSet>
    </cfRule>
    <cfRule type="dataBar" priority="13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{BF96C7E3-A656-484E-A622-2CB0AFBCA877}</x14:id>
        </ext>
      </extLst>
    </cfRule>
  </conditionalFormatting>
  <conditionalFormatting sqref="AZ326">
    <cfRule type="iconSet" priority="1345">
      <iconSet iconSet="3Symbols">
        <cfvo type="percent" val="0"/>
        <cfvo type="num" val="0.75"/>
        <cfvo type="num" val="0.85"/>
      </iconSet>
    </cfRule>
    <cfRule type="dataBar" priority="1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{03841108-BDD2-4A8B-ADC3-9B27E170BB7E}</x14:id>
        </ext>
      </extLst>
    </cfRule>
  </conditionalFormatting>
  <conditionalFormatting sqref="AZ321">
    <cfRule type="iconSet" priority="1347">
      <iconSet iconSet="3Symbols">
        <cfvo type="percent" val="0"/>
        <cfvo type="num" val="0.75"/>
        <cfvo type="num" val="0.85"/>
      </iconSet>
    </cfRule>
    <cfRule type="dataBar" priority="13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{BA732E9D-7183-44E6-BB40-95959A6D8550}</x14:id>
        </ext>
      </extLst>
    </cfRule>
  </conditionalFormatting>
  <conditionalFormatting sqref="AZ322">
    <cfRule type="iconSet" priority="1349">
      <iconSet iconSet="3Symbols">
        <cfvo type="percent" val="0"/>
        <cfvo type="num" val="0.75"/>
        <cfvo type="num" val="0.85"/>
      </iconSet>
    </cfRule>
    <cfRule type="dataBar" priority="1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{5E632290-3B6F-4F7F-9346-C7F9F57A957D}</x14:id>
        </ext>
      </extLst>
    </cfRule>
  </conditionalFormatting>
  <conditionalFormatting sqref="AZ23">
    <cfRule type="iconSet" priority="1339">
      <iconSet iconSet="3Symbols">
        <cfvo type="percent" val="0"/>
        <cfvo type="num" val="0.75"/>
        <cfvo type="num" val="0.85"/>
      </iconSet>
    </cfRule>
    <cfRule type="dataBar" priority="1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{932185D9-D44B-4575-B68B-A9A31AE9654F}</x14:id>
        </ext>
      </extLst>
    </cfRule>
  </conditionalFormatting>
  <conditionalFormatting sqref="AZ24:AZ27">
    <cfRule type="iconSet" priority="1337">
      <iconSet iconSet="3Symbols">
        <cfvo type="percent" val="0"/>
        <cfvo type="num" val="0.75"/>
        <cfvo type="num" val="0.85"/>
      </iconSet>
    </cfRule>
    <cfRule type="dataBar" priority="13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{2B7DDD22-62FA-4742-817D-21F5CE62E793}</x14:id>
        </ext>
      </extLst>
    </cfRule>
  </conditionalFormatting>
  <conditionalFormatting sqref="AZ28">
    <cfRule type="iconSet" priority="1335">
      <iconSet iconSet="3Symbols">
        <cfvo type="percent" val="0"/>
        <cfvo type="num" val="0.75"/>
        <cfvo type="num" val="0.85"/>
      </iconSet>
    </cfRule>
    <cfRule type="dataBar" priority="13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{8C6002EE-7455-433D-9DDF-4EA5CFB22593}</x14:id>
        </ext>
      </extLst>
    </cfRule>
  </conditionalFormatting>
  <conditionalFormatting sqref="AZ116 AZ125">
    <cfRule type="iconSet" priority="1325">
      <iconSet iconSet="3Symbols">
        <cfvo type="percent" val="0"/>
        <cfvo type="num" val="0.75"/>
        <cfvo type="num" val="0.85"/>
      </iconSet>
    </cfRule>
    <cfRule type="dataBar" priority="1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{8D595B6A-89B1-4228-A5F9-54B638EE3B67}</x14:id>
        </ext>
      </extLst>
    </cfRule>
  </conditionalFormatting>
  <conditionalFormatting sqref="AZ120:AZ122 AZ129:AZ131 AZ117 AZ126">
    <cfRule type="iconSet" priority="1327">
      <iconSet iconSet="3Symbols">
        <cfvo type="percent" val="0"/>
        <cfvo type="num" val="0.75"/>
        <cfvo type="num" val="0.85"/>
      </iconSet>
    </cfRule>
    <cfRule type="dataBar" priority="1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{AFE7B9F6-85C4-4F49-ABF0-383916BF00F7}</x14:id>
        </ext>
      </extLst>
    </cfRule>
  </conditionalFormatting>
  <conditionalFormatting sqref="AZ123 AZ132">
    <cfRule type="iconSet" priority="1329">
      <iconSet iconSet="3Symbols">
        <cfvo type="percent" val="0"/>
        <cfvo type="num" val="0.75"/>
        <cfvo type="num" val="0.85"/>
      </iconSet>
    </cfRule>
    <cfRule type="dataBar" priority="1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{2C67720E-FE13-4F44-9977-33C2239ADDE1}</x14:id>
        </ext>
      </extLst>
    </cfRule>
  </conditionalFormatting>
  <conditionalFormatting sqref="AZ118 AZ127">
    <cfRule type="iconSet" priority="1331">
      <iconSet iconSet="3Symbols">
        <cfvo type="percent" val="0"/>
        <cfvo type="num" val="0.75"/>
        <cfvo type="num" val="0.85"/>
      </iconSet>
    </cfRule>
    <cfRule type="dataBar" priority="1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{0DB7D3AA-12AF-4B9A-AEF6-3B145AD741C9}</x14:id>
        </ext>
      </extLst>
    </cfRule>
  </conditionalFormatting>
  <conditionalFormatting sqref="AZ119 AZ128">
    <cfRule type="iconSet" priority="1333">
      <iconSet iconSet="3Symbols">
        <cfvo type="percent" val="0"/>
        <cfvo type="num" val="0.75"/>
        <cfvo type="num" val="0.85"/>
      </iconSet>
    </cfRule>
    <cfRule type="dataBar" priority="1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{23EF2A0F-B558-444E-AFB0-44EEB2A4684C}</x14:id>
        </ext>
      </extLst>
    </cfRule>
  </conditionalFormatting>
  <conditionalFormatting sqref="AZ170">
    <cfRule type="iconSet" priority="1315">
      <iconSet iconSet="3Symbols">
        <cfvo type="percent" val="0"/>
        <cfvo type="num" val="0.75"/>
        <cfvo type="num" val="0.85"/>
      </iconSet>
    </cfRule>
    <cfRule type="dataBar" priority="13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{B41BC64B-71B2-49F1-B0F1-368E440B2C57}</x14:id>
        </ext>
      </extLst>
    </cfRule>
  </conditionalFormatting>
  <conditionalFormatting sqref="AZ174:AZ176">
    <cfRule type="iconSet" priority="1317">
      <iconSet iconSet="3Symbols">
        <cfvo type="percent" val="0"/>
        <cfvo type="num" val="0.75"/>
        <cfvo type="num" val="0.85"/>
      </iconSet>
    </cfRule>
    <cfRule type="dataBar" priority="1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{7E403C8B-A76D-415F-A7E6-6FA19EE030C0}</x14:id>
        </ext>
      </extLst>
    </cfRule>
  </conditionalFormatting>
  <conditionalFormatting sqref="AZ177">
    <cfRule type="iconSet" priority="1319">
      <iconSet iconSet="3Symbols">
        <cfvo type="percent" val="0"/>
        <cfvo type="num" val="0.75"/>
        <cfvo type="num" val="0.85"/>
      </iconSet>
    </cfRule>
    <cfRule type="dataBar" priority="13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{D7727BAD-72F8-470F-B5B0-9FA43F23E344}</x14:id>
        </ext>
      </extLst>
    </cfRule>
  </conditionalFormatting>
  <conditionalFormatting sqref="AZ172">
    <cfRule type="iconSet" priority="1321">
      <iconSet iconSet="3Symbols">
        <cfvo type="percent" val="0"/>
        <cfvo type="num" val="0.75"/>
        <cfvo type="num" val="0.85"/>
      </iconSet>
    </cfRule>
    <cfRule type="dataBar" priority="1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{DA420E42-F829-4D82-A469-6C5EAC81E687}</x14:id>
        </ext>
      </extLst>
    </cfRule>
  </conditionalFormatting>
  <conditionalFormatting sqref="AZ173">
    <cfRule type="iconSet" priority="1323">
      <iconSet iconSet="3Symbols">
        <cfvo type="percent" val="0"/>
        <cfvo type="num" val="0.75"/>
        <cfvo type="num" val="0.85"/>
      </iconSet>
    </cfRule>
    <cfRule type="dataBar" priority="1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{229D7C3E-E1A4-4277-B7F3-6CC691534BCF}</x14:id>
        </ext>
      </extLst>
    </cfRule>
  </conditionalFormatting>
  <conditionalFormatting sqref="AZ292 AZ301">
    <cfRule type="iconSet" priority="1305">
      <iconSet iconSet="3Symbols">
        <cfvo type="percent" val="0"/>
        <cfvo type="num" val="0.75"/>
        <cfvo type="num" val="0.85"/>
      </iconSet>
    </cfRule>
    <cfRule type="dataBar" priority="1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{4165F0F2-E210-4B16-97DA-502C5BBBBB7E}</x14:id>
        </ext>
      </extLst>
    </cfRule>
  </conditionalFormatting>
  <conditionalFormatting sqref="AZ296:AZ298 AZ305:AZ307 AZ293 AZ302">
    <cfRule type="iconSet" priority="1307">
      <iconSet iconSet="3Symbols">
        <cfvo type="percent" val="0"/>
        <cfvo type="num" val="0.75"/>
        <cfvo type="num" val="0.85"/>
      </iconSet>
    </cfRule>
    <cfRule type="dataBar" priority="13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{6AC7F910-872E-463C-AB0C-EA048A6711AE}</x14:id>
        </ext>
      </extLst>
    </cfRule>
  </conditionalFormatting>
  <conditionalFormatting sqref="AZ299 AZ308">
    <cfRule type="iconSet" priority="1309">
      <iconSet iconSet="3Symbols">
        <cfvo type="percent" val="0"/>
        <cfvo type="num" val="0.75"/>
        <cfvo type="num" val="0.85"/>
      </iconSet>
    </cfRule>
    <cfRule type="dataBar" priority="1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{86C7056C-DB17-4BBF-980F-942E3A67FD25}</x14:id>
        </ext>
      </extLst>
    </cfRule>
  </conditionalFormatting>
  <conditionalFormatting sqref="AZ294 AZ303">
    <cfRule type="iconSet" priority="1311">
      <iconSet iconSet="3Symbols">
        <cfvo type="percent" val="0"/>
        <cfvo type="num" val="0.75"/>
        <cfvo type="num" val="0.85"/>
      </iconSet>
    </cfRule>
    <cfRule type="dataBar" priority="1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{DE3272F2-1E90-4426-B6C2-12946EAB6011}</x14:id>
        </ext>
      </extLst>
    </cfRule>
  </conditionalFormatting>
  <conditionalFormatting sqref="AZ295 AZ304">
    <cfRule type="iconSet" priority="1313">
      <iconSet iconSet="3Symbols">
        <cfvo type="percent" val="0"/>
        <cfvo type="num" val="0.75"/>
        <cfvo type="num" val="0.85"/>
      </iconSet>
    </cfRule>
    <cfRule type="dataBar" priority="1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{9FDAC5F1-879F-4440-BD9F-891B1BCB896E}</x14:id>
        </ext>
      </extLst>
    </cfRule>
  </conditionalFormatting>
  <conditionalFormatting sqref="AZ346">
    <cfRule type="iconSet" priority="1295">
      <iconSet iconSet="3Symbols">
        <cfvo type="percent" val="0"/>
        <cfvo type="num" val="0.75"/>
        <cfvo type="num" val="0.85"/>
      </iconSet>
    </cfRule>
    <cfRule type="dataBar" priority="1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{552B14ED-98C2-4645-A994-2D2746A9736A}</x14:id>
        </ext>
      </extLst>
    </cfRule>
  </conditionalFormatting>
  <conditionalFormatting sqref="AZ350:AZ352 AZ347">
    <cfRule type="iconSet" priority="1297">
      <iconSet iconSet="3Symbols">
        <cfvo type="percent" val="0"/>
        <cfvo type="num" val="0.75"/>
        <cfvo type="num" val="0.85"/>
      </iconSet>
    </cfRule>
    <cfRule type="dataBar" priority="12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{B5226CD0-F087-4F42-A1BA-9847FB119C8E}</x14:id>
        </ext>
      </extLst>
    </cfRule>
  </conditionalFormatting>
  <conditionalFormatting sqref="AZ353">
    <cfRule type="iconSet" priority="1299">
      <iconSet iconSet="3Symbols">
        <cfvo type="percent" val="0"/>
        <cfvo type="num" val="0.75"/>
        <cfvo type="num" val="0.85"/>
      </iconSet>
    </cfRule>
    <cfRule type="dataBar" priority="13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{9E991DED-15AC-402C-89EA-A1A6ACB2D086}</x14:id>
        </ext>
      </extLst>
    </cfRule>
  </conditionalFormatting>
  <conditionalFormatting sqref="AZ348">
    <cfRule type="iconSet" priority="1301">
      <iconSet iconSet="3Symbols">
        <cfvo type="percent" val="0"/>
        <cfvo type="num" val="0.75"/>
        <cfvo type="num" val="0.85"/>
      </iconSet>
    </cfRule>
    <cfRule type="dataBar" priority="1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{DB20E886-B37D-49F4-BCFA-7DAE3FB0BC0F}</x14:id>
        </ext>
      </extLst>
    </cfRule>
  </conditionalFormatting>
  <conditionalFormatting sqref="AZ349">
    <cfRule type="iconSet" priority="1303">
      <iconSet iconSet="3Symbols">
        <cfvo type="percent" val="0"/>
        <cfvo type="num" val="0.75"/>
        <cfvo type="num" val="0.85"/>
      </iconSet>
    </cfRule>
    <cfRule type="dataBar" priority="1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{57BB406E-3D33-4A07-919D-C00B9593A572}</x14:id>
        </ext>
      </extLst>
    </cfRule>
  </conditionalFormatting>
  <conditionalFormatting sqref="AZ134">
    <cfRule type="iconSet" priority="1285">
      <iconSet iconSet="3Symbols">
        <cfvo type="percent" val="0"/>
        <cfvo type="num" val="0.75"/>
        <cfvo type="num" val="0.85"/>
      </iconSet>
    </cfRule>
    <cfRule type="dataBar" priority="12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{854C4770-C2E9-4379-8993-90A06467D498}</x14:id>
        </ext>
      </extLst>
    </cfRule>
  </conditionalFormatting>
  <conditionalFormatting sqref="AZ138:AZ140 AZ135">
    <cfRule type="iconSet" priority="1287">
      <iconSet iconSet="3Symbols">
        <cfvo type="percent" val="0"/>
        <cfvo type="num" val="0.75"/>
        <cfvo type="num" val="0.85"/>
      </iconSet>
    </cfRule>
    <cfRule type="dataBar" priority="12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{8583217A-74F9-41B0-8928-AEBA127416EB}</x14:id>
        </ext>
      </extLst>
    </cfRule>
  </conditionalFormatting>
  <conditionalFormatting sqref="AZ141">
    <cfRule type="iconSet" priority="1289">
      <iconSet iconSet="3Symbols">
        <cfvo type="percent" val="0"/>
        <cfvo type="num" val="0.75"/>
        <cfvo type="num" val="0.85"/>
      </iconSet>
    </cfRule>
    <cfRule type="dataBar" priority="1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{1951E0DC-9B61-4619-8F43-CCA3917BDF70}</x14:id>
        </ext>
      </extLst>
    </cfRule>
  </conditionalFormatting>
  <conditionalFormatting sqref="AZ136">
    <cfRule type="iconSet" priority="1291">
      <iconSet iconSet="3Symbols">
        <cfvo type="percent" val="0"/>
        <cfvo type="num" val="0.75"/>
        <cfvo type="num" val="0.85"/>
      </iconSet>
    </cfRule>
    <cfRule type="dataBar" priority="12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{DC9A6AE4-B5C4-4C04-8EA0-55C57F854D2A}</x14:id>
        </ext>
      </extLst>
    </cfRule>
  </conditionalFormatting>
  <conditionalFormatting sqref="AZ137">
    <cfRule type="iconSet" priority="1293">
      <iconSet iconSet="3Symbols">
        <cfvo type="percent" val="0"/>
        <cfvo type="num" val="0.75"/>
        <cfvo type="num" val="0.85"/>
      </iconSet>
    </cfRule>
    <cfRule type="dataBar" priority="12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{1F886B51-313F-4327-98D4-9602129122DD}</x14:id>
        </ext>
      </extLst>
    </cfRule>
  </conditionalFormatting>
  <conditionalFormatting sqref="AZ310">
    <cfRule type="iconSet" priority="1275">
      <iconSet iconSet="3Symbols">
        <cfvo type="percent" val="0"/>
        <cfvo type="num" val="0.75"/>
        <cfvo type="num" val="0.85"/>
      </iconSet>
    </cfRule>
    <cfRule type="dataBar" priority="1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{86C12255-30CE-48E1-BF34-B06D9EBBA435}</x14:id>
        </ext>
      </extLst>
    </cfRule>
  </conditionalFormatting>
  <conditionalFormatting sqref="AZ314:AZ316 AZ311">
    <cfRule type="iconSet" priority="1277">
      <iconSet iconSet="3Symbols">
        <cfvo type="percent" val="0"/>
        <cfvo type="num" val="0.75"/>
        <cfvo type="num" val="0.85"/>
      </iconSet>
    </cfRule>
    <cfRule type="dataBar" priority="1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{89274A5D-2FF0-4246-B28F-21C36A33D47A}</x14:id>
        </ext>
      </extLst>
    </cfRule>
  </conditionalFormatting>
  <conditionalFormatting sqref="AZ317">
    <cfRule type="iconSet" priority="1279">
      <iconSet iconSet="3Symbols">
        <cfvo type="percent" val="0"/>
        <cfvo type="num" val="0.75"/>
        <cfvo type="num" val="0.85"/>
      </iconSet>
    </cfRule>
    <cfRule type="dataBar" priority="1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{DCE917F3-6A5F-4DF8-84A8-2D3B2232A4A2}</x14:id>
        </ext>
      </extLst>
    </cfRule>
  </conditionalFormatting>
  <conditionalFormatting sqref="AZ312">
    <cfRule type="iconSet" priority="1281">
      <iconSet iconSet="3Symbols">
        <cfvo type="percent" val="0"/>
        <cfvo type="num" val="0.75"/>
        <cfvo type="num" val="0.85"/>
      </iconSet>
    </cfRule>
    <cfRule type="dataBar" priority="12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{56E570C7-30AE-4F9B-A011-861966722184}</x14:id>
        </ext>
      </extLst>
    </cfRule>
  </conditionalFormatting>
  <conditionalFormatting sqref="AZ313">
    <cfRule type="iconSet" priority="1283">
      <iconSet iconSet="3Symbols">
        <cfvo type="percent" val="0"/>
        <cfvo type="num" val="0.75"/>
        <cfvo type="num" val="0.85"/>
      </iconSet>
    </cfRule>
    <cfRule type="dataBar" priority="12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{99F02D60-D330-4EF8-A06E-FF36F9061D2B}</x14:id>
        </ext>
      </extLst>
    </cfRule>
  </conditionalFormatting>
  <conditionalFormatting sqref="AZ162">
    <cfRule type="iconSet" priority="1273">
      <iconSet iconSet="3Symbols">
        <cfvo type="percent" val="0"/>
        <cfvo type="num" val="0.75"/>
        <cfvo type="num" val="0.85"/>
      </iconSet>
    </cfRule>
    <cfRule type="dataBar" priority="1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{AEEF2AEF-0FB3-419C-80D9-21B783EDED06}</x14:id>
        </ext>
      </extLst>
    </cfRule>
  </conditionalFormatting>
  <conditionalFormatting sqref="AZ161">
    <cfRule type="iconSet" priority="1263">
      <iconSet iconSet="3Symbols">
        <cfvo type="percent" val="0"/>
        <cfvo type="num" val="0.75"/>
        <cfvo type="num" val="0.85"/>
      </iconSet>
    </cfRule>
    <cfRule type="dataBar" priority="1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{B844ADBA-BB50-44BF-8C42-6515868543F5}</x14:id>
        </ext>
      </extLst>
    </cfRule>
  </conditionalFormatting>
  <conditionalFormatting sqref="AZ165:AZ167">
    <cfRule type="iconSet" priority="1265">
      <iconSet iconSet="3Symbols">
        <cfvo type="percent" val="0"/>
        <cfvo type="num" val="0.75"/>
        <cfvo type="num" val="0.85"/>
      </iconSet>
    </cfRule>
    <cfRule type="dataBar" priority="1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{931C0E26-A91F-4F59-BAFB-62E8AC934335}</x14:id>
        </ext>
      </extLst>
    </cfRule>
  </conditionalFormatting>
  <conditionalFormatting sqref="AZ168">
    <cfRule type="iconSet" priority="1267">
      <iconSet iconSet="3Symbols">
        <cfvo type="percent" val="0"/>
        <cfvo type="num" val="0.75"/>
        <cfvo type="num" val="0.85"/>
      </iconSet>
    </cfRule>
    <cfRule type="dataBar" priority="12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{42884FC0-37BB-44B1-ADFF-CB24693FC2D8}</x14:id>
        </ext>
      </extLst>
    </cfRule>
  </conditionalFormatting>
  <conditionalFormatting sqref="AZ163">
    <cfRule type="iconSet" priority="1269">
      <iconSet iconSet="3Symbols">
        <cfvo type="percent" val="0"/>
        <cfvo type="num" val="0.75"/>
        <cfvo type="num" val="0.85"/>
      </iconSet>
    </cfRule>
    <cfRule type="dataBar" priority="12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{4A04CF2B-8233-4916-8E47-699E88E3D4A7}</x14:id>
        </ext>
      </extLst>
    </cfRule>
  </conditionalFormatting>
  <conditionalFormatting sqref="AZ164">
    <cfRule type="iconSet" priority="1271">
      <iconSet iconSet="3Symbols">
        <cfvo type="percent" val="0"/>
        <cfvo type="num" val="0.75"/>
        <cfvo type="num" val="0.85"/>
      </iconSet>
    </cfRule>
    <cfRule type="dataBar" priority="1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{DC592A14-A9C4-486C-858D-17B7AC4CA867}</x14:id>
        </ext>
      </extLst>
    </cfRule>
  </conditionalFormatting>
  <conditionalFormatting sqref="AZ337">
    <cfRule type="iconSet" priority="1253">
      <iconSet iconSet="3Symbols">
        <cfvo type="percent" val="0"/>
        <cfvo type="num" val="0.75"/>
        <cfvo type="num" val="0.85"/>
      </iconSet>
    </cfRule>
    <cfRule type="dataBar" priority="1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{B5260AEF-DA76-4929-94D0-9D5F7054469F}</x14:id>
        </ext>
      </extLst>
    </cfRule>
  </conditionalFormatting>
  <conditionalFormatting sqref="AZ341:AZ343 AZ338">
    <cfRule type="iconSet" priority="1255">
      <iconSet iconSet="3Symbols">
        <cfvo type="percent" val="0"/>
        <cfvo type="num" val="0.75"/>
        <cfvo type="num" val="0.85"/>
      </iconSet>
    </cfRule>
    <cfRule type="dataBar" priority="1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{12A92EFE-1838-459C-872A-425B330375C2}</x14:id>
        </ext>
      </extLst>
    </cfRule>
  </conditionalFormatting>
  <conditionalFormatting sqref="AZ344">
    <cfRule type="iconSet" priority="1257">
      <iconSet iconSet="3Symbols">
        <cfvo type="percent" val="0"/>
        <cfvo type="num" val="0.75"/>
        <cfvo type="num" val="0.85"/>
      </iconSet>
    </cfRule>
    <cfRule type="dataBar" priority="1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{80FF124E-5CEE-4BE3-84C4-211D43EC793D}</x14:id>
        </ext>
      </extLst>
    </cfRule>
  </conditionalFormatting>
  <conditionalFormatting sqref="AZ339">
    <cfRule type="iconSet" priority="1259">
      <iconSet iconSet="3Symbols">
        <cfvo type="percent" val="0"/>
        <cfvo type="num" val="0.75"/>
        <cfvo type="num" val="0.85"/>
      </iconSet>
    </cfRule>
    <cfRule type="dataBar" priority="1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{586BE688-181D-4866-B2D1-5AF4837383D7}</x14:id>
        </ext>
      </extLst>
    </cfRule>
  </conditionalFormatting>
  <conditionalFormatting sqref="AZ340">
    <cfRule type="iconSet" priority="1261">
      <iconSet iconSet="3Symbols">
        <cfvo type="percent" val="0"/>
        <cfvo type="num" val="0.75"/>
        <cfvo type="num" val="0.85"/>
      </iconSet>
    </cfRule>
    <cfRule type="dataBar" priority="1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{CC0AB7AE-63C9-4704-826F-C95344249B21}</x14:id>
        </ext>
      </extLst>
    </cfRule>
  </conditionalFormatting>
  <conditionalFormatting sqref="AZ9">
    <cfRule type="iconSet" priority="1251">
      <iconSet iconSet="3Symbols">
        <cfvo type="percent" val="0"/>
        <cfvo type="num" val="0.75"/>
        <cfvo type="num" val="0.85"/>
      </iconSet>
    </cfRule>
    <cfRule type="dataBar" priority="1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{8744D7B0-314D-4CC6-81D0-693C24097E36}</x14:id>
        </ext>
      </extLst>
    </cfRule>
  </conditionalFormatting>
  <conditionalFormatting sqref="AZ16">
    <cfRule type="iconSet" priority="1249">
      <iconSet iconSet="3Symbols">
        <cfvo type="percent" val="0"/>
        <cfvo type="num" val="0.75"/>
        <cfvo type="num" val="0.85"/>
      </iconSet>
    </cfRule>
    <cfRule type="dataBar" priority="12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{DE503842-1A25-42A9-BB65-3B55E5F6F410}</x14:id>
        </ext>
      </extLst>
    </cfRule>
  </conditionalFormatting>
  <conditionalFormatting sqref="AZ17:AZ20">
    <cfRule type="iconSet" priority="1247">
      <iconSet iconSet="3Symbols">
        <cfvo type="percent" val="0"/>
        <cfvo type="num" val="0.75"/>
        <cfvo type="num" val="0.85"/>
      </iconSet>
    </cfRule>
    <cfRule type="dataBar" priority="1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{A2DD8C0F-1336-4390-BD86-C434484E1FDA}</x14:id>
        </ext>
      </extLst>
    </cfRule>
  </conditionalFormatting>
  <conditionalFormatting sqref="AZ21">
    <cfRule type="iconSet" priority="1245">
      <iconSet iconSet="3Symbols">
        <cfvo type="percent" val="0"/>
        <cfvo type="num" val="0.75"/>
        <cfvo type="num" val="0.85"/>
      </iconSet>
    </cfRule>
    <cfRule type="dataBar" priority="12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{E92412B5-F55D-4C2F-B772-F68A9B756912}</x14:id>
        </ext>
      </extLst>
    </cfRule>
  </conditionalFormatting>
  <conditionalFormatting sqref="AZ192">
    <cfRule type="iconSet" priority="1243">
      <iconSet iconSet="3Symbols">
        <cfvo type="percent" val="0"/>
        <cfvo type="num" val="0.75"/>
        <cfvo type="num" val="0.85"/>
      </iconSet>
    </cfRule>
    <cfRule type="dataBar" priority="12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{F3E4C4D1-94DF-4F12-BC1B-601B79B4DBEF}</x14:id>
        </ext>
      </extLst>
    </cfRule>
  </conditionalFormatting>
  <conditionalFormatting sqref="AZ193:AZ196">
    <cfRule type="iconSet" priority="1241">
      <iconSet iconSet="3Symbols">
        <cfvo type="percent" val="0"/>
        <cfvo type="num" val="0.75"/>
        <cfvo type="num" val="0.85"/>
      </iconSet>
    </cfRule>
    <cfRule type="dataBar" priority="1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{A0E710CE-BBB7-42E5-8839-7B149DA5A497}</x14:id>
        </ext>
      </extLst>
    </cfRule>
  </conditionalFormatting>
  <conditionalFormatting sqref="AZ197">
    <cfRule type="iconSet" priority="1239">
      <iconSet iconSet="3Symbols">
        <cfvo type="percent" val="0"/>
        <cfvo type="num" val="0.75"/>
        <cfvo type="num" val="0.85"/>
      </iconSet>
    </cfRule>
    <cfRule type="dataBar" priority="1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{FB90E7DC-44C2-453B-ABAF-70F255657613}</x14:id>
        </ext>
      </extLst>
    </cfRule>
  </conditionalFormatting>
  <conditionalFormatting sqref="AZ89">
    <cfRule type="iconSet" priority="1229">
      <iconSet iconSet="3Symbols">
        <cfvo type="percent" val="0"/>
        <cfvo type="num" val="0.75"/>
        <cfvo type="num" val="0.85"/>
      </iconSet>
    </cfRule>
    <cfRule type="dataBar" priority="1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{FE239409-CB1B-4FAD-BCD4-CAA7D3FFEDF4}</x14:id>
        </ext>
      </extLst>
    </cfRule>
  </conditionalFormatting>
  <conditionalFormatting sqref="AZ93:AZ95 AZ90">
    <cfRule type="iconSet" priority="1231">
      <iconSet iconSet="3Symbols">
        <cfvo type="percent" val="0"/>
        <cfvo type="num" val="0.75"/>
        <cfvo type="num" val="0.85"/>
      </iconSet>
    </cfRule>
    <cfRule type="dataBar" priority="1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{D54E39C4-731D-4BE8-8B9C-1CF352CA3875}</x14:id>
        </ext>
      </extLst>
    </cfRule>
  </conditionalFormatting>
  <conditionalFormatting sqref="AZ96">
    <cfRule type="iconSet" priority="1233">
      <iconSet iconSet="3Symbols">
        <cfvo type="percent" val="0"/>
        <cfvo type="num" val="0.75"/>
        <cfvo type="num" val="0.85"/>
      </iconSet>
    </cfRule>
    <cfRule type="dataBar" priority="1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{8DB567B7-E89E-4339-A1FF-A7D52A02E5E9}</x14:id>
        </ext>
      </extLst>
    </cfRule>
  </conditionalFormatting>
  <conditionalFormatting sqref="AZ91">
    <cfRule type="iconSet" priority="1235">
      <iconSet iconSet="3Symbols">
        <cfvo type="percent" val="0"/>
        <cfvo type="num" val="0.75"/>
        <cfvo type="num" val="0.85"/>
      </iconSet>
    </cfRule>
    <cfRule type="dataBar" priority="1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{74D6BEE6-C0DF-45E9-8C39-1EF81A2F13EB}</x14:id>
        </ext>
      </extLst>
    </cfRule>
  </conditionalFormatting>
  <conditionalFormatting sqref="AZ92">
    <cfRule type="iconSet" priority="1237">
      <iconSet iconSet="3Symbols">
        <cfvo type="percent" val="0"/>
        <cfvo type="num" val="0.75"/>
        <cfvo type="num" val="0.85"/>
      </iconSet>
    </cfRule>
    <cfRule type="dataBar" priority="1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{245735FB-7143-4F1F-BA2B-7946E770B44B}</x14:id>
        </ext>
      </extLst>
    </cfRule>
  </conditionalFormatting>
  <conditionalFormatting sqref="AZ265">
    <cfRule type="iconSet" priority="1219">
      <iconSet iconSet="3Symbols">
        <cfvo type="percent" val="0"/>
        <cfvo type="num" val="0.75"/>
        <cfvo type="num" val="0.85"/>
      </iconSet>
    </cfRule>
    <cfRule type="dataBar" priority="1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{D124C2F8-CE41-4802-8AA9-210647EC2422}</x14:id>
        </ext>
      </extLst>
    </cfRule>
  </conditionalFormatting>
  <conditionalFormatting sqref="AZ269:AZ271 AZ266">
    <cfRule type="iconSet" priority="1221">
      <iconSet iconSet="3Symbols">
        <cfvo type="percent" val="0"/>
        <cfvo type="num" val="0.75"/>
        <cfvo type="num" val="0.85"/>
      </iconSet>
    </cfRule>
    <cfRule type="dataBar" priority="12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{2F85C568-8328-4C54-8FB4-F8630BAEF956}</x14:id>
        </ext>
      </extLst>
    </cfRule>
  </conditionalFormatting>
  <conditionalFormatting sqref="AZ272">
    <cfRule type="iconSet" priority="1223">
      <iconSet iconSet="3Symbols">
        <cfvo type="percent" val="0"/>
        <cfvo type="num" val="0.75"/>
        <cfvo type="num" val="0.85"/>
      </iconSet>
    </cfRule>
    <cfRule type="dataBar" priority="1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{9392F3F3-F539-4415-8A48-37D5F12001E2}</x14:id>
        </ext>
      </extLst>
    </cfRule>
  </conditionalFormatting>
  <conditionalFormatting sqref="AZ267">
    <cfRule type="iconSet" priority="1225">
      <iconSet iconSet="3Symbols">
        <cfvo type="percent" val="0"/>
        <cfvo type="num" val="0.75"/>
        <cfvo type="num" val="0.85"/>
      </iconSet>
    </cfRule>
    <cfRule type="dataBar" priority="1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{FEBFD08A-3D41-4F7A-BC28-8EA48DCEAC76}</x14:id>
        </ext>
      </extLst>
    </cfRule>
  </conditionalFormatting>
  <conditionalFormatting sqref="AZ268">
    <cfRule type="iconSet" priority="1227">
      <iconSet iconSet="3Symbols">
        <cfvo type="percent" val="0"/>
        <cfvo type="num" val="0.75"/>
        <cfvo type="num" val="0.85"/>
      </iconSet>
    </cfRule>
    <cfRule type="dataBar" priority="1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{942B824D-FEF3-40BC-A207-977E57200D99}</x14:id>
        </ext>
      </extLst>
    </cfRule>
  </conditionalFormatting>
  <conditionalFormatting sqref="AZ37">
    <cfRule type="iconSet" priority="1217">
      <iconSet iconSet="3Symbols">
        <cfvo type="percent" val="0"/>
        <cfvo type="num" val="0.75"/>
        <cfvo type="num" val="0.85"/>
      </iconSet>
    </cfRule>
    <cfRule type="dataBar" priority="1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{4F4DFDD1-B82F-41F3-B5EE-0B8B3C89C146}</x14:id>
        </ext>
      </extLst>
    </cfRule>
  </conditionalFormatting>
  <conditionalFormatting sqref="AZ38:AZ41">
    <cfRule type="iconSet" priority="1215">
      <iconSet iconSet="3Symbols">
        <cfvo type="percent" val="0"/>
        <cfvo type="num" val="0.75"/>
        <cfvo type="num" val="0.85"/>
      </iconSet>
    </cfRule>
    <cfRule type="dataBar" priority="12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{7D208BA4-05B9-461C-A4B3-3B63A95DAF02}</x14:id>
        </ext>
      </extLst>
    </cfRule>
  </conditionalFormatting>
  <conditionalFormatting sqref="AZ42">
    <cfRule type="iconSet" priority="1213">
      <iconSet iconSet="3Symbols">
        <cfvo type="percent" val="0"/>
        <cfvo type="num" val="0.75"/>
        <cfvo type="num" val="0.85"/>
      </iconSet>
    </cfRule>
    <cfRule type="dataBar" priority="1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{BAFFB13E-2296-4542-8627-4AB3635898F1}</x14:id>
        </ext>
      </extLst>
    </cfRule>
  </conditionalFormatting>
  <conditionalFormatting sqref="AZ30">
    <cfRule type="iconSet" priority="1211">
      <iconSet iconSet="3Symbols">
        <cfvo type="percent" val="0"/>
        <cfvo type="num" val="0.75"/>
        <cfvo type="num" val="0.85"/>
      </iconSet>
    </cfRule>
    <cfRule type="dataBar" priority="1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{9055359A-37B0-4265-937A-15795299B7F7}</x14:id>
        </ext>
      </extLst>
    </cfRule>
  </conditionalFormatting>
  <conditionalFormatting sqref="AZ31:AZ34">
    <cfRule type="iconSet" priority="1209">
      <iconSet iconSet="3Symbols">
        <cfvo type="percent" val="0"/>
        <cfvo type="num" val="0.75"/>
        <cfvo type="num" val="0.85"/>
      </iconSet>
    </cfRule>
    <cfRule type="dataBar" priority="12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{9B1E7175-B736-493E-9097-42C7C1AC7687}</x14:id>
        </ext>
      </extLst>
    </cfRule>
  </conditionalFormatting>
  <conditionalFormatting sqref="AZ35">
    <cfRule type="iconSet" priority="1207">
      <iconSet iconSet="3Symbols">
        <cfvo type="percent" val="0"/>
        <cfvo type="num" val="0.75"/>
        <cfvo type="num" val="0.85"/>
      </iconSet>
    </cfRule>
    <cfRule type="dataBar" priority="12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{2F107F2B-70C0-46D1-917F-CE84952DE340}</x14:id>
        </ext>
      </extLst>
    </cfRule>
  </conditionalFormatting>
  <conditionalFormatting sqref="AZ199">
    <cfRule type="iconSet" priority="1205">
      <iconSet iconSet="3Symbols">
        <cfvo type="percent" val="0"/>
        <cfvo type="num" val="0.75"/>
        <cfvo type="num" val="0.85"/>
      </iconSet>
    </cfRule>
    <cfRule type="dataBar" priority="1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{A2770C3F-EA09-4598-9135-1177DDFD9129}</x14:id>
        </ext>
      </extLst>
    </cfRule>
  </conditionalFormatting>
  <conditionalFormatting sqref="AZ200:AZ203">
    <cfRule type="iconSet" priority="1203">
      <iconSet iconSet="3Symbols">
        <cfvo type="percent" val="0"/>
        <cfvo type="num" val="0.75"/>
        <cfvo type="num" val="0.85"/>
      </iconSet>
    </cfRule>
    <cfRule type="dataBar" priority="1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{71BBEBE9-F5EC-4BC0-B78B-0AE11CA9C44C}</x14:id>
        </ext>
      </extLst>
    </cfRule>
  </conditionalFormatting>
  <conditionalFormatting sqref="AZ204">
    <cfRule type="iconSet" priority="1201">
      <iconSet iconSet="3Symbols">
        <cfvo type="percent" val="0"/>
        <cfvo type="num" val="0.75"/>
        <cfvo type="num" val="0.85"/>
      </iconSet>
    </cfRule>
    <cfRule type="dataBar" priority="12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{BEBB0F08-C056-4A6B-B6C8-6A84C9988802}</x14:id>
        </ext>
      </extLst>
    </cfRule>
  </conditionalFormatting>
  <conditionalFormatting sqref="AZ206">
    <cfRule type="iconSet" priority="1199">
      <iconSet iconSet="3Symbols">
        <cfvo type="percent" val="0"/>
        <cfvo type="num" val="0.75"/>
        <cfvo type="num" val="0.85"/>
      </iconSet>
    </cfRule>
    <cfRule type="dataBar" priority="1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{D62E9ACF-3307-4646-A832-54C8AE1A5D30}</x14:id>
        </ext>
      </extLst>
    </cfRule>
  </conditionalFormatting>
  <conditionalFormatting sqref="AZ207:AZ210">
    <cfRule type="iconSet" priority="1197">
      <iconSet iconSet="3Symbols">
        <cfvo type="percent" val="0"/>
        <cfvo type="num" val="0.75"/>
        <cfvo type="num" val="0.85"/>
      </iconSet>
    </cfRule>
    <cfRule type="dataBar" priority="1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{AEAEE25E-35D9-4418-98A7-97611F8DFC35}</x14:id>
        </ext>
      </extLst>
    </cfRule>
  </conditionalFormatting>
  <conditionalFormatting sqref="AZ211">
    <cfRule type="iconSet" priority="1195">
      <iconSet iconSet="3Symbols">
        <cfvo type="percent" val="0"/>
        <cfvo type="num" val="0.75"/>
        <cfvo type="num" val="0.85"/>
      </iconSet>
    </cfRule>
    <cfRule type="dataBar" priority="11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{B1A3D163-83C3-41FC-843E-405A78D5530A}</x14:id>
        </ext>
      </extLst>
    </cfRule>
  </conditionalFormatting>
  <conditionalFormatting sqref="AZ213">
    <cfRule type="iconSet" priority="1193">
      <iconSet iconSet="3Symbols">
        <cfvo type="percent" val="0"/>
        <cfvo type="num" val="0.75"/>
        <cfvo type="num" val="0.85"/>
      </iconSet>
    </cfRule>
    <cfRule type="dataBar" priority="1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{8131885B-6D70-4833-9175-71FD3106632C}</x14:id>
        </ext>
      </extLst>
    </cfRule>
  </conditionalFormatting>
  <conditionalFormatting sqref="AZ214:AZ217">
    <cfRule type="iconSet" priority="1191">
      <iconSet iconSet="3Symbols">
        <cfvo type="percent" val="0"/>
        <cfvo type="num" val="0.75"/>
        <cfvo type="num" val="0.85"/>
      </iconSet>
    </cfRule>
    <cfRule type="dataBar" priority="1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{4D7E2DAA-5463-4FE9-930B-67C8F11A9546}</x14:id>
        </ext>
      </extLst>
    </cfRule>
  </conditionalFormatting>
  <conditionalFormatting sqref="AZ218">
    <cfRule type="iconSet" priority="1189">
      <iconSet iconSet="3Symbols">
        <cfvo type="percent" val="0"/>
        <cfvo type="num" val="0.75"/>
        <cfvo type="num" val="0.85"/>
      </iconSet>
    </cfRule>
    <cfRule type="dataBar" priority="1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{B9BEFEE7-8C05-4518-B100-38ECBD59F93A}</x14:id>
        </ext>
      </extLst>
    </cfRule>
  </conditionalFormatting>
  <conditionalFormatting sqref="AZ405 AZ450 AZ414 AZ423 AZ459">
    <cfRule type="iconSet" priority="1179">
      <iconSet iconSet="3Symbols">
        <cfvo type="percent" val="0"/>
        <cfvo type="num" val="0.75"/>
        <cfvo type="num" val="0.85"/>
      </iconSet>
    </cfRule>
    <cfRule type="dataBar" priority="11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{88AC8BCB-BFF7-4A22-A84A-6CF25B53206A}</x14:id>
        </ext>
      </extLst>
    </cfRule>
  </conditionalFormatting>
  <conditionalFormatting sqref="AZ454:AZ456 AZ409:AZ411 AZ418:AZ420 AZ427:AZ429 AZ463:AZ465 AZ406 AZ415 AZ424 AZ451 AZ460">
    <cfRule type="iconSet" priority="1181">
      <iconSet iconSet="3Symbols">
        <cfvo type="percent" val="0"/>
        <cfvo type="num" val="0.75"/>
        <cfvo type="num" val="0.85"/>
      </iconSet>
    </cfRule>
    <cfRule type="dataBar" priority="1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{07C498CF-8216-4A5B-971A-C0CB511DF227}</x14:id>
        </ext>
      </extLst>
    </cfRule>
  </conditionalFormatting>
  <conditionalFormatting sqref="AZ412 AZ457 AZ421 AZ430 AZ466">
    <cfRule type="iconSet" priority="1183">
      <iconSet iconSet="3Symbols">
        <cfvo type="percent" val="0"/>
        <cfvo type="num" val="0.75"/>
        <cfvo type="num" val="0.85"/>
      </iconSet>
    </cfRule>
    <cfRule type="dataBar" priority="11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{0D1B1320-87C4-4BAE-932C-7E9CE36CDA3F}</x14:id>
        </ext>
      </extLst>
    </cfRule>
  </conditionalFormatting>
  <conditionalFormatting sqref="AZ407 AZ452 AZ416 AZ425 AZ461">
    <cfRule type="iconSet" priority="1185">
      <iconSet iconSet="3Symbols">
        <cfvo type="percent" val="0"/>
        <cfvo type="num" val="0.75"/>
        <cfvo type="num" val="0.85"/>
      </iconSet>
    </cfRule>
    <cfRule type="dataBar" priority="1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{850A86B0-C3C3-4204-94F2-A78D37B40EB4}</x14:id>
        </ext>
      </extLst>
    </cfRule>
  </conditionalFormatting>
  <conditionalFormatting sqref="AZ408 AZ453 AZ417 AZ426 AZ462">
    <cfRule type="iconSet" priority="1187">
      <iconSet iconSet="3Symbols">
        <cfvo type="percent" val="0"/>
        <cfvo type="num" val="0.75"/>
        <cfvo type="num" val="0.85"/>
      </iconSet>
    </cfRule>
    <cfRule type="dataBar" priority="1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{ED158A02-ABA2-4B72-A468-0A86378C6E01}</x14:id>
        </ext>
      </extLst>
    </cfRule>
  </conditionalFormatting>
  <conditionalFormatting sqref="AZ432">
    <cfRule type="iconSet" priority="1169">
      <iconSet iconSet="3Symbols">
        <cfvo type="percent" val="0"/>
        <cfvo type="num" val="0.75"/>
        <cfvo type="num" val="0.85"/>
      </iconSet>
    </cfRule>
    <cfRule type="dataBar" priority="1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{482350DE-94F3-4315-8DAE-571731ADA045}</x14:id>
        </ext>
      </extLst>
    </cfRule>
  </conditionalFormatting>
  <conditionalFormatting sqref="AZ436:AZ438 AZ433">
    <cfRule type="iconSet" priority="1171">
      <iconSet iconSet="3Symbols">
        <cfvo type="percent" val="0"/>
        <cfvo type="num" val="0.75"/>
        <cfvo type="num" val="0.85"/>
      </iconSet>
    </cfRule>
    <cfRule type="dataBar" priority="1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{78BBFD6A-6DAB-4E54-9A6F-C6DC7B86C050}</x14:id>
        </ext>
      </extLst>
    </cfRule>
  </conditionalFormatting>
  <conditionalFormatting sqref="AZ439">
    <cfRule type="iconSet" priority="1173">
      <iconSet iconSet="3Symbols">
        <cfvo type="percent" val="0"/>
        <cfvo type="num" val="0.75"/>
        <cfvo type="num" val="0.85"/>
      </iconSet>
    </cfRule>
    <cfRule type="dataBar" priority="11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{5F3BDB9C-4290-4CEF-83C3-D1D5E84E6069}</x14:id>
        </ext>
      </extLst>
    </cfRule>
  </conditionalFormatting>
  <conditionalFormatting sqref="AZ434">
    <cfRule type="iconSet" priority="1175">
      <iconSet iconSet="3Symbols">
        <cfvo type="percent" val="0"/>
        <cfvo type="num" val="0.75"/>
        <cfvo type="num" val="0.85"/>
      </iconSet>
    </cfRule>
    <cfRule type="dataBar" priority="11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{C86EB87F-C3AC-4DCA-8581-D2EF86CB1E61}</x14:id>
        </ext>
      </extLst>
    </cfRule>
  </conditionalFormatting>
  <conditionalFormatting sqref="AZ435">
    <cfRule type="iconSet" priority="1177">
      <iconSet iconSet="3Symbols">
        <cfvo type="percent" val="0"/>
        <cfvo type="num" val="0.75"/>
        <cfvo type="num" val="0.85"/>
      </iconSet>
    </cfRule>
    <cfRule type="dataBar" priority="1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{06EAAB84-74F7-43CE-9500-7050793E0B7B}</x14:id>
        </ext>
      </extLst>
    </cfRule>
  </conditionalFormatting>
  <conditionalFormatting sqref="AZ361">
    <cfRule type="iconSet" priority="1167">
      <iconSet iconSet="3Symbols">
        <cfvo type="percent" val="0"/>
        <cfvo type="num" val="0.75"/>
        <cfvo type="num" val="0.85"/>
      </iconSet>
    </cfRule>
    <cfRule type="dataBar" priority="1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{D55C77D0-AA4A-4EB6-93EA-CF27B17B20EF}</x14:id>
        </ext>
      </extLst>
    </cfRule>
  </conditionalFormatting>
  <conditionalFormatting sqref="AZ362:AZ365">
    <cfRule type="iconSet" priority="1165">
      <iconSet iconSet="3Symbols">
        <cfvo type="percent" val="0"/>
        <cfvo type="num" val="0.75"/>
        <cfvo type="num" val="0.85"/>
      </iconSet>
    </cfRule>
    <cfRule type="dataBar" priority="1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{8316C54B-B76D-400E-BB98-BF2290ABC472}</x14:id>
        </ext>
      </extLst>
    </cfRule>
  </conditionalFormatting>
  <conditionalFormatting sqref="AZ366">
    <cfRule type="iconSet" priority="1163">
      <iconSet iconSet="3Symbols">
        <cfvo type="percent" val="0"/>
        <cfvo type="num" val="0.75"/>
        <cfvo type="num" val="0.85"/>
      </iconSet>
    </cfRule>
    <cfRule type="dataBar" priority="1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{C1EEBBDA-F449-4382-A729-E2C8334591B5}</x14:id>
        </ext>
      </extLst>
    </cfRule>
  </conditionalFormatting>
  <conditionalFormatting sqref="AZ397">
    <cfRule type="iconSet" priority="1161">
      <iconSet iconSet="3Symbols">
        <cfvo type="percent" val="0"/>
        <cfvo type="num" val="0.75"/>
        <cfvo type="num" val="0.85"/>
      </iconSet>
    </cfRule>
    <cfRule type="dataBar" priority="1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{0ECA6D0E-063A-4AE8-9EA4-206006D39C59}</x14:id>
        </ext>
      </extLst>
    </cfRule>
  </conditionalFormatting>
  <conditionalFormatting sqref="AZ396">
    <cfRule type="iconSet" priority="1151">
      <iconSet iconSet="3Symbols">
        <cfvo type="percent" val="0"/>
        <cfvo type="num" val="0.75"/>
        <cfvo type="num" val="0.85"/>
      </iconSet>
    </cfRule>
    <cfRule type="dataBar" priority="1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{FFABE993-4733-4405-A29B-00D49E531470}</x14:id>
        </ext>
      </extLst>
    </cfRule>
  </conditionalFormatting>
  <conditionalFormatting sqref="AZ400:AZ402">
    <cfRule type="iconSet" priority="1153">
      <iconSet iconSet="3Symbols">
        <cfvo type="percent" val="0"/>
        <cfvo type="num" val="0.75"/>
        <cfvo type="num" val="0.85"/>
      </iconSet>
    </cfRule>
    <cfRule type="dataBar" priority="1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{984F6B98-6781-48CD-947C-4AE332A12238}</x14:id>
        </ext>
      </extLst>
    </cfRule>
  </conditionalFormatting>
  <conditionalFormatting sqref="AZ403">
    <cfRule type="iconSet" priority="1155">
      <iconSet iconSet="3Symbols">
        <cfvo type="percent" val="0"/>
        <cfvo type="num" val="0.75"/>
        <cfvo type="num" val="0.85"/>
      </iconSet>
    </cfRule>
    <cfRule type="dataBar" priority="1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{04716D56-C010-449A-BA18-C359D61A2D95}</x14:id>
        </ext>
      </extLst>
    </cfRule>
  </conditionalFormatting>
  <conditionalFormatting sqref="AZ398">
    <cfRule type="iconSet" priority="1157">
      <iconSet iconSet="3Symbols">
        <cfvo type="percent" val="0"/>
        <cfvo type="num" val="0.75"/>
        <cfvo type="num" val="0.85"/>
      </iconSet>
    </cfRule>
    <cfRule type="dataBar" priority="1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{2157D524-153E-4DFB-98A9-E0A354BE8956}</x14:id>
        </ext>
      </extLst>
    </cfRule>
  </conditionalFormatting>
  <conditionalFormatting sqref="AZ399">
    <cfRule type="iconSet" priority="1159">
      <iconSet iconSet="3Symbols">
        <cfvo type="percent" val="0"/>
        <cfvo type="num" val="0.75"/>
        <cfvo type="num" val="0.85"/>
      </iconSet>
    </cfRule>
    <cfRule type="dataBar" priority="11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{16D573D9-F66F-407F-84CF-D1A555FC0073}</x14:id>
        </ext>
      </extLst>
    </cfRule>
  </conditionalFormatting>
  <conditionalFormatting sqref="AZ504">
    <cfRule type="iconSet" priority="1141">
      <iconSet iconSet="3Symbols">
        <cfvo type="percent" val="0"/>
        <cfvo type="num" val="0.75"/>
        <cfvo type="num" val="0.85"/>
      </iconSet>
    </cfRule>
    <cfRule type="dataBar" priority="1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{33F6565B-2DB9-4829-B0C1-FCDD32D04079}</x14:id>
        </ext>
      </extLst>
    </cfRule>
  </conditionalFormatting>
  <conditionalFormatting sqref="AZ508:AZ510 AZ505">
    <cfRule type="iconSet" priority="1143">
      <iconSet iconSet="3Symbols">
        <cfvo type="percent" val="0"/>
        <cfvo type="num" val="0.75"/>
        <cfvo type="num" val="0.85"/>
      </iconSet>
    </cfRule>
    <cfRule type="dataBar" priority="11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{81003B8B-2A59-4683-963A-5CEEDF430E8A}</x14:id>
        </ext>
      </extLst>
    </cfRule>
  </conditionalFormatting>
  <conditionalFormatting sqref="AZ511">
    <cfRule type="iconSet" priority="1145">
      <iconSet iconSet="3Symbols">
        <cfvo type="percent" val="0"/>
        <cfvo type="num" val="0.75"/>
        <cfvo type="num" val="0.85"/>
      </iconSet>
    </cfRule>
    <cfRule type="dataBar" priority="1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{180CBDA6-AED9-4FE4-B262-11C29C6190DC}</x14:id>
        </ext>
      </extLst>
    </cfRule>
  </conditionalFormatting>
  <conditionalFormatting sqref="AZ506">
    <cfRule type="iconSet" priority="1147">
      <iconSet iconSet="3Symbols">
        <cfvo type="percent" val="0"/>
        <cfvo type="num" val="0.75"/>
        <cfvo type="num" val="0.85"/>
      </iconSet>
    </cfRule>
    <cfRule type="dataBar" priority="11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{ABC79DBA-1103-419F-8179-16D1DEEF715E}</x14:id>
        </ext>
      </extLst>
    </cfRule>
  </conditionalFormatting>
  <conditionalFormatting sqref="AZ507">
    <cfRule type="iconSet" priority="1149">
      <iconSet iconSet="3Symbols">
        <cfvo type="percent" val="0"/>
        <cfvo type="num" val="0.75"/>
        <cfvo type="num" val="0.85"/>
      </iconSet>
    </cfRule>
    <cfRule type="dataBar" priority="11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{A4FBF86D-C2B6-4CEC-B1B8-383575A18441}</x14:id>
        </ext>
      </extLst>
    </cfRule>
  </conditionalFormatting>
  <conditionalFormatting sqref="AZ495">
    <cfRule type="iconSet" priority="1131">
      <iconSet iconSet="3Symbols">
        <cfvo type="percent" val="0"/>
        <cfvo type="num" val="0.75"/>
        <cfvo type="num" val="0.85"/>
      </iconSet>
    </cfRule>
    <cfRule type="dataBar" priority="1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{179B5418-432D-4F29-AA73-BA8C34A4B151}</x14:id>
        </ext>
      </extLst>
    </cfRule>
  </conditionalFormatting>
  <conditionalFormatting sqref="AZ499:AZ501 AZ496">
    <cfRule type="iconSet" priority="1133">
      <iconSet iconSet="3Symbols">
        <cfvo type="percent" val="0"/>
        <cfvo type="num" val="0.75"/>
        <cfvo type="num" val="0.85"/>
      </iconSet>
    </cfRule>
    <cfRule type="dataBar" priority="1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{E368BBD6-0150-4274-A91F-E9BDB1089826}</x14:id>
        </ext>
      </extLst>
    </cfRule>
  </conditionalFormatting>
  <conditionalFormatting sqref="AZ502">
    <cfRule type="iconSet" priority="1135">
      <iconSet iconSet="3Symbols">
        <cfvo type="percent" val="0"/>
        <cfvo type="num" val="0.75"/>
        <cfvo type="num" val="0.85"/>
      </iconSet>
    </cfRule>
    <cfRule type="dataBar" priority="1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{C8EB3DA1-9BBF-4DAC-B7AE-EF777C447FDE}</x14:id>
        </ext>
      </extLst>
    </cfRule>
  </conditionalFormatting>
  <conditionalFormatting sqref="AZ497">
    <cfRule type="iconSet" priority="1137">
      <iconSet iconSet="3Symbols">
        <cfvo type="percent" val="0"/>
        <cfvo type="num" val="0.75"/>
        <cfvo type="num" val="0.85"/>
      </iconSet>
    </cfRule>
    <cfRule type="dataBar" priority="11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{48D1B1F3-45EE-4458-B63F-3C35B76FA452}</x14:id>
        </ext>
      </extLst>
    </cfRule>
  </conditionalFormatting>
  <conditionalFormatting sqref="AZ498">
    <cfRule type="iconSet" priority="1139">
      <iconSet iconSet="3Symbols">
        <cfvo type="percent" val="0"/>
        <cfvo type="num" val="0.75"/>
        <cfvo type="num" val="0.85"/>
      </iconSet>
    </cfRule>
    <cfRule type="dataBar" priority="11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{DF2A8005-080F-482C-AC9E-0BA4AB66E582}</x14:id>
        </ext>
      </extLst>
    </cfRule>
  </conditionalFormatting>
  <conditionalFormatting sqref="AZ468 AZ477">
    <cfRule type="iconSet" priority="1121">
      <iconSet iconSet="3Symbols">
        <cfvo type="percent" val="0"/>
        <cfvo type="num" val="0.75"/>
        <cfvo type="num" val="0.85"/>
      </iconSet>
    </cfRule>
    <cfRule type="dataBar" priority="1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{A4961F39-3D57-43A6-B9DB-133242E247BE}</x14:id>
        </ext>
      </extLst>
    </cfRule>
  </conditionalFormatting>
  <conditionalFormatting sqref="AZ472:AZ474 AZ481:AZ483 AZ469 AZ478">
    <cfRule type="iconSet" priority="1123">
      <iconSet iconSet="3Symbols">
        <cfvo type="percent" val="0"/>
        <cfvo type="num" val="0.75"/>
        <cfvo type="num" val="0.85"/>
      </iconSet>
    </cfRule>
    <cfRule type="dataBar" priority="1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{F8495C0D-6955-488B-A44D-FD37B3690B32}</x14:id>
        </ext>
      </extLst>
    </cfRule>
  </conditionalFormatting>
  <conditionalFormatting sqref="AZ475 AZ484">
    <cfRule type="iconSet" priority="1125">
      <iconSet iconSet="3Symbols">
        <cfvo type="percent" val="0"/>
        <cfvo type="num" val="0.75"/>
        <cfvo type="num" val="0.85"/>
      </iconSet>
    </cfRule>
    <cfRule type="dataBar" priority="1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{85FBD6C3-8A5A-4690-B95B-8E48813E37E6}</x14:id>
        </ext>
      </extLst>
    </cfRule>
  </conditionalFormatting>
  <conditionalFormatting sqref="AZ470 AZ479">
    <cfRule type="iconSet" priority="1127">
      <iconSet iconSet="3Symbols">
        <cfvo type="percent" val="0"/>
        <cfvo type="num" val="0.75"/>
        <cfvo type="num" val="0.85"/>
      </iconSet>
    </cfRule>
    <cfRule type="dataBar" priority="11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{238C53B8-1803-472F-BA19-FC1E499320E3}</x14:id>
        </ext>
      </extLst>
    </cfRule>
  </conditionalFormatting>
  <conditionalFormatting sqref="AZ471 AZ480">
    <cfRule type="iconSet" priority="1129">
      <iconSet iconSet="3Symbols">
        <cfvo type="percent" val="0"/>
        <cfvo type="num" val="0.75"/>
        <cfvo type="num" val="0.85"/>
      </iconSet>
    </cfRule>
    <cfRule type="dataBar" priority="1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{2F962F2D-151F-4ECC-9C29-19DA6E8433C5}</x14:id>
        </ext>
      </extLst>
    </cfRule>
  </conditionalFormatting>
  <conditionalFormatting sqref="AZ522">
    <cfRule type="iconSet" priority="1111">
      <iconSet iconSet="3Symbols">
        <cfvo type="percent" val="0"/>
        <cfvo type="num" val="0.75"/>
        <cfvo type="num" val="0.85"/>
      </iconSet>
    </cfRule>
    <cfRule type="dataBar" priority="1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{39D77282-A5B1-47E7-B155-61DCF938ED9C}</x14:id>
        </ext>
      </extLst>
    </cfRule>
  </conditionalFormatting>
  <conditionalFormatting sqref="AZ526:AZ528 AZ523">
    <cfRule type="iconSet" priority="1113">
      <iconSet iconSet="3Symbols">
        <cfvo type="percent" val="0"/>
        <cfvo type="num" val="0.75"/>
        <cfvo type="num" val="0.85"/>
      </iconSet>
    </cfRule>
    <cfRule type="dataBar" priority="1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{C72D97FF-E16C-4089-A094-AF31AC0BF98D}</x14:id>
        </ext>
      </extLst>
    </cfRule>
  </conditionalFormatting>
  <conditionalFormatting sqref="AZ529">
    <cfRule type="iconSet" priority="1115">
      <iconSet iconSet="3Symbols">
        <cfvo type="percent" val="0"/>
        <cfvo type="num" val="0.75"/>
        <cfvo type="num" val="0.85"/>
      </iconSet>
    </cfRule>
    <cfRule type="dataBar" priority="1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{9C14904E-3B9C-4ED4-B612-B58A5C9152C0}</x14:id>
        </ext>
      </extLst>
    </cfRule>
  </conditionalFormatting>
  <conditionalFormatting sqref="AZ524">
    <cfRule type="iconSet" priority="1117">
      <iconSet iconSet="3Symbols">
        <cfvo type="percent" val="0"/>
        <cfvo type="num" val="0.75"/>
        <cfvo type="num" val="0.85"/>
      </iconSet>
    </cfRule>
    <cfRule type="dataBar" priority="1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{550AFD68-C87C-4A15-85C1-AE4BC56F6F71}</x14:id>
        </ext>
      </extLst>
    </cfRule>
  </conditionalFormatting>
  <conditionalFormatting sqref="AZ525">
    <cfRule type="iconSet" priority="1119">
      <iconSet iconSet="3Symbols">
        <cfvo type="percent" val="0"/>
        <cfvo type="num" val="0.75"/>
        <cfvo type="num" val="0.85"/>
      </iconSet>
    </cfRule>
    <cfRule type="dataBar" priority="1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{0F56F3BF-B174-443F-8820-9ACC096BB2DA}</x14:id>
        </ext>
      </extLst>
    </cfRule>
  </conditionalFormatting>
  <conditionalFormatting sqref="AZ486">
    <cfRule type="iconSet" priority="1101">
      <iconSet iconSet="3Symbols">
        <cfvo type="percent" val="0"/>
        <cfvo type="num" val="0.75"/>
        <cfvo type="num" val="0.85"/>
      </iconSet>
    </cfRule>
    <cfRule type="dataBar" priority="1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{127F72AF-3492-4186-934C-A5472004DF1B}</x14:id>
        </ext>
      </extLst>
    </cfRule>
  </conditionalFormatting>
  <conditionalFormatting sqref="AZ490:AZ492 AZ487">
    <cfRule type="iconSet" priority="1103">
      <iconSet iconSet="3Symbols">
        <cfvo type="percent" val="0"/>
        <cfvo type="num" val="0.75"/>
        <cfvo type="num" val="0.85"/>
      </iconSet>
    </cfRule>
    <cfRule type="dataBar" priority="1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{D68FA4BA-324C-4126-BC19-3B73B02E7276}</x14:id>
        </ext>
      </extLst>
    </cfRule>
  </conditionalFormatting>
  <conditionalFormatting sqref="AZ493">
    <cfRule type="iconSet" priority="1105">
      <iconSet iconSet="3Symbols">
        <cfvo type="percent" val="0"/>
        <cfvo type="num" val="0.75"/>
        <cfvo type="num" val="0.85"/>
      </iconSet>
    </cfRule>
    <cfRule type="dataBar" priority="11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{89216C61-B2AB-47B6-BF0B-B566B6746DE0}</x14:id>
        </ext>
      </extLst>
    </cfRule>
  </conditionalFormatting>
  <conditionalFormatting sqref="AZ488">
    <cfRule type="iconSet" priority="1107">
      <iconSet iconSet="3Symbols">
        <cfvo type="percent" val="0"/>
        <cfvo type="num" val="0.75"/>
        <cfvo type="num" val="0.85"/>
      </iconSet>
    </cfRule>
    <cfRule type="dataBar" priority="1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{5F0F72D9-0B44-4B0B-B028-A2CF3ABA4147}</x14:id>
        </ext>
      </extLst>
    </cfRule>
  </conditionalFormatting>
  <conditionalFormatting sqref="AZ489">
    <cfRule type="iconSet" priority="1109">
      <iconSet iconSet="3Symbols">
        <cfvo type="percent" val="0"/>
        <cfvo type="num" val="0.75"/>
        <cfvo type="num" val="0.85"/>
      </iconSet>
    </cfRule>
    <cfRule type="dataBar" priority="1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{538AF997-B53F-4CC9-860F-5680D24BDAC2}</x14:id>
        </ext>
      </extLst>
    </cfRule>
  </conditionalFormatting>
  <conditionalFormatting sqref="AZ513">
    <cfRule type="iconSet" priority="1091">
      <iconSet iconSet="3Symbols">
        <cfvo type="percent" val="0"/>
        <cfvo type="num" val="0.75"/>
        <cfvo type="num" val="0.85"/>
      </iconSet>
    </cfRule>
    <cfRule type="dataBar" priority="10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{506242BF-C30E-4959-B065-6802DBA93CD2}</x14:id>
        </ext>
      </extLst>
    </cfRule>
  </conditionalFormatting>
  <conditionalFormatting sqref="AZ517:AZ519 AZ514">
    <cfRule type="iconSet" priority="1093">
      <iconSet iconSet="3Symbols">
        <cfvo type="percent" val="0"/>
        <cfvo type="num" val="0.75"/>
        <cfvo type="num" val="0.85"/>
      </iconSet>
    </cfRule>
    <cfRule type="dataBar" priority="10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{A5F5F271-F28C-4B23-9B46-8F0A0179F2CF}</x14:id>
        </ext>
      </extLst>
    </cfRule>
  </conditionalFormatting>
  <conditionalFormatting sqref="AZ520">
    <cfRule type="iconSet" priority="1095">
      <iconSet iconSet="3Symbols">
        <cfvo type="percent" val="0"/>
        <cfvo type="num" val="0.75"/>
        <cfvo type="num" val="0.85"/>
      </iconSet>
    </cfRule>
    <cfRule type="dataBar" priority="10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{057F9DF8-527E-4334-BD5E-F622D34119A0}</x14:id>
        </ext>
      </extLst>
    </cfRule>
  </conditionalFormatting>
  <conditionalFormatting sqref="AZ515">
    <cfRule type="iconSet" priority="1097">
      <iconSet iconSet="3Symbols">
        <cfvo type="percent" val="0"/>
        <cfvo type="num" val="0.75"/>
        <cfvo type="num" val="0.85"/>
      </iconSet>
    </cfRule>
    <cfRule type="dataBar" priority="10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{E13B290C-0F1C-47A9-9A0C-C9B6C73BBC15}</x14:id>
        </ext>
      </extLst>
    </cfRule>
  </conditionalFormatting>
  <conditionalFormatting sqref="AZ516">
    <cfRule type="iconSet" priority="1099">
      <iconSet iconSet="3Symbols">
        <cfvo type="percent" val="0"/>
        <cfvo type="num" val="0.75"/>
        <cfvo type="num" val="0.85"/>
      </iconSet>
    </cfRule>
    <cfRule type="dataBar" priority="1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{F792A99B-EF57-42BB-B4A1-BE1BD6555A6D}</x14:id>
        </ext>
      </extLst>
    </cfRule>
  </conditionalFormatting>
  <conditionalFormatting sqref="AZ368">
    <cfRule type="iconSet" priority="1089">
      <iconSet iconSet="3Symbols">
        <cfvo type="percent" val="0"/>
        <cfvo type="num" val="0.75"/>
        <cfvo type="num" val="0.85"/>
      </iconSet>
    </cfRule>
    <cfRule type="dataBar" priority="10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{B246C232-83C3-48D0-AC99-4C77657503CF}</x14:id>
        </ext>
      </extLst>
    </cfRule>
  </conditionalFormatting>
  <conditionalFormatting sqref="AZ369:AZ372">
    <cfRule type="iconSet" priority="1087">
      <iconSet iconSet="3Symbols">
        <cfvo type="percent" val="0"/>
        <cfvo type="num" val="0.75"/>
        <cfvo type="num" val="0.85"/>
      </iconSet>
    </cfRule>
    <cfRule type="dataBar" priority="10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{85F9067E-4213-4CB1-AA66-325A5E2A4D3D}</x14:id>
        </ext>
      </extLst>
    </cfRule>
  </conditionalFormatting>
  <conditionalFormatting sqref="AZ373">
    <cfRule type="iconSet" priority="1085">
      <iconSet iconSet="3Symbols">
        <cfvo type="percent" val="0"/>
        <cfvo type="num" val="0.75"/>
        <cfvo type="num" val="0.85"/>
      </iconSet>
    </cfRule>
    <cfRule type="dataBar" priority="10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{964BAECD-1343-4CAA-AB50-95FCE74E3550}</x14:id>
        </ext>
      </extLst>
    </cfRule>
  </conditionalFormatting>
  <conditionalFormatting sqref="AZ441">
    <cfRule type="iconSet" priority="1075">
      <iconSet iconSet="3Symbols">
        <cfvo type="percent" val="0"/>
        <cfvo type="num" val="0.75"/>
        <cfvo type="num" val="0.85"/>
      </iconSet>
    </cfRule>
    <cfRule type="dataBar" priority="10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{951E8C3D-584F-4366-B827-FF3CB7CF67B3}</x14:id>
        </ext>
      </extLst>
    </cfRule>
  </conditionalFormatting>
  <conditionalFormatting sqref="AZ445:AZ447 AZ442">
    <cfRule type="iconSet" priority="1077">
      <iconSet iconSet="3Symbols">
        <cfvo type="percent" val="0"/>
        <cfvo type="num" val="0.75"/>
        <cfvo type="num" val="0.85"/>
      </iconSet>
    </cfRule>
    <cfRule type="dataBar" priority="10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{F4E67680-F8DC-4F39-978C-1430B2F4B79B}</x14:id>
        </ext>
      </extLst>
    </cfRule>
  </conditionalFormatting>
  <conditionalFormatting sqref="AZ448">
    <cfRule type="iconSet" priority="1079">
      <iconSet iconSet="3Symbols">
        <cfvo type="percent" val="0"/>
        <cfvo type="num" val="0.75"/>
        <cfvo type="num" val="0.85"/>
      </iconSet>
    </cfRule>
    <cfRule type="dataBar" priority="10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{11D856D6-843C-444E-9924-3AC92838AC8E}</x14:id>
        </ext>
      </extLst>
    </cfRule>
  </conditionalFormatting>
  <conditionalFormatting sqref="AZ443">
    <cfRule type="iconSet" priority="1081">
      <iconSet iconSet="3Symbols">
        <cfvo type="percent" val="0"/>
        <cfvo type="num" val="0.75"/>
        <cfvo type="num" val="0.85"/>
      </iconSet>
    </cfRule>
    <cfRule type="dataBar" priority="10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{8BFE9B20-EA9A-43BD-B531-C7B31DF1D15F}</x14:id>
        </ext>
      </extLst>
    </cfRule>
  </conditionalFormatting>
  <conditionalFormatting sqref="AZ444">
    <cfRule type="iconSet" priority="1083">
      <iconSet iconSet="3Symbols">
        <cfvo type="percent" val="0"/>
        <cfvo type="num" val="0.75"/>
        <cfvo type="num" val="0.85"/>
      </iconSet>
    </cfRule>
    <cfRule type="dataBar" priority="10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{807F5828-1E0E-4031-9CFB-726FD7948D9E}</x14:id>
        </ext>
      </extLst>
    </cfRule>
  </conditionalFormatting>
  <conditionalFormatting sqref="AZ375">
    <cfRule type="iconSet" priority="1073">
      <iconSet iconSet="3Symbols">
        <cfvo type="percent" val="0"/>
        <cfvo type="num" val="0.75"/>
        <cfvo type="num" val="0.85"/>
      </iconSet>
    </cfRule>
    <cfRule type="dataBar" priority="10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{CB838800-A614-4E82-9162-A5E8342E5A3D}</x14:id>
        </ext>
      </extLst>
    </cfRule>
  </conditionalFormatting>
  <conditionalFormatting sqref="AZ376:AZ379">
    <cfRule type="iconSet" priority="1071">
      <iconSet iconSet="3Symbols">
        <cfvo type="percent" val="0"/>
        <cfvo type="num" val="0.75"/>
        <cfvo type="num" val="0.85"/>
      </iconSet>
    </cfRule>
    <cfRule type="dataBar" priority="10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{2EB29768-AA63-44C0-B312-9B769BB53554}</x14:id>
        </ext>
      </extLst>
    </cfRule>
  </conditionalFormatting>
  <conditionalFormatting sqref="AZ380">
    <cfRule type="iconSet" priority="1069">
      <iconSet iconSet="3Symbols">
        <cfvo type="percent" val="0"/>
        <cfvo type="num" val="0.75"/>
        <cfvo type="num" val="0.85"/>
      </iconSet>
    </cfRule>
    <cfRule type="dataBar" priority="10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{82C3926E-A956-4F32-8A22-3454CFEC6EE1}</x14:id>
        </ext>
      </extLst>
    </cfRule>
  </conditionalFormatting>
  <conditionalFormatting sqref="AZ382">
    <cfRule type="iconSet" priority="1067">
      <iconSet iconSet="3Symbols">
        <cfvo type="percent" val="0"/>
        <cfvo type="num" val="0.75"/>
        <cfvo type="num" val="0.85"/>
      </iconSet>
    </cfRule>
    <cfRule type="dataBar" priority="10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{41904DC8-E688-4379-8C61-74BE73A4D38A}</x14:id>
        </ext>
      </extLst>
    </cfRule>
  </conditionalFormatting>
  <conditionalFormatting sqref="AZ383:AZ386">
    <cfRule type="iconSet" priority="1065">
      <iconSet iconSet="3Symbols">
        <cfvo type="percent" val="0"/>
        <cfvo type="num" val="0.75"/>
        <cfvo type="num" val="0.85"/>
      </iconSet>
    </cfRule>
    <cfRule type="dataBar" priority="10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{FC41FABC-D23A-4DBD-BF1B-F4215F992835}</x14:id>
        </ext>
      </extLst>
    </cfRule>
  </conditionalFormatting>
  <conditionalFormatting sqref="AZ387">
    <cfRule type="iconSet" priority="1063">
      <iconSet iconSet="3Symbols">
        <cfvo type="percent" val="0"/>
        <cfvo type="num" val="0.75"/>
        <cfvo type="num" val="0.85"/>
      </iconSet>
    </cfRule>
    <cfRule type="dataBar" priority="10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{25CADDC5-8EA1-464B-A631-26CCE7D6DF6B}</x14:id>
        </ext>
      </extLst>
    </cfRule>
  </conditionalFormatting>
  <conditionalFormatting sqref="AZ389">
    <cfRule type="iconSet" priority="1061">
      <iconSet iconSet="3Symbols">
        <cfvo type="percent" val="0"/>
        <cfvo type="num" val="0.75"/>
        <cfvo type="num" val="0.85"/>
      </iconSet>
    </cfRule>
    <cfRule type="dataBar" priority="10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{CDF6BDFD-3C59-407F-9A6F-D8A87649FCFC}</x14:id>
        </ext>
      </extLst>
    </cfRule>
  </conditionalFormatting>
  <conditionalFormatting sqref="AZ390:AZ393">
    <cfRule type="iconSet" priority="1059">
      <iconSet iconSet="3Symbols">
        <cfvo type="percent" val="0"/>
        <cfvo type="num" val="0.75"/>
        <cfvo type="num" val="0.85"/>
      </iconSet>
    </cfRule>
    <cfRule type="dataBar" priority="10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{1610DED0-486C-4F0A-92A7-351660AE2376}</x14:id>
        </ext>
      </extLst>
    </cfRule>
  </conditionalFormatting>
  <conditionalFormatting sqref="AZ394">
    <cfRule type="iconSet" priority="1057">
      <iconSet iconSet="3Symbols">
        <cfvo type="percent" val="0"/>
        <cfvo type="num" val="0.75"/>
        <cfvo type="num" val="0.85"/>
      </iconSet>
    </cfRule>
    <cfRule type="dataBar" priority="10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{D7F5D7DC-514E-487A-8966-090DF648D61A}</x14:id>
        </ext>
      </extLst>
    </cfRule>
  </conditionalFormatting>
  <conditionalFormatting sqref="AZ581 AZ626 AZ590 AZ599 AZ635">
    <cfRule type="iconSet" priority="1047">
      <iconSet iconSet="3Symbols">
        <cfvo type="percent" val="0"/>
        <cfvo type="num" val="0.75"/>
        <cfvo type="num" val="0.85"/>
      </iconSet>
    </cfRule>
    <cfRule type="dataBar" priority="10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{DB75DFC2-A073-4FB9-B5D8-EF998EAA9B50}</x14:id>
        </ext>
      </extLst>
    </cfRule>
  </conditionalFormatting>
  <conditionalFormatting sqref="AZ630:AZ632 AZ585:AZ587 AZ594:AZ596 AZ603:AZ605 AZ639:AZ641 AZ582 AZ591 AZ600 AZ627 AZ636">
    <cfRule type="iconSet" priority="1049">
      <iconSet iconSet="3Symbols">
        <cfvo type="percent" val="0"/>
        <cfvo type="num" val="0.75"/>
        <cfvo type="num" val="0.85"/>
      </iconSet>
    </cfRule>
    <cfRule type="dataBar" priority="10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{4A0D7F91-FFF4-4F30-9C2F-BA74D0C3A6E5}</x14:id>
        </ext>
      </extLst>
    </cfRule>
  </conditionalFormatting>
  <conditionalFormatting sqref="AZ588 AZ633 AZ597 AZ606 AZ642">
    <cfRule type="iconSet" priority="1051">
      <iconSet iconSet="3Symbols">
        <cfvo type="percent" val="0"/>
        <cfvo type="num" val="0.75"/>
        <cfvo type="num" val="0.85"/>
      </iconSet>
    </cfRule>
    <cfRule type="dataBar" priority="10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{F03C2457-B81C-4B53-BF7E-4481898CC709}</x14:id>
        </ext>
      </extLst>
    </cfRule>
  </conditionalFormatting>
  <conditionalFormatting sqref="AZ583 AZ628 AZ592 AZ601 AZ637">
    <cfRule type="iconSet" priority="1053">
      <iconSet iconSet="3Symbols">
        <cfvo type="percent" val="0"/>
        <cfvo type="num" val="0.75"/>
        <cfvo type="num" val="0.85"/>
      </iconSet>
    </cfRule>
    <cfRule type="dataBar" priority="10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{F43DAA32-9D6F-4CBB-9946-7AC11DEF555C}</x14:id>
        </ext>
      </extLst>
    </cfRule>
  </conditionalFormatting>
  <conditionalFormatting sqref="AZ584 AZ629 AZ593 AZ602 AZ638">
    <cfRule type="iconSet" priority="1055">
      <iconSet iconSet="3Symbols">
        <cfvo type="percent" val="0"/>
        <cfvo type="num" val="0.75"/>
        <cfvo type="num" val="0.85"/>
      </iconSet>
    </cfRule>
    <cfRule type="dataBar" priority="10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{4140A5A7-B813-4F09-ACCA-AB9F45D07E3A}</x14:id>
        </ext>
      </extLst>
    </cfRule>
  </conditionalFormatting>
  <conditionalFormatting sqref="AZ608">
    <cfRule type="iconSet" priority="1037">
      <iconSet iconSet="3Symbols">
        <cfvo type="percent" val="0"/>
        <cfvo type="num" val="0.75"/>
        <cfvo type="num" val="0.85"/>
      </iconSet>
    </cfRule>
    <cfRule type="dataBar" priority="10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{1662A78B-1445-4E8D-8A8F-FE55E38D143C}</x14:id>
        </ext>
      </extLst>
    </cfRule>
  </conditionalFormatting>
  <conditionalFormatting sqref="AZ612:AZ614 AZ609">
    <cfRule type="iconSet" priority="1039">
      <iconSet iconSet="3Symbols">
        <cfvo type="percent" val="0"/>
        <cfvo type="num" val="0.75"/>
        <cfvo type="num" val="0.85"/>
      </iconSet>
    </cfRule>
    <cfRule type="dataBar" priority="10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{DDC9EE55-8520-4C32-A395-B3F541BA354D}</x14:id>
        </ext>
      </extLst>
    </cfRule>
  </conditionalFormatting>
  <conditionalFormatting sqref="AZ615">
    <cfRule type="iconSet" priority="1041">
      <iconSet iconSet="3Symbols">
        <cfvo type="percent" val="0"/>
        <cfvo type="num" val="0.75"/>
        <cfvo type="num" val="0.85"/>
      </iconSet>
    </cfRule>
    <cfRule type="dataBar" priority="10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{735BF253-BC2E-49E5-A81B-96B7A9FB96FC}</x14:id>
        </ext>
      </extLst>
    </cfRule>
  </conditionalFormatting>
  <conditionalFormatting sqref="AZ610">
    <cfRule type="iconSet" priority="1043">
      <iconSet iconSet="3Symbols">
        <cfvo type="percent" val="0"/>
        <cfvo type="num" val="0.75"/>
        <cfvo type="num" val="0.85"/>
      </iconSet>
    </cfRule>
    <cfRule type="dataBar" priority="10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{EB92A1EF-1B74-44A1-8D12-2E473944D9B2}</x14:id>
        </ext>
      </extLst>
    </cfRule>
  </conditionalFormatting>
  <conditionalFormatting sqref="AZ611">
    <cfRule type="iconSet" priority="1045">
      <iconSet iconSet="3Symbols">
        <cfvo type="percent" val="0"/>
        <cfvo type="num" val="0.75"/>
        <cfvo type="num" val="0.85"/>
      </iconSet>
    </cfRule>
    <cfRule type="dataBar" priority="10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{E1337AF0-44CB-479C-8255-E870B05F464A}</x14:id>
        </ext>
      </extLst>
    </cfRule>
  </conditionalFormatting>
  <conditionalFormatting sqref="AZ537">
    <cfRule type="iconSet" priority="1035">
      <iconSet iconSet="3Symbols">
        <cfvo type="percent" val="0"/>
        <cfvo type="num" val="0.75"/>
        <cfvo type="num" val="0.85"/>
      </iconSet>
    </cfRule>
    <cfRule type="dataBar" priority="10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{5234C76A-04CF-4FCF-A1B6-D768B648818B}</x14:id>
        </ext>
      </extLst>
    </cfRule>
  </conditionalFormatting>
  <conditionalFormatting sqref="AZ538:AZ541">
    <cfRule type="iconSet" priority="1033">
      <iconSet iconSet="3Symbols">
        <cfvo type="percent" val="0"/>
        <cfvo type="num" val="0.75"/>
        <cfvo type="num" val="0.85"/>
      </iconSet>
    </cfRule>
    <cfRule type="dataBar" priority="10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{6C2EC63C-554D-4C9C-A070-FB26308F195F}</x14:id>
        </ext>
      </extLst>
    </cfRule>
  </conditionalFormatting>
  <conditionalFormatting sqref="AZ542">
    <cfRule type="iconSet" priority="1031">
      <iconSet iconSet="3Symbols">
        <cfvo type="percent" val="0"/>
        <cfvo type="num" val="0.75"/>
        <cfvo type="num" val="0.85"/>
      </iconSet>
    </cfRule>
    <cfRule type="dataBar" priority="10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{0A7AACAC-7410-4345-A120-538CE6D1E154}</x14:id>
        </ext>
      </extLst>
    </cfRule>
  </conditionalFormatting>
  <conditionalFormatting sqref="AZ573">
    <cfRule type="iconSet" priority="1029">
      <iconSet iconSet="3Symbols">
        <cfvo type="percent" val="0"/>
        <cfvo type="num" val="0.75"/>
        <cfvo type="num" val="0.85"/>
      </iconSet>
    </cfRule>
    <cfRule type="dataBar" priority="10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{7CB123E6-55AF-417C-AA4E-EE9B959BBE8A}</x14:id>
        </ext>
      </extLst>
    </cfRule>
  </conditionalFormatting>
  <conditionalFormatting sqref="AZ572">
    <cfRule type="iconSet" priority="1019">
      <iconSet iconSet="3Symbols">
        <cfvo type="percent" val="0"/>
        <cfvo type="num" val="0.75"/>
        <cfvo type="num" val="0.85"/>
      </iconSet>
    </cfRule>
    <cfRule type="dataBar" priority="10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{99D1FF87-37E1-42A9-BCAC-8214F0522FF1}</x14:id>
        </ext>
      </extLst>
    </cfRule>
  </conditionalFormatting>
  <conditionalFormatting sqref="AZ576:AZ578">
    <cfRule type="iconSet" priority="1021">
      <iconSet iconSet="3Symbols">
        <cfvo type="percent" val="0"/>
        <cfvo type="num" val="0.75"/>
        <cfvo type="num" val="0.85"/>
      </iconSet>
    </cfRule>
    <cfRule type="dataBar" priority="10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{A6389DEA-6AD9-497E-B4A9-ACCE3DC49057}</x14:id>
        </ext>
      </extLst>
    </cfRule>
  </conditionalFormatting>
  <conditionalFormatting sqref="AZ579">
    <cfRule type="iconSet" priority="1023">
      <iconSet iconSet="3Symbols">
        <cfvo type="percent" val="0"/>
        <cfvo type="num" val="0.75"/>
        <cfvo type="num" val="0.85"/>
      </iconSet>
    </cfRule>
    <cfRule type="dataBar" priority="10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{D667B905-9224-4F86-A795-47A551469982}</x14:id>
        </ext>
      </extLst>
    </cfRule>
  </conditionalFormatting>
  <conditionalFormatting sqref="AZ574">
    <cfRule type="iconSet" priority="1025">
      <iconSet iconSet="3Symbols">
        <cfvo type="percent" val="0"/>
        <cfvo type="num" val="0.75"/>
        <cfvo type="num" val="0.85"/>
      </iconSet>
    </cfRule>
    <cfRule type="dataBar" priority="10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{78CD4C4D-A71E-4FD2-9CDD-621903785849}</x14:id>
        </ext>
      </extLst>
    </cfRule>
  </conditionalFormatting>
  <conditionalFormatting sqref="AZ575">
    <cfRule type="iconSet" priority="1027">
      <iconSet iconSet="3Symbols">
        <cfvo type="percent" val="0"/>
        <cfvo type="num" val="0.75"/>
        <cfvo type="num" val="0.85"/>
      </iconSet>
    </cfRule>
    <cfRule type="dataBar" priority="10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{0FC1D8B6-20AF-464D-89FD-1FC19F816F8A}</x14:id>
        </ext>
      </extLst>
    </cfRule>
  </conditionalFormatting>
  <conditionalFormatting sqref="AZ680">
    <cfRule type="iconSet" priority="1009">
      <iconSet iconSet="3Symbols">
        <cfvo type="percent" val="0"/>
        <cfvo type="num" val="0.75"/>
        <cfvo type="num" val="0.85"/>
      </iconSet>
    </cfRule>
    <cfRule type="dataBar" priority="10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{2BA69458-896B-41AE-AB71-31301C83E19D}</x14:id>
        </ext>
      </extLst>
    </cfRule>
  </conditionalFormatting>
  <conditionalFormatting sqref="AZ684:AZ686 AZ681">
    <cfRule type="iconSet" priority="1011">
      <iconSet iconSet="3Symbols">
        <cfvo type="percent" val="0"/>
        <cfvo type="num" val="0.75"/>
        <cfvo type="num" val="0.85"/>
      </iconSet>
    </cfRule>
    <cfRule type="dataBar" priority="10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{53D94409-7D03-4E36-976D-68F73F06BE79}</x14:id>
        </ext>
      </extLst>
    </cfRule>
  </conditionalFormatting>
  <conditionalFormatting sqref="AZ687">
    <cfRule type="iconSet" priority="1013">
      <iconSet iconSet="3Symbols">
        <cfvo type="percent" val="0"/>
        <cfvo type="num" val="0.75"/>
        <cfvo type="num" val="0.85"/>
      </iconSet>
    </cfRule>
    <cfRule type="dataBar" priority="10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{A71F2827-087D-4504-906B-8AE5AEE3A177}</x14:id>
        </ext>
      </extLst>
    </cfRule>
  </conditionalFormatting>
  <conditionalFormatting sqref="AZ682">
    <cfRule type="iconSet" priority="1015">
      <iconSet iconSet="3Symbols">
        <cfvo type="percent" val="0"/>
        <cfvo type="num" val="0.75"/>
        <cfvo type="num" val="0.85"/>
      </iconSet>
    </cfRule>
    <cfRule type="dataBar" priority="10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{51453601-172A-4CC0-B1A8-D16AFB3A7A13}</x14:id>
        </ext>
      </extLst>
    </cfRule>
  </conditionalFormatting>
  <conditionalFormatting sqref="AZ683">
    <cfRule type="iconSet" priority="1017">
      <iconSet iconSet="3Symbols">
        <cfvo type="percent" val="0"/>
        <cfvo type="num" val="0.75"/>
        <cfvo type="num" val="0.85"/>
      </iconSet>
    </cfRule>
    <cfRule type="dataBar" priority="10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{B4755339-ECCD-42EA-907B-1902622C6C03}</x14:id>
        </ext>
      </extLst>
    </cfRule>
  </conditionalFormatting>
  <conditionalFormatting sqref="AZ671">
    <cfRule type="iconSet" priority="999">
      <iconSet iconSet="3Symbols">
        <cfvo type="percent" val="0"/>
        <cfvo type="num" val="0.75"/>
        <cfvo type="num" val="0.85"/>
      </iconSet>
    </cfRule>
    <cfRule type="dataBar" priority="10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{8C81F90C-8576-45E0-BA9C-5E6C9634CADC}</x14:id>
        </ext>
      </extLst>
    </cfRule>
  </conditionalFormatting>
  <conditionalFormatting sqref="AZ675:AZ677 AZ672">
    <cfRule type="iconSet" priority="1001">
      <iconSet iconSet="3Symbols">
        <cfvo type="percent" val="0"/>
        <cfvo type="num" val="0.75"/>
        <cfvo type="num" val="0.85"/>
      </iconSet>
    </cfRule>
    <cfRule type="dataBar" priority="1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{AD31DB1D-9D0A-4C3A-A3B5-5CE2109899CE}</x14:id>
        </ext>
      </extLst>
    </cfRule>
  </conditionalFormatting>
  <conditionalFormatting sqref="AZ678">
    <cfRule type="iconSet" priority="1003">
      <iconSet iconSet="3Symbols">
        <cfvo type="percent" val="0"/>
        <cfvo type="num" val="0.75"/>
        <cfvo type="num" val="0.85"/>
      </iconSet>
    </cfRule>
    <cfRule type="dataBar" priority="10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{CDACA93F-7AAF-4D1C-991B-1EA3CFEB2775}</x14:id>
        </ext>
      </extLst>
    </cfRule>
  </conditionalFormatting>
  <conditionalFormatting sqref="AZ673">
    <cfRule type="iconSet" priority="1005">
      <iconSet iconSet="3Symbols">
        <cfvo type="percent" val="0"/>
        <cfvo type="num" val="0.75"/>
        <cfvo type="num" val="0.85"/>
      </iconSet>
    </cfRule>
    <cfRule type="dataBar" priority="10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{39B21C5D-646E-4F17-A33A-DFCB068E38F0}</x14:id>
        </ext>
      </extLst>
    </cfRule>
  </conditionalFormatting>
  <conditionalFormatting sqref="AZ674">
    <cfRule type="iconSet" priority="1007">
      <iconSet iconSet="3Symbols">
        <cfvo type="percent" val="0"/>
        <cfvo type="num" val="0.75"/>
        <cfvo type="num" val="0.85"/>
      </iconSet>
    </cfRule>
    <cfRule type="dataBar" priority="10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{89C10E7B-A28D-45DF-8EBC-9802F84C64BE}</x14:id>
        </ext>
      </extLst>
    </cfRule>
  </conditionalFormatting>
  <conditionalFormatting sqref="AZ644 AZ653">
    <cfRule type="iconSet" priority="989">
      <iconSet iconSet="3Symbols">
        <cfvo type="percent" val="0"/>
        <cfvo type="num" val="0.75"/>
        <cfvo type="num" val="0.85"/>
      </iconSet>
    </cfRule>
    <cfRule type="dataBar" priority="9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{03C31201-244F-430B-803F-86762161E622}</x14:id>
        </ext>
      </extLst>
    </cfRule>
  </conditionalFormatting>
  <conditionalFormatting sqref="AZ648:AZ650 AZ657:AZ659 AZ645 AZ654">
    <cfRule type="iconSet" priority="991">
      <iconSet iconSet="3Symbols">
        <cfvo type="percent" val="0"/>
        <cfvo type="num" val="0.75"/>
        <cfvo type="num" val="0.85"/>
      </iconSet>
    </cfRule>
    <cfRule type="dataBar" priority="9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{A629E745-A760-4C27-A772-33DA9D62571A}</x14:id>
        </ext>
      </extLst>
    </cfRule>
  </conditionalFormatting>
  <conditionalFormatting sqref="AZ651 AZ660">
    <cfRule type="iconSet" priority="993">
      <iconSet iconSet="3Symbols">
        <cfvo type="percent" val="0"/>
        <cfvo type="num" val="0.75"/>
        <cfvo type="num" val="0.85"/>
      </iconSet>
    </cfRule>
    <cfRule type="dataBar" priority="9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{F41FF101-B544-447A-B3B4-3EFCB28306DC}</x14:id>
        </ext>
      </extLst>
    </cfRule>
  </conditionalFormatting>
  <conditionalFormatting sqref="AZ646 AZ655">
    <cfRule type="iconSet" priority="995">
      <iconSet iconSet="3Symbols">
        <cfvo type="percent" val="0"/>
        <cfvo type="num" val="0.75"/>
        <cfvo type="num" val="0.85"/>
      </iconSet>
    </cfRule>
    <cfRule type="dataBar" priority="9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{F4F57B25-922F-478B-A0C8-35C4D4F90338}</x14:id>
        </ext>
      </extLst>
    </cfRule>
  </conditionalFormatting>
  <conditionalFormatting sqref="AZ647 AZ656">
    <cfRule type="iconSet" priority="997">
      <iconSet iconSet="3Symbols">
        <cfvo type="percent" val="0"/>
        <cfvo type="num" val="0.75"/>
        <cfvo type="num" val="0.85"/>
      </iconSet>
    </cfRule>
    <cfRule type="dataBar" priority="9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{E98ED53A-D25F-495D-A9A7-8B4EEA76F564}</x14:id>
        </ext>
      </extLst>
    </cfRule>
  </conditionalFormatting>
  <conditionalFormatting sqref="AZ698">
    <cfRule type="iconSet" priority="979">
      <iconSet iconSet="3Symbols">
        <cfvo type="percent" val="0"/>
        <cfvo type="num" val="0.75"/>
        <cfvo type="num" val="0.85"/>
      </iconSet>
    </cfRule>
    <cfRule type="dataBar" priority="9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{164C9F30-FE3A-442D-B1C8-CC74B86D4FC4}</x14:id>
        </ext>
      </extLst>
    </cfRule>
  </conditionalFormatting>
  <conditionalFormatting sqref="AZ702:AZ704 AZ699">
    <cfRule type="iconSet" priority="981">
      <iconSet iconSet="3Symbols">
        <cfvo type="percent" val="0"/>
        <cfvo type="num" val="0.75"/>
        <cfvo type="num" val="0.85"/>
      </iconSet>
    </cfRule>
    <cfRule type="dataBar" priority="9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{A08870AF-9092-45E5-AA74-102744B34C68}</x14:id>
        </ext>
      </extLst>
    </cfRule>
  </conditionalFormatting>
  <conditionalFormatting sqref="AZ705">
    <cfRule type="iconSet" priority="983">
      <iconSet iconSet="3Symbols">
        <cfvo type="percent" val="0"/>
        <cfvo type="num" val="0.75"/>
        <cfvo type="num" val="0.85"/>
      </iconSet>
    </cfRule>
    <cfRule type="dataBar" priority="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{375759C9-CAA8-4707-89B2-26950C17A77B}</x14:id>
        </ext>
      </extLst>
    </cfRule>
  </conditionalFormatting>
  <conditionalFormatting sqref="AZ700">
    <cfRule type="iconSet" priority="985">
      <iconSet iconSet="3Symbols">
        <cfvo type="percent" val="0"/>
        <cfvo type="num" val="0.75"/>
        <cfvo type="num" val="0.85"/>
      </iconSet>
    </cfRule>
    <cfRule type="dataBar" priority="9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{96077DC5-0AF9-4DCD-8F71-544B45066377}</x14:id>
        </ext>
      </extLst>
    </cfRule>
  </conditionalFormatting>
  <conditionalFormatting sqref="AZ701">
    <cfRule type="iconSet" priority="987">
      <iconSet iconSet="3Symbols">
        <cfvo type="percent" val="0"/>
        <cfvo type="num" val="0.75"/>
        <cfvo type="num" val="0.85"/>
      </iconSet>
    </cfRule>
    <cfRule type="dataBar" priority="9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{8B638269-7429-4159-808A-6DBBA5B5F0D4}</x14:id>
        </ext>
      </extLst>
    </cfRule>
  </conditionalFormatting>
  <conditionalFormatting sqref="AZ662">
    <cfRule type="iconSet" priority="969">
      <iconSet iconSet="3Symbols">
        <cfvo type="percent" val="0"/>
        <cfvo type="num" val="0.75"/>
        <cfvo type="num" val="0.85"/>
      </iconSet>
    </cfRule>
    <cfRule type="dataBar" priority="9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{8D9D30E7-5E6C-44EE-A91A-D5FCCB814782}</x14:id>
        </ext>
      </extLst>
    </cfRule>
  </conditionalFormatting>
  <conditionalFormatting sqref="AZ666:AZ668 AZ663">
    <cfRule type="iconSet" priority="971">
      <iconSet iconSet="3Symbols">
        <cfvo type="percent" val="0"/>
        <cfvo type="num" val="0.75"/>
        <cfvo type="num" val="0.85"/>
      </iconSet>
    </cfRule>
    <cfRule type="dataBar" priority="9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{FAADDDA0-AC0C-495B-B116-C8788605606B}</x14:id>
        </ext>
      </extLst>
    </cfRule>
  </conditionalFormatting>
  <conditionalFormatting sqref="AZ669">
    <cfRule type="iconSet" priority="973">
      <iconSet iconSet="3Symbols">
        <cfvo type="percent" val="0"/>
        <cfvo type="num" val="0.75"/>
        <cfvo type="num" val="0.85"/>
      </iconSet>
    </cfRule>
    <cfRule type="dataBar" priority="9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{CB9B0FCC-2B39-4518-8514-A50813E9A87C}</x14:id>
        </ext>
      </extLst>
    </cfRule>
  </conditionalFormatting>
  <conditionalFormatting sqref="AZ664">
    <cfRule type="iconSet" priority="975">
      <iconSet iconSet="3Symbols">
        <cfvo type="percent" val="0"/>
        <cfvo type="num" val="0.75"/>
        <cfvo type="num" val="0.85"/>
      </iconSet>
    </cfRule>
    <cfRule type="dataBar" priority="9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{AA2B2276-60CE-4652-87D9-2B51B9B971F2}</x14:id>
        </ext>
      </extLst>
    </cfRule>
  </conditionalFormatting>
  <conditionalFormatting sqref="AZ665">
    <cfRule type="iconSet" priority="977">
      <iconSet iconSet="3Symbols">
        <cfvo type="percent" val="0"/>
        <cfvo type="num" val="0.75"/>
        <cfvo type="num" val="0.85"/>
      </iconSet>
    </cfRule>
    <cfRule type="dataBar" priority="9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{7DCF35E9-53F2-45FA-B07C-BA6A174A6AA8}</x14:id>
        </ext>
      </extLst>
    </cfRule>
  </conditionalFormatting>
  <conditionalFormatting sqref="AZ689">
    <cfRule type="iconSet" priority="959">
      <iconSet iconSet="3Symbols">
        <cfvo type="percent" val="0"/>
        <cfvo type="num" val="0.75"/>
        <cfvo type="num" val="0.85"/>
      </iconSet>
    </cfRule>
    <cfRule type="dataBar" priority="9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{9128A664-2762-4749-A303-329D0DF22CEA}</x14:id>
        </ext>
      </extLst>
    </cfRule>
  </conditionalFormatting>
  <conditionalFormatting sqref="AZ693:AZ695 AZ690">
    <cfRule type="iconSet" priority="961">
      <iconSet iconSet="3Symbols">
        <cfvo type="percent" val="0"/>
        <cfvo type="num" val="0.75"/>
        <cfvo type="num" val="0.85"/>
      </iconSet>
    </cfRule>
    <cfRule type="dataBar" priority="9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{3EEB8B2C-E572-4025-B04B-3F8527FECCB0}</x14:id>
        </ext>
      </extLst>
    </cfRule>
  </conditionalFormatting>
  <conditionalFormatting sqref="AZ696">
    <cfRule type="iconSet" priority="963">
      <iconSet iconSet="3Symbols">
        <cfvo type="percent" val="0"/>
        <cfvo type="num" val="0.75"/>
        <cfvo type="num" val="0.85"/>
      </iconSet>
    </cfRule>
    <cfRule type="dataBar" priority="9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{652DD9FA-BC59-4B10-ACD9-A5DA32C0952E}</x14:id>
        </ext>
      </extLst>
    </cfRule>
  </conditionalFormatting>
  <conditionalFormatting sqref="AZ691">
    <cfRule type="iconSet" priority="965">
      <iconSet iconSet="3Symbols">
        <cfvo type="percent" val="0"/>
        <cfvo type="num" val="0.75"/>
        <cfvo type="num" val="0.85"/>
      </iconSet>
    </cfRule>
    <cfRule type="dataBar" priority="9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{EAA3245B-C8FD-40F0-A9F1-8EEAF4B3ECDC}</x14:id>
        </ext>
      </extLst>
    </cfRule>
  </conditionalFormatting>
  <conditionalFormatting sqref="AZ692">
    <cfRule type="iconSet" priority="967">
      <iconSet iconSet="3Symbols">
        <cfvo type="percent" val="0"/>
        <cfvo type="num" val="0.75"/>
        <cfvo type="num" val="0.85"/>
      </iconSet>
    </cfRule>
    <cfRule type="dataBar" priority="9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{E77CC166-4B70-4464-A269-A5E56566D41C}</x14:id>
        </ext>
      </extLst>
    </cfRule>
  </conditionalFormatting>
  <conditionalFormatting sqref="AZ544">
    <cfRule type="iconSet" priority="957">
      <iconSet iconSet="3Symbols">
        <cfvo type="percent" val="0"/>
        <cfvo type="num" val="0.75"/>
        <cfvo type="num" val="0.85"/>
      </iconSet>
    </cfRule>
    <cfRule type="dataBar" priority="9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{B57F06FC-2002-4B2A-9912-F2254EA88CF8}</x14:id>
        </ext>
      </extLst>
    </cfRule>
  </conditionalFormatting>
  <conditionalFormatting sqref="AZ545:AZ548">
    <cfRule type="iconSet" priority="955">
      <iconSet iconSet="3Symbols">
        <cfvo type="percent" val="0"/>
        <cfvo type="num" val="0.75"/>
        <cfvo type="num" val="0.85"/>
      </iconSet>
    </cfRule>
    <cfRule type="dataBar" priority="9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{6C7098FC-3880-4DB2-8A4A-F6045F2D8812}</x14:id>
        </ext>
      </extLst>
    </cfRule>
  </conditionalFormatting>
  <conditionalFormatting sqref="AZ549">
    <cfRule type="iconSet" priority="953">
      <iconSet iconSet="3Symbols">
        <cfvo type="percent" val="0"/>
        <cfvo type="num" val="0.75"/>
        <cfvo type="num" val="0.85"/>
      </iconSet>
    </cfRule>
    <cfRule type="dataBar" priority="9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{FE6FB3F0-C028-4423-BF2E-EA12952D1A48}</x14:id>
        </ext>
      </extLst>
    </cfRule>
  </conditionalFormatting>
  <conditionalFormatting sqref="AZ617">
    <cfRule type="iconSet" priority="943">
      <iconSet iconSet="3Symbols">
        <cfvo type="percent" val="0"/>
        <cfvo type="num" val="0.75"/>
        <cfvo type="num" val="0.85"/>
      </iconSet>
    </cfRule>
    <cfRule type="dataBar" priority="9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{EDF508C0-9390-4060-B26D-38B02A8DEEAE}</x14:id>
        </ext>
      </extLst>
    </cfRule>
  </conditionalFormatting>
  <conditionalFormatting sqref="AZ621:AZ623 AZ618">
    <cfRule type="iconSet" priority="945">
      <iconSet iconSet="3Symbols">
        <cfvo type="percent" val="0"/>
        <cfvo type="num" val="0.75"/>
        <cfvo type="num" val="0.85"/>
      </iconSet>
    </cfRule>
    <cfRule type="dataBar" priority="9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{D0EA2567-B444-4D0F-8E4B-E73116456A74}</x14:id>
        </ext>
      </extLst>
    </cfRule>
  </conditionalFormatting>
  <conditionalFormatting sqref="AZ624">
    <cfRule type="iconSet" priority="947">
      <iconSet iconSet="3Symbols">
        <cfvo type="percent" val="0"/>
        <cfvo type="num" val="0.75"/>
        <cfvo type="num" val="0.85"/>
      </iconSet>
    </cfRule>
    <cfRule type="dataBar" priority="9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{B182C498-EF4D-4BC7-93C2-C07B7C0FF3B4}</x14:id>
        </ext>
      </extLst>
    </cfRule>
  </conditionalFormatting>
  <conditionalFormatting sqref="AZ619">
    <cfRule type="iconSet" priority="949">
      <iconSet iconSet="3Symbols">
        <cfvo type="percent" val="0"/>
        <cfvo type="num" val="0.75"/>
        <cfvo type="num" val="0.85"/>
      </iconSet>
    </cfRule>
    <cfRule type="dataBar" priority="9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{694154D3-A065-4611-8471-97D15FD30F96}</x14:id>
        </ext>
      </extLst>
    </cfRule>
  </conditionalFormatting>
  <conditionalFormatting sqref="AZ620">
    <cfRule type="iconSet" priority="951">
      <iconSet iconSet="3Symbols">
        <cfvo type="percent" val="0"/>
        <cfvo type="num" val="0.75"/>
        <cfvo type="num" val="0.85"/>
      </iconSet>
    </cfRule>
    <cfRule type="dataBar" priority="9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{C61B88C2-DC62-491F-B09B-8E66C7C6CBB9}</x14:id>
        </ext>
      </extLst>
    </cfRule>
  </conditionalFormatting>
  <conditionalFormatting sqref="AZ551">
    <cfRule type="iconSet" priority="941">
      <iconSet iconSet="3Symbols">
        <cfvo type="percent" val="0"/>
        <cfvo type="num" val="0.75"/>
        <cfvo type="num" val="0.85"/>
      </iconSet>
    </cfRule>
    <cfRule type="dataBar" priority="9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{46B2A670-87B2-4016-84CD-0ED6A07B669D}</x14:id>
        </ext>
      </extLst>
    </cfRule>
  </conditionalFormatting>
  <conditionalFormatting sqref="AZ552:AZ555">
    <cfRule type="iconSet" priority="939">
      <iconSet iconSet="3Symbols">
        <cfvo type="percent" val="0"/>
        <cfvo type="num" val="0.75"/>
        <cfvo type="num" val="0.85"/>
      </iconSet>
    </cfRule>
    <cfRule type="dataBar" priority="9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{8F341045-DFF1-441B-A2E8-BABFDD3941FC}</x14:id>
        </ext>
      </extLst>
    </cfRule>
  </conditionalFormatting>
  <conditionalFormatting sqref="AZ556">
    <cfRule type="iconSet" priority="937">
      <iconSet iconSet="3Symbols">
        <cfvo type="percent" val="0"/>
        <cfvo type="num" val="0.75"/>
        <cfvo type="num" val="0.85"/>
      </iconSet>
    </cfRule>
    <cfRule type="dataBar" priority="9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{A5741CE4-6A7F-4E80-84C8-27C0C6957977}</x14:id>
        </ext>
      </extLst>
    </cfRule>
  </conditionalFormatting>
  <conditionalFormatting sqref="AZ558">
    <cfRule type="iconSet" priority="935">
      <iconSet iconSet="3Symbols">
        <cfvo type="percent" val="0"/>
        <cfvo type="num" val="0.75"/>
        <cfvo type="num" val="0.85"/>
      </iconSet>
    </cfRule>
    <cfRule type="dataBar" priority="9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{B25D815E-E8BE-4792-98C6-FBE27A38ABA4}</x14:id>
        </ext>
      </extLst>
    </cfRule>
  </conditionalFormatting>
  <conditionalFormatting sqref="AZ559:AZ562">
    <cfRule type="iconSet" priority="933">
      <iconSet iconSet="3Symbols">
        <cfvo type="percent" val="0"/>
        <cfvo type="num" val="0.75"/>
        <cfvo type="num" val="0.85"/>
      </iconSet>
    </cfRule>
    <cfRule type="dataBar" priority="9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{9B4A8988-A2F7-406B-917D-6F8AEC99D340}</x14:id>
        </ext>
      </extLst>
    </cfRule>
  </conditionalFormatting>
  <conditionalFormatting sqref="AZ563">
    <cfRule type="iconSet" priority="931">
      <iconSet iconSet="3Symbols">
        <cfvo type="percent" val="0"/>
        <cfvo type="num" val="0.75"/>
        <cfvo type="num" val="0.85"/>
      </iconSet>
    </cfRule>
    <cfRule type="dataBar" priority="9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{08215286-EFF4-41D7-8B08-9262D23274E8}</x14:id>
        </ext>
      </extLst>
    </cfRule>
  </conditionalFormatting>
  <conditionalFormatting sqref="AZ565">
    <cfRule type="iconSet" priority="929">
      <iconSet iconSet="3Symbols">
        <cfvo type="percent" val="0"/>
        <cfvo type="num" val="0.75"/>
        <cfvo type="num" val="0.85"/>
      </iconSet>
    </cfRule>
    <cfRule type="dataBar" priority="9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{3495BD6F-E435-4823-B47B-38DBB08F0239}</x14:id>
        </ext>
      </extLst>
    </cfRule>
  </conditionalFormatting>
  <conditionalFormatting sqref="AZ566:AZ569">
    <cfRule type="iconSet" priority="927">
      <iconSet iconSet="3Symbols">
        <cfvo type="percent" val="0"/>
        <cfvo type="num" val="0.75"/>
        <cfvo type="num" val="0.85"/>
      </iconSet>
    </cfRule>
    <cfRule type="dataBar" priority="9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{37D649DE-C7F5-4E73-A9D6-7B296DD761F5}</x14:id>
        </ext>
      </extLst>
    </cfRule>
  </conditionalFormatting>
  <conditionalFormatting sqref="AZ570">
    <cfRule type="iconSet" priority="925">
      <iconSet iconSet="3Symbols">
        <cfvo type="percent" val="0"/>
        <cfvo type="num" val="0.75"/>
        <cfvo type="num" val="0.85"/>
      </iconSet>
    </cfRule>
    <cfRule type="dataBar" priority="9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{FC8B59FA-8C34-477D-8DD6-3C03A0B3BEBE}</x14:id>
        </ext>
      </extLst>
    </cfRule>
  </conditionalFormatting>
  <conditionalFormatting sqref="AZ757 AZ802 AZ766 AZ775 AZ811">
    <cfRule type="iconSet" priority="915">
      <iconSet iconSet="3Symbols">
        <cfvo type="percent" val="0"/>
        <cfvo type="num" val="0.75"/>
        <cfvo type="num" val="0.85"/>
      </iconSet>
    </cfRule>
    <cfRule type="dataBar" priority="9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{4DB5FF04-02F6-4FAF-997D-334FD60C1EE1}</x14:id>
        </ext>
      </extLst>
    </cfRule>
  </conditionalFormatting>
  <conditionalFormatting sqref="AZ806:AZ808 AZ761:AZ763 AZ770:AZ772 AZ779:AZ781 AZ815:AZ817 AZ758 AZ767 AZ776 AZ803 AZ812">
    <cfRule type="iconSet" priority="917">
      <iconSet iconSet="3Symbols">
        <cfvo type="percent" val="0"/>
        <cfvo type="num" val="0.75"/>
        <cfvo type="num" val="0.85"/>
      </iconSet>
    </cfRule>
    <cfRule type="dataBar" priority="9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{81EA2E1D-5491-407F-834A-27C74E8A61DF}</x14:id>
        </ext>
      </extLst>
    </cfRule>
  </conditionalFormatting>
  <conditionalFormatting sqref="AZ764 AZ809 AZ773 AZ782 AZ818">
    <cfRule type="iconSet" priority="919">
      <iconSet iconSet="3Symbols">
        <cfvo type="percent" val="0"/>
        <cfvo type="num" val="0.75"/>
        <cfvo type="num" val="0.85"/>
      </iconSet>
    </cfRule>
    <cfRule type="dataBar" priority="9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{86B348B5-C2F4-4E11-AFB2-4E1D4DE6D9EC}</x14:id>
        </ext>
      </extLst>
    </cfRule>
  </conditionalFormatting>
  <conditionalFormatting sqref="AZ759 AZ804 AZ768 AZ777 AZ813">
    <cfRule type="iconSet" priority="921">
      <iconSet iconSet="3Symbols">
        <cfvo type="percent" val="0"/>
        <cfvo type="num" val="0.75"/>
        <cfvo type="num" val="0.85"/>
      </iconSet>
    </cfRule>
    <cfRule type="dataBar" priority="9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{8DE54C77-8507-40A6-8BBF-4446F3622553}</x14:id>
        </ext>
      </extLst>
    </cfRule>
  </conditionalFormatting>
  <conditionalFormatting sqref="AZ760 AZ805 AZ769 AZ778 AZ814">
    <cfRule type="iconSet" priority="923">
      <iconSet iconSet="3Symbols">
        <cfvo type="percent" val="0"/>
        <cfvo type="num" val="0.75"/>
        <cfvo type="num" val="0.85"/>
      </iconSet>
    </cfRule>
    <cfRule type="dataBar" priority="9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{644FDF04-2815-4B5E-94AF-7842FCE8EDF8}</x14:id>
        </ext>
      </extLst>
    </cfRule>
  </conditionalFormatting>
  <conditionalFormatting sqref="AZ784">
    <cfRule type="iconSet" priority="905">
      <iconSet iconSet="3Symbols">
        <cfvo type="percent" val="0"/>
        <cfvo type="num" val="0.75"/>
        <cfvo type="num" val="0.85"/>
      </iconSet>
    </cfRule>
    <cfRule type="dataBar" priority="9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{52558461-6ADB-432A-8A35-DD60075C8543}</x14:id>
        </ext>
      </extLst>
    </cfRule>
  </conditionalFormatting>
  <conditionalFormatting sqref="AZ788:AZ790 AZ785">
    <cfRule type="iconSet" priority="907">
      <iconSet iconSet="3Symbols">
        <cfvo type="percent" val="0"/>
        <cfvo type="num" val="0.75"/>
        <cfvo type="num" val="0.85"/>
      </iconSet>
    </cfRule>
    <cfRule type="dataBar" priority="9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{F2780440-12DE-447A-806F-F8872B1F96DB}</x14:id>
        </ext>
      </extLst>
    </cfRule>
  </conditionalFormatting>
  <conditionalFormatting sqref="AZ791">
    <cfRule type="iconSet" priority="909">
      <iconSet iconSet="3Symbols">
        <cfvo type="percent" val="0"/>
        <cfvo type="num" val="0.75"/>
        <cfvo type="num" val="0.85"/>
      </iconSet>
    </cfRule>
    <cfRule type="dataBar" priority="9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{7F104D70-2E23-47FF-A95F-EF1A73D2F4A7}</x14:id>
        </ext>
      </extLst>
    </cfRule>
  </conditionalFormatting>
  <conditionalFormatting sqref="AZ786">
    <cfRule type="iconSet" priority="911">
      <iconSet iconSet="3Symbols">
        <cfvo type="percent" val="0"/>
        <cfvo type="num" val="0.75"/>
        <cfvo type="num" val="0.85"/>
      </iconSet>
    </cfRule>
    <cfRule type="dataBar" priority="9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{84C0DAC4-AA40-4AC2-B886-D70E5EE0B92D}</x14:id>
        </ext>
      </extLst>
    </cfRule>
  </conditionalFormatting>
  <conditionalFormatting sqref="AZ787">
    <cfRule type="iconSet" priority="913">
      <iconSet iconSet="3Symbols">
        <cfvo type="percent" val="0"/>
        <cfvo type="num" val="0.75"/>
        <cfvo type="num" val="0.85"/>
      </iconSet>
    </cfRule>
    <cfRule type="dataBar" priority="9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{0E25E686-A150-4DB7-9F39-0C08858A701F}</x14:id>
        </ext>
      </extLst>
    </cfRule>
  </conditionalFormatting>
  <conditionalFormatting sqref="AZ713">
    <cfRule type="iconSet" priority="903">
      <iconSet iconSet="3Symbols">
        <cfvo type="percent" val="0"/>
        <cfvo type="num" val="0.75"/>
        <cfvo type="num" val="0.85"/>
      </iconSet>
    </cfRule>
    <cfRule type="dataBar" priority="9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{A61A8EF0-740A-41CF-B3C0-7E203FE18188}</x14:id>
        </ext>
      </extLst>
    </cfRule>
  </conditionalFormatting>
  <conditionalFormatting sqref="AZ714:AZ717">
    <cfRule type="iconSet" priority="901">
      <iconSet iconSet="3Symbols">
        <cfvo type="percent" val="0"/>
        <cfvo type="num" val="0.75"/>
        <cfvo type="num" val="0.85"/>
      </iconSet>
    </cfRule>
    <cfRule type="dataBar" priority="9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{368B6F02-A9D4-407B-B8D7-3C73ECE5DB8B}</x14:id>
        </ext>
      </extLst>
    </cfRule>
  </conditionalFormatting>
  <conditionalFormatting sqref="AZ718">
    <cfRule type="iconSet" priority="899">
      <iconSet iconSet="3Symbols">
        <cfvo type="percent" val="0"/>
        <cfvo type="num" val="0.75"/>
        <cfvo type="num" val="0.85"/>
      </iconSet>
    </cfRule>
    <cfRule type="dataBar" priority="9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{3288BE49-8937-48E7-B514-97018CCE97E9}</x14:id>
        </ext>
      </extLst>
    </cfRule>
  </conditionalFormatting>
  <conditionalFormatting sqref="AZ749">
    <cfRule type="iconSet" priority="897">
      <iconSet iconSet="3Symbols">
        <cfvo type="percent" val="0"/>
        <cfvo type="num" val="0.75"/>
        <cfvo type="num" val="0.85"/>
      </iconSet>
    </cfRule>
    <cfRule type="dataBar" priority="8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{8FE7DF78-60E4-4734-939D-9BC7FAF64963}</x14:id>
        </ext>
      </extLst>
    </cfRule>
  </conditionalFormatting>
  <conditionalFormatting sqref="AZ748">
    <cfRule type="iconSet" priority="887">
      <iconSet iconSet="3Symbols">
        <cfvo type="percent" val="0"/>
        <cfvo type="num" val="0.75"/>
        <cfvo type="num" val="0.85"/>
      </iconSet>
    </cfRule>
    <cfRule type="dataBar" priority="8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{86AE5C09-A141-4473-82DB-80DDDB59F65B}</x14:id>
        </ext>
      </extLst>
    </cfRule>
  </conditionalFormatting>
  <conditionalFormatting sqref="AZ752:AZ754">
    <cfRule type="iconSet" priority="889">
      <iconSet iconSet="3Symbols">
        <cfvo type="percent" val="0"/>
        <cfvo type="num" val="0.75"/>
        <cfvo type="num" val="0.85"/>
      </iconSet>
    </cfRule>
    <cfRule type="dataBar" priority="8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{9D7325AB-3136-498A-8F62-E337AC08302D}</x14:id>
        </ext>
      </extLst>
    </cfRule>
  </conditionalFormatting>
  <conditionalFormatting sqref="AZ755">
    <cfRule type="iconSet" priority="891">
      <iconSet iconSet="3Symbols">
        <cfvo type="percent" val="0"/>
        <cfvo type="num" val="0.75"/>
        <cfvo type="num" val="0.85"/>
      </iconSet>
    </cfRule>
    <cfRule type="dataBar" priority="8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{08C43BCB-3500-4437-9D6C-1813E77E5738}</x14:id>
        </ext>
      </extLst>
    </cfRule>
  </conditionalFormatting>
  <conditionalFormatting sqref="AZ750">
    <cfRule type="iconSet" priority="893">
      <iconSet iconSet="3Symbols">
        <cfvo type="percent" val="0"/>
        <cfvo type="num" val="0.75"/>
        <cfvo type="num" val="0.85"/>
      </iconSet>
    </cfRule>
    <cfRule type="dataBar" priority="8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{E3D5F7B4-D53F-43DF-9C12-F63AD34CC3C8}</x14:id>
        </ext>
      </extLst>
    </cfRule>
  </conditionalFormatting>
  <conditionalFormatting sqref="AZ751">
    <cfRule type="iconSet" priority="895">
      <iconSet iconSet="3Symbols">
        <cfvo type="percent" val="0"/>
        <cfvo type="num" val="0.75"/>
        <cfvo type="num" val="0.85"/>
      </iconSet>
    </cfRule>
    <cfRule type="dataBar" priority="8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{D27FCDB5-ADCB-434B-928D-7E62E67AA683}</x14:id>
        </ext>
      </extLst>
    </cfRule>
  </conditionalFormatting>
  <conditionalFormatting sqref="AZ856">
    <cfRule type="iconSet" priority="877">
      <iconSet iconSet="3Symbols">
        <cfvo type="percent" val="0"/>
        <cfvo type="num" val="0.75"/>
        <cfvo type="num" val="0.85"/>
      </iconSet>
    </cfRule>
    <cfRule type="dataBar" priority="8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{E844A868-2F30-4815-960E-2DF95B22A259}</x14:id>
        </ext>
      </extLst>
    </cfRule>
  </conditionalFormatting>
  <conditionalFormatting sqref="AZ860:AZ862 AZ857">
    <cfRule type="iconSet" priority="879">
      <iconSet iconSet="3Symbols">
        <cfvo type="percent" val="0"/>
        <cfvo type="num" val="0.75"/>
        <cfvo type="num" val="0.85"/>
      </iconSet>
    </cfRule>
    <cfRule type="dataBar" priority="8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{7CA5A348-F2CC-43B6-9E43-6852291E93BA}</x14:id>
        </ext>
      </extLst>
    </cfRule>
  </conditionalFormatting>
  <conditionalFormatting sqref="AZ863">
    <cfRule type="iconSet" priority="881">
      <iconSet iconSet="3Symbols">
        <cfvo type="percent" val="0"/>
        <cfvo type="num" val="0.75"/>
        <cfvo type="num" val="0.85"/>
      </iconSet>
    </cfRule>
    <cfRule type="dataBar" priority="8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{F05C17E1-1278-4646-B8C8-DEC016AF96DB}</x14:id>
        </ext>
      </extLst>
    </cfRule>
  </conditionalFormatting>
  <conditionalFormatting sqref="AZ858">
    <cfRule type="iconSet" priority="883">
      <iconSet iconSet="3Symbols">
        <cfvo type="percent" val="0"/>
        <cfvo type="num" val="0.75"/>
        <cfvo type="num" val="0.85"/>
      </iconSet>
    </cfRule>
    <cfRule type="dataBar" priority="8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{28D65560-B018-4890-AB5D-3ACDDCD5263F}</x14:id>
        </ext>
      </extLst>
    </cfRule>
  </conditionalFormatting>
  <conditionalFormatting sqref="AZ859">
    <cfRule type="iconSet" priority="885">
      <iconSet iconSet="3Symbols">
        <cfvo type="percent" val="0"/>
        <cfvo type="num" val="0.75"/>
        <cfvo type="num" val="0.85"/>
      </iconSet>
    </cfRule>
    <cfRule type="dataBar" priority="8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{2B74E8FD-BEBD-48A9-B559-3A5F314FD5DC}</x14:id>
        </ext>
      </extLst>
    </cfRule>
  </conditionalFormatting>
  <conditionalFormatting sqref="AZ847">
    <cfRule type="iconSet" priority="867">
      <iconSet iconSet="3Symbols">
        <cfvo type="percent" val="0"/>
        <cfvo type="num" val="0.75"/>
        <cfvo type="num" val="0.85"/>
      </iconSet>
    </cfRule>
    <cfRule type="dataBar" priority="8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{C6673341-9DC1-4EDD-8B69-A20B5850EF8C}</x14:id>
        </ext>
      </extLst>
    </cfRule>
  </conditionalFormatting>
  <conditionalFormatting sqref="AZ851:AZ853 AZ848">
    <cfRule type="iconSet" priority="869">
      <iconSet iconSet="3Symbols">
        <cfvo type="percent" val="0"/>
        <cfvo type="num" val="0.75"/>
        <cfvo type="num" val="0.85"/>
      </iconSet>
    </cfRule>
    <cfRule type="dataBar" priority="8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{A8BB4A38-F600-464C-98BE-293D69EF4B17}</x14:id>
        </ext>
      </extLst>
    </cfRule>
  </conditionalFormatting>
  <conditionalFormatting sqref="AZ854">
    <cfRule type="iconSet" priority="871">
      <iconSet iconSet="3Symbols">
        <cfvo type="percent" val="0"/>
        <cfvo type="num" val="0.75"/>
        <cfvo type="num" val="0.85"/>
      </iconSet>
    </cfRule>
    <cfRule type="dataBar" priority="8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{A3A3AE7F-307F-424E-953A-3707E56CADC4}</x14:id>
        </ext>
      </extLst>
    </cfRule>
  </conditionalFormatting>
  <conditionalFormatting sqref="AZ849">
    <cfRule type="iconSet" priority="873">
      <iconSet iconSet="3Symbols">
        <cfvo type="percent" val="0"/>
        <cfvo type="num" val="0.75"/>
        <cfvo type="num" val="0.85"/>
      </iconSet>
    </cfRule>
    <cfRule type="dataBar" priority="8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{C0E1B478-5094-47DE-B419-03B4DAB07F49}</x14:id>
        </ext>
      </extLst>
    </cfRule>
  </conditionalFormatting>
  <conditionalFormatting sqref="AZ850">
    <cfRule type="iconSet" priority="875">
      <iconSet iconSet="3Symbols">
        <cfvo type="percent" val="0"/>
        <cfvo type="num" val="0.75"/>
        <cfvo type="num" val="0.85"/>
      </iconSet>
    </cfRule>
    <cfRule type="dataBar" priority="8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{546D9612-40D9-47BB-8453-E6A8A5323410}</x14:id>
        </ext>
      </extLst>
    </cfRule>
  </conditionalFormatting>
  <conditionalFormatting sqref="AZ820 AZ829">
    <cfRule type="iconSet" priority="857">
      <iconSet iconSet="3Symbols">
        <cfvo type="percent" val="0"/>
        <cfvo type="num" val="0.75"/>
        <cfvo type="num" val="0.85"/>
      </iconSet>
    </cfRule>
    <cfRule type="dataBar" priority="8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{49F1077E-B363-4E46-B2C6-13422DC5FE87}</x14:id>
        </ext>
      </extLst>
    </cfRule>
  </conditionalFormatting>
  <conditionalFormatting sqref="AZ824:AZ826 AZ833:AZ835 AZ821 AZ830">
    <cfRule type="iconSet" priority="859">
      <iconSet iconSet="3Symbols">
        <cfvo type="percent" val="0"/>
        <cfvo type="num" val="0.75"/>
        <cfvo type="num" val="0.85"/>
      </iconSet>
    </cfRule>
    <cfRule type="dataBar" priority="8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{EBDCE3F8-0D05-4A3F-A36A-20CA3AB61F9F}</x14:id>
        </ext>
      </extLst>
    </cfRule>
  </conditionalFormatting>
  <conditionalFormatting sqref="AZ827 AZ836">
    <cfRule type="iconSet" priority="861">
      <iconSet iconSet="3Symbols">
        <cfvo type="percent" val="0"/>
        <cfvo type="num" val="0.75"/>
        <cfvo type="num" val="0.85"/>
      </iconSet>
    </cfRule>
    <cfRule type="dataBar" priority="8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{CC6EB41B-0E68-4B4A-87FD-EB2CC723931D}</x14:id>
        </ext>
      </extLst>
    </cfRule>
  </conditionalFormatting>
  <conditionalFormatting sqref="AZ822 AZ831">
    <cfRule type="iconSet" priority="863">
      <iconSet iconSet="3Symbols">
        <cfvo type="percent" val="0"/>
        <cfvo type="num" val="0.75"/>
        <cfvo type="num" val="0.85"/>
      </iconSet>
    </cfRule>
    <cfRule type="dataBar" priority="8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{89309B78-52A4-401E-A00E-080ABE1506AE}</x14:id>
        </ext>
      </extLst>
    </cfRule>
  </conditionalFormatting>
  <conditionalFormatting sqref="AZ823 AZ832">
    <cfRule type="iconSet" priority="865">
      <iconSet iconSet="3Symbols">
        <cfvo type="percent" val="0"/>
        <cfvo type="num" val="0.75"/>
        <cfvo type="num" val="0.85"/>
      </iconSet>
    </cfRule>
    <cfRule type="dataBar" priority="8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{F5678A39-99DC-4DC2-B98C-9785ECAA4F5C}</x14:id>
        </ext>
      </extLst>
    </cfRule>
  </conditionalFormatting>
  <conditionalFormatting sqref="AZ874">
    <cfRule type="iconSet" priority="847">
      <iconSet iconSet="3Symbols">
        <cfvo type="percent" val="0"/>
        <cfvo type="num" val="0.75"/>
        <cfvo type="num" val="0.85"/>
      </iconSet>
    </cfRule>
    <cfRule type="dataBar" priority="8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{0005947D-FC55-4D8F-A393-8E7BE456D009}</x14:id>
        </ext>
      </extLst>
    </cfRule>
  </conditionalFormatting>
  <conditionalFormatting sqref="AZ878:AZ880 AZ875">
    <cfRule type="iconSet" priority="849">
      <iconSet iconSet="3Symbols">
        <cfvo type="percent" val="0"/>
        <cfvo type="num" val="0.75"/>
        <cfvo type="num" val="0.85"/>
      </iconSet>
    </cfRule>
    <cfRule type="dataBar" priority="8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{33FD07AB-0F15-4A37-B0EB-8C1565BD878E}</x14:id>
        </ext>
      </extLst>
    </cfRule>
  </conditionalFormatting>
  <conditionalFormatting sqref="AZ881">
    <cfRule type="iconSet" priority="851">
      <iconSet iconSet="3Symbols">
        <cfvo type="percent" val="0"/>
        <cfvo type="num" val="0.75"/>
        <cfvo type="num" val="0.85"/>
      </iconSet>
    </cfRule>
    <cfRule type="dataBar" priority="8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{5D3898DA-36CC-423A-9317-330D6DEA91A6}</x14:id>
        </ext>
      </extLst>
    </cfRule>
  </conditionalFormatting>
  <conditionalFormatting sqref="AZ876">
    <cfRule type="iconSet" priority="853">
      <iconSet iconSet="3Symbols">
        <cfvo type="percent" val="0"/>
        <cfvo type="num" val="0.75"/>
        <cfvo type="num" val="0.85"/>
      </iconSet>
    </cfRule>
    <cfRule type="dataBar" priority="8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{60A361B2-FB67-4A72-A0BB-B4134940407B}</x14:id>
        </ext>
      </extLst>
    </cfRule>
  </conditionalFormatting>
  <conditionalFormatting sqref="AZ877">
    <cfRule type="iconSet" priority="855">
      <iconSet iconSet="3Symbols">
        <cfvo type="percent" val="0"/>
        <cfvo type="num" val="0.75"/>
        <cfvo type="num" val="0.85"/>
      </iconSet>
    </cfRule>
    <cfRule type="dataBar" priority="8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{5DDD410E-40FC-49A5-9BA9-7CC931387058}</x14:id>
        </ext>
      </extLst>
    </cfRule>
  </conditionalFormatting>
  <conditionalFormatting sqref="AZ838">
    <cfRule type="iconSet" priority="837">
      <iconSet iconSet="3Symbols">
        <cfvo type="percent" val="0"/>
        <cfvo type="num" val="0.75"/>
        <cfvo type="num" val="0.85"/>
      </iconSet>
    </cfRule>
    <cfRule type="dataBar" priority="8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{29D25697-E3B4-48B7-90B4-93A0298CF9DC}</x14:id>
        </ext>
      </extLst>
    </cfRule>
  </conditionalFormatting>
  <conditionalFormatting sqref="AZ842:AZ844 AZ839">
    <cfRule type="iconSet" priority="839">
      <iconSet iconSet="3Symbols">
        <cfvo type="percent" val="0"/>
        <cfvo type="num" val="0.75"/>
        <cfvo type="num" val="0.85"/>
      </iconSet>
    </cfRule>
    <cfRule type="dataBar" priority="8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{67533713-5AAF-4705-8C69-831C62A4B275}</x14:id>
        </ext>
      </extLst>
    </cfRule>
  </conditionalFormatting>
  <conditionalFormatting sqref="AZ845">
    <cfRule type="iconSet" priority="841">
      <iconSet iconSet="3Symbols">
        <cfvo type="percent" val="0"/>
        <cfvo type="num" val="0.75"/>
        <cfvo type="num" val="0.85"/>
      </iconSet>
    </cfRule>
    <cfRule type="dataBar" priority="8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{92A6D63E-0AD7-41A0-B23F-A91EE12A427D}</x14:id>
        </ext>
      </extLst>
    </cfRule>
  </conditionalFormatting>
  <conditionalFormatting sqref="AZ840">
    <cfRule type="iconSet" priority="843">
      <iconSet iconSet="3Symbols">
        <cfvo type="percent" val="0"/>
        <cfvo type="num" val="0.75"/>
        <cfvo type="num" val="0.85"/>
      </iconSet>
    </cfRule>
    <cfRule type="dataBar" priority="8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{4FBDABDB-EE8E-46CB-9289-DA08FA2E2D3E}</x14:id>
        </ext>
      </extLst>
    </cfRule>
  </conditionalFormatting>
  <conditionalFormatting sqref="AZ841">
    <cfRule type="iconSet" priority="845">
      <iconSet iconSet="3Symbols">
        <cfvo type="percent" val="0"/>
        <cfvo type="num" val="0.75"/>
        <cfvo type="num" val="0.85"/>
      </iconSet>
    </cfRule>
    <cfRule type="dataBar" priority="8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{CF1A9B36-8E1D-44FD-B00A-2A8E7E0EA564}</x14:id>
        </ext>
      </extLst>
    </cfRule>
  </conditionalFormatting>
  <conditionalFormatting sqref="AZ865">
    <cfRule type="iconSet" priority="827">
      <iconSet iconSet="3Symbols">
        <cfvo type="percent" val="0"/>
        <cfvo type="num" val="0.75"/>
        <cfvo type="num" val="0.85"/>
      </iconSet>
    </cfRule>
    <cfRule type="dataBar" priority="8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{0B3C8097-58E9-4B24-9697-3F9514D6875C}</x14:id>
        </ext>
      </extLst>
    </cfRule>
  </conditionalFormatting>
  <conditionalFormatting sqref="AZ869:AZ871 AZ866">
    <cfRule type="iconSet" priority="829">
      <iconSet iconSet="3Symbols">
        <cfvo type="percent" val="0"/>
        <cfvo type="num" val="0.75"/>
        <cfvo type="num" val="0.85"/>
      </iconSet>
    </cfRule>
    <cfRule type="dataBar" priority="8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{BC31DA24-E354-43D8-AD96-0A6BDEDD306F}</x14:id>
        </ext>
      </extLst>
    </cfRule>
  </conditionalFormatting>
  <conditionalFormatting sqref="AZ872">
    <cfRule type="iconSet" priority="831">
      <iconSet iconSet="3Symbols">
        <cfvo type="percent" val="0"/>
        <cfvo type="num" val="0.75"/>
        <cfvo type="num" val="0.85"/>
      </iconSet>
    </cfRule>
    <cfRule type="dataBar" priority="8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{5F8125B2-3D16-4A33-8FBA-E00EA2B437B6}</x14:id>
        </ext>
      </extLst>
    </cfRule>
  </conditionalFormatting>
  <conditionalFormatting sqref="AZ867">
    <cfRule type="iconSet" priority="833">
      <iconSet iconSet="3Symbols">
        <cfvo type="percent" val="0"/>
        <cfvo type="num" val="0.75"/>
        <cfvo type="num" val="0.85"/>
      </iconSet>
    </cfRule>
    <cfRule type="dataBar" priority="8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{157974AD-AC14-4023-B1AA-46CF9B1DCCFB}</x14:id>
        </ext>
      </extLst>
    </cfRule>
  </conditionalFormatting>
  <conditionalFormatting sqref="AZ868">
    <cfRule type="iconSet" priority="835">
      <iconSet iconSet="3Symbols">
        <cfvo type="percent" val="0"/>
        <cfvo type="num" val="0.75"/>
        <cfvo type="num" val="0.85"/>
      </iconSet>
    </cfRule>
    <cfRule type="dataBar" priority="8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{D372399F-B90C-4374-886D-B1482C6582A9}</x14:id>
        </ext>
      </extLst>
    </cfRule>
  </conditionalFormatting>
  <conditionalFormatting sqref="AZ720">
    <cfRule type="iconSet" priority="825">
      <iconSet iconSet="3Symbols">
        <cfvo type="percent" val="0"/>
        <cfvo type="num" val="0.75"/>
        <cfvo type="num" val="0.85"/>
      </iconSet>
    </cfRule>
    <cfRule type="dataBar" priority="8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{49ABD3C9-DCDE-4F1C-9591-1F4C8FD8DEA4}</x14:id>
        </ext>
      </extLst>
    </cfRule>
  </conditionalFormatting>
  <conditionalFormatting sqref="AZ721:AZ724">
    <cfRule type="iconSet" priority="823">
      <iconSet iconSet="3Symbols">
        <cfvo type="percent" val="0"/>
        <cfvo type="num" val="0.75"/>
        <cfvo type="num" val="0.85"/>
      </iconSet>
    </cfRule>
    <cfRule type="dataBar" priority="8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{85FB2F35-8733-44E2-9FD5-4DF245E9E3DA}</x14:id>
        </ext>
      </extLst>
    </cfRule>
  </conditionalFormatting>
  <conditionalFormatting sqref="AZ725">
    <cfRule type="iconSet" priority="821">
      <iconSet iconSet="3Symbols">
        <cfvo type="percent" val="0"/>
        <cfvo type="num" val="0.75"/>
        <cfvo type="num" val="0.85"/>
      </iconSet>
    </cfRule>
    <cfRule type="dataBar" priority="8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{0725705C-3FEF-499A-933E-88B6F88DB7D5}</x14:id>
        </ext>
      </extLst>
    </cfRule>
  </conditionalFormatting>
  <conditionalFormatting sqref="AZ793">
    <cfRule type="iconSet" priority="811">
      <iconSet iconSet="3Symbols">
        <cfvo type="percent" val="0"/>
        <cfvo type="num" val="0.75"/>
        <cfvo type="num" val="0.85"/>
      </iconSet>
    </cfRule>
    <cfRule type="dataBar" priority="8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{2F2584C9-CF7D-4A60-98F1-727DF66494AD}</x14:id>
        </ext>
      </extLst>
    </cfRule>
  </conditionalFormatting>
  <conditionalFormatting sqref="AZ797:AZ799 AZ794">
    <cfRule type="iconSet" priority="813">
      <iconSet iconSet="3Symbols">
        <cfvo type="percent" val="0"/>
        <cfvo type="num" val="0.75"/>
        <cfvo type="num" val="0.85"/>
      </iconSet>
    </cfRule>
    <cfRule type="dataBar" priority="8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{DAEF0D5E-A402-4926-A394-D5664C584ED4}</x14:id>
        </ext>
      </extLst>
    </cfRule>
  </conditionalFormatting>
  <conditionalFormatting sqref="AZ800">
    <cfRule type="iconSet" priority="815">
      <iconSet iconSet="3Symbols">
        <cfvo type="percent" val="0"/>
        <cfvo type="num" val="0.75"/>
        <cfvo type="num" val="0.85"/>
      </iconSet>
    </cfRule>
    <cfRule type="dataBar" priority="8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{B0BCA469-7DA4-4984-A4FF-6016182C0B19}</x14:id>
        </ext>
      </extLst>
    </cfRule>
  </conditionalFormatting>
  <conditionalFormatting sqref="AZ795">
    <cfRule type="iconSet" priority="817">
      <iconSet iconSet="3Symbols">
        <cfvo type="percent" val="0"/>
        <cfvo type="num" val="0.75"/>
        <cfvo type="num" val="0.85"/>
      </iconSet>
    </cfRule>
    <cfRule type="dataBar" priority="8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{D079DE41-CF6D-46C4-839A-6D4129A34F83}</x14:id>
        </ext>
      </extLst>
    </cfRule>
  </conditionalFormatting>
  <conditionalFormatting sqref="AZ796">
    <cfRule type="iconSet" priority="819">
      <iconSet iconSet="3Symbols">
        <cfvo type="percent" val="0"/>
        <cfvo type="num" val="0.75"/>
        <cfvo type="num" val="0.85"/>
      </iconSet>
    </cfRule>
    <cfRule type="dataBar" priority="8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{F14C189A-D754-4C27-8226-CA9B05E8803F}</x14:id>
        </ext>
      </extLst>
    </cfRule>
  </conditionalFormatting>
  <conditionalFormatting sqref="AZ727">
    <cfRule type="iconSet" priority="809">
      <iconSet iconSet="3Symbols">
        <cfvo type="percent" val="0"/>
        <cfvo type="num" val="0.75"/>
        <cfvo type="num" val="0.85"/>
      </iconSet>
    </cfRule>
    <cfRule type="dataBar" priority="8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{8B3926F2-88F5-41C3-BB09-93BB143C595C}</x14:id>
        </ext>
      </extLst>
    </cfRule>
  </conditionalFormatting>
  <conditionalFormatting sqref="AZ728:AZ731">
    <cfRule type="iconSet" priority="807">
      <iconSet iconSet="3Symbols">
        <cfvo type="percent" val="0"/>
        <cfvo type="num" val="0.75"/>
        <cfvo type="num" val="0.85"/>
      </iconSet>
    </cfRule>
    <cfRule type="dataBar" priority="8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{06ACC9F9-EC74-4401-BF2B-E462C57C5EFE}</x14:id>
        </ext>
      </extLst>
    </cfRule>
  </conditionalFormatting>
  <conditionalFormatting sqref="AZ732">
    <cfRule type="iconSet" priority="805">
      <iconSet iconSet="3Symbols">
        <cfvo type="percent" val="0"/>
        <cfvo type="num" val="0.75"/>
        <cfvo type="num" val="0.85"/>
      </iconSet>
    </cfRule>
    <cfRule type="dataBar" priority="8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{6B7D9A88-4300-4279-9B41-C15AFF9DA39C}</x14:id>
        </ext>
      </extLst>
    </cfRule>
  </conditionalFormatting>
  <conditionalFormatting sqref="AZ734">
    <cfRule type="iconSet" priority="803">
      <iconSet iconSet="3Symbols">
        <cfvo type="percent" val="0"/>
        <cfvo type="num" val="0.75"/>
        <cfvo type="num" val="0.85"/>
      </iconSet>
    </cfRule>
    <cfRule type="dataBar" priority="8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{12AFBB6C-7AF1-4B2B-B800-0E16BF514274}</x14:id>
        </ext>
      </extLst>
    </cfRule>
  </conditionalFormatting>
  <conditionalFormatting sqref="AZ735:AZ738">
    <cfRule type="iconSet" priority="801">
      <iconSet iconSet="3Symbols">
        <cfvo type="percent" val="0"/>
        <cfvo type="num" val="0.75"/>
        <cfvo type="num" val="0.85"/>
      </iconSet>
    </cfRule>
    <cfRule type="dataBar" priority="8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{DC9FFF45-1F19-4634-8E47-FE15E6E5E590}</x14:id>
        </ext>
      </extLst>
    </cfRule>
  </conditionalFormatting>
  <conditionalFormatting sqref="AZ739">
    <cfRule type="iconSet" priority="799">
      <iconSet iconSet="3Symbols">
        <cfvo type="percent" val="0"/>
        <cfvo type="num" val="0.75"/>
        <cfvo type="num" val="0.85"/>
      </iconSet>
    </cfRule>
    <cfRule type="dataBar" priority="8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{AA0D29AF-01B2-4D3A-8728-934E6A0AB7EE}</x14:id>
        </ext>
      </extLst>
    </cfRule>
  </conditionalFormatting>
  <conditionalFormatting sqref="AZ741">
    <cfRule type="iconSet" priority="797">
      <iconSet iconSet="3Symbols">
        <cfvo type="percent" val="0"/>
        <cfvo type="num" val="0.75"/>
        <cfvo type="num" val="0.85"/>
      </iconSet>
    </cfRule>
    <cfRule type="dataBar" priority="7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{78ED38C2-B808-4836-B63C-402950A42C03}</x14:id>
        </ext>
      </extLst>
    </cfRule>
  </conditionalFormatting>
  <conditionalFormatting sqref="AZ742:AZ745">
    <cfRule type="iconSet" priority="795">
      <iconSet iconSet="3Symbols">
        <cfvo type="percent" val="0"/>
        <cfvo type="num" val="0.75"/>
        <cfvo type="num" val="0.85"/>
      </iconSet>
    </cfRule>
    <cfRule type="dataBar" priority="7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{526AE5F6-A0E6-46CC-9D0B-6160497516F9}</x14:id>
        </ext>
      </extLst>
    </cfRule>
  </conditionalFormatting>
  <conditionalFormatting sqref="AZ746">
    <cfRule type="iconSet" priority="793">
      <iconSet iconSet="3Symbols">
        <cfvo type="percent" val="0"/>
        <cfvo type="num" val="0.75"/>
        <cfvo type="num" val="0.85"/>
      </iconSet>
    </cfRule>
    <cfRule type="dataBar" priority="7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{C73C6832-710C-4C54-B910-70DE7A1596A9}</x14:id>
        </ext>
      </extLst>
    </cfRule>
  </conditionalFormatting>
  <conditionalFormatting sqref="AZ933 AZ978 AZ942 AZ951 AZ987">
    <cfRule type="iconSet" priority="783">
      <iconSet iconSet="3Symbols">
        <cfvo type="percent" val="0"/>
        <cfvo type="num" val="0.75"/>
        <cfvo type="num" val="0.85"/>
      </iconSet>
    </cfRule>
    <cfRule type="dataBar" priority="7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{A48EBB76-99E8-4E20-8C7C-1859CD64F378}</x14:id>
        </ext>
      </extLst>
    </cfRule>
  </conditionalFormatting>
  <conditionalFormatting sqref="AZ982:AZ984 AZ937:AZ939 AZ946:AZ948 AZ955:AZ957 AZ991:AZ993 AZ934 AZ943 AZ952 AZ979 AZ988">
    <cfRule type="iconSet" priority="785">
      <iconSet iconSet="3Symbols">
        <cfvo type="percent" val="0"/>
        <cfvo type="num" val="0.75"/>
        <cfvo type="num" val="0.85"/>
      </iconSet>
    </cfRule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{F7088348-5067-4A9B-BEF9-13F085D840B7}</x14:id>
        </ext>
      </extLst>
    </cfRule>
  </conditionalFormatting>
  <conditionalFormatting sqref="AZ940 AZ985 AZ949 AZ958 AZ994">
    <cfRule type="iconSet" priority="787">
      <iconSet iconSet="3Symbols">
        <cfvo type="percent" val="0"/>
        <cfvo type="num" val="0.75"/>
        <cfvo type="num" val="0.85"/>
      </iconSet>
    </cfRule>
    <cfRule type="dataBar" priority="7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{30923E6A-4120-40D6-BEA3-D06794D0676C}</x14:id>
        </ext>
      </extLst>
    </cfRule>
  </conditionalFormatting>
  <conditionalFormatting sqref="AZ935 AZ980 AZ944 AZ953 AZ989">
    <cfRule type="iconSet" priority="789">
      <iconSet iconSet="3Symbols">
        <cfvo type="percent" val="0"/>
        <cfvo type="num" val="0.75"/>
        <cfvo type="num" val="0.85"/>
      </iconSet>
    </cfRule>
    <cfRule type="dataBar" priority="7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{2967761B-81FE-4389-B81E-9461F79E5DE4}</x14:id>
        </ext>
      </extLst>
    </cfRule>
  </conditionalFormatting>
  <conditionalFormatting sqref="AZ936 AZ981 AZ945 AZ954 AZ990">
    <cfRule type="iconSet" priority="791">
      <iconSet iconSet="3Symbols">
        <cfvo type="percent" val="0"/>
        <cfvo type="num" val="0.75"/>
        <cfvo type="num" val="0.85"/>
      </iconSet>
    </cfRule>
    <cfRule type="dataBar" priority="7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{01C62A3B-2017-4A79-A6D7-D0C614CD22C9}</x14:id>
        </ext>
      </extLst>
    </cfRule>
  </conditionalFormatting>
  <conditionalFormatting sqref="AZ960">
    <cfRule type="iconSet" priority="773">
      <iconSet iconSet="3Symbols">
        <cfvo type="percent" val="0"/>
        <cfvo type="num" val="0.75"/>
        <cfvo type="num" val="0.85"/>
      </iconSet>
    </cfRule>
    <cfRule type="dataBar" priority="7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{19FB9A75-9B73-48B5-8B8F-31E95DE6D174}</x14:id>
        </ext>
      </extLst>
    </cfRule>
  </conditionalFormatting>
  <conditionalFormatting sqref="AZ964:AZ966 AZ961">
    <cfRule type="iconSet" priority="775">
      <iconSet iconSet="3Symbols">
        <cfvo type="percent" val="0"/>
        <cfvo type="num" val="0.75"/>
        <cfvo type="num" val="0.85"/>
      </iconSet>
    </cfRule>
    <cfRule type="dataBar" priority="7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{05FCD414-5C98-4796-8997-500088196DD8}</x14:id>
        </ext>
      </extLst>
    </cfRule>
  </conditionalFormatting>
  <conditionalFormatting sqref="AZ967">
    <cfRule type="iconSet" priority="777">
      <iconSet iconSet="3Symbols">
        <cfvo type="percent" val="0"/>
        <cfvo type="num" val="0.75"/>
        <cfvo type="num" val="0.85"/>
      </iconSet>
    </cfRule>
    <cfRule type="dataBar" priority="7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{502619C7-1383-4761-9641-9EC1B3D38014}</x14:id>
        </ext>
      </extLst>
    </cfRule>
  </conditionalFormatting>
  <conditionalFormatting sqref="AZ962">
    <cfRule type="iconSet" priority="779">
      <iconSet iconSet="3Symbols">
        <cfvo type="percent" val="0"/>
        <cfvo type="num" val="0.75"/>
        <cfvo type="num" val="0.85"/>
      </iconSet>
    </cfRule>
    <cfRule type="dataBar" priority="7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{A6931359-7AA6-4589-8F71-A7A0247FEA81}</x14:id>
        </ext>
      </extLst>
    </cfRule>
  </conditionalFormatting>
  <conditionalFormatting sqref="AZ963">
    <cfRule type="iconSet" priority="781">
      <iconSet iconSet="3Symbols">
        <cfvo type="percent" val="0"/>
        <cfvo type="num" val="0.75"/>
        <cfvo type="num" val="0.85"/>
      </iconSet>
    </cfRule>
    <cfRule type="dataBar" priority="7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{3C447EFE-2EE2-493A-8757-D75D1AECD676}</x14:id>
        </ext>
      </extLst>
    </cfRule>
  </conditionalFormatting>
  <conditionalFormatting sqref="AZ889">
    <cfRule type="iconSet" priority="771">
      <iconSet iconSet="3Symbols">
        <cfvo type="percent" val="0"/>
        <cfvo type="num" val="0.75"/>
        <cfvo type="num" val="0.85"/>
      </iconSet>
    </cfRule>
    <cfRule type="dataBar" priority="7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{0210AA65-3091-4468-B220-8576C9E704E8}</x14:id>
        </ext>
      </extLst>
    </cfRule>
  </conditionalFormatting>
  <conditionalFormatting sqref="AZ890:AZ893">
    <cfRule type="iconSet" priority="769">
      <iconSet iconSet="3Symbols">
        <cfvo type="percent" val="0"/>
        <cfvo type="num" val="0.75"/>
        <cfvo type="num" val="0.85"/>
      </iconSet>
    </cfRule>
    <cfRule type="dataBar" priority="7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{56C792A1-2B3A-4669-8CA6-E9DEA12EE651}</x14:id>
        </ext>
      </extLst>
    </cfRule>
  </conditionalFormatting>
  <conditionalFormatting sqref="AZ894">
    <cfRule type="iconSet" priority="767">
      <iconSet iconSet="3Symbols">
        <cfvo type="percent" val="0"/>
        <cfvo type="num" val="0.75"/>
        <cfvo type="num" val="0.85"/>
      </iconSet>
    </cfRule>
    <cfRule type="dataBar" priority="7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{BA18BC08-3836-40E3-9C92-0479AB90B28F}</x14:id>
        </ext>
      </extLst>
    </cfRule>
  </conditionalFormatting>
  <conditionalFormatting sqref="AZ925">
    <cfRule type="iconSet" priority="765">
      <iconSet iconSet="3Symbols">
        <cfvo type="percent" val="0"/>
        <cfvo type="num" val="0.75"/>
        <cfvo type="num" val="0.85"/>
      </iconSet>
    </cfRule>
    <cfRule type="dataBar" priority="7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{CD3B00D7-E079-499E-AE8C-B5ACE3EBB399}</x14:id>
        </ext>
      </extLst>
    </cfRule>
  </conditionalFormatting>
  <conditionalFormatting sqref="AZ924">
    <cfRule type="iconSet" priority="755">
      <iconSet iconSet="3Symbols">
        <cfvo type="percent" val="0"/>
        <cfvo type="num" val="0.75"/>
        <cfvo type="num" val="0.85"/>
      </iconSet>
    </cfRule>
    <cfRule type="dataBar" priority="7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{968FC23D-8A65-4C5E-B132-310BDB221D83}</x14:id>
        </ext>
      </extLst>
    </cfRule>
  </conditionalFormatting>
  <conditionalFormatting sqref="AZ928:AZ930">
    <cfRule type="iconSet" priority="757">
      <iconSet iconSet="3Symbols">
        <cfvo type="percent" val="0"/>
        <cfvo type="num" val="0.75"/>
        <cfvo type="num" val="0.85"/>
      </iconSet>
    </cfRule>
    <cfRule type="dataBar" priority="7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{765DA65C-800A-4172-BFA5-50B979793FEE}</x14:id>
        </ext>
      </extLst>
    </cfRule>
  </conditionalFormatting>
  <conditionalFormatting sqref="AZ931">
    <cfRule type="iconSet" priority="759">
      <iconSet iconSet="3Symbols">
        <cfvo type="percent" val="0"/>
        <cfvo type="num" val="0.75"/>
        <cfvo type="num" val="0.85"/>
      </iconSet>
    </cfRule>
    <cfRule type="dataBar" priority="7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{6EB07B67-6E6B-4A15-AD6F-A22975B27C67}</x14:id>
        </ext>
      </extLst>
    </cfRule>
  </conditionalFormatting>
  <conditionalFormatting sqref="AZ926">
    <cfRule type="iconSet" priority="761">
      <iconSet iconSet="3Symbols">
        <cfvo type="percent" val="0"/>
        <cfvo type="num" val="0.75"/>
        <cfvo type="num" val="0.85"/>
      </iconSet>
    </cfRule>
    <cfRule type="dataBar" priority="7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{E0C10177-4EC5-43EB-B73A-36827E0516CE}</x14:id>
        </ext>
      </extLst>
    </cfRule>
  </conditionalFormatting>
  <conditionalFormatting sqref="AZ927">
    <cfRule type="iconSet" priority="763">
      <iconSet iconSet="3Symbols">
        <cfvo type="percent" val="0"/>
        <cfvo type="num" val="0.75"/>
        <cfvo type="num" val="0.85"/>
      </iconSet>
    </cfRule>
    <cfRule type="dataBar" priority="7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{4C69F1EB-A31A-48B2-A074-F8EC7CF51175}</x14:id>
        </ext>
      </extLst>
    </cfRule>
  </conditionalFormatting>
  <conditionalFormatting sqref="AZ1032">
    <cfRule type="iconSet" priority="745">
      <iconSet iconSet="3Symbols">
        <cfvo type="percent" val="0"/>
        <cfvo type="num" val="0.75"/>
        <cfvo type="num" val="0.85"/>
      </iconSet>
    </cfRule>
    <cfRule type="dataBar" priority="7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{75FF0AA0-593F-4448-BF43-B4F95CF5140D}</x14:id>
        </ext>
      </extLst>
    </cfRule>
  </conditionalFormatting>
  <conditionalFormatting sqref="AZ1036:AZ1038 AZ1033">
    <cfRule type="iconSet" priority="747">
      <iconSet iconSet="3Symbols">
        <cfvo type="percent" val="0"/>
        <cfvo type="num" val="0.75"/>
        <cfvo type="num" val="0.85"/>
      </iconSet>
    </cfRule>
    <cfRule type="dataBar" priority="7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{10CEB29E-6041-4EAD-8E03-B4599204661F}</x14:id>
        </ext>
      </extLst>
    </cfRule>
  </conditionalFormatting>
  <conditionalFormatting sqref="AZ1039">
    <cfRule type="iconSet" priority="749">
      <iconSet iconSet="3Symbols">
        <cfvo type="percent" val="0"/>
        <cfvo type="num" val="0.75"/>
        <cfvo type="num" val="0.85"/>
      </iconSet>
    </cfRule>
    <cfRule type="dataBar" priority="7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{9125AF40-CE12-4AAF-8B87-5AA9FF9F55C3}</x14:id>
        </ext>
      </extLst>
    </cfRule>
  </conditionalFormatting>
  <conditionalFormatting sqref="AZ1034">
    <cfRule type="iconSet" priority="751">
      <iconSet iconSet="3Symbols">
        <cfvo type="percent" val="0"/>
        <cfvo type="num" val="0.75"/>
        <cfvo type="num" val="0.85"/>
      </iconSet>
    </cfRule>
    <cfRule type="dataBar" priority="7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{E817BFCD-FA7E-47D1-A1E4-D4E771C805A6}</x14:id>
        </ext>
      </extLst>
    </cfRule>
  </conditionalFormatting>
  <conditionalFormatting sqref="AZ1035">
    <cfRule type="iconSet" priority="753">
      <iconSet iconSet="3Symbols">
        <cfvo type="percent" val="0"/>
        <cfvo type="num" val="0.75"/>
        <cfvo type="num" val="0.85"/>
      </iconSet>
    </cfRule>
    <cfRule type="dataBar" priority="7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{C6F17C34-1350-468A-82B2-2C676272CA64}</x14:id>
        </ext>
      </extLst>
    </cfRule>
  </conditionalFormatting>
  <conditionalFormatting sqref="AZ1023">
    <cfRule type="iconSet" priority="735">
      <iconSet iconSet="3Symbols">
        <cfvo type="percent" val="0"/>
        <cfvo type="num" val="0.75"/>
        <cfvo type="num" val="0.85"/>
      </iconSet>
    </cfRule>
    <cfRule type="dataBar" priority="7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{6C808E62-9FAE-47F0-B342-68D21237F2FE}</x14:id>
        </ext>
      </extLst>
    </cfRule>
  </conditionalFormatting>
  <conditionalFormatting sqref="AZ1027:AZ1029 AZ1024">
    <cfRule type="iconSet" priority="737">
      <iconSet iconSet="3Symbols">
        <cfvo type="percent" val="0"/>
        <cfvo type="num" val="0.75"/>
        <cfvo type="num" val="0.85"/>
      </iconSet>
    </cfRule>
    <cfRule type="dataBar" priority="7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{8B83EA41-78A3-4C25-B0FE-024E8A8DADC1}</x14:id>
        </ext>
      </extLst>
    </cfRule>
  </conditionalFormatting>
  <conditionalFormatting sqref="AZ1030">
    <cfRule type="iconSet" priority="739">
      <iconSet iconSet="3Symbols">
        <cfvo type="percent" val="0"/>
        <cfvo type="num" val="0.75"/>
        <cfvo type="num" val="0.85"/>
      </iconSet>
    </cfRule>
    <cfRule type="dataBar" priority="7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{DF8B44E6-4126-40E5-97E6-476C3AA380C4}</x14:id>
        </ext>
      </extLst>
    </cfRule>
  </conditionalFormatting>
  <conditionalFormatting sqref="AZ1025">
    <cfRule type="iconSet" priority="741">
      <iconSet iconSet="3Symbols">
        <cfvo type="percent" val="0"/>
        <cfvo type="num" val="0.75"/>
        <cfvo type="num" val="0.85"/>
      </iconSet>
    </cfRule>
    <cfRule type="dataBar" priority="7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{6C0EBF6B-1EE0-4EB2-B6D0-39E2B2BF7666}</x14:id>
        </ext>
      </extLst>
    </cfRule>
  </conditionalFormatting>
  <conditionalFormatting sqref="AZ1026">
    <cfRule type="iconSet" priority="743">
      <iconSet iconSet="3Symbols">
        <cfvo type="percent" val="0"/>
        <cfvo type="num" val="0.75"/>
        <cfvo type="num" val="0.85"/>
      </iconSet>
    </cfRule>
    <cfRule type="dataBar" priority="7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{C1919506-2DC4-49F1-9EAC-E26A39F4599D}</x14:id>
        </ext>
      </extLst>
    </cfRule>
  </conditionalFormatting>
  <conditionalFormatting sqref="AZ996 AZ1005">
    <cfRule type="iconSet" priority="725">
      <iconSet iconSet="3Symbols">
        <cfvo type="percent" val="0"/>
        <cfvo type="num" val="0.75"/>
        <cfvo type="num" val="0.85"/>
      </iconSet>
    </cfRule>
    <cfRule type="dataBar" priority="7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{A6990B3E-EA08-4C36-B08E-73008004BD27}</x14:id>
        </ext>
      </extLst>
    </cfRule>
  </conditionalFormatting>
  <conditionalFormatting sqref="AZ1000:AZ1002 AZ1009:AZ1011 AZ997 AZ1006">
    <cfRule type="iconSet" priority="727">
      <iconSet iconSet="3Symbols">
        <cfvo type="percent" val="0"/>
        <cfvo type="num" val="0.75"/>
        <cfvo type="num" val="0.85"/>
      </iconSet>
    </cfRule>
    <cfRule type="dataBar" priority="7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{C9E29A73-BB20-45E6-85E1-384F6A3108C8}</x14:id>
        </ext>
      </extLst>
    </cfRule>
  </conditionalFormatting>
  <conditionalFormatting sqref="AZ1003 AZ1012">
    <cfRule type="iconSet" priority="729">
      <iconSet iconSet="3Symbols">
        <cfvo type="percent" val="0"/>
        <cfvo type="num" val="0.75"/>
        <cfvo type="num" val="0.85"/>
      </iconSet>
    </cfRule>
    <cfRule type="dataBar" priority="7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{37661299-2E1C-42E1-BD3D-95DAABCB2C79}</x14:id>
        </ext>
      </extLst>
    </cfRule>
  </conditionalFormatting>
  <conditionalFormatting sqref="AZ998 AZ1007">
    <cfRule type="iconSet" priority="731">
      <iconSet iconSet="3Symbols">
        <cfvo type="percent" val="0"/>
        <cfvo type="num" val="0.75"/>
        <cfvo type="num" val="0.85"/>
      </iconSet>
    </cfRule>
    <cfRule type="dataBar" priority="7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{8F408733-9800-4F47-94E6-803EBDCBB8EC}</x14:id>
        </ext>
      </extLst>
    </cfRule>
  </conditionalFormatting>
  <conditionalFormatting sqref="AZ999 AZ1008">
    <cfRule type="iconSet" priority="733">
      <iconSet iconSet="3Symbols">
        <cfvo type="percent" val="0"/>
        <cfvo type="num" val="0.75"/>
        <cfvo type="num" val="0.85"/>
      </iconSet>
    </cfRule>
    <cfRule type="dataBar" priority="7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{214BCEC5-BA03-43F8-8909-A1E0F79C749D}</x14:id>
        </ext>
      </extLst>
    </cfRule>
  </conditionalFormatting>
  <conditionalFormatting sqref="AZ1050">
    <cfRule type="iconSet" priority="715">
      <iconSet iconSet="3Symbols">
        <cfvo type="percent" val="0"/>
        <cfvo type="num" val="0.75"/>
        <cfvo type="num" val="0.85"/>
      </iconSet>
    </cfRule>
    <cfRule type="dataBar" priority="7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{E37D0ECB-8261-4CCC-8361-C7160AF5C1EB}</x14:id>
        </ext>
      </extLst>
    </cfRule>
  </conditionalFormatting>
  <conditionalFormatting sqref="AZ1054:AZ1056 AZ1051">
    <cfRule type="iconSet" priority="717">
      <iconSet iconSet="3Symbols">
        <cfvo type="percent" val="0"/>
        <cfvo type="num" val="0.75"/>
        <cfvo type="num" val="0.85"/>
      </iconSet>
    </cfRule>
    <cfRule type="dataBar" priority="7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{76BB5BB0-2A78-4586-AB0F-9231FAFD02F8}</x14:id>
        </ext>
      </extLst>
    </cfRule>
  </conditionalFormatting>
  <conditionalFormatting sqref="AZ1057">
    <cfRule type="iconSet" priority="719">
      <iconSet iconSet="3Symbols">
        <cfvo type="percent" val="0"/>
        <cfvo type="num" val="0.75"/>
        <cfvo type="num" val="0.85"/>
      </iconSet>
    </cfRule>
    <cfRule type="dataBar" priority="7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{A0B88E9E-8137-42C2-B25D-B67BA6B9C8BE}</x14:id>
        </ext>
      </extLst>
    </cfRule>
  </conditionalFormatting>
  <conditionalFormatting sqref="AZ1052">
    <cfRule type="iconSet" priority="721">
      <iconSet iconSet="3Symbols">
        <cfvo type="percent" val="0"/>
        <cfvo type="num" val="0.75"/>
        <cfvo type="num" val="0.85"/>
      </iconSet>
    </cfRule>
    <cfRule type="dataBar" priority="7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{5F036198-95A0-4D41-A519-4A3FE95D8E68}</x14:id>
        </ext>
      </extLst>
    </cfRule>
  </conditionalFormatting>
  <conditionalFormatting sqref="AZ1053">
    <cfRule type="iconSet" priority="723">
      <iconSet iconSet="3Symbols">
        <cfvo type="percent" val="0"/>
        <cfvo type="num" val="0.75"/>
        <cfvo type="num" val="0.85"/>
      </iconSet>
    </cfRule>
    <cfRule type="dataBar" priority="7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{308113D1-15CC-40CB-B11F-DBC1A66D7374}</x14:id>
        </ext>
      </extLst>
    </cfRule>
  </conditionalFormatting>
  <conditionalFormatting sqref="AZ1014">
    <cfRule type="iconSet" priority="705">
      <iconSet iconSet="3Symbols">
        <cfvo type="percent" val="0"/>
        <cfvo type="num" val="0.75"/>
        <cfvo type="num" val="0.85"/>
      </iconSet>
    </cfRule>
    <cfRule type="dataBar" priority="7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{D2A6CB2E-EA33-4DB0-9F0B-64CC38E5D44F}</x14:id>
        </ext>
      </extLst>
    </cfRule>
  </conditionalFormatting>
  <conditionalFormatting sqref="AZ1018:AZ1020 AZ1015">
    <cfRule type="iconSet" priority="707">
      <iconSet iconSet="3Symbols">
        <cfvo type="percent" val="0"/>
        <cfvo type="num" val="0.75"/>
        <cfvo type="num" val="0.85"/>
      </iconSet>
    </cfRule>
    <cfRule type="dataBar" priority="7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{0511701F-8A10-4BE1-82FA-590B36EAC171}</x14:id>
        </ext>
      </extLst>
    </cfRule>
  </conditionalFormatting>
  <conditionalFormatting sqref="AZ1021">
    <cfRule type="iconSet" priority="709">
      <iconSet iconSet="3Symbols">
        <cfvo type="percent" val="0"/>
        <cfvo type="num" val="0.75"/>
        <cfvo type="num" val="0.85"/>
      </iconSet>
    </cfRule>
    <cfRule type="dataBar" priority="7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{0A0AA3E2-107F-4C95-AFB7-EB6B5C273544}</x14:id>
        </ext>
      </extLst>
    </cfRule>
  </conditionalFormatting>
  <conditionalFormatting sqref="AZ1016">
    <cfRule type="iconSet" priority="711">
      <iconSet iconSet="3Symbols">
        <cfvo type="percent" val="0"/>
        <cfvo type="num" val="0.75"/>
        <cfvo type="num" val="0.85"/>
      </iconSet>
    </cfRule>
    <cfRule type="dataBar" priority="7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{6D0C3B5D-0498-46BE-8FFF-9DDDBC51A112}</x14:id>
        </ext>
      </extLst>
    </cfRule>
  </conditionalFormatting>
  <conditionalFormatting sqref="AZ1017">
    <cfRule type="iconSet" priority="713">
      <iconSet iconSet="3Symbols">
        <cfvo type="percent" val="0"/>
        <cfvo type="num" val="0.75"/>
        <cfvo type="num" val="0.85"/>
      </iconSet>
    </cfRule>
    <cfRule type="dataBar" priority="7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{546BF8DA-D202-4628-B0FB-5724BC56370A}</x14:id>
        </ext>
      </extLst>
    </cfRule>
  </conditionalFormatting>
  <conditionalFormatting sqref="AZ1041">
    <cfRule type="iconSet" priority="695">
      <iconSet iconSet="3Symbols">
        <cfvo type="percent" val="0"/>
        <cfvo type="num" val="0.75"/>
        <cfvo type="num" val="0.85"/>
      </iconSet>
    </cfRule>
    <cfRule type="dataBar" priority="6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{844DECB2-CD78-4A10-9099-D416D3F23395}</x14:id>
        </ext>
      </extLst>
    </cfRule>
  </conditionalFormatting>
  <conditionalFormatting sqref="AZ1045:AZ1047 AZ1042">
    <cfRule type="iconSet" priority="697">
      <iconSet iconSet="3Symbols">
        <cfvo type="percent" val="0"/>
        <cfvo type="num" val="0.75"/>
        <cfvo type="num" val="0.85"/>
      </iconSet>
    </cfRule>
    <cfRule type="dataBar" priority="6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{8AD41DAD-9A44-4633-9F7B-8C065A3DA550}</x14:id>
        </ext>
      </extLst>
    </cfRule>
  </conditionalFormatting>
  <conditionalFormatting sqref="AZ1048">
    <cfRule type="iconSet" priority="699">
      <iconSet iconSet="3Symbols">
        <cfvo type="percent" val="0"/>
        <cfvo type="num" val="0.75"/>
        <cfvo type="num" val="0.85"/>
      </iconSet>
    </cfRule>
    <cfRule type="dataBar" priority="7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{5EF403BB-5724-420C-BAB5-9D5990249E7A}</x14:id>
        </ext>
      </extLst>
    </cfRule>
  </conditionalFormatting>
  <conditionalFormatting sqref="AZ1043">
    <cfRule type="iconSet" priority="701">
      <iconSet iconSet="3Symbols">
        <cfvo type="percent" val="0"/>
        <cfvo type="num" val="0.75"/>
        <cfvo type="num" val="0.85"/>
      </iconSet>
    </cfRule>
    <cfRule type="dataBar" priority="7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{43AAA891-8D55-4453-9B88-ACAD790DC36F}</x14:id>
        </ext>
      </extLst>
    </cfRule>
  </conditionalFormatting>
  <conditionalFormatting sqref="AZ1044">
    <cfRule type="iconSet" priority="703">
      <iconSet iconSet="3Symbols">
        <cfvo type="percent" val="0"/>
        <cfvo type="num" val="0.75"/>
        <cfvo type="num" val="0.85"/>
      </iconSet>
    </cfRule>
    <cfRule type="dataBar" priority="7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{8D92DC3C-78E5-4367-92FA-2B53CC497810}</x14:id>
        </ext>
      </extLst>
    </cfRule>
  </conditionalFormatting>
  <conditionalFormatting sqref="AZ896">
    <cfRule type="iconSet" priority="693">
      <iconSet iconSet="3Symbols">
        <cfvo type="percent" val="0"/>
        <cfvo type="num" val="0.75"/>
        <cfvo type="num" val="0.85"/>
      </iconSet>
    </cfRule>
    <cfRule type="dataBar" priority="6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{6CA473B8-7197-447A-BFD2-834AD6AA4DF0}</x14:id>
        </ext>
      </extLst>
    </cfRule>
  </conditionalFormatting>
  <conditionalFormatting sqref="AZ897:AZ900">
    <cfRule type="iconSet" priority="691">
      <iconSet iconSet="3Symbols">
        <cfvo type="percent" val="0"/>
        <cfvo type="num" val="0.75"/>
        <cfvo type="num" val="0.85"/>
      </iconSet>
    </cfRule>
    <cfRule type="dataBar" priority="6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{4D3CC66D-8EB7-4141-A79E-F0D3F927441A}</x14:id>
        </ext>
      </extLst>
    </cfRule>
  </conditionalFormatting>
  <conditionalFormatting sqref="AZ901">
    <cfRule type="iconSet" priority="689">
      <iconSet iconSet="3Symbols">
        <cfvo type="percent" val="0"/>
        <cfvo type="num" val="0.75"/>
        <cfvo type="num" val="0.85"/>
      </iconSet>
    </cfRule>
    <cfRule type="dataBar" priority="6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{0C98AB14-AAAA-4B47-8DD2-C1D052F749B1}</x14:id>
        </ext>
      </extLst>
    </cfRule>
  </conditionalFormatting>
  <conditionalFormatting sqref="AZ969">
    <cfRule type="iconSet" priority="679">
      <iconSet iconSet="3Symbols">
        <cfvo type="percent" val="0"/>
        <cfvo type="num" val="0.75"/>
        <cfvo type="num" val="0.85"/>
      </iconSet>
    </cfRule>
    <cfRule type="dataBar" priority="6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{1F911B56-5C95-4EF2-A528-1611A2E4913F}</x14:id>
        </ext>
      </extLst>
    </cfRule>
  </conditionalFormatting>
  <conditionalFormatting sqref="AZ973:AZ975 AZ970">
    <cfRule type="iconSet" priority="681">
      <iconSet iconSet="3Symbols">
        <cfvo type="percent" val="0"/>
        <cfvo type="num" val="0.75"/>
        <cfvo type="num" val="0.85"/>
      </iconSet>
    </cfRule>
    <cfRule type="dataBar" priority="6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{55A0DA6E-9B68-4DA4-B124-35D8E969B28E}</x14:id>
        </ext>
      </extLst>
    </cfRule>
  </conditionalFormatting>
  <conditionalFormatting sqref="AZ976">
    <cfRule type="iconSet" priority="683">
      <iconSet iconSet="3Symbols">
        <cfvo type="percent" val="0"/>
        <cfvo type="num" val="0.75"/>
        <cfvo type="num" val="0.85"/>
      </iconSet>
    </cfRule>
    <cfRule type="dataBar" priority="6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{F3271A78-ACED-4412-A947-90FE3671C9A4}</x14:id>
        </ext>
      </extLst>
    </cfRule>
  </conditionalFormatting>
  <conditionalFormatting sqref="AZ971">
    <cfRule type="iconSet" priority="685">
      <iconSet iconSet="3Symbols">
        <cfvo type="percent" val="0"/>
        <cfvo type="num" val="0.75"/>
        <cfvo type="num" val="0.85"/>
      </iconSet>
    </cfRule>
    <cfRule type="dataBar" priority="6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{4749595C-B804-4DB2-958D-994D79A8DF1E}</x14:id>
        </ext>
      </extLst>
    </cfRule>
  </conditionalFormatting>
  <conditionalFormatting sqref="AZ972">
    <cfRule type="iconSet" priority="687">
      <iconSet iconSet="3Symbols">
        <cfvo type="percent" val="0"/>
        <cfvo type="num" val="0.75"/>
        <cfvo type="num" val="0.85"/>
      </iconSet>
    </cfRule>
    <cfRule type="dataBar" priority="6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{AFEB9E0E-5725-4D61-BBB4-94FA11FAB0D7}</x14:id>
        </ext>
      </extLst>
    </cfRule>
  </conditionalFormatting>
  <conditionalFormatting sqref="AZ903">
    <cfRule type="iconSet" priority="677">
      <iconSet iconSet="3Symbols">
        <cfvo type="percent" val="0"/>
        <cfvo type="num" val="0.75"/>
        <cfvo type="num" val="0.85"/>
      </iconSet>
    </cfRule>
    <cfRule type="dataBar" priority="6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{C31E3603-A3C8-44E7-9850-C4F5E82C8230}</x14:id>
        </ext>
      </extLst>
    </cfRule>
  </conditionalFormatting>
  <conditionalFormatting sqref="AZ904:AZ907">
    <cfRule type="iconSet" priority="675">
      <iconSet iconSet="3Symbols">
        <cfvo type="percent" val="0"/>
        <cfvo type="num" val="0.75"/>
        <cfvo type="num" val="0.85"/>
      </iconSet>
    </cfRule>
    <cfRule type="dataBar" priority="6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{F7D39D12-109F-4D38-9449-47B9BAD9402A}</x14:id>
        </ext>
      </extLst>
    </cfRule>
  </conditionalFormatting>
  <conditionalFormatting sqref="AZ908">
    <cfRule type="iconSet" priority="673">
      <iconSet iconSet="3Symbols">
        <cfvo type="percent" val="0"/>
        <cfvo type="num" val="0.75"/>
        <cfvo type="num" val="0.85"/>
      </iconSet>
    </cfRule>
    <cfRule type="dataBar" priority="6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{5C5034B3-35F7-4669-940B-1AFC265C702E}</x14:id>
        </ext>
      </extLst>
    </cfRule>
  </conditionalFormatting>
  <conditionalFormatting sqref="AZ910">
    <cfRule type="iconSet" priority="671">
      <iconSet iconSet="3Symbols">
        <cfvo type="percent" val="0"/>
        <cfvo type="num" val="0.75"/>
        <cfvo type="num" val="0.85"/>
      </iconSet>
    </cfRule>
    <cfRule type="dataBar" priority="6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{2CCA4794-6218-4358-8160-4E9FD6F48539}</x14:id>
        </ext>
      </extLst>
    </cfRule>
  </conditionalFormatting>
  <conditionalFormatting sqref="AZ911:AZ914">
    <cfRule type="iconSet" priority="669">
      <iconSet iconSet="3Symbols">
        <cfvo type="percent" val="0"/>
        <cfvo type="num" val="0.75"/>
        <cfvo type="num" val="0.85"/>
      </iconSet>
    </cfRule>
    <cfRule type="dataBar" priority="6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{06F58048-09E9-4229-9607-25AFDB543738}</x14:id>
        </ext>
      </extLst>
    </cfRule>
  </conditionalFormatting>
  <conditionalFormatting sqref="AZ915">
    <cfRule type="iconSet" priority="667">
      <iconSet iconSet="3Symbols">
        <cfvo type="percent" val="0"/>
        <cfvo type="num" val="0.75"/>
        <cfvo type="num" val="0.85"/>
      </iconSet>
    </cfRule>
    <cfRule type="dataBar" priority="6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{553DE526-731C-40AF-9365-54FE433A0BC5}</x14:id>
        </ext>
      </extLst>
    </cfRule>
  </conditionalFormatting>
  <conditionalFormatting sqref="AZ917">
    <cfRule type="iconSet" priority="665">
      <iconSet iconSet="3Symbols">
        <cfvo type="percent" val="0"/>
        <cfvo type="num" val="0.75"/>
        <cfvo type="num" val="0.85"/>
      </iconSet>
    </cfRule>
    <cfRule type="dataBar" priority="6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{99B9D752-D2EE-4491-ACDE-C19C74E63ADC}</x14:id>
        </ext>
      </extLst>
    </cfRule>
  </conditionalFormatting>
  <conditionalFormatting sqref="AZ918:AZ921">
    <cfRule type="iconSet" priority="663">
      <iconSet iconSet="3Symbols">
        <cfvo type="percent" val="0"/>
        <cfvo type="num" val="0.75"/>
        <cfvo type="num" val="0.85"/>
      </iconSet>
    </cfRule>
    <cfRule type="dataBar" priority="6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{F6C15FD4-6FF3-4DB6-BA8B-E16E81978986}</x14:id>
        </ext>
      </extLst>
    </cfRule>
  </conditionalFormatting>
  <conditionalFormatting sqref="AZ922">
    <cfRule type="iconSet" priority="661">
      <iconSet iconSet="3Symbols">
        <cfvo type="percent" val="0"/>
        <cfvo type="num" val="0.75"/>
        <cfvo type="num" val="0.85"/>
      </iconSet>
    </cfRule>
    <cfRule type="dataBar" priority="6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{F851DC37-F9F9-499A-AA26-0B1B87C5EEB0}</x14:id>
        </ext>
      </extLst>
    </cfRule>
  </conditionalFormatting>
  <conditionalFormatting sqref="AZ1109 AZ1154 AZ1118 AZ1127 AZ1163">
    <cfRule type="iconSet" priority="651">
      <iconSet iconSet="3Symbols">
        <cfvo type="percent" val="0"/>
        <cfvo type="num" val="0.75"/>
        <cfvo type="num" val="0.85"/>
      </iconSet>
    </cfRule>
    <cfRule type="dataBar" priority="6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{C660E51E-4262-4CEC-898D-25C0AD002601}</x14:id>
        </ext>
      </extLst>
    </cfRule>
  </conditionalFormatting>
  <conditionalFormatting sqref="AZ1158:AZ1160 AZ1113:AZ1115 AZ1122:AZ1124 AZ1131:AZ1133 AZ1167:AZ1169 AZ1110 AZ1119 AZ1128 AZ1155 AZ1164">
    <cfRule type="iconSet" priority="653">
      <iconSet iconSet="3Symbols">
        <cfvo type="percent" val="0"/>
        <cfvo type="num" val="0.75"/>
        <cfvo type="num" val="0.85"/>
      </iconSet>
    </cfRule>
    <cfRule type="dataBar" priority="6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{595017C3-CD90-4FA6-8853-7D16679C113D}</x14:id>
        </ext>
      </extLst>
    </cfRule>
  </conditionalFormatting>
  <conditionalFormatting sqref="AZ1116 AZ1161 AZ1125 AZ1134 AZ1170">
    <cfRule type="iconSet" priority="655">
      <iconSet iconSet="3Symbols">
        <cfvo type="percent" val="0"/>
        <cfvo type="num" val="0.75"/>
        <cfvo type="num" val="0.85"/>
      </iconSet>
    </cfRule>
    <cfRule type="dataBar" priority="6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{6F4FBEB8-B858-43B5-A63C-71AC22E87B73}</x14:id>
        </ext>
      </extLst>
    </cfRule>
  </conditionalFormatting>
  <conditionalFormatting sqref="AZ1111 AZ1156 AZ1120 AZ1129 AZ1165">
    <cfRule type="iconSet" priority="657">
      <iconSet iconSet="3Symbols">
        <cfvo type="percent" val="0"/>
        <cfvo type="num" val="0.75"/>
        <cfvo type="num" val="0.85"/>
      </iconSet>
    </cfRule>
    <cfRule type="dataBar" priority="6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{75325ACE-42C6-45F3-9133-6E9E396CF4AC}</x14:id>
        </ext>
      </extLst>
    </cfRule>
  </conditionalFormatting>
  <conditionalFormatting sqref="AZ1112 AZ1157 AZ1121 AZ1130 AZ1166">
    <cfRule type="iconSet" priority="659">
      <iconSet iconSet="3Symbols">
        <cfvo type="percent" val="0"/>
        <cfvo type="num" val="0.75"/>
        <cfvo type="num" val="0.85"/>
      </iconSet>
    </cfRule>
    <cfRule type="dataBar" priority="6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{5820F13B-A9CB-461A-A6DF-0870E9B91CF3}</x14:id>
        </ext>
      </extLst>
    </cfRule>
  </conditionalFormatting>
  <conditionalFormatting sqref="AZ1136">
    <cfRule type="iconSet" priority="641">
      <iconSet iconSet="3Symbols">
        <cfvo type="percent" val="0"/>
        <cfvo type="num" val="0.75"/>
        <cfvo type="num" val="0.85"/>
      </iconSet>
    </cfRule>
    <cfRule type="dataBar" priority="6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{F247157E-43D8-495F-958B-4FD8CCB4A27D}</x14:id>
        </ext>
      </extLst>
    </cfRule>
  </conditionalFormatting>
  <conditionalFormatting sqref="AZ1140:AZ1142 AZ1137">
    <cfRule type="iconSet" priority="643">
      <iconSet iconSet="3Symbols">
        <cfvo type="percent" val="0"/>
        <cfvo type="num" val="0.75"/>
        <cfvo type="num" val="0.85"/>
      </iconSet>
    </cfRule>
    <cfRule type="dataBar" priority="6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{A87CA6C3-AC35-47DF-9FE0-E54D27F40537}</x14:id>
        </ext>
      </extLst>
    </cfRule>
  </conditionalFormatting>
  <conditionalFormatting sqref="AZ1143">
    <cfRule type="iconSet" priority="645">
      <iconSet iconSet="3Symbols">
        <cfvo type="percent" val="0"/>
        <cfvo type="num" val="0.75"/>
        <cfvo type="num" val="0.85"/>
      </iconSet>
    </cfRule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{8F398A7F-F9B1-4DA0-9C47-F9C2D1959221}</x14:id>
        </ext>
      </extLst>
    </cfRule>
  </conditionalFormatting>
  <conditionalFormatting sqref="AZ1138">
    <cfRule type="iconSet" priority="647">
      <iconSet iconSet="3Symbols">
        <cfvo type="percent" val="0"/>
        <cfvo type="num" val="0.75"/>
        <cfvo type="num" val="0.85"/>
      </iconSet>
    </cfRule>
    <cfRule type="dataBar" priority="6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{47BA492C-501D-4784-96E1-A3B4E5A8AF69}</x14:id>
        </ext>
      </extLst>
    </cfRule>
  </conditionalFormatting>
  <conditionalFormatting sqref="AZ1139">
    <cfRule type="iconSet" priority="649">
      <iconSet iconSet="3Symbols">
        <cfvo type="percent" val="0"/>
        <cfvo type="num" val="0.75"/>
        <cfvo type="num" val="0.85"/>
      </iconSet>
    </cfRule>
    <cfRule type="dataBar" priority="6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{B5E96D0B-5BD5-4A63-BC3C-E130165BFF6A}</x14:id>
        </ext>
      </extLst>
    </cfRule>
  </conditionalFormatting>
  <conditionalFormatting sqref="AZ1065">
    <cfRule type="iconSet" priority="639">
      <iconSet iconSet="3Symbols">
        <cfvo type="percent" val="0"/>
        <cfvo type="num" val="0.75"/>
        <cfvo type="num" val="0.85"/>
      </iconSet>
    </cfRule>
    <cfRule type="dataBar" priority="6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{27233C8D-655C-41F6-B213-A4493A9BBEC8}</x14:id>
        </ext>
      </extLst>
    </cfRule>
  </conditionalFormatting>
  <conditionalFormatting sqref="AZ1066:AZ1069">
    <cfRule type="iconSet" priority="637">
      <iconSet iconSet="3Symbols">
        <cfvo type="percent" val="0"/>
        <cfvo type="num" val="0.75"/>
        <cfvo type="num" val="0.85"/>
      </iconSet>
    </cfRule>
    <cfRule type="dataBar" priority="6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{15F68CAC-3EEE-4F27-9CEE-DD1B7C1A8EA1}</x14:id>
        </ext>
      </extLst>
    </cfRule>
  </conditionalFormatting>
  <conditionalFormatting sqref="AZ1070">
    <cfRule type="iconSet" priority="635">
      <iconSet iconSet="3Symbols">
        <cfvo type="percent" val="0"/>
        <cfvo type="num" val="0.75"/>
        <cfvo type="num" val="0.85"/>
      </iconSet>
    </cfRule>
    <cfRule type="dataBar" priority="6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{A1A97584-F5A4-4198-8D1E-C2DB7E2014A0}</x14:id>
        </ext>
      </extLst>
    </cfRule>
  </conditionalFormatting>
  <conditionalFormatting sqref="AZ1101">
    <cfRule type="iconSet" priority="633">
      <iconSet iconSet="3Symbols">
        <cfvo type="percent" val="0"/>
        <cfvo type="num" val="0.75"/>
        <cfvo type="num" val="0.85"/>
      </iconSet>
    </cfRule>
    <cfRule type="dataBar" priority="6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{CA6CD77F-CCD7-43FF-8B68-C7D1CBC77ED9}</x14:id>
        </ext>
      </extLst>
    </cfRule>
  </conditionalFormatting>
  <conditionalFormatting sqref="AZ1100">
    <cfRule type="iconSet" priority="623">
      <iconSet iconSet="3Symbols">
        <cfvo type="percent" val="0"/>
        <cfvo type="num" val="0.75"/>
        <cfvo type="num" val="0.85"/>
      </iconSet>
    </cfRule>
    <cfRule type="dataBar" priority="6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{8BAC3F5B-DD57-4692-9806-3B81A5895B90}</x14:id>
        </ext>
      </extLst>
    </cfRule>
  </conditionalFormatting>
  <conditionalFormatting sqref="AZ1104:AZ1106">
    <cfRule type="iconSet" priority="625">
      <iconSet iconSet="3Symbols">
        <cfvo type="percent" val="0"/>
        <cfvo type="num" val="0.75"/>
        <cfvo type="num" val="0.85"/>
      </iconSet>
    </cfRule>
    <cfRule type="dataBar" priority="6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{0A2DA1D2-EC3C-45F4-9E61-A5B7AA3AA7C0}</x14:id>
        </ext>
      </extLst>
    </cfRule>
  </conditionalFormatting>
  <conditionalFormatting sqref="AZ1107">
    <cfRule type="iconSet" priority="627">
      <iconSet iconSet="3Symbols">
        <cfvo type="percent" val="0"/>
        <cfvo type="num" val="0.75"/>
        <cfvo type="num" val="0.85"/>
      </iconSet>
    </cfRule>
    <cfRule type="dataBar" priority="6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{82D8D98C-46A6-4487-9182-8706C2B455F9}</x14:id>
        </ext>
      </extLst>
    </cfRule>
  </conditionalFormatting>
  <conditionalFormatting sqref="AZ1102">
    <cfRule type="iconSet" priority="629">
      <iconSet iconSet="3Symbols">
        <cfvo type="percent" val="0"/>
        <cfvo type="num" val="0.75"/>
        <cfvo type="num" val="0.85"/>
      </iconSet>
    </cfRule>
    <cfRule type="dataBar" priority="6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{006C1FF4-1753-4465-AE07-D824C69BB381}</x14:id>
        </ext>
      </extLst>
    </cfRule>
  </conditionalFormatting>
  <conditionalFormatting sqref="AZ1103">
    <cfRule type="iconSet" priority="631">
      <iconSet iconSet="3Symbols">
        <cfvo type="percent" val="0"/>
        <cfvo type="num" val="0.75"/>
        <cfvo type="num" val="0.85"/>
      </iconSet>
    </cfRule>
    <cfRule type="dataBar" priority="6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{D5B351CD-2986-4934-A865-B933B6C70AB3}</x14:id>
        </ext>
      </extLst>
    </cfRule>
  </conditionalFormatting>
  <conditionalFormatting sqref="AZ1208">
    <cfRule type="iconSet" priority="613">
      <iconSet iconSet="3Symbols">
        <cfvo type="percent" val="0"/>
        <cfvo type="num" val="0.75"/>
        <cfvo type="num" val="0.85"/>
      </iconSet>
    </cfRule>
    <cfRule type="dataBar" priority="6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{D038274D-7C81-4F4C-A38A-4AF1F7A6DA7B}</x14:id>
        </ext>
      </extLst>
    </cfRule>
  </conditionalFormatting>
  <conditionalFormatting sqref="AZ1212:AZ1214 AZ1209">
    <cfRule type="iconSet" priority="615">
      <iconSet iconSet="3Symbols">
        <cfvo type="percent" val="0"/>
        <cfvo type="num" val="0.75"/>
        <cfvo type="num" val="0.85"/>
      </iconSet>
    </cfRule>
    <cfRule type="dataBar" priority="6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{42E04C30-6B5F-4BCF-8679-52F194FE2E6D}</x14:id>
        </ext>
      </extLst>
    </cfRule>
  </conditionalFormatting>
  <conditionalFormatting sqref="AZ1215">
    <cfRule type="iconSet" priority="617">
      <iconSet iconSet="3Symbols">
        <cfvo type="percent" val="0"/>
        <cfvo type="num" val="0.75"/>
        <cfvo type="num" val="0.85"/>
      </iconSet>
    </cfRule>
    <cfRule type="dataBar" priority="6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{0277C9CC-2E6C-4D59-A12B-6E3EA7DF46BE}</x14:id>
        </ext>
      </extLst>
    </cfRule>
  </conditionalFormatting>
  <conditionalFormatting sqref="AZ1210">
    <cfRule type="iconSet" priority="619">
      <iconSet iconSet="3Symbols">
        <cfvo type="percent" val="0"/>
        <cfvo type="num" val="0.75"/>
        <cfvo type="num" val="0.85"/>
      </iconSet>
    </cfRule>
    <cfRule type="dataBar" priority="6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{1CDA0ACF-1B66-4E30-B416-E508195C6AC8}</x14:id>
        </ext>
      </extLst>
    </cfRule>
  </conditionalFormatting>
  <conditionalFormatting sqref="AZ1211">
    <cfRule type="iconSet" priority="621">
      <iconSet iconSet="3Symbols">
        <cfvo type="percent" val="0"/>
        <cfvo type="num" val="0.75"/>
        <cfvo type="num" val="0.85"/>
      </iconSet>
    </cfRule>
    <cfRule type="dataBar" priority="6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{9B0A034B-4199-4B2B-92C8-42FF1EB1B120}</x14:id>
        </ext>
      </extLst>
    </cfRule>
  </conditionalFormatting>
  <conditionalFormatting sqref="AZ1199">
    <cfRule type="iconSet" priority="603">
      <iconSet iconSet="3Symbols">
        <cfvo type="percent" val="0"/>
        <cfvo type="num" val="0.75"/>
        <cfvo type="num" val="0.85"/>
      </iconSet>
    </cfRule>
    <cfRule type="dataBar" priority="6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{28380512-9984-4C84-B86C-D27090D9CDA3}</x14:id>
        </ext>
      </extLst>
    </cfRule>
  </conditionalFormatting>
  <conditionalFormatting sqref="AZ1203:AZ1205 AZ1200">
    <cfRule type="iconSet" priority="605">
      <iconSet iconSet="3Symbols">
        <cfvo type="percent" val="0"/>
        <cfvo type="num" val="0.75"/>
        <cfvo type="num" val="0.85"/>
      </iconSet>
    </cfRule>
    <cfRule type="dataBar" priority="6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{11DF2794-200C-4530-B210-5F8E4A20ED71}</x14:id>
        </ext>
      </extLst>
    </cfRule>
  </conditionalFormatting>
  <conditionalFormatting sqref="AZ1206">
    <cfRule type="iconSet" priority="607">
      <iconSet iconSet="3Symbols">
        <cfvo type="percent" val="0"/>
        <cfvo type="num" val="0.75"/>
        <cfvo type="num" val="0.85"/>
      </iconSet>
    </cfRule>
    <cfRule type="dataBar" priority="6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{8FF2358E-6F10-46E4-806F-C95C59AEB2DA}</x14:id>
        </ext>
      </extLst>
    </cfRule>
  </conditionalFormatting>
  <conditionalFormatting sqref="AZ1201">
    <cfRule type="iconSet" priority="609">
      <iconSet iconSet="3Symbols">
        <cfvo type="percent" val="0"/>
        <cfvo type="num" val="0.75"/>
        <cfvo type="num" val="0.85"/>
      </iconSet>
    </cfRule>
    <cfRule type="dataBar" priority="6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{6D9A08E6-7808-4728-BD24-61A19C01A34B}</x14:id>
        </ext>
      </extLst>
    </cfRule>
  </conditionalFormatting>
  <conditionalFormatting sqref="AZ1202">
    <cfRule type="iconSet" priority="611">
      <iconSet iconSet="3Symbols">
        <cfvo type="percent" val="0"/>
        <cfvo type="num" val="0.75"/>
        <cfvo type="num" val="0.85"/>
      </iconSet>
    </cfRule>
    <cfRule type="dataBar" priority="6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{5AA62F5D-6D31-4377-8C14-918CF10D2CB9}</x14:id>
        </ext>
      </extLst>
    </cfRule>
  </conditionalFormatting>
  <conditionalFormatting sqref="AZ1172 AZ1181">
    <cfRule type="iconSet" priority="593">
      <iconSet iconSet="3Symbols">
        <cfvo type="percent" val="0"/>
        <cfvo type="num" val="0.75"/>
        <cfvo type="num" val="0.85"/>
      </iconSet>
    </cfRule>
    <cfRule type="dataBar" priority="5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{A25D5F7F-22F1-4857-B00F-1664874BD6D6}</x14:id>
        </ext>
      </extLst>
    </cfRule>
  </conditionalFormatting>
  <conditionalFormatting sqref="AZ1176:AZ1178 AZ1185:AZ1187 AZ1173 AZ1182">
    <cfRule type="iconSet" priority="595">
      <iconSet iconSet="3Symbols">
        <cfvo type="percent" val="0"/>
        <cfvo type="num" val="0.75"/>
        <cfvo type="num" val="0.85"/>
      </iconSet>
    </cfRule>
    <cfRule type="dataBar" priority="5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{91A01BA0-1E5D-45CB-BEDB-025853EF1AB5}</x14:id>
        </ext>
      </extLst>
    </cfRule>
  </conditionalFormatting>
  <conditionalFormatting sqref="AZ1179 AZ1188">
    <cfRule type="iconSet" priority="597">
      <iconSet iconSet="3Symbols">
        <cfvo type="percent" val="0"/>
        <cfvo type="num" val="0.75"/>
        <cfvo type="num" val="0.85"/>
      </iconSet>
    </cfRule>
    <cfRule type="dataBar" priority="5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{84A2EBCE-2B56-4E4E-A9E3-8ED6A32BE26A}</x14:id>
        </ext>
      </extLst>
    </cfRule>
  </conditionalFormatting>
  <conditionalFormatting sqref="AZ1174 AZ1183">
    <cfRule type="iconSet" priority="599">
      <iconSet iconSet="3Symbols">
        <cfvo type="percent" val="0"/>
        <cfvo type="num" val="0.75"/>
        <cfvo type="num" val="0.85"/>
      </iconSet>
    </cfRule>
    <cfRule type="dataBar" priority="6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{33C4E036-C29E-4912-9140-F08C3EFDFF67}</x14:id>
        </ext>
      </extLst>
    </cfRule>
  </conditionalFormatting>
  <conditionalFormatting sqref="AZ1175 AZ1184">
    <cfRule type="iconSet" priority="601">
      <iconSet iconSet="3Symbols">
        <cfvo type="percent" val="0"/>
        <cfvo type="num" val="0.75"/>
        <cfvo type="num" val="0.85"/>
      </iconSet>
    </cfRule>
    <cfRule type="dataBar" priority="6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{EA99C2BC-F98A-4F80-B3C6-95B66DC1E9B5}</x14:id>
        </ext>
      </extLst>
    </cfRule>
  </conditionalFormatting>
  <conditionalFormatting sqref="AZ1226">
    <cfRule type="iconSet" priority="583">
      <iconSet iconSet="3Symbols">
        <cfvo type="percent" val="0"/>
        <cfvo type="num" val="0.75"/>
        <cfvo type="num" val="0.85"/>
      </iconSet>
    </cfRule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{C292E176-7199-450E-87F8-C8160C03BB07}</x14:id>
        </ext>
      </extLst>
    </cfRule>
  </conditionalFormatting>
  <conditionalFormatting sqref="AZ1230:AZ1232 AZ1227">
    <cfRule type="iconSet" priority="585">
      <iconSet iconSet="3Symbols">
        <cfvo type="percent" val="0"/>
        <cfvo type="num" val="0.75"/>
        <cfvo type="num" val="0.85"/>
      </iconSet>
    </cfRule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{836770F2-5D8A-4CEA-BBB7-E142625F2651}</x14:id>
        </ext>
      </extLst>
    </cfRule>
  </conditionalFormatting>
  <conditionalFormatting sqref="AZ1233">
    <cfRule type="iconSet" priority="587">
      <iconSet iconSet="3Symbols">
        <cfvo type="percent" val="0"/>
        <cfvo type="num" val="0.75"/>
        <cfvo type="num" val="0.85"/>
      </iconSet>
    </cfRule>
    <cfRule type="dataBar" priority="5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{4AC8BA1E-F88C-4D68-A9E6-9971D88AA2A9}</x14:id>
        </ext>
      </extLst>
    </cfRule>
  </conditionalFormatting>
  <conditionalFormatting sqref="AZ1228">
    <cfRule type="iconSet" priority="589">
      <iconSet iconSet="3Symbols">
        <cfvo type="percent" val="0"/>
        <cfvo type="num" val="0.75"/>
        <cfvo type="num" val="0.85"/>
      </iconSet>
    </cfRule>
    <cfRule type="dataBar" priority="5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{FF69517E-BEBC-4DE6-8A92-1F50F5A0D800}</x14:id>
        </ext>
      </extLst>
    </cfRule>
  </conditionalFormatting>
  <conditionalFormatting sqref="AZ1229">
    <cfRule type="iconSet" priority="591">
      <iconSet iconSet="3Symbols">
        <cfvo type="percent" val="0"/>
        <cfvo type="num" val="0.75"/>
        <cfvo type="num" val="0.85"/>
      </iconSet>
    </cfRule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{A6ADA7FC-0D31-47F6-853C-242777978B29}</x14:id>
        </ext>
      </extLst>
    </cfRule>
  </conditionalFormatting>
  <conditionalFormatting sqref="AZ1190">
    <cfRule type="iconSet" priority="573">
      <iconSet iconSet="3Symbols">
        <cfvo type="percent" val="0"/>
        <cfvo type="num" val="0.75"/>
        <cfvo type="num" val="0.85"/>
      </iconSet>
    </cfRule>
    <cfRule type="dataBar" priority="5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{E354D70A-E503-469E-9EF1-EAAF0794B863}</x14:id>
        </ext>
      </extLst>
    </cfRule>
  </conditionalFormatting>
  <conditionalFormatting sqref="AZ1194:AZ1196 AZ1191">
    <cfRule type="iconSet" priority="575">
      <iconSet iconSet="3Symbols">
        <cfvo type="percent" val="0"/>
        <cfvo type="num" val="0.75"/>
        <cfvo type="num" val="0.85"/>
      </iconSet>
    </cfRule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{4DBCADC4-93FE-49A2-9FA9-FFEC46E13C65}</x14:id>
        </ext>
      </extLst>
    </cfRule>
  </conditionalFormatting>
  <conditionalFormatting sqref="AZ1197">
    <cfRule type="iconSet" priority="577">
      <iconSet iconSet="3Symbols">
        <cfvo type="percent" val="0"/>
        <cfvo type="num" val="0.75"/>
        <cfvo type="num" val="0.85"/>
      </iconSet>
    </cfRule>
    <cfRule type="dataBar" priority="5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{585506CB-1E02-4CA8-8DC9-E56271740A8B}</x14:id>
        </ext>
      </extLst>
    </cfRule>
  </conditionalFormatting>
  <conditionalFormatting sqref="AZ1192">
    <cfRule type="iconSet" priority="579">
      <iconSet iconSet="3Symbols">
        <cfvo type="percent" val="0"/>
        <cfvo type="num" val="0.75"/>
        <cfvo type="num" val="0.85"/>
      </iconSet>
    </cfRule>
    <cfRule type="dataBar" priority="5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{8F5C7F04-3967-4234-A8F8-5D623103802D}</x14:id>
        </ext>
      </extLst>
    </cfRule>
  </conditionalFormatting>
  <conditionalFormatting sqref="AZ1193">
    <cfRule type="iconSet" priority="581">
      <iconSet iconSet="3Symbols">
        <cfvo type="percent" val="0"/>
        <cfvo type="num" val="0.75"/>
        <cfvo type="num" val="0.85"/>
      </iconSet>
    </cfRule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{11B7BC31-086C-4985-AC0D-0E97FAA6E594}</x14:id>
        </ext>
      </extLst>
    </cfRule>
  </conditionalFormatting>
  <conditionalFormatting sqref="AZ1217">
    <cfRule type="iconSet" priority="563">
      <iconSet iconSet="3Symbols">
        <cfvo type="percent" val="0"/>
        <cfvo type="num" val="0.75"/>
        <cfvo type="num" val="0.85"/>
      </iconSet>
    </cfRule>
    <cfRule type="dataBar" priority="5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{6D130F58-5186-4590-BE29-681B0FAFDB84}</x14:id>
        </ext>
      </extLst>
    </cfRule>
  </conditionalFormatting>
  <conditionalFormatting sqref="AZ1221:AZ1223 AZ1218">
    <cfRule type="iconSet" priority="565">
      <iconSet iconSet="3Symbols">
        <cfvo type="percent" val="0"/>
        <cfvo type="num" val="0.75"/>
        <cfvo type="num" val="0.85"/>
      </iconSet>
    </cfRule>
    <cfRule type="dataBar" priority="5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{3A81A559-F737-4402-BDF6-BB487D33BDB2}</x14:id>
        </ext>
      </extLst>
    </cfRule>
  </conditionalFormatting>
  <conditionalFormatting sqref="AZ1224">
    <cfRule type="iconSet" priority="567">
      <iconSet iconSet="3Symbols">
        <cfvo type="percent" val="0"/>
        <cfvo type="num" val="0.75"/>
        <cfvo type="num" val="0.85"/>
      </iconSet>
    </cfRule>
    <cfRule type="dataBar" priority="5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{53594933-11CA-44BA-A5EF-EBCB7FCAAE5B}</x14:id>
        </ext>
      </extLst>
    </cfRule>
  </conditionalFormatting>
  <conditionalFormatting sqref="AZ1219">
    <cfRule type="iconSet" priority="569">
      <iconSet iconSet="3Symbols">
        <cfvo type="percent" val="0"/>
        <cfvo type="num" val="0.75"/>
        <cfvo type="num" val="0.85"/>
      </iconSet>
    </cfRule>
    <cfRule type="dataBar" priority="5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{E36CD7AC-2376-4FDF-8870-40E37B2F763A}</x14:id>
        </ext>
      </extLst>
    </cfRule>
  </conditionalFormatting>
  <conditionalFormatting sqref="AZ1220">
    <cfRule type="iconSet" priority="571">
      <iconSet iconSet="3Symbols">
        <cfvo type="percent" val="0"/>
        <cfvo type="num" val="0.75"/>
        <cfvo type="num" val="0.85"/>
      </iconSet>
    </cfRule>
    <cfRule type="dataBar" priority="5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{8AB43A94-13B4-48E2-A91B-A8304510B8E1}</x14:id>
        </ext>
      </extLst>
    </cfRule>
  </conditionalFormatting>
  <conditionalFormatting sqref="AZ1072">
    <cfRule type="iconSet" priority="561">
      <iconSet iconSet="3Symbols">
        <cfvo type="percent" val="0"/>
        <cfvo type="num" val="0.75"/>
        <cfvo type="num" val="0.85"/>
      </iconSet>
    </cfRule>
    <cfRule type="dataBar" priority="5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{0B9805B2-C1FE-4710-905D-555E496B27A9}</x14:id>
        </ext>
      </extLst>
    </cfRule>
  </conditionalFormatting>
  <conditionalFormatting sqref="AZ1073:AZ1076">
    <cfRule type="iconSet" priority="559">
      <iconSet iconSet="3Symbols">
        <cfvo type="percent" val="0"/>
        <cfvo type="num" val="0.75"/>
        <cfvo type="num" val="0.85"/>
      </iconSet>
    </cfRule>
    <cfRule type="dataBar" priority="5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{8CD5C051-7B58-4D2E-833B-C76B0A96531F}</x14:id>
        </ext>
      </extLst>
    </cfRule>
  </conditionalFormatting>
  <conditionalFormatting sqref="AZ1077">
    <cfRule type="iconSet" priority="557">
      <iconSet iconSet="3Symbols">
        <cfvo type="percent" val="0"/>
        <cfvo type="num" val="0.75"/>
        <cfvo type="num" val="0.85"/>
      </iconSet>
    </cfRule>
    <cfRule type="dataBar" priority="5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{D4EDC421-B453-4EBE-9CEC-C007814C295F}</x14:id>
        </ext>
      </extLst>
    </cfRule>
  </conditionalFormatting>
  <conditionalFormatting sqref="AZ1145">
    <cfRule type="iconSet" priority="547">
      <iconSet iconSet="3Symbols">
        <cfvo type="percent" val="0"/>
        <cfvo type="num" val="0.75"/>
        <cfvo type="num" val="0.85"/>
      </iconSet>
    </cfRule>
    <cfRule type="dataBar" priority="5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{B6EB9CC2-2C0E-4A07-93D3-73EF5FB4AB04}</x14:id>
        </ext>
      </extLst>
    </cfRule>
  </conditionalFormatting>
  <conditionalFormatting sqref="AZ1149:AZ1151 AZ1146">
    <cfRule type="iconSet" priority="549">
      <iconSet iconSet="3Symbols">
        <cfvo type="percent" val="0"/>
        <cfvo type="num" val="0.75"/>
        <cfvo type="num" val="0.85"/>
      </iconSet>
    </cfRule>
    <cfRule type="dataBar" priority="5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{9D368305-7A07-4E7E-A064-15619A2595C9}</x14:id>
        </ext>
      </extLst>
    </cfRule>
  </conditionalFormatting>
  <conditionalFormatting sqref="AZ1152">
    <cfRule type="iconSet" priority="551">
      <iconSet iconSet="3Symbols">
        <cfvo type="percent" val="0"/>
        <cfvo type="num" val="0.75"/>
        <cfvo type="num" val="0.85"/>
      </iconSet>
    </cfRule>
    <cfRule type="dataBar" priority="5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{9D2C6F19-30B7-4403-87F2-F2B0A51EF72A}</x14:id>
        </ext>
      </extLst>
    </cfRule>
  </conditionalFormatting>
  <conditionalFormatting sqref="AZ1147">
    <cfRule type="iconSet" priority="553">
      <iconSet iconSet="3Symbols">
        <cfvo type="percent" val="0"/>
        <cfvo type="num" val="0.75"/>
        <cfvo type="num" val="0.85"/>
      </iconSet>
    </cfRule>
    <cfRule type="dataBar" priority="5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{13DC61BF-8F23-4EB5-AEC7-5CF3455A721F}</x14:id>
        </ext>
      </extLst>
    </cfRule>
  </conditionalFormatting>
  <conditionalFormatting sqref="AZ1148">
    <cfRule type="iconSet" priority="555">
      <iconSet iconSet="3Symbols">
        <cfvo type="percent" val="0"/>
        <cfvo type="num" val="0.75"/>
        <cfvo type="num" val="0.85"/>
      </iconSet>
    </cfRule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{4C62082D-695C-4C21-BFF8-E910A9401DAB}</x14:id>
        </ext>
      </extLst>
    </cfRule>
  </conditionalFormatting>
  <conditionalFormatting sqref="AZ1079">
    <cfRule type="iconSet" priority="545">
      <iconSet iconSet="3Symbols">
        <cfvo type="percent" val="0"/>
        <cfvo type="num" val="0.75"/>
        <cfvo type="num" val="0.85"/>
      </iconSet>
    </cfRule>
    <cfRule type="dataBar" priority="5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{94BADFFC-BCB0-4B26-B561-2EBD416C9252}</x14:id>
        </ext>
      </extLst>
    </cfRule>
  </conditionalFormatting>
  <conditionalFormatting sqref="AZ1080:AZ1083">
    <cfRule type="iconSet" priority="543">
      <iconSet iconSet="3Symbols">
        <cfvo type="percent" val="0"/>
        <cfvo type="num" val="0.75"/>
        <cfvo type="num" val="0.85"/>
      </iconSet>
    </cfRule>
    <cfRule type="dataBar" priority="5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{1D053058-BE45-4404-8CA4-044A7E14F171}</x14:id>
        </ext>
      </extLst>
    </cfRule>
  </conditionalFormatting>
  <conditionalFormatting sqref="AZ1084">
    <cfRule type="iconSet" priority="541">
      <iconSet iconSet="3Symbols">
        <cfvo type="percent" val="0"/>
        <cfvo type="num" val="0.75"/>
        <cfvo type="num" val="0.85"/>
      </iconSet>
    </cfRule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{07D2B9BD-A35E-4D4C-92C4-01D48A562249}</x14:id>
        </ext>
      </extLst>
    </cfRule>
  </conditionalFormatting>
  <conditionalFormatting sqref="AZ1086">
    <cfRule type="iconSet" priority="539">
      <iconSet iconSet="3Symbols">
        <cfvo type="percent" val="0"/>
        <cfvo type="num" val="0.75"/>
        <cfvo type="num" val="0.85"/>
      </iconSet>
    </cfRule>
    <cfRule type="dataBar" priority="5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{550B05DB-39EF-4810-9261-40C71D2923DD}</x14:id>
        </ext>
      </extLst>
    </cfRule>
  </conditionalFormatting>
  <conditionalFormatting sqref="AZ1087:AZ1090">
    <cfRule type="iconSet" priority="537">
      <iconSet iconSet="3Symbols">
        <cfvo type="percent" val="0"/>
        <cfvo type="num" val="0.75"/>
        <cfvo type="num" val="0.85"/>
      </iconSet>
    </cfRule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{1A020F52-4C91-4E87-BAEF-FD6EB8C64DB9}</x14:id>
        </ext>
      </extLst>
    </cfRule>
  </conditionalFormatting>
  <conditionalFormatting sqref="AZ1091">
    <cfRule type="iconSet" priority="535">
      <iconSet iconSet="3Symbols">
        <cfvo type="percent" val="0"/>
        <cfvo type="num" val="0.75"/>
        <cfvo type="num" val="0.85"/>
      </iconSet>
    </cfRule>
    <cfRule type="dataBar" priority="5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{86F3505A-F36A-45B4-8C8E-972F812DD0A5}</x14:id>
        </ext>
      </extLst>
    </cfRule>
  </conditionalFormatting>
  <conditionalFormatting sqref="AZ1093">
    <cfRule type="iconSet" priority="533">
      <iconSet iconSet="3Symbols">
        <cfvo type="percent" val="0"/>
        <cfvo type="num" val="0.75"/>
        <cfvo type="num" val="0.85"/>
      </iconSet>
    </cfRule>
    <cfRule type="dataBar" priority="5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{70494A96-53B1-4E4A-A8D6-42EAE5C6E86D}</x14:id>
        </ext>
      </extLst>
    </cfRule>
  </conditionalFormatting>
  <conditionalFormatting sqref="AZ1094:AZ1097">
    <cfRule type="iconSet" priority="531">
      <iconSet iconSet="3Symbols">
        <cfvo type="percent" val="0"/>
        <cfvo type="num" val="0.75"/>
        <cfvo type="num" val="0.85"/>
      </iconSet>
    </cfRule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{361764B0-11C4-4BAE-92F7-4ED7DD012739}</x14:id>
        </ext>
      </extLst>
    </cfRule>
  </conditionalFormatting>
  <conditionalFormatting sqref="AZ1098">
    <cfRule type="iconSet" priority="529">
      <iconSet iconSet="3Symbols">
        <cfvo type="percent" val="0"/>
        <cfvo type="num" val="0.75"/>
        <cfvo type="num" val="0.85"/>
      </iconSet>
    </cfRule>
    <cfRule type="dataBar" priority="5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{5F0A1562-B95E-4D14-9943-917EFDBBB67F}</x14:id>
        </ext>
      </extLst>
    </cfRule>
  </conditionalFormatting>
  <conditionalFormatting sqref="AZ1285 AZ1330 AZ1294 AZ1303 AZ1339">
    <cfRule type="iconSet" priority="519">
      <iconSet iconSet="3Symbols">
        <cfvo type="percent" val="0"/>
        <cfvo type="num" val="0.75"/>
        <cfvo type="num" val="0.85"/>
      </iconSet>
    </cfRule>
    <cfRule type="dataBar" priority="5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{50767EF1-BA5A-4273-AA57-87C7601A6D7F}</x14:id>
        </ext>
      </extLst>
    </cfRule>
  </conditionalFormatting>
  <conditionalFormatting sqref="AZ1334:AZ1336 AZ1289:AZ1291 AZ1298:AZ1300 AZ1307:AZ1309 AZ1343:AZ1345 AZ1286 AZ1295 AZ1304 AZ1331 AZ1340">
    <cfRule type="iconSet" priority="521">
      <iconSet iconSet="3Symbols">
        <cfvo type="percent" val="0"/>
        <cfvo type="num" val="0.75"/>
        <cfvo type="num" val="0.85"/>
      </iconSet>
    </cfRule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{6BF049EE-79C4-4DEB-9D7E-F570F3BB9E13}</x14:id>
        </ext>
      </extLst>
    </cfRule>
  </conditionalFormatting>
  <conditionalFormatting sqref="AZ1292 AZ1337 AZ1301 AZ1310 AZ1346">
    <cfRule type="iconSet" priority="523">
      <iconSet iconSet="3Symbols">
        <cfvo type="percent" val="0"/>
        <cfvo type="num" val="0.75"/>
        <cfvo type="num" val="0.85"/>
      </iconSet>
    </cfRule>
    <cfRule type="dataBar" priority="5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{B42DA693-311F-49A1-93CD-7A5FB2818FBF}</x14:id>
        </ext>
      </extLst>
    </cfRule>
  </conditionalFormatting>
  <conditionalFormatting sqref="AZ1287 AZ1332 AZ1296 AZ1305 AZ1341">
    <cfRule type="iconSet" priority="525">
      <iconSet iconSet="3Symbols">
        <cfvo type="percent" val="0"/>
        <cfvo type="num" val="0.75"/>
        <cfvo type="num" val="0.85"/>
      </iconSet>
    </cfRule>
    <cfRule type="dataBar" priority="5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{39F7ADE2-8FF0-4858-A8B9-B8375F400256}</x14:id>
        </ext>
      </extLst>
    </cfRule>
  </conditionalFormatting>
  <conditionalFormatting sqref="AZ1288 AZ1333 AZ1297 AZ1306 AZ1342">
    <cfRule type="iconSet" priority="527">
      <iconSet iconSet="3Symbols">
        <cfvo type="percent" val="0"/>
        <cfvo type="num" val="0.75"/>
        <cfvo type="num" val="0.85"/>
      </iconSet>
    </cfRule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{50D897DA-99EC-4225-9A9C-3BFC74E81C61}</x14:id>
        </ext>
      </extLst>
    </cfRule>
  </conditionalFormatting>
  <conditionalFormatting sqref="AZ1312">
    <cfRule type="iconSet" priority="509">
      <iconSet iconSet="3Symbols">
        <cfvo type="percent" val="0"/>
        <cfvo type="num" val="0.75"/>
        <cfvo type="num" val="0.85"/>
      </iconSet>
    </cfRule>
    <cfRule type="dataBar" priority="5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{3C3A7FFE-FCF2-4FEA-A991-74D46FF7329F}</x14:id>
        </ext>
      </extLst>
    </cfRule>
  </conditionalFormatting>
  <conditionalFormatting sqref="AZ1316:AZ1318 AZ1313">
    <cfRule type="iconSet" priority="511">
      <iconSet iconSet="3Symbols">
        <cfvo type="percent" val="0"/>
        <cfvo type="num" val="0.75"/>
        <cfvo type="num" val="0.85"/>
      </iconSet>
    </cfRule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{28C8CCF3-9AB6-48B8-B491-A249AA8B4EF5}</x14:id>
        </ext>
      </extLst>
    </cfRule>
  </conditionalFormatting>
  <conditionalFormatting sqref="AZ1319">
    <cfRule type="iconSet" priority="513">
      <iconSet iconSet="3Symbols">
        <cfvo type="percent" val="0"/>
        <cfvo type="num" val="0.75"/>
        <cfvo type="num" val="0.85"/>
      </iconSet>
    </cfRule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{AD3FED84-7CE0-4980-A2BF-56E13ECAEAC8}</x14:id>
        </ext>
      </extLst>
    </cfRule>
  </conditionalFormatting>
  <conditionalFormatting sqref="AZ1314">
    <cfRule type="iconSet" priority="515">
      <iconSet iconSet="3Symbols">
        <cfvo type="percent" val="0"/>
        <cfvo type="num" val="0.75"/>
        <cfvo type="num" val="0.85"/>
      </iconSet>
    </cfRule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{E6C0A67F-0F86-4D8F-BDAC-8D587FE4E767}</x14:id>
        </ext>
      </extLst>
    </cfRule>
  </conditionalFormatting>
  <conditionalFormatting sqref="AZ1315">
    <cfRule type="iconSet" priority="517">
      <iconSet iconSet="3Symbols">
        <cfvo type="percent" val="0"/>
        <cfvo type="num" val="0.75"/>
        <cfvo type="num" val="0.85"/>
      </iconSet>
    </cfRule>
    <cfRule type="dataBar" priority="5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{9E960C09-A80D-4908-9A99-51EC903B6341}</x14:id>
        </ext>
      </extLst>
    </cfRule>
  </conditionalFormatting>
  <conditionalFormatting sqref="AZ1241">
    <cfRule type="iconSet" priority="507">
      <iconSet iconSet="3Symbols">
        <cfvo type="percent" val="0"/>
        <cfvo type="num" val="0.75"/>
        <cfvo type="num" val="0.85"/>
      </iconSet>
    </cfRule>
    <cfRule type="dataBar" priority="5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{44343370-86F3-4AA9-87C9-4175B9838FE3}</x14:id>
        </ext>
      </extLst>
    </cfRule>
  </conditionalFormatting>
  <conditionalFormatting sqref="AZ1242:AZ1245">
    <cfRule type="iconSet" priority="505">
      <iconSet iconSet="3Symbols">
        <cfvo type="percent" val="0"/>
        <cfvo type="num" val="0.75"/>
        <cfvo type="num" val="0.85"/>
      </iconSet>
    </cfRule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{20E477F8-89A9-45EA-BAB2-37AED619FDB0}</x14:id>
        </ext>
      </extLst>
    </cfRule>
  </conditionalFormatting>
  <conditionalFormatting sqref="AZ1246">
    <cfRule type="iconSet" priority="503">
      <iconSet iconSet="3Symbols">
        <cfvo type="percent" val="0"/>
        <cfvo type="num" val="0.75"/>
        <cfvo type="num" val="0.85"/>
      </iconSet>
    </cfRule>
    <cfRule type="dataBar" priority="5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{B6752D10-1F50-450F-9AEE-064C46AFA241}</x14:id>
        </ext>
      </extLst>
    </cfRule>
  </conditionalFormatting>
  <conditionalFormatting sqref="AZ1277">
    <cfRule type="iconSet" priority="501">
      <iconSet iconSet="3Symbols">
        <cfvo type="percent" val="0"/>
        <cfvo type="num" val="0.75"/>
        <cfvo type="num" val="0.85"/>
      </iconSet>
    </cfRule>
    <cfRule type="dataBar" priority="5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{473FAAD3-AE57-4C35-906A-AF1A9299CD78}</x14:id>
        </ext>
      </extLst>
    </cfRule>
  </conditionalFormatting>
  <conditionalFormatting sqref="AZ1276">
    <cfRule type="iconSet" priority="491">
      <iconSet iconSet="3Symbols">
        <cfvo type="percent" val="0"/>
        <cfvo type="num" val="0.75"/>
        <cfvo type="num" val="0.85"/>
      </iconSet>
    </cfRule>
    <cfRule type="dataBar" priority="4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{73E908C9-8F3F-41DB-ADCF-352176F37B71}</x14:id>
        </ext>
      </extLst>
    </cfRule>
  </conditionalFormatting>
  <conditionalFormatting sqref="AZ1280:AZ1282">
    <cfRule type="iconSet" priority="493">
      <iconSet iconSet="3Symbols">
        <cfvo type="percent" val="0"/>
        <cfvo type="num" val="0.75"/>
        <cfvo type="num" val="0.85"/>
      </iconSet>
    </cfRule>
    <cfRule type="dataBar" priority="4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{5580F37A-654A-450B-BB53-5A634BD6ACF7}</x14:id>
        </ext>
      </extLst>
    </cfRule>
  </conditionalFormatting>
  <conditionalFormatting sqref="AZ1283">
    <cfRule type="iconSet" priority="495">
      <iconSet iconSet="3Symbols">
        <cfvo type="percent" val="0"/>
        <cfvo type="num" val="0.75"/>
        <cfvo type="num" val="0.85"/>
      </iconSet>
    </cfRule>
    <cfRule type="dataBar" priority="4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{086E56D6-EB12-4D4C-8CDC-0C85795371B0}</x14:id>
        </ext>
      </extLst>
    </cfRule>
  </conditionalFormatting>
  <conditionalFormatting sqref="AZ1278">
    <cfRule type="iconSet" priority="497">
      <iconSet iconSet="3Symbols">
        <cfvo type="percent" val="0"/>
        <cfvo type="num" val="0.75"/>
        <cfvo type="num" val="0.85"/>
      </iconSet>
    </cfRule>
    <cfRule type="dataBar" priority="4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{0713FEDC-9F97-4543-B518-C5EF235E0D4B}</x14:id>
        </ext>
      </extLst>
    </cfRule>
  </conditionalFormatting>
  <conditionalFormatting sqref="AZ1279">
    <cfRule type="iconSet" priority="499">
      <iconSet iconSet="3Symbols">
        <cfvo type="percent" val="0"/>
        <cfvo type="num" val="0.75"/>
        <cfvo type="num" val="0.85"/>
      </iconSet>
    </cfRule>
    <cfRule type="dataBar" priority="5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{3D5AFD94-8E84-4067-9E36-B6C407370AFC}</x14:id>
        </ext>
      </extLst>
    </cfRule>
  </conditionalFormatting>
  <conditionalFormatting sqref="AZ1384">
    <cfRule type="iconSet" priority="481">
      <iconSet iconSet="3Symbols">
        <cfvo type="percent" val="0"/>
        <cfvo type="num" val="0.75"/>
        <cfvo type="num" val="0.85"/>
      </iconSet>
    </cfRule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{1391471F-0860-42BB-8ADF-0D8FC1A4DD75}</x14:id>
        </ext>
      </extLst>
    </cfRule>
  </conditionalFormatting>
  <conditionalFormatting sqref="AZ1388:AZ1390 AZ1385">
    <cfRule type="iconSet" priority="483">
      <iconSet iconSet="3Symbols">
        <cfvo type="percent" val="0"/>
        <cfvo type="num" val="0.75"/>
        <cfvo type="num" val="0.85"/>
      </iconSet>
    </cfRule>
    <cfRule type="dataBar" priority="4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{5279DAB2-E792-45BB-94AE-DD63DBED38E2}</x14:id>
        </ext>
      </extLst>
    </cfRule>
  </conditionalFormatting>
  <conditionalFormatting sqref="AZ1391">
    <cfRule type="iconSet" priority="485">
      <iconSet iconSet="3Symbols">
        <cfvo type="percent" val="0"/>
        <cfvo type="num" val="0.75"/>
        <cfvo type="num" val="0.85"/>
      </iconSet>
    </cfRule>
    <cfRule type="dataBar" priority="4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{A14A9C01-A108-487F-889E-19A844F077D7}</x14:id>
        </ext>
      </extLst>
    </cfRule>
  </conditionalFormatting>
  <conditionalFormatting sqref="AZ1386">
    <cfRule type="iconSet" priority="487">
      <iconSet iconSet="3Symbols">
        <cfvo type="percent" val="0"/>
        <cfvo type="num" val="0.75"/>
        <cfvo type="num" val="0.85"/>
      </iconSet>
    </cfRule>
    <cfRule type="dataBar" priority="4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{62404A1D-C6B6-432B-B1FC-FC6F85B27281}</x14:id>
        </ext>
      </extLst>
    </cfRule>
  </conditionalFormatting>
  <conditionalFormatting sqref="AZ1387">
    <cfRule type="iconSet" priority="489">
      <iconSet iconSet="3Symbols">
        <cfvo type="percent" val="0"/>
        <cfvo type="num" val="0.75"/>
        <cfvo type="num" val="0.85"/>
      </iconSet>
    </cfRule>
    <cfRule type="dataBar" priority="4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{993D9402-2BCB-49A2-B067-B83355BA93F3}</x14:id>
        </ext>
      </extLst>
    </cfRule>
  </conditionalFormatting>
  <conditionalFormatting sqref="AZ1375">
    <cfRule type="iconSet" priority="471">
      <iconSet iconSet="3Symbols">
        <cfvo type="percent" val="0"/>
        <cfvo type="num" val="0.75"/>
        <cfvo type="num" val="0.85"/>
      </iconSet>
    </cfRule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{94D949CE-433E-4B98-B1B1-C34CCDF8C792}</x14:id>
        </ext>
      </extLst>
    </cfRule>
  </conditionalFormatting>
  <conditionalFormatting sqref="AZ1379:AZ1381 AZ1376">
    <cfRule type="iconSet" priority="473">
      <iconSet iconSet="3Symbols">
        <cfvo type="percent" val="0"/>
        <cfvo type="num" val="0.75"/>
        <cfvo type="num" val="0.85"/>
      </iconSet>
    </cfRule>
    <cfRule type="dataBar" priority="4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{6D0E453B-0748-43BE-839F-809BF83C913A}</x14:id>
        </ext>
      </extLst>
    </cfRule>
  </conditionalFormatting>
  <conditionalFormatting sqref="AZ1382">
    <cfRule type="iconSet" priority="475">
      <iconSet iconSet="3Symbols">
        <cfvo type="percent" val="0"/>
        <cfvo type="num" val="0.75"/>
        <cfvo type="num" val="0.85"/>
      </iconSet>
    </cfRule>
    <cfRule type="dataBar" priority="4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{294AA1EF-1091-4C41-8E49-A568CA193890}</x14:id>
        </ext>
      </extLst>
    </cfRule>
  </conditionalFormatting>
  <conditionalFormatting sqref="AZ1377">
    <cfRule type="iconSet" priority="477">
      <iconSet iconSet="3Symbols">
        <cfvo type="percent" val="0"/>
        <cfvo type="num" val="0.75"/>
        <cfvo type="num" val="0.85"/>
      </iconSet>
    </cfRule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{37158A0E-B9AE-4A32-95B8-E5B2D88FE2F3}</x14:id>
        </ext>
      </extLst>
    </cfRule>
  </conditionalFormatting>
  <conditionalFormatting sqref="AZ1378">
    <cfRule type="iconSet" priority="479">
      <iconSet iconSet="3Symbols">
        <cfvo type="percent" val="0"/>
        <cfvo type="num" val="0.75"/>
        <cfvo type="num" val="0.85"/>
      </iconSet>
    </cfRule>
    <cfRule type="dataBar" priority="4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{7D85257F-5E16-40F7-B697-28A6C8014010}</x14:id>
        </ext>
      </extLst>
    </cfRule>
  </conditionalFormatting>
  <conditionalFormatting sqref="AZ1348 AZ1357">
    <cfRule type="iconSet" priority="461">
      <iconSet iconSet="3Symbols">
        <cfvo type="percent" val="0"/>
        <cfvo type="num" val="0.75"/>
        <cfvo type="num" val="0.85"/>
      </iconSet>
    </cfRule>
    <cfRule type="dataBar" priority="4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{A0B57C65-15FE-43AB-BE8A-81AB361F6CFC}</x14:id>
        </ext>
      </extLst>
    </cfRule>
  </conditionalFormatting>
  <conditionalFormatting sqref="AZ1352:AZ1354 AZ1361:AZ1363 AZ1349 AZ1358">
    <cfRule type="iconSet" priority="463">
      <iconSet iconSet="3Symbols">
        <cfvo type="percent" val="0"/>
        <cfvo type="num" val="0.75"/>
        <cfvo type="num" val="0.85"/>
      </iconSet>
    </cfRule>
    <cfRule type="dataBar" priority="4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{27F22485-B7E0-4A0F-859D-508EDF08DAC1}</x14:id>
        </ext>
      </extLst>
    </cfRule>
  </conditionalFormatting>
  <conditionalFormatting sqref="AZ1355 AZ1364">
    <cfRule type="iconSet" priority="465">
      <iconSet iconSet="3Symbols">
        <cfvo type="percent" val="0"/>
        <cfvo type="num" val="0.75"/>
        <cfvo type="num" val="0.85"/>
      </iconSet>
    </cfRule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{4770684E-2251-4851-9CA6-119CB157556E}</x14:id>
        </ext>
      </extLst>
    </cfRule>
  </conditionalFormatting>
  <conditionalFormatting sqref="AZ1350 AZ1359">
    <cfRule type="iconSet" priority="467">
      <iconSet iconSet="3Symbols">
        <cfvo type="percent" val="0"/>
        <cfvo type="num" val="0.75"/>
        <cfvo type="num" val="0.85"/>
      </iconSet>
    </cfRule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{FDF06BE5-D7E3-4DB6-AFC5-8EF729F759D6}</x14:id>
        </ext>
      </extLst>
    </cfRule>
  </conditionalFormatting>
  <conditionalFormatting sqref="AZ1351 AZ1360">
    <cfRule type="iconSet" priority="469">
      <iconSet iconSet="3Symbols">
        <cfvo type="percent" val="0"/>
        <cfvo type="num" val="0.75"/>
        <cfvo type="num" val="0.85"/>
      </iconSet>
    </cfRule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{BDEAB449-E4B7-471D-8500-96BAA367CF74}</x14:id>
        </ext>
      </extLst>
    </cfRule>
  </conditionalFormatting>
  <conditionalFormatting sqref="AZ1402">
    <cfRule type="iconSet" priority="451">
      <iconSet iconSet="3Symbols">
        <cfvo type="percent" val="0"/>
        <cfvo type="num" val="0.75"/>
        <cfvo type="num" val="0.85"/>
      </iconSet>
    </cfRule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{909E4A3E-722C-402B-A035-ED165C6211E6}</x14:id>
        </ext>
      </extLst>
    </cfRule>
  </conditionalFormatting>
  <conditionalFormatting sqref="AZ1406:AZ1408 AZ1403">
    <cfRule type="iconSet" priority="453">
      <iconSet iconSet="3Symbols">
        <cfvo type="percent" val="0"/>
        <cfvo type="num" val="0.75"/>
        <cfvo type="num" val="0.85"/>
      </iconSet>
    </cfRule>
    <cfRule type="dataBar" priority="4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{E5B80072-EE79-43FE-8030-3433D37FFC87}</x14:id>
        </ext>
      </extLst>
    </cfRule>
  </conditionalFormatting>
  <conditionalFormatting sqref="AZ1409">
    <cfRule type="iconSet" priority="455">
      <iconSet iconSet="3Symbols">
        <cfvo type="percent" val="0"/>
        <cfvo type="num" val="0.75"/>
        <cfvo type="num" val="0.85"/>
      </iconSet>
    </cfRule>
    <cfRule type="dataBar" priority="4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{57EA105D-E191-4998-B152-875E0E1E0725}</x14:id>
        </ext>
      </extLst>
    </cfRule>
  </conditionalFormatting>
  <conditionalFormatting sqref="AZ1404">
    <cfRule type="iconSet" priority="457">
      <iconSet iconSet="3Symbols">
        <cfvo type="percent" val="0"/>
        <cfvo type="num" val="0.75"/>
        <cfvo type="num" val="0.85"/>
      </iconSet>
    </cfRule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{E9FC91E5-CCDE-42A6-B236-98804EB9C2C7}</x14:id>
        </ext>
      </extLst>
    </cfRule>
  </conditionalFormatting>
  <conditionalFormatting sqref="AZ1405">
    <cfRule type="iconSet" priority="459">
      <iconSet iconSet="3Symbols">
        <cfvo type="percent" val="0"/>
        <cfvo type="num" val="0.75"/>
        <cfvo type="num" val="0.85"/>
      </iconSet>
    </cfRule>
    <cfRule type="dataBar" priority="4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{C9EABC8A-CE5B-40A6-9089-9F9D830BDA56}</x14:id>
        </ext>
      </extLst>
    </cfRule>
  </conditionalFormatting>
  <conditionalFormatting sqref="AZ1366">
    <cfRule type="iconSet" priority="441">
      <iconSet iconSet="3Symbols">
        <cfvo type="percent" val="0"/>
        <cfvo type="num" val="0.75"/>
        <cfvo type="num" val="0.85"/>
      </iconSet>
    </cfRule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{87F06BB5-F3F7-44EE-B1A3-B93C217666F0}</x14:id>
        </ext>
      </extLst>
    </cfRule>
  </conditionalFormatting>
  <conditionalFormatting sqref="AZ1370:AZ1372 AZ1367">
    <cfRule type="iconSet" priority="443">
      <iconSet iconSet="3Symbols">
        <cfvo type="percent" val="0"/>
        <cfvo type="num" val="0.75"/>
        <cfvo type="num" val="0.85"/>
      </iconSet>
    </cfRule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{82B89758-9EA8-4C03-B4CC-8025C8B841E9}</x14:id>
        </ext>
      </extLst>
    </cfRule>
  </conditionalFormatting>
  <conditionalFormatting sqref="AZ1373">
    <cfRule type="iconSet" priority="445">
      <iconSet iconSet="3Symbols">
        <cfvo type="percent" val="0"/>
        <cfvo type="num" val="0.75"/>
        <cfvo type="num" val="0.85"/>
      </iconSet>
    </cfRule>
    <cfRule type="dataBar" priority="4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{1727A602-EF4C-4DE0-9AC3-B7748B14A119}</x14:id>
        </ext>
      </extLst>
    </cfRule>
  </conditionalFormatting>
  <conditionalFormatting sqref="AZ1368">
    <cfRule type="iconSet" priority="447">
      <iconSet iconSet="3Symbols">
        <cfvo type="percent" val="0"/>
        <cfvo type="num" val="0.75"/>
        <cfvo type="num" val="0.85"/>
      </iconSet>
    </cfRule>
    <cfRule type="dataBar" priority="4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{DDD8A968-1D6A-4F41-8B2C-924E99BA11A2}</x14:id>
        </ext>
      </extLst>
    </cfRule>
  </conditionalFormatting>
  <conditionalFormatting sqref="AZ1369">
    <cfRule type="iconSet" priority="449">
      <iconSet iconSet="3Symbols">
        <cfvo type="percent" val="0"/>
        <cfvo type="num" val="0.75"/>
        <cfvo type="num" val="0.85"/>
      </iconSet>
    </cfRule>
    <cfRule type="dataBar" priority="4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{88295ACC-AAEA-427B-8FC3-841CA4D99FE5}</x14:id>
        </ext>
      </extLst>
    </cfRule>
  </conditionalFormatting>
  <conditionalFormatting sqref="AZ1393">
    <cfRule type="iconSet" priority="431">
      <iconSet iconSet="3Symbols">
        <cfvo type="percent" val="0"/>
        <cfvo type="num" val="0.75"/>
        <cfvo type="num" val="0.85"/>
      </iconSet>
    </cfRule>
    <cfRule type="dataBar" priority="4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{EB045729-54B2-4329-A57B-E5F7CE1C8156}</x14:id>
        </ext>
      </extLst>
    </cfRule>
  </conditionalFormatting>
  <conditionalFormatting sqref="AZ1397:AZ1399 AZ1394">
    <cfRule type="iconSet" priority="433">
      <iconSet iconSet="3Symbols">
        <cfvo type="percent" val="0"/>
        <cfvo type="num" val="0.75"/>
        <cfvo type="num" val="0.85"/>
      </iconSet>
    </cfRule>
    <cfRule type="dataBar" priority="4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{6D9B2675-C178-4E60-93C1-51694ACF0D82}</x14:id>
        </ext>
      </extLst>
    </cfRule>
  </conditionalFormatting>
  <conditionalFormatting sqref="AZ1400">
    <cfRule type="iconSet" priority="435">
      <iconSet iconSet="3Symbols">
        <cfvo type="percent" val="0"/>
        <cfvo type="num" val="0.75"/>
        <cfvo type="num" val="0.85"/>
      </iconSet>
    </cfRule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{C776EA75-1D15-4F95-8E14-815509A0C874}</x14:id>
        </ext>
      </extLst>
    </cfRule>
  </conditionalFormatting>
  <conditionalFormatting sqref="AZ1395">
    <cfRule type="iconSet" priority="437">
      <iconSet iconSet="3Symbols">
        <cfvo type="percent" val="0"/>
        <cfvo type="num" val="0.75"/>
        <cfvo type="num" val="0.85"/>
      </iconSet>
    </cfRule>
    <cfRule type="dataBar" priority="4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{1308DC60-3603-40FC-9D2F-18B5B54A2D12}</x14:id>
        </ext>
      </extLst>
    </cfRule>
  </conditionalFormatting>
  <conditionalFormatting sqref="AZ1396">
    <cfRule type="iconSet" priority="439">
      <iconSet iconSet="3Symbols">
        <cfvo type="percent" val="0"/>
        <cfvo type="num" val="0.75"/>
        <cfvo type="num" val="0.85"/>
      </iconSet>
    </cfRule>
    <cfRule type="dataBar" priority="4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{9DBD42C9-8EFF-4BED-8701-AA6C982107F3}</x14:id>
        </ext>
      </extLst>
    </cfRule>
  </conditionalFormatting>
  <conditionalFormatting sqref="AZ1248">
    <cfRule type="iconSet" priority="429">
      <iconSet iconSet="3Symbols">
        <cfvo type="percent" val="0"/>
        <cfvo type="num" val="0.75"/>
        <cfvo type="num" val="0.85"/>
      </iconSet>
    </cfRule>
    <cfRule type="dataBar" priority="4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{8CAE271A-3CE4-4A2A-BCEC-219CB29A2A41}</x14:id>
        </ext>
      </extLst>
    </cfRule>
  </conditionalFormatting>
  <conditionalFormatting sqref="AZ1249:AZ1252">
    <cfRule type="iconSet" priority="427">
      <iconSet iconSet="3Symbols">
        <cfvo type="percent" val="0"/>
        <cfvo type="num" val="0.75"/>
        <cfvo type="num" val="0.85"/>
      </iconSet>
    </cfRule>
    <cfRule type="dataBar" priority="4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{A48CB321-A8B2-4330-8618-757B9C6F02DB}</x14:id>
        </ext>
      </extLst>
    </cfRule>
  </conditionalFormatting>
  <conditionalFormatting sqref="AZ1253">
    <cfRule type="iconSet" priority="425">
      <iconSet iconSet="3Symbols">
        <cfvo type="percent" val="0"/>
        <cfvo type="num" val="0.75"/>
        <cfvo type="num" val="0.85"/>
      </iconSet>
    </cfRule>
    <cfRule type="dataBar" priority="4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{D20CB82D-A4DA-4EDA-B4A7-0ECE4DF97756}</x14:id>
        </ext>
      </extLst>
    </cfRule>
  </conditionalFormatting>
  <conditionalFormatting sqref="AZ1321">
    <cfRule type="iconSet" priority="415">
      <iconSet iconSet="3Symbols">
        <cfvo type="percent" val="0"/>
        <cfvo type="num" val="0.75"/>
        <cfvo type="num" val="0.85"/>
      </iconSet>
    </cfRule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{76093C3C-4C9A-43B1-91C6-22907B04011A}</x14:id>
        </ext>
      </extLst>
    </cfRule>
  </conditionalFormatting>
  <conditionalFormatting sqref="AZ1325:AZ1327 AZ1322">
    <cfRule type="iconSet" priority="417">
      <iconSet iconSet="3Symbols">
        <cfvo type="percent" val="0"/>
        <cfvo type="num" val="0.75"/>
        <cfvo type="num" val="0.85"/>
      </iconSet>
    </cfRule>
    <cfRule type="dataBar" priority="4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{740F72EA-03A9-4C1D-917C-1AEA4606DE5E}</x14:id>
        </ext>
      </extLst>
    </cfRule>
  </conditionalFormatting>
  <conditionalFormatting sqref="AZ1328">
    <cfRule type="iconSet" priority="419">
      <iconSet iconSet="3Symbols">
        <cfvo type="percent" val="0"/>
        <cfvo type="num" val="0.75"/>
        <cfvo type="num" val="0.85"/>
      </iconSet>
    </cfRule>
    <cfRule type="dataBar" priority="4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{9F4FFD4D-2E78-42A6-94E3-0CB36BBDA554}</x14:id>
        </ext>
      </extLst>
    </cfRule>
  </conditionalFormatting>
  <conditionalFormatting sqref="AZ1323">
    <cfRule type="iconSet" priority="421">
      <iconSet iconSet="3Symbols">
        <cfvo type="percent" val="0"/>
        <cfvo type="num" val="0.75"/>
        <cfvo type="num" val="0.85"/>
      </iconSet>
    </cfRule>
    <cfRule type="dataBar" priority="4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{3F065FE2-68D7-4533-A7E4-F4A53988DE4E}</x14:id>
        </ext>
      </extLst>
    </cfRule>
  </conditionalFormatting>
  <conditionalFormatting sqref="AZ1324">
    <cfRule type="iconSet" priority="423">
      <iconSet iconSet="3Symbols">
        <cfvo type="percent" val="0"/>
        <cfvo type="num" val="0.75"/>
        <cfvo type="num" val="0.85"/>
      </iconSet>
    </cfRule>
    <cfRule type="dataBar" priority="4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{03FFC2A5-B49E-4049-BE4A-353B62186FC3}</x14:id>
        </ext>
      </extLst>
    </cfRule>
  </conditionalFormatting>
  <conditionalFormatting sqref="AZ1255">
    <cfRule type="iconSet" priority="413">
      <iconSet iconSet="3Symbols">
        <cfvo type="percent" val="0"/>
        <cfvo type="num" val="0.75"/>
        <cfvo type="num" val="0.85"/>
      </iconSet>
    </cfRule>
    <cfRule type="dataBar" priority="4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{EFDDD02D-6DFE-4156-8B35-F14074C77197}</x14:id>
        </ext>
      </extLst>
    </cfRule>
  </conditionalFormatting>
  <conditionalFormatting sqref="AZ1256:AZ1259">
    <cfRule type="iconSet" priority="411">
      <iconSet iconSet="3Symbols">
        <cfvo type="percent" val="0"/>
        <cfvo type="num" val="0.75"/>
        <cfvo type="num" val="0.85"/>
      </iconSet>
    </cfRule>
    <cfRule type="dataBar" priority="4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{CCB9503E-CA6E-479D-B109-8092082796A1}</x14:id>
        </ext>
      </extLst>
    </cfRule>
  </conditionalFormatting>
  <conditionalFormatting sqref="AZ1260">
    <cfRule type="iconSet" priority="409">
      <iconSet iconSet="3Symbols">
        <cfvo type="percent" val="0"/>
        <cfvo type="num" val="0.75"/>
        <cfvo type="num" val="0.85"/>
      </iconSet>
    </cfRule>
    <cfRule type="dataBar" priority="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{BB0BB963-6BCA-421F-815B-8BE3C774CFBC}</x14:id>
        </ext>
      </extLst>
    </cfRule>
  </conditionalFormatting>
  <conditionalFormatting sqref="AZ1262">
    <cfRule type="iconSet" priority="407">
      <iconSet iconSet="3Symbols">
        <cfvo type="percent" val="0"/>
        <cfvo type="num" val="0.75"/>
        <cfvo type="num" val="0.85"/>
      </iconSet>
    </cfRule>
    <cfRule type="dataBar" priority="4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{9DAF1EFE-0D29-45FB-A791-785E3579634B}</x14:id>
        </ext>
      </extLst>
    </cfRule>
  </conditionalFormatting>
  <conditionalFormatting sqref="AZ1263:AZ1266">
    <cfRule type="iconSet" priority="405">
      <iconSet iconSet="3Symbols">
        <cfvo type="percent" val="0"/>
        <cfvo type="num" val="0.75"/>
        <cfvo type="num" val="0.85"/>
      </iconSet>
    </cfRule>
    <cfRule type="dataBar" priority="4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{70F86B78-3A11-42BB-B33F-A9E6D156326C}</x14:id>
        </ext>
      </extLst>
    </cfRule>
  </conditionalFormatting>
  <conditionalFormatting sqref="AZ1267">
    <cfRule type="iconSet" priority="403">
      <iconSet iconSet="3Symbols">
        <cfvo type="percent" val="0"/>
        <cfvo type="num" val="0.75"/>
        <cfvo type="num" val="0.85"/>
      </iconSet>
    </cfRule>
    <cfRule type="dataBar" priority="4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{AB557B8E-2A44-4C82-940C-E7F448203C3F}</x14:id>
        </ext>
      </extLst>
    </cfRule>
  </conditionalFormatting>
  <conditionalFormatting sqref="AZ1269">
    <cfRule type="iconSet" priority="401">
      <iconSet iconSet="3Symbols">
        <cfvo type="percent" val="0"/>
        <cfvo type="num" val="0.75"/>
        <cfvo type="num" val="0.85"/>
      </iconSet>
    </cfRule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{88839037-CB75-459C-B2D2-AF856C7E2D7B}</x14:id>
        </ext>
      </extLst>
    </cfRule>
  </conditionalFormatting>
  <conditionalFormatting sqref="AZ1270:AZ1273">
    <cfRule type="iconSet" priority="399">
      <iconSet iconSet="3Symbols">
        <cfvo type="percent" val="0"/>
        <cfvo type="num" val="0.75"/>
        <cfvo type="num" val="0.85"/>
      </iconSet>
    </cfRule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{B4833D6C-43AB-43DC-B9BB-2C7D6DFADBC0}</x14:id>
        </ext>
      </extLst>
    </cfRule>
  </conditionalFormatting>
  <conditionalFormatting sqref="AZ1274">
    <cfRule type="iconSet" priority="397">
      <iconSet iconSet="3Symbols">
        <cfvo type="percent" val="0"/>
        <cfvo type="num" val="0.75"/>
        <cfvo type="num" val="0.85"/>
      </iconSet>
    </cfRule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{B7002771-247E-4295-B1CD-3AF20378E9B1}</x14:id>
        </ext>
      </extLst>
    </cfRule>
  </conditionalFormatting>
  <conditionalFormatting sqref="AZ1461 AZ1506 AZ1470 AZ1479 AZ1515">
    <cfRule type="iconSet" priority="387">
      <iconSet iconSet="3Symbols">
        <cfvo type="percent" val="0"/>
        <cfvo type="num" val="0.75"/>
        <cfvo type="num" val="0.85"/>
      </iconSet>
    </cfRule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{29653134-EC81-4F84-9C18-4670EF71EE4F}</x14:id>
        </ext>
      </extLst>
    </cfRule>
  </conditionalFormatting>
  <conditionalFormatting sqref="AZ1510:AZ1512 AZ1465:AZ1467 AZ1474:AZ1476 AZ1483:AZ1485 AZ1519:AZ1521 AZ1462 AZ1471 AZ1480 AZ1507 AZ1516">
    <cfRule type="iconSet" priority="389">
      <iconSet iconSet="3Symbols">
        <cfvo type="percent" val="0"/>
        <cfvo type="num" val="0.75"/>
        <cfvo type="num" val="0.85"/>
      </iconSet>
    </cfRule>
    <cfRule type="dataBar" priority="3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{832917AA-AD5C-4421-BD9D-CA22B65AE9A1}</x14:id>
        </ext>
      </extLst>
    </cfRule>
  </conditionalFormatting>
  <conditionalFormatting sqref="AZ1468 AZ1513 AZ1477 AZ1486 AZ1522">
    <cfRule type="iconSet" priority="391">
      <iconSet iconSet="3Symbols">
        <cfvo type="percent" val="0"/>
        <cfvo type="num" val="0.75"/>
        <cfvo type="num" val="0.85"/>
      </iconSet>
    </cfRule>
    <cfRule type="dataBar" priority="3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{B349ABA6-68B4-4A26-B4C3-9958935A6AE3}</x14:id>
        </ext>
      </extLst>
    </cfRule>
  </conditionalFormatting>
  <conditionalFormatting sqref="AZ1463 AZ1508 AZ1472 AZ1481 AZ1517">
    <cfRule type="iconSet" priority="393">
      <iconSet iconSet="3Symbols">
        <cfvo type="percent" val="0"/>
        <cfvo type="num" val="0.75"/>
        <cfvo type="num" val="0.85"/>
      </iconSet>
    </cfRule>
    <cfRule type="dataBar" priority="3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{95279A21-FAED-41C7-956A-06DFEA7AD647}</x14:id>
        </ext>
      </extLst>
    </cfRule>
  </conditionalFormatting>
  <conditionalFormatting sqref="AZ1464 AZ1509 AZ1473 AZ1482 AZ1518">
    <cfRule type="iconSet" priority="395">
      <iconSet iconSet="3Symbols">
        <cfvo type="percent" val="0"/>
        <cfvo type="num" val="0.75"/>
        <cfvo type="num" val="0.85"/>
      </iconSet>
    </cfRule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{C8566628-20AB-4B96-AAAA-3C788D9E86C6}</x14:id>
        </ext>
      </extLst>
    </cfRule>
  </conditionalFormatting>
  <conditionalFormatting sqref="AZ1488">
    <cfRule type="iconSet" priority="377">
      <iconSet iconSet="3Symbols">
        <cfvo type="percent" val="0"/>
        <cfvo type="num" val="0.75"/>
        <cfvo type="num" val="0.85"/>
      </iconSet>
    </cfRule>
    <cfRule type="dataBar" priority="3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{2C00D57A-59CA-474B-9AD6-2FCEC2582EAB}</x14:id>
        </ext>
      </extLst>
    </cfRule>
  </conditionalFormatting>
  <conditionalFormatting sqref="AZ1492:AZ1494 AZ1489">
    <cfRule type="iconSet" priority="379">
      <iconSet iconSet="3Symbols">
        <cfvo type="percent" val="0"/>
        <cfvo type="num" val="0.75"/>
        <cfvo type="num" val="0.85"/>
      </iconSet>
    </cfRule>
    <cfRule type="dataBar" priority="3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{D865AF09-DD1F-45C9-8D9F-A85545D3E41D}</x14:id>
        </ext>
      </extLst>
    </cfRule>
  </conditionalFormatting>
  <conditionalFormatting sqref="AZ1495">
    <cfRule type="iconSet" priority="381">
      <iconSet iconSet="3Symbols">
        <cfvo type="percent" val="0"/>
        <cfvo type="num" val="0.75"/>
        <cfvo type="num" val="0.85"/>
      </iconSet>
    </cfRule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{F496891E-6B21-497F-AE19-BB8CEBDDC123}</x14:id>
        </ext>
      </extLst>
    </cfRule>
  </conditionalFormatting>
  <conditionalFormatting sqref="AZ1490">
    <cfRule type="iconSet" priority="383">
      <iconSet iconSet="3Symbols">
        <cfvo type="percent" val="0"/>
        <cfvo type="num" val="0.75"/>
        <cfvo type="num" val="0.85"/>
      </iconSet>
    </cfRule>
    <cfRule type="dataBar" priority="3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{C8508AF2-73CC-405F-947D-2B7C4839A62A}</x14:id>
        </ext>
      </extLst>
    </cfRule>
  </conditionalFormatting>
  <conditionalFormatting sqref="AZ1491">
    <cfRule type="iconSet" priority="385">
      <iconSet iconSet="3Symbols">
        <cfvo type="percent" val="0"/>
        <cfvo type="num" val="0.75"/>
        <cfvo type="num" val="0.85"/>
      </iconSet>
    </cfRule>
    <cfRule type="dataBar" priority="3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{04976E2C-1660-4B07-820C-F5FD38C18BB1}</x14:id>
        </ext>
      </extLst>
    </cfRule>
  </conditionalFormatting>
  <conditionalFormatting sqref="AZ1417">
    <cfRule type="iconSet" priority="375">
      <iconSet iconSet="3Symbols">
        <cfvo type="percent" val="0"/>
        <cfvo type="num" val="0.75"/>
        <cfvo type="num" val="0.85"/>
      </iconSet>
    </cfRule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{0E89571C-925D-4EA7-A9EF-4E7A70EB45C3}</x14:id>
        </ext>
      </extLst>
    </cfRule>
  </conditionalFormatting>
  <conditionalFormatting sqref="AZ1418:AZ1421">
    <cfRule type="iconSet" priority="373">
      <iconSet iconSet="3Symbols">
        <cfvo type="percent" val="0"/>
        <cfvo type="num" val="0.75"/>
        <cfvo type="num" val="0.85"/>
      </iconSet>
    </cfRule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{E6CD9DC1-6ABB-414C-8768-329FF3FB423B}</x14:id>
        </ext>
      </extLst>
    </cfRule>
  </conditionalFormatting>
  <conditionalFormatting sqref="AZ1422">
    <cfRule type="iconSet" priority="371">
      <iconSet iconSet="3Symbols">
        <cfvo type="percent" val="0"/>
        <cfvo type="num" val="0.75"/>
        <cfvo type="num" val="0.85"/>
      </iconSet>
    </cfRule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{DAE0CA27-FE50-4EBE-912B-6248065B94E9}</x14:id>
        </ext>
      </extLst>
    </cfRule>
  </conditionalFormatting>
  <conditionalFormatting sqref="AZ1453">
    <cfRule type="iconSet" priority="369">
      <iconSet iconSet="3Symbols">
        <cfvo type="percent" val="0"/>
        <cfvo type="num" val="0.75"/>
        <cfvo type="num" val="0.85"/>
      </iconSet>
    </cfRule>
    <cfRule type="dataBar" priority="3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{82E7ED3C-9126-4491-8AE7-DB9FACF50427}</x14:id>
        </ext>
      </extLst>
    </cfRule>
  </conditionalFormatting>
  <conditionalFormatting sqref="AZ1452">
    <cfRule type="iconSet" priority="359">
      <iconSet iconSet="3Symbols">
        <cfvo type="percent" val="0"/>
        <cfvo type="num" val="0.75"/>
        <cfvo type="num" val="0.85"/>
      </iconSet>
    </cfRule>
    <cfRule type="dataBar" priority="3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{6ABD6389-6B7E-401D-9099-06F60C4C4FD3}</x14:id>
        </ext>
      </extLst>
    </cfRule>
  </conditionalFormatting>
  <conditionalFormatting sqref="AZ1456:AZ1458">
    <cfRule type="iconSet" priority="361">
      <iconSet iconSet="3Symbols">
        <cfvo type="percent" val="0"/>
        <cfvo type="num" val="0.75"/>
        <cfvo type="num" val="0.85"/>
      </iconSet>
    </cfRule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{AB87279B-A9D2-4153-8CE2-C7D62194981A}</x14:id>
        </ext>
      </extLst>
    </cfRule>
  </conditionalFormatting>
  <conditionalFormatting sqref="AZ1459">
    <cfRule type="iconSet" priority="363">
      <iconSet iconSet="3Symbols">
        <cfvo type="percent" val="0"/>
        <cfvo type="num" val="0.75"/>
        <cfvo type="num" val="0.85"/>
      </iconSet>
    </cfRule>
    <cfRule type="dataBar" priority="3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{06FA8A1D-58B4-49F1-815D-CB68AED7BE16}</x14:id>
        </ext>
      </extLst>
    </cfRule>
  </conditionalFormatting>
  <conditionalFormatting sqref="AZ1454">
    <cfRule type="iconSet" priority="365">
      <iconSet iconSet="3Symbols">
        <cfvo type="percent" val="0"/>
        <cfvo type="num" val="0.75"/>
        <cfvo type="num" val="0.85"/>
      </iconSet>
    </cfRule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{451FF53F-A70C-4DD5-A73B-2FC60777C2DE}</x14:id>
        </ext>
      </extLst>
    </cfRule>
  </conditionalFormatting>
  <conditionalFormatting sqref="AZ1455">
    <cfRule type="iconSet" priority="367">
      <iconSet iconSet="3Symbols">
        <cfvo type="percent" val="0"/>
        <cfvo type="num" val="0.75"/>
        <cfvo type="num" val="0.85"/>
      </iconSet>
    </cfRule>
    <cfRule type="dataBar" priority="3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{62E81FAE-9391-46D4-8961-168DB5B781AB}</x14:id>
        </ext>
      </extLst>
    </cfRule>
  </conditionalFormatting>
  <conditionalFormatting sqref="AZ1560">
    <cfRule type="iconSet" priority="349">
      <iconSet iconSet="3Symbols">
        <cfvo type="percent" val="0"/>
        <cfvo type="num" val="0.75"/>
        <cfvo type="num" val="0.85"/>
      </iconSet>
    </cfRule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{9F518928-92F3-496F-8F78-B1CC52693B7E}</x14:id>
        </ext>
      </extLst>
    </cfRule>
  </conditionalFormatting>
  <conditionalFormatting sqref="AZ1564:AZ1566 AZ1561">
    <cfRule type="iconSet" priority="351">
      <iconSet iconSet="3Symbols">
        <cfvo type="percent" val="0"/>
        <cfvo type="num" val="0.75"/>
        <cfvo type="num" val="0.85"/>
      </iconSet>
    </cfRule>
    <cfRule type="dataBar" priority="3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{43741E90-1492-4823-934C-83BDBD2C9943}</x14:id>
        </ext>
      </extLst>
    </cfRule>
  </conditionalFormatting>
  <conditionalFormatting sqref="AZ1567">
    <cfRule type="iconSet" priority="353">
      <iconSet iconSet="3Symbols">
        <cfvo type="percent" val="0"/>
        <cfvo type="num" val="0.75"/>
        <cfvo type="num" val="0.85"/>
      </iconSet>
    </cfRule>
    <cfRule type="dataBar" priority="3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{4816D9E2-4747-466F-A8CC-3B1E8CD126C6}</x14:id>
        </ext>
      </extLst>
    </cfRule>
  </conditionalFormatting>
  <conditionalFormatting sqref="AZ1562">
    <cfRule type="iconSet" priority="355">
      <iconSet iconSet="3Symbols">
        <cfvo type="percent" val="0"/>
        <cfvo type="num" val="0.75"/>
        <cfvo type="num" val="0.85"/>
      </iconSet>
    </cfRule>
    <cfRule type="dataBar" priority="3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{9EDF4692-69F1-470E-8DAF-6201937DC2A0}</x14:id>
        </ext>
      </extLst>
    </cfRule>
  </conditionalFormatting>
  <conditionalFormatting sqref="AZ1563">
    <cfRule type="iconSet" priority="357">
      <iconSet iconSet="3Symbols">
        <cfvo type="percent" val="0"/>
        <cfvo type="num" val="0.75"/>
        <cfvo type="num" val="0.85"/>
      </iconSet>
    </cfRule>
    <cfRule type="dataBar" priority="3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{C4DCA74C-FB45-4763-8C96-736C2ABF5A1D}</x14:id>
        </ext>
      </extLst>
    </cfRule>
  </conditionalFormatting>
  <conditionalFormatting sqref="AZ1551">
    <cfRule type="iconSet" priority="339">
      <iconSet iconSet="3Symbols">
        <cfvo type="percent" val="0"/>
        <cfvo type="num" val="0.75"/>
        <cfvo type="num" val="0.85"/>
      </iconSet>
    </cfRule>
    <cfRule type="dataBar" priority="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{232F15EA-8830-4733-A559-9D165AFDEADA}</x14:id>
        </ext>
      </extLst>
    </cfRule>
  </conditionalFormatting>
  <conditionalFormatting sqref="AZ1555:AZ1557 AZ1552">
    <cfRule type="iconSet" priority="341">
      <iconSet iconSet="3Symbols">
        <cfvo type="percent" val="0"/>
        <cfvo type="num" val="0.75"/>
        <cfvo type="num" val="0.85"/>
      </iconSet>
    </cfRule>
    <cfRule type="dataBar" priority="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{4C4D0782-77F3-40F3-9516-4672E5E22036}</x14:id>
        </ext>
      </extLst>
    </cfRule>
  </conditionalFormatting>
  <conditionalFormatting sqref="AZ1558">
    <cfRule type="iconSet" priority="343">
      <iconSet iconSet="3Symbols">
        <cfvo type="percent" val="0"/>
        <cfvo type="num" val="0.75"/>
        <cfvo type="num" val="0.85"/>
      </iconSet>
    </cfRule>
    <cfRule type="dataBar" priority="3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{EB02EECE-0544-46DE-A55B-7EFD771CBA27}</x14:id>
        </ext>
      </extLst>
    </cfRule>
  </conditionalFormatting>
  <conditionalFormatting sqref="AZ1553">
    <cfRule type="iconSet" priority="345">
      <iconSet iconSet="3Symbols">
        <cfvo type="percent" val="0"/>
        <cfvo type="num" val="0.75"/>
        <cfvo type="num" val="0.85"/>
      </iconSet>
    </cfRule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{F26E91ED-2948-4D7C-9E20-842D1EADFA56}</x14:id>
        </ext>
      </extLst>
    </cfRule>
  </conditionalFormatting>
  <conditionalFormatting sqref="AZ1554">
    <cfRule type="iconSet" priority="347">
      <iconSet iconSet="3Symbols">
        <cfvo type="percent" val="0"/>
        <cfvo type="num" val="0.75"/>
        <cfvo type="num" val="0.85"/>
      </iconSet>
    </cfRule>
    <cfRule type="dataBar" priority="3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{D72CB2BE-C741-40DC-A145-5C09518CCFA0}</x14:id>
        </ext>
      </extLst>
    </cfRule>
  </conditionalFormatting>
  <conditionalFormatting sqref="AZ1533 AZ1524">
    <cfRule type="iconSet" priority="329">
      <iconSet iconSet="3Symbols">
        <cfvo type="percent" val="0"/>
        <cfvo type="num" val="0.75"/>
        <cfvo type="num" val="0.85"/>
      </iconSet>
    </cfRule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{C4EBAB93-E30C-4BEC-84AF-8F8C2AA01F00}</x14:id>
        </ext>
      </extLst>
    </cfRule>
  </conditionalFormatting>
  <conditionalFormatting sqref="AZ1528:AZ1530 AZ1537:AZ1539 AZ1525 AZ1534">
    <cfRule type="iconSet" priority="331">
      <iconSet iconSet="3Symbols">
        <cfvo type="percent" val="0"/>
        <cfvo type="num" val="0.75"/>
        <cfvo type="num" val="0.85"/>
      </iconSet>
    </cfRule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{FD2A42A9-0076-4E7C-926A-F63C2BFA01CE}</x14:id>
        </ext>
      </extLst>
    </cfRule>
  </conditionalFormatting>
  <conditionalFormatting sqref="AZ1531 AZ1540">
    <cfRule type="iconSet" priority="333">
      <iconSet iconSet="3Symbols">
        <cfvo type="percent" val="0"/>
        <cfvo type="num" val="0.75"/>
        <cfvo type="num" val="0.85"/>
      </iconSet>
    </cfRule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{5A2BA240-AF90-4435-A9E7-A4F9BE4E9A53}</x14:id>
        </ext>
      </extLst>
    </cfRule>
  </conditionalFormatting>
  <conditionalFormatting sqref="AZ1535 AZ1526">
    <cfRule type="iconSet" priority="335">
      <iconSet iconSet="3Symbols">
        <cfvo type="percent" val="0"/>
        <cfvo type="num" val="0.75"/>
        <cfvo type="num" val="0.85"/>
      </iconSet>
    </cfRule>
    <cfRule type="dataBar" priority="3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{2376E2BB-37E2-4B31-AD2B-F1AE6EFE22EE}</x14:id>
        </ext>
      </extLst>
    </cfRule>
  </conditionalFormatting>
  <conditionalFormatting sqref="AZ1536 AZ1527">
    <cfRule type="iconSet" priority="337">
      <iconSet iconSet="3Symbols">
        <cfvo type="percent" val="0"/>
        <cfvo type="num" val="0.75"/>
        <cfvo type="num" val="0.85"/>
      </iconSet>
    </cfRule>
    <cfRule type="dataBar" priority="3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{7F89EE2F-12D9-46EA-B2DD-3DF305279B19}</x14:id>
        </ext>
      </extLst>
    </cfRule>
  </conditionalFormatting>
  <conditionalFormatting sqref="AZ1578">
    <cfRule type="iconSet" priority="319">
      <iconSet iconSet="3Symbols">
        <cfvo type="percent" val="0"/>
        <cfvo type="num" val="0.75"/>
        <cfvo type="num" val="0.85"/>
      </iconSet>
    </cfRule>
    <cfRule type="dataBar" priority="3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{E89D8BF9-0CA5-4629-8BA3-174B4549E712}</x14:id>
        </ext>
      </extLst>
    </cfRule>
  </conditionalFormatting>
  <conditionalFormatting sqref="AZ1582:AZ1584 AZ1579">
    <cfRule type="iconSet" priority="321">
      <iconSet iconSet="3Symbols">
        <cfvo type="percent" val="0"/>
        <cfvo type="num" val="0.75"/>
        <cfvo type="num" val="0.85"/>
      </iconSet>
    </cfRule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{2D24BA84-2CE6-427D-92B8-0C54EA98A804}</x14:id>
        </ext>
      </extLst>
    </cfRule>
  </conditionalFormatting>
  <conditionalFormatting sqref="AZ1585">
    <cfRule type="iconSet" priority="323">
      <iconSet iconSet="3Symbols">
        <cfvo type="percent" val="0"/>
        <cfvo type="num" val="0.75"/>
        <cfvo type="num" val="0.85"/>
      </iconSet>
    </cfRule>
    <cfRule type="dataBar" priority="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{2173FC5E-8691-4070-B16E-2CA2AE6BCF83}</x14:id>
        </ext>
      </extLst>
    </cfRule>
  </conditionalFormatting>
  <conditionalFormatting sqref="AZ1580">
    <cfRule type="iconSet" priority="325">
      <iconSet iconSet="3Symbols">
        <cfvo type="percent" val="0"/>
        <cfvo type="num" val="0.75"/>
        <cfvo type="num" val="0.85"/>
      </iconSet>
    </cfRule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{49FAB24F-002C-4D4D-A6DB-26805D131726}</x14:id>
        </ext>
      </extLst>
    </cfRule>
  </conditionalFormatting>
  <conditionalFormatting sqref="AZ1581">
    <cfRule type="iconSet" priority="327">
      <iconSet iconSet="3Symbols">
        <cfvo type="percent" val="0"/>
        <cfvo type="num" val="0.75"/>
        <cfvo type="num" val="0.85"/>
      </iconSet>
    </cfRule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{EBF5A650-3B58-4FC4-A3F0-32D1990AE96E}</x14:id>
        </ext>
      </extLst>
    </cfRule>
  </conditionalFormatting>
  <conditionalFormatting sqref="AZ1542">
    <cfRule type="iconSet" priority="309">
      <iconSet iconSet="3Symbols">
        <cfvo type="percent" val="0"/>
        <cfvo type="num" val="0.75"/>
        <cfvo type="num" val="0.85"/>
      </iconSet>
    </cfRule>
    <cfRule type="dataBar" priority="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{20E30048-888B-4807-8A47-17B28CE9D09E}</x14:id>
        </ext>
      </extLst>
    </cfRule>
  </conditionalFormatting>
  <conditionalFormatting sqref="AZ1546:AZ1548 AZ1543">
    <cfRule type="iconSet" priority="311">
      <iconSet iconSet="3Symbols">
        <cfvo type="percent" val="0"/>
        <cfvo type="num" val="0.75"/>
        <cfvo type="num" val="0.85"/>
      </iconSet>
    </cfRule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{A7C57EE9-D391-46F2-BFAD-ED0E162C24E2}</x14:id>
        </ext>
      </extLst>
    </cfRule>
  </conditionalFormatting>
  <conditionalFormatting sqref="AZ1549">
    <cfRule type="iconSet" priority="313">
      <iconSet iconSet="3Symbols">
        <cfvo type="percent" val="0"/>
        <cfvo type="num" val="0.75"/>
        <cfvo type="num" val="0.85"/>
      </iconSet>
    </cfRule>
    <cfRule type="dataBar" priority="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{7A2F4C99-ACA9-4263-8A36-B7B168BEA721}</x14:id>
        </ext>
      </extLst>
    </cfRule>
  </conditionalFormatting>
  <conditionalFormatting sqref="AZ1544">
    <cfRule type="iconSet" priority="315">
      <iconSet iconSet="3Symbols">
        <cfvo type="percent" val="0"/>
        <cfvo type="num" val="0.75"/>
        <cfvo type="num" val="0.85"/>
      </iconSet>
    </cfRule>
    <cfRule type="dataBar" priority="3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{C76160AA-0B44-42BE-8253-D473D4F25C80}</x14:id>
        </ext>
      </extLst>
    </cfRule>
  </conditionalFormatting>
  <conditionalFormatting sqref="AZ1545">
    <cfRule type="iconSet" priority="317">
      <iconSet iconSet="3Symbols">
        <cfvo type="percent" val="0"/>
        <cfvo type="num" val="0.75"/>
        <cfvo type="num" val="0.85"/>
      </iconSet>
    </cfRule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{A5513ED1-37E9-4070-8400-37F48DB75DD1}</x14:id>
        </ext>
      </extLst>
    </cfRule>
  </conditionalFormatting>
  <conditionalFormatting sqref="AZ1569">
    <cfRule type="iconSet" priority="299">
      <iconSet iconSet="3Symbols">
        <cfvo type="percent" val="0"/>
        <cfvo type="num" val="0.75"/>
        <cfvo type="num" val="0.85"/>
      </iconSet>
    </cfRule>
    <cfRule type="dataBar" priority="3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{2D10CB2F-1025-4270-966E-E5D1BCCA67BA}</x14:id>
        </ext>
      </extLst>
    </cfRule>
  </conditionalFormatting>
  <conditionalFormatting sqref="AZ1573:AZ1575 AZ1570">
    <cfRule type="iconSet" priority="301">
      <iconSet iconSet="3Symbols">
        <cfvo type="percent" val="0"/>
        <cfvo type="num" val="0.75"/>
        <cfvo type="num" val="0.85"/>
      </iconSet>
    </cfRule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{4E59AD29-F571-4836-8ADD-E827458CFF91}</x14:id>
        </ext>
      </extLst>
    </cfRule>
  </conditionalFormatting>
  <conditionalFormatting sqref="AZ1576">
    <cfRule type="iconSet" priority="303">
      <iconSet iconSet="3Symbols">
        <cfvo type="percent" val="0"/>
        <cfvo type="num" val="0.75"/>
        <cfvo type="num" val="0.85"/>
      </iconSet>
    </cfRule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{16E82610-226F-4C6B-A2A1-1E8E418B3399}</x14:id>
        </ext>
      </extLst>
    </cfRule>
  </conditionalFormatting>
  <conditionalFormatting sqref="AZ1571">
    <cfRule type="iconSet" priority="305">
      <iconSet iconSet="3Symbols">
        <cfvo type="percent" val="0"/>
        <cfvo type="num" val="0.75"/>
        <cfvo type="num" val="0.85"/>
      </iconSet>
    </cfRule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{E4D406EC-37E7-4D90-8BFE-C0A71972CF7C}</x14:id>
        </ext>
      </extLst>
    </cfRule>
  </conditionalFormatting>
  <conditionalFormatting sqref="AZ1572">
    <cfRule type="iconSet" priority="307">
      <iconSet iconSet="3Symbols">
        <cfvo type="percent" val="0"/>
        <cfvo type="num" val="0.75"/>
        <cfvo type="num" val="0.85"/>
      </iconSet>
    </cfRule>
    <cfRule type="dataBar" priority="3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{F66DE277-4671-4618-B72D-6F6301325B62}</x14:id>
        </ext>
      </extLst>
    </cfRule>
  </conditionalFormatting>
  <conditionalFormatting sqref="AZ1424">
    <cfRule type="iconSet" priority="297">
      <iconSet iconSet="3Symbols">
        <cfvo type="percent" val="0"/>
        <cfvo type="num" val="0.75"/>
        <cfvo type="num" val="0.85"/>
      </iconSet>
    </cfRule>
    <cfRule type="dataBar" priority="2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{88C7B02C-7E4D-4D74-9DF8-9B828D5B5F2F}</x14:id>
        </ext>
      </extLst>
    </cfRule>
  </conditionalFormatting>
  <conditionalFormatting sqref="AZ1425:AZ1428">
    <cfRule type="iconSet" priority="295">
      <iconSet iconSet="3Symbols">
        <cfvo type="percent" val="0"/>
        <cfvo type="num" val="0.75"/>
        <cfvo type="num" val="0.85"/>
      </iconSet>
    </cfRule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{3F8994C9-3A5D-46C5-8F37-0247A65AA468}</x14:id>
        </ext>
      </extLst>
    </cfRule>
  </conditionalFormatting>
  <conditionalFormatting sqref="AZ1429">
    <cfRule type="iconSet" priority="293">
      <iconSet iconSet="3Symbols">
        <cfvo type="percent" val="0"/>
        <cfvo type="num" val="0.75"/>
        <cfvo type="num" val="0.85"/>
      </iconSet>
    </cfRule>
    <cfRule type="dataBar" priority="2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{0EDE95D1-F3C8-45D2-9621-945D22503BEC}</x14:id>
        </ext>
      </extLst>
    </cfRule>
  </conditionalFormatting>
  <conditionalFormatting sqref="AZ1497">
    <cfRule type="iconSet" priority="283">
      <iconSet iconSet="3Symbols">
        <cfvo type="percent" val="0"/>
        <cfvo type="num" val="0.75"/>
        <cfvo type="num" val="0.85"/>
      </iconSet>
    </cfRule>
    <cfRule type="dataBar" priority="2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{66254959-A519-4161-AA69-669C5ADF2068}</x14:id>
        </ext>
      </extLst>
    </cfRule>
  </conditionalFormatting>
  <conditionalFormatting sqref="AZ1501:AZ1503 AZ1498">
    <cfRule type="iconSet" priority="285">
      <iconSet iconSet="3Symbols">
        <cfvo type="percent" val="0"/>
        <cfvo type="num" val="0.75"/>
        <cfvo type="num" val="0.85"/>
      </iconSet>
    </cfRule>
    <cfRule type="dataBar" priority="2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{1E1F81B7-61EF-4115-AF64-4CA503A07D96}</x14:id>
        </ext>
      </extLst>
    </cfRule>
  </conditionalFormatting>
  <conditionalFormatting sqref="AZ1504">
    <cfRule type="iconSet" priority="287">
      <iconSet iconSet="3Symbols">
        <cfvo type="percent" val="0"/>
        <cfvo type="num" val="0.75"/>
        <cfvo type="num" val="0.85"/>
      </iconSet>
    </cfRule>
    <cfRule type="dataBar" priority="2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{78C803C6-FD75-43C6-883D-8435BE8C571B}</x14:id>
        </ext>
      </extLst>
    </cfRule>
  </conditionalFormatting>
  <conditionalFormatting sqref="AZ1499">
    <cfRule type="iconSet" priority="289">
      <iconSet iconSet="3Symbols">
        <cfvo type="percent" val="0"/>
        <cfvo type="num" val="0.75"/>
        <cfvo type="num" val="0.85"/>
      </iconSet>
    </cfRule>
    <cfRule type="dataBar" priority="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{A73AE4D5-6345-41AD-88C1-0BD0684A373F}</x14:id>
        </ext>
      </extLst>
    </cfRule>
  </conditionalFormatting>
  <conditionalFormatting sqref="AZ1500">
    <cfRule type="iconSet" priority="291">
      <iconSet iconSet="3Symbols">
        <cfvo type="percent" val="0"/>
        <cfvo type="num" val="0.75"/>
        <cfvo type="num" val="0.85"/>
      </iconSet>
    </cfRule>
    <cfRule type="dataBar" priority="2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{273CF2CF-14F9-42AC-8EED-CB566E919432}</x14:id>
        </ext>
      </extLst>
    </cfRule>
  </conditionalFormatting>
  <conditionalFormatting sqref="AZ1431">
    <cfRule type="iconSet" priority="281">
      <iconSet iconSet="3Symbols">
        <cfvo type="percent" val="0"/>
        <cfvo type="num" val="0.75"/>
        <cfvo type="num" val="0.85"/>
      </iconSet>
    </cfRule>
    <cfRule type="dataBar" priority="2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{E231A931-F030-4474-9ADA-F21C7FD54B27}</x14:id>
        </ext>
      </extLst>
    </cfRule>
  </conditionalFormatting>
  <conditionalFormatting sqref="AZ1432:AZ1435">
    <cfRule type="iconSet" priority="279">
      <iconSet iconSet="3Symbols">
        <cfvo type="percent" val="0"/>
        <cfvo type="num" val="0.75"/>
        <cfvo type="num" val="0.85"/>
      </iconSet>
    </cfRule>
    <cfRule type="dataBar" priority="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{E58EAA34-ACF8-4C2C-93FE-02C7D08C0D7E}</x14:id>
        </ext>
      </extLst>
    </cfRule>
  </conditionalFormatting>
  <conditionalFormatting sqref="AZ1436">
    <cfRule type="iconSet" priority="277">
      <iconSet iconSet="3Symbols">
        <cfvo type="percent" val="0"/>
        <cfvo type="num" val="0.75"/>
        <cfvo type="num" val="0.85"/>
      </iconSet>
    </cfRule>
    <cfRule type="dataBar" priority="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{A9A26240-B753-4A1F-843C-A4A5C127414E}</x14:id>
        </ext>
      </extLst>
    </cfRule>
  </conditionalFormatting>
  <conditionalFormatting sqref="AZ1438">
    <cfRule type="iconSet" priority="275">
      <iconSet iconSet="3Symbols">
        <cfvo type="percent" val="0"/>
        <cfvo type="num" val="0.75"/>
        <cfvo type="num" val="0.85"/>
      </iconSet>
    </cfRule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{8C24B986-DFC0-4074-9C0F-D2D057A78952}</x14:id>
        </ext>
      </extLst>
    </cfRule>
  </conditionalFormatting>
  <conditionalFormatting sqref="AZ1439:AZ1442">
    <cfRule type="iconSet" priority="273">
      <iconSet iconSet="3Symbols">
        <cfvo type="percent" val="0"/>
        <cfvo type="num" val="0.75"/>
        <cfvo type="num" val="0.85"/>
      </iconSet>
    </cfRule>
    <cfRule type="dataBar" priority="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{8DC3E417-F4D1-4F0E-8505-0F18B481E193}</x14:id>
        </ext>
      </extLst>
    </cfRule>
  </conditionalFormatting>
  <conditionalFormatting sqref="AZ1443">
    <cfRule type="iconSet" priority="271">
      <iconSet iconSet="3Symbols">
        <cfvo type="percent" val="0"/>
        <cfvo type="num" val="0.75"/>
        <cfvo type="num" val="0.85"/>
      </iconSet>
    </cfRule>
    <cfRule type="dataBar" priority="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{CCAA327B-43E2-49CA-9410-A6FC9C5940A6}</x14:id>
        </ext>
      </extLst>
    </cfRule>
  </conditionalFormatting>
  <conditionalFormatting sqref="AZ1445">
    <cfRule type="iconSet" priority="269">
      <iconSet iconSet="3Symbols">
        <cfvo type="percent" val="0"/>
        <cfvo type="num" val="0.75"/>
        <cfvo type="num" val="0.85"/>
      </iconSet>
    </cfRule>
    <cfRule type="dataBar" priority="2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{D8310ECF-2150-4234-BAAB-C00A99F38F0A}</x14:id>
        </ext>
      </extLst>
    </cfRule>
  </conditionalFormatting>
  <conditionalFormatting sqref="AZ1446:AZ1449">
    <cfRule type="iconSet" priority="267">
      <iconSet iconSet="3Symbols">
        <cfvo type="percent" val="0"/>
        <cfvo type="num" val="0.75"/>
        <cfvo type="num" val="0.85"/>
      </iconSet>
    </cfRule>
    <cfRule type="dataBar" priority="2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{46BEE9C0-6D88-4823-AD65-B2AE85164300}</x14:id>
        </ext>
      </extLst>
    </cfRule>
  </conditionalFormatting>
  <conditionalFormatting sqref="AZ1450">
    <cfRule type="iconSet" priority="265">
      <iconSet iconSet="3Symbols">
        <cfvo type="percent" val="0"/>
        <cfvo type="num" val="0.75"/>
        <cfvo type="num" val="0.85"/>
      </iconSet>
    </cfRule>
    <cfRule type="dataBar" priority="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{5F6A551E-41CD-48DC-84D9-964722800D9C}</x14:id>
        </ext>
      </extLst>
    </cfRule>
  </conditionalFormatting>
  <conditionalFormatting sqref="AZ1682 AZ1637 AZ1646 AZ1655 AZ1691">
    <cfRule type="iconSet" priority="255">
      <iconSet iconSet="3Symbols">
        <cfvo type="percent" val="0"/>
        <cfvo type="num" val="0.75"/>
        <cfvo type="num" val="0.85"/>
      </iconSet>
    </cfRule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{974BCFA1-D5FC-4974-A8AF-F9A4BAC7F45A}</x14:id>
        </ext>
      </extLst>
    </cfRule>
  </conditionalFormatting>
  <conditionalFormatting sqref="AZ1686:AZ1688 AZ1641:AZ1643 AZ1650:AZ1652 AZ1659:AZ1661 AZ1695:AZ1697 AZ1638 AZ1647 AZ1656 AZ1683 AZ1692">
    <cfRule type="iconSet" priority="257">
      <iconSet iconSet="3Symbols">
        <cfvo type="percent" val="0"/>
        <cfvo type="num" val="0.75"/>
        <cfvo type="num" val="0.85"/>
      </iconSet>
    </cfRule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{E3247ED7-20DF-40FC-9473-7925F2D20EE8}</x14:id>
        </ext>
      </extLst>
    </cfRule>
  </conditionalFormatting>
  <conditionalFormatting sqref="AZ1689 AZ1644 AZ1653 AZ1662 AZ1698">
    <cfRule type="iconSet" priority="259">
      <iconSet iconSet="3Symbols">
        <cfvo type="percent" val="0"/>
        <cfvo type="num" val="0.75"/>
        <cfvo type="num" val="0.85"/>
      </iconSet>
    </cfRule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{29E6F6D5-2830-44BF-B184-717416CBF2D1}</x14:id>
        </ext>
      </extLst>
    </cfRule>
  </conditionalFormatting>
  <conditionalFormatting sqref="AZ1684 AZ1639 AZ1648 AZ1657 AZ1693">
    <cfRule type="iconSet" priority="261">
      <iconSet iconSet="3Symbols">
        <cfvo type="percent" val="0"/>
        <cfvo type="num" val="0.75"/>
        <cfvo type="num" val="0.85"/>
      </iconSet>
    </cfRule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{3D2B3465-F9E6-4779-A0CE-5BC7B437778B}</x14:id>
        </ext>
      </extLst>
    </cfRule>
  </conditionalFormatting>
  <conditionalFormatting sqref="AZ1685 AZ1640 AZ1649 AZ1658 AZ1694">
    <cfRule type="iconSet" priority="263">
      <iconSet iconSet="3Symbols">
        <cfvo type="percent" val="0"/>
        <cfvo type="num" val="0.75"/>
        <cfvo type="num" val="0.85"/>
      </iconSet>
    </cfRule>
    <cfRule type="dataBar" priority="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{0D053BCB-CE17-46C1-9193-37C93C0D5255}</x14:id>
        </ext>
      </extLst>
    </cfRule>
  </conditionalFormatting>
  <conditionalFormatting sqref="AZ1664">
    <cfRule type="iconSet" priority="245">
      <iconSet iconSet="3Symbols">
        <cfvo type="percent" val="0"/>
        <cfvo type="num" val="0.75"/>
        <cfvo type="num" val="0.85"/>
      </iconSet>
    </cfRule>
    <cfRule type="dataBar" priority="2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{D52A1AC5-081A-4C56-9C74-DE226E76FBFB}</x14:id>
        </ext>
      </extLst>
    </cfRule>
  </conditionalFormatting>
  <conditionalFormatting sqref="AZ1668:AZ1670 AZ1665">
    <cfRule type="iconSet" priority="247">
      <iconSet iconSet="3Symbols">
        <cfvo type="percent" val="0"/>
        <cfvo type="num" val="0.75"/>
        <cfvo type="num" val="0.85"/>
      </iconSet>
    </cfRule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{9B6931B7-CE26-42C6-BA19-90978B9B76E5}</x14:id>
        </ext>
      </extLst>
    </cfRule>
  </conditionalFormatting>
  <conditionalFormatting sqref="AZ1671">
    <cfRule type="iconSet" priority="249">
      <iconSet iconSet="3Symbols">
        <cfvo type="percent" val="0"/>
        <cfvo type="num" val="0.75"/>
        <cfvo type="num" val="0.85"/>
      </iconSet>
    </cfRule>
    <cfRule type="dataBar" priority="2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{D39F777D-ED83-4FB4-A3A9-7860C875951C}</x14:id>
        </ext>
      </extLst>
    </cfRule>
  </conditionalFormatting>
  <conditionalFormatting sqref="AZ1666">
    <cfRule type="iconSet" priority="251">
      <iconSet iconSet="3Symbols">
        <cfvo type="percent" val="0"/>
        <cfvo type="num" val="0.75"/>
        <cfvo type="num" val="0.85"/>
      </iconSet>
    </cfRule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{DE677E2A-44BE-497B-8D93-FA9785C0E481}</x14:id>
        </ext>
      </extLst>
    </cfRule>
  </conditionalFormatting>
  <conditionalFormatting sqref="AZ1667">
    <cfRule type="iconSet" priority="253">
      <iconSet iconSet="3Symbols">
        <cfvo type="percent" val="0"/>
        <cfvo type="num" val="0.75"/>
        <cfvo type="num" val="0.85"/>
      </iconSet>
    </cfRule>
    <cfRule type="dataBar" priority="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{29619F79-9761-4C82-9E78-482D344D32F0}</x14:id>
        </ext>
      </extLst>
    </cfRule>
  </conditionalFormatting>
  <conditionalFormatting sqref="AZ1593">
    <cfRule type="iconSet" priority="243">
      <iconSet iconSet="3Symbols">
        <cfvo type="percent" val="0"/>
        <cfvo type="num" val="0.75"/>
        <cfvo type="num" val="0.85"/>
      </iconSet>
    </cfRule>
    <cfRule type="dataBar" priority="2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{34611B3C-617E-408B-AA9F-C8FF8E53429D}</x14:id>
        </ext>
      </extLst>
    </cfRule>
  </conditionalFormatting>
  <conditionalFormatting sqref="AZ1594:AZ1597">
    <cfRule type="iconSet" priority="241">
      <iconSet iconSet="3Symbols">
        <cfvo type="percent" val="0"/>
        <cfvo type="num" val="0.75"/>
        <cfvo type="num" val="0.85"/>
      </iconSet>
    </cfRule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{01329E7A-24FA-420B-AC20-D2309AC01215}</x14:id>
        </ext>
      </extLst>
    </cfRule>
  </conditionalFormatting>
  <conditionalFormatting sqref="AZ1598">
    <cfRule type="iconSet" priority="239">
      <iconSet iconSet="3Symbols">
        <cfvo type="percent" val="0"/>
        <cfvo type="num" val="0.75"/>
        <cfvo type="num" val="0.85"/>
      </iconSet>
    </cfRule>
    <cfRule type="dataBar" priority="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{BFFC5386-5D83-429D-8CD0-3B261E48DD75}</x14:id>
        </ext>
      </extLst>
    </cfRule>
  </conditionalFormatting>
  <conditionalFormatting sqref="AZ1629">
    <cfRule type="iconSet" priority="237">
      <iconSet iconSet="3Symbols">
        <cfvo type="percent" val="0"/>
        <cfvo type="num" val="0.75"/>
        <cfvo type="num" val="0.85"/>
      </iconSet>
    </cfRule>
    <cfRule type="dataBar" priority="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{F7593F70-9831-47A2-BF0D-B2A882D31938}</x14:id>
        </ext>
      </extLst>
    </cfRule>
  </conditionalFormatting>
  <conditionalFormatting sqref="AZ1628">
    <cfRule type="iconSet" priority="227">
      <iconSet iconSet="3Symbols">
        <cfvo type="percent" val="0"/>
        <cfvo type="num" val="0.75"/>
        <cfvo type="num" val="0.85"/>
      </iconSet>
    </cfRule>
    <cfRule type="dataBar" priority="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{B8A6E273-374F-4EDD-AD36-30AF8E1707D1}</x14:id>
        </ext>
      </extLst>
    </cfRule>
  </conditionalFormatting>
  <conditionalFormatting sqref="AZ1632:AZ1634">
    <cfRule type="iconSet" priority="229">
      <iconSet iconSet="3Symbols">
        <cfvo type="percent" val="0"/>
        <cfvo type="num" val="0.75"/>
        <cfvo type="num" val="0.85"/>
      </iconSet>
    </cfRule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{2E9AE424-04F2-4608-B29A-9E78B0C35C4C}</x14:id>
        </ext>
      </extLst>
    </cfRule>
  </conditionalFormatting>
  <conditionalFormatting sqref="AZ1635">
    <cfRule type="iconSet" priority="231">
      <iconSet iconSet="3Symbols">
        <cfvo type="percent" val="0"/>
        <cfvo type="num" val="0.75"/>
        <cfvo type="num" val="0.85"/>
      </iconSet>
    </cfRule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{55053978-561F-4EEB-B79D-900B4045A711}</x14:id>
        </ext>
      </extLst>
    </cfRule>
  </conditionalFormatting>
  <conditionalFormatting sqref="AZ1630">
    <cfRule type="iconSet" priority="233">
      <iconSet iconSet="3Symbols">
        <cfvo type="percent" val="0"/>
        <cfvo type="num" val="0.75"/>
        <cfvo type="num" val="0.85"/>
      </iconSet>
    </cfRule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{4314481B-FED4-41B8-B17B-5670369B0A62}</x14:id>
        </ext>
      </extLst>
    </cfRule>
  </conditionalFormatting>
  <conditionalFormatting sqref="AZ1631">
    <cfRule type="iconSet" priority="235">
      <iconSet iconSet="3Symbols">
        <cfvo type="percent" val="0"/>
        <cfvo type="num" val="0.75"/>
        <cfvo type="num" val="0.85"/>
      </iconSet>
    </cfRule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{DA400956-C0FE-4196-A409-BA6DF18E09C4}</x14:id>
        </ext>
      </extLst>
    </cfRule>
  </conditionalFormatting>
  <conditionalFormatting sqref="AZ1736">
    <cfRule type="iconSet" priority="217">
      <iconSet iconSet="3Symbols">
        <cfvo type="percent" val="0"/>
        <cfvo type="num" val="0.75"/>
        <cfvo type="num" val="0.85"/>
      </iconSet>
    </cfRule>
    <cfRule type="dataBar" priority="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{457895EF-0951-4FCA-9587-4A1D1646C751}</x14:id>
        </ext>
      </extLst>
    </cfRule>
  </conditionalFormatting>
  <conditionalFormatting sqref="AZ1740:AZ1742 AZ1737">
    <cfRule type="iconSet" priority="219">
      <iconSet iconSet="3Symbols">
        <cfvo type="percent" val="0"/>
        <cfvo type="num" val="0.75"/>
        <cfvo type="num" val="0.85"/>
      </iconSet>
    </cfRule>
    <cfRule type="dataBar" priority="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{85D45782-3432-4FA5-A864-E2B6E480DF42}</x14:id>
        </ext>
      </extLst>
    </cfRule>
  </conditionalFormatting>
  <conditionalFormatting sqref="AZ1743">
    <cfRule type="iconSet" priority="221">
      <iconSet iconSet="3Symbols">
        <cfvo type="percent" val="0"/>
        <cfvo type="num" val="0.75"/>
        <cfvo type="num" val="0.85"/>
      </iconSet>
    </cfRule>
    <cfRule type="dataBar" priority="2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{9D355E44-5026-495E-A0BD-1E82D8DB51CA}</x14:id>
        </ext>
      </extLst>
    </cfRule>
  </conditionalFormatting>
  <conditionalFormatting sqref="AZ1738">
    <cfRule type="iconSet" priority="223">
      <iconSet iconSet="3Symbols">
        <cfvo type="percent" val="0"/>
        <cfvo type="num" val="0.75"/>
        <cfvo type="num" val="0.85"/>
      </iconSet>
    </cfRule>
    <cfRule type="dataBar" priority="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{A4F6C040-FA55-4354-8181-0F290A13F67C}</x14:id>
        </ext>
      </extLst>
    </cfRule>
  </conditionalFormatting>
  <conditionalFormatting sqref="AZ1739">
    <cfRule type="iconSet" priority="225">
      <iconSet iconSet="3Symbols">
        <cfvo type="percent" val="0"/>
        <cfvo type="num" val="0.75"/>
        <cfvo type="num" val="0.85"/>
      </iconSet>
    </cfRule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{6C2D0206-1F40-4625-A35D-AD2550A324AD}</x14:id>
        </ext>
      </extLst>
    </cfRule>
  </conditionalFormatting>
  <conditionalFormatting sqref="AZ1727">
    <cfRule type="iconSet" priority="207">
      <iconSet iconSet="3Symbols">
        <cfvo type="percent" val="0"/>
        <cfvo type="num" val="0.75"/>
        <cfvo type="num" val="0.85"/>
      </iconSet>
    </cfRule>
    <cfRule type="dataBar" priority="2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{CAD53BDE-A034-4A03-A4E0-18EC86FF7AC2}</x14:id>
        </ext>
      </extLst>
    </cfRule>
  </conditionalFormatting>
  <conditionalFormatting sqref="AZ1731:AZ1733 AZ1728">
    <cfRule type="iconSet" priority="209">
      <iconSet iconSet="3Symbols">
        <cfvo type="percent" val="0"/>
        <cfvo type="num" val="0.75"/>
        <cfvo type="num" val="0.85"/>
      </iconSet>
    </cfRule>
    <cfRule type="dataBar" priority="2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{1D4949C8-CCF3-482A-B058-FB5EE6CCA17C}</x14:id>
        </ext>
      </extLst>
    </cfRule>
  </conditionalFormatting>
  <conditionalFormatting sqref="AZ1734">
    <cfRule type="iconSet" priority="211">
      <iconSet iconSet="3Symbols">
        <cfvo type="percent" val="0"/>
        <cfvo type="num" val="0.75"/>
        <cfvo type="num" val="0.85"/>
      </iconSet>
    </cfRule>
    <cfRule type="dataBar" priority="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{0EF11B76-EAA2-4589-9199-B1B53D62D737}</x14:id>
        </ext>
      </extLst>
    </cfRule>
  </conditionalFormatting>
  <conditionalFormatting sqref="AZ1729">
    <cfRule type="iconSet" priority="213">
      <iconSet iconSet="3Symbols">
        <cfvo type="percent" val="0"/>
        <cfvo type="num" val="0.75"/>
        <cfvo type="num" val="0.85"/>
      </iconSet>
    </cfRule>
    <cfRule type="dataBar" priority="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{2C4B6C54-2124-47E1-A4BC-01BC14BC315D}</x14:id>
        </ext>
      </extLst>
    </cfRule>
  </conditionalFormatting>
  <conditionalFormatting sqref="AZ1730">
    <cfRule type="iconSet" priority="215">
      <iconSet iconSet="3Symbols">
        <cfvo type="percent" val="0"/>
        <cfvo type="num" val="0.75"/>
        <cfvo type="num" val="0.85"/>
      </iconSet>
    </cfRule>
    <cfRule type="dataBar" priority="2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{5A98FDC7-DBA4-48E5-A9A5-250ECBE31826}</x14:id>
        </ext>
      </extLst>
    </cfRule>
  </conditionalFormatting>
  <conditionalFormatting sqref="AZ1709 AZ1700">
    <cfRule type="iconSet" priority="197">
      <iconSet iconSet="3Symbols">
        <cfvo type="percent" val="0"/>
        <cfvo type="num" val="0.75"/>
        <cfvo type="num" val="0.85"/>
      </iconSet>
    </cfRule>
    <cfRule type="dataBar" priority="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{F5B32EEA-EE80-49A6-B154-EB74FFBBFB7C}</x14:id>
        </ext>
      </extLst>
    </cfRule>
  </conditionalFormatting>
  <conditionalFormatting sqref="AZ1704:AZ1706 AZ1713:AZ1715 AZ1701 AZ1710">
    <cfRule type="iconSet" priority="199">
      <iconSet iconSet="3Symbols">
        <cfvo type="percent" val="0"/>
        <cfvo type="num" val="0.75"/>
        <cfvo type="num" val="0.85"/>
      </iconSet>
    </cfRule>
    <cfRule type="dataBar" priority="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{DEE4F9CE-F9D6-48A4-8585-3A12C2F7E28E}</x14:id>
        </ext>
      </extLst>
    </cfRule>
  </conditionalFormatting>
  <conditionalFormatting sqref="AZ1707 AZ1716">
    <cfRule type="iconSet" priority="201">
      <iconSet iconSet="3Symbols">
        <cfvo type="percent" val="0"/>
        <cfvo type="num" val="0.75"/>
        <cfvo type="num" val="0.85"/>
      </iconSet>
    </cfRule>
    <cfRule type="dataBar" priority="2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{7F1141AC-3CE4-4A99-808C-F1664BDCDBAC}</x14:id>
        </ext>
      </extLst>
    </cfRule>
  </conditionalFormatting>
  <conditionalFormatting sqref="AZ1711 AZ1702">
    <cfRule type="iconSet" priority="203">
      <iconSet iconSet="3Symbols">
        <cfvo type="percent" val="0"/>
        <cfvo type="num" val="0.75"/>
        <cfvo type="num" val="0.85"/>
      </iconSet>
    </cfRule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{F42A3E30-F115-4D83-A310-707A8EF20AE8}</x14:id>
        </ext>
      </extLst>
    </cfRule>
  </conditionalFormatting>
  <conditionalFormatting sqref="AZ1712 AZ1703">
    <cfRule type="iconSet" priority="205">
      <iconSet iconSet="3Symbols">
        <cfvo type="percent" val="0"/>
        <cfvo type="num" val="0.75"/>
        <cfvo type="num" val="0.85"/>
      </iconSet>
    </cfRule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{344C8258-68B7-4DCE-AF48-907CE661CDCA}</x14:id>
        </ext>
      </extLst>
    </cfRule>
  </conditionalFormatting>
  <conditionalFormatting sqref="AZ1754">
    <cfRule type="iconSet" priority="187">
      <iconSet iconSet="3Symbols">
        <cfvo type="percent" val="0"/>
        <cfvo type="num" val="0.75"/>
        <cfvo type="num" val="0.85"/>
      </iconSet>
    </cfRule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{17DF0A6D-1DE4-4D45-88D0-AF12B0309CC3}</x14:id>
        </ext>
      </extLst>
    </cfRule>
  </conditionalFormatting>
  <conditionalFormatting sqref="AZ1758:AZ1760 AZ1755">
    <cfRule type="iconSet" priority="189">
      <iconSet iconSet="3Symbols">
        <cfvo type="percent" val="0"/>
        <cfvo type="num" val="0.75"/>
        <cfvo type="num" val="0.85"/>
      </iconSet>
    </cfRule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{E04C3454-8011-44CF-A8D9-100966501ADE}</x14:id>
        </ext>
      </extLst>
    </cfRule>
  </conditionalFormatting>
  <conditionalFormatting sqref="AZ1761">
    <cfRule type="iconSet" priority="191">
      <iconSet iconSet="3Symbols">
        <cfvo type="percent" val="0"/>
        <cfvo type="num" val="0.75"/>
        <cfvo type="num" val="0.85"/>
      </iconSet>
    </cfRule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{4FECD70F-7C7A-4FA2-8F1A-8D9DFF0AAC96}</x14:id>
        </ext>
      </extLst>
    </cfRule>
  </conditionalFormatting>
  <conditionalFormatting sqref="AZ1756">
    <cfRule type="iconSet" priority="193">
      <iconSet iconSet="3Symbols">
        <cfvo type="percent" val="0"/>
        <cfvo type="num" val="0.75"/>
        <cfvo type="num" val="0.85"/>
      </iconSet>
    </cfRule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{3FE6AA21-A66B-45EB-B5F8-611428EFDCDC}</x14:id>
        </ext>
      </extLst>
    </cfRule>
  </conditionalFormatting>
  <conditionalFormatting sqref="AZ1757">
    <cfRule type="iconSet" priority="195">
      <iconSet iconSet="3Symbols">
        <cfvo type="percent" val="0"/>
        <cfvo type="num" val="0.75"/>
        <cfvo type="num" val="0.85"/>
      </iconSet>
    </cfRule>
    <cfRule type="dataBar" priority="1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{2DF264F3-AA9D-403F-BE84-E3C9B3892AF7}</x14:id>
        </ext>
      </extLst>
    </cfRule>
  </conditionalFormatting>
  <conditionalFormatting sqref="AZ1718">
    <cfRule type="iconSet" priority="177">
      <iconSet iconSet="3Symbols">
        <cfvo type="percent" val="0"/>
        <cfvo type="num" val="0.75"/>
        <cfvo type="num" val="0.85"/>
      </iconSet>
    </cfRule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{0C963F36-7B3F-4493-9A34-7144F3110D8C}</x14:id>
        </ext>
      </extLst>
    </cfRule>
  </conditionalFormatting>
  <conditionalFormatting sqref="AZ1722:AZ1724 AZ1719">
    <cfRule type="iconSet" priority="179">
      <iconSet iconSet="3Symbols">
        <cfvo type="percent" val="0"/>
        <cfvo type="num" val="0.75"/>
        <cfvo type="num" val="0.85"/>
      </iconSet>
    </cfRule>
    <cfRule type="dataBar" priority="1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{1D82F1B0-F59A-4699-8042-F0D07889140D}</x14:id>
        </ext>
      </extLst>
    </cfRule>
  </conditionalFormatting>
  <conditionalFormatting sqref="AZ1725">
    <cfRule type="iconSet" priority="181">
      <iconSet iconSet="3Symbols">
        <cfvo type="percent" val="0"/>
        <cfvo type="num" val="0.75"/>
        <cfvo type="num" val="0.85"/>
      </iconSet>
    </cfRule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{546A7611-7704-4057-A548-4099128FD897}</x14:id>
        </ext>
      </extLst>
    </cfRule>
  </conditionalFormatting>
  <conditionalFormatting sqref="AZ1720">
    <cfRule type="iconSet" priority="183">
      <iconSet iconSet="3Symbols">
        <cfvo type="percent" val="0"/>
        <cfvo type="num" val="0.75"/>
        <cfvo type="num" val="0.85"/>
      </iconSet>
    </cfRule>
    <cfRule type="dataBar" priority="1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{B0AE3CE8-46D1-4206-9A37-1D7EC7F068EC}</x14:id>
        </ext>
      </extLst>
    </cfRule>
  </conditionalFormatting>
  <conditionalFormatting sqref="AZ1721">
    <cfRule type="iconSet" priority="185">
      <iconSet iconSet="3Symbols">
        <cfvo type="percent" val="0"/>
        <cfvo type="num" val="0.75"/>
        <cfvo type="num" val="0.85"/>
      </iconSet>
    </cfRule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{6D125733-618F-4BDB-8671-3E6C1228EFBF}</x14:id>
        </ext>
      </extLst>
    </cfRule>
  </conditionalFormatting>
  <conditionalFormatting sqref="AZ1745">
    <cfRule type="iconSet" priority="167">
      <iconSet iconSet="3Symbols">
        <cfvo type="percent" val="0"/>
        <cfvo type="num" val="0.75"/>
        <cfvo type="num" val="0.85"/>
      </iconSet>
    </cfRule>
    <cfRule type="dataBar" priority="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{3E9E326E-FDEF-4197-AA4F-EC3DEC8AC71E}</x14:id>
        </ext>
      </extLst>
    </cfRule>
  </conditionalFormatting>
  <conditionalFormatting sqref="AZ1749:AZ1751 AZ1746">
    <cfRule type="iconSet" priority="169">
      <iconSet iconSet="3Symbols">
        <cfvo type="percent" val="0"/>
        <cfvo type="num" val="0.75"/>
        <cfvo type="num" val="0.85"/>
      </iconSet>
    </cfRule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{CF26341B-1D29-45B0-A1FE-5D4D4385DF79}</x14:id>
        </ext>
      </extLst>
    </cfRule>
  </conditionalFormatting>
  <conditionalFormatting sqref="AZ1752">
    <cfRule type="iconSet" priority="171">
      <iconSet iconSet="3Symbols">
        <cfvo type="percent" val="0"/>
        <cfvo type="num" val="0.75"/>
        <cfvo type="num" val="0.85"/>
      </iconSet>
    </cfRule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{F4BC344E-FC4B-4EFA-9F54-1310E84A391F}</x14:id>
        </ext>
      </extLst>
    </cfRule>
  </conditionalFormatting>
  <conditionalFormatting sqref="AZ1747">
    <cfRule type="iconSet" priority="173">
      <iconSet iconSet="3Symbols">
        <cfvo type="percent" val="0"/>
        <cfvo type="num" val="0.75"/>
        <cfvo type="num" val="0.85"/>
      </iconSet>
    </cfRule>
    <cfRule type="dataBar" priority="1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{26457C01-CEE6-4596-A66D-F2400DB49C5D}</x14:id>
        </ext>
      </extLst>
    </cfRule>
  </conditionalFormatting>
  <conditionalFormatting sqref="AZ1748">
    <cfRule type="iconSet" priority="175">
      <iconSet iconSet="3Symbols">
        <cfvo type="percent" val="0"/>
        <cfvo type="num" val="0.75"/>
        <cfvo type="num" val="0.85"/>
      </iconSet>
    </cfRule>
    <cfRule type="dataBar" priority="1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{16CD1CA7-5E92-4100-A9A7-CDAF7E495E9E}</x14:id>
        </ext>
      </extLst>
    </cfRule>
  </conditionalFormatting>
  <conditionalFormatting sqref="AZ1600">
    <cfRule type="iconSet" priority="165">
      <iconSet iconSet="3Symbols">
        <cfvo type="percent" val="0"/>
        <cfvo type="num" val="0.75"/>
        <cfvo type="num" val="0.85"/>
      </iconSet>
    </cfRule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{D90909E7-9AE9-484C-8C2B-77CCBC77AE0B}</x14:id>
        </ext>
      </extLst>
    </cfRule>
  </conditionalFormatting>
  <conditionalFormatting sqref="AZ1601:AZ1604">
    <cfRule type="iconSet" priority="163">
      <iconSet iconSet="3Symbols">
        <cfvo type="percent" val="0"/>
        <cfvo type="num" val="0.75"/>
        <cfvo type="num" val="0.85"/>
      </iconSet>
    </cfRule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{3EC1E56C-3E14-4987-80B4-70C19FFD8A09}</x14:id>
        </ext>
      </extLst>
    </cfRule>
  </conditionalFormatting>
  <conditionalFormatting sqref="AZ1605">
    <cfRule type="iconSet" priority="161">
      <iconSet iconSet="3Symbols">
        <cfvo type="percent" val="0"/>
        <cfvo type="num" val="0.75"/>
        <cfvo type="num" val="0.85"/>
      </iconSet>
    </cfRule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{8EB0D69B-A4FF-4BF3-A4E0-83A226121BCB}</x14:id>
        </ext>
      </extLst>
    </cfRule>
  </conditionalFormatting>
  <conditionalFormatting sqref="AZ1673">
    <cfRule type="iconSet" priority="151">
      <iconSet iconSet="3Symbols">
        <cfvo type="percent" val="0"/>
        <cfvo type="num" val="0.75"/>
        <cfvo type="num" val="0.85"/>
      </iconSet>
    </cfRule>
    <cfRule type="dataBar" priority="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{2F4F5712-E55F-488C-970B-DEDECB448986}</x14:id>
        </ext>
      </extLst>
    </cfRule>
  </conditionalFormatting>
  <conditionalFormatting sqref="AZ1677:AZ1679 AZ1674">
    <cfRule type="iconSet" priority="153">
      <iconSet iconSet="3Symbols">
        <cfvo type="percent" val="0"/>
        <cfvo type="num" val="0.75"/>
        <cfvo type="num" val="0.85"/>
      </iconSet>
    </cfRule>
    <cfRule type="dataBar" priority="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{81F17AA5-171B-4E0E-A1B5-B49224B51EB7}</x14:id>
        </ext>
      </extLst>
    </cfRule>
  </conditionalFormatting>
  <conditionalFormatting sqref="AZ1680">
    <cfRule type="iconSet" priority="155">
      <iconSet iconSet="3Symbols">
        <cfvo type="percent" val="0"/>
        <cfvo type="num" val="0.75"/>
        <cfvo type="num" val="0.85"/>
      </iconSet>
    </cfRule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{69BED797-C488-416F-AEF0-06762E740EC4}</x14:id>
        </ext>
      </extLst>
    </cfRule>
  </conditionalFormatting>
  <conditionalFormatting sqref="AZ1675">
    <cfRule type="iconSet" priority="157">
      <iconSet iconSet="3Symbols">
        <cfvo type="percent" val="0"/>
        <cfvo type="num" val="0.75"/>
        <cfvo type="num" val="0.85"/>
      </iconSet>
    </cfRule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{5B83B82E-3010-4B67-B9B8-A7B788E72406}</x14:id>
        </ext>
      </extLst>
    </cfRule>
  </conditionalFormatting>
  <conditionalFormatting sqref="AZ1676">
    <cfRule type="iconSet" priority="159">
      <iconSet iconSet="3Symbols">
        <cfvo type="percent" val="0"/>
        <cfvo type="num" val="0.75"/>
        <cfvo type="num" val="0.85"/>
      </iconSet>
    </cfRule>
    <cfRule type="dataBar" priority="1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{01E11D7A-A381-4A40-A5FE-10D43E4A6E1D}</x14:id>
        </ext>
      </extLst>
    </cfRule>
  </conditionalFormatting>
  <conditionalFormatting sqref="AZ1607">
    <cfRule type="iconSet" priority="149">
      <iconSet iconSet="3Symbols">
        <cfvo type="percent" val="0"/>
        <cfvo type="num" val="0.75"/>
        <cfvo type="num" val="0.85"/>
      </iconSet>
    </cfRule>
    <cfRule type="dataBar" priority="1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{EC66B96A-6C7A-4184-AC5D-3D3BD00DFE2A}</x14:id>
        </ext>
      </extLst>
    </cfRule>
  </conditionalFormatting>
  <conditionalFormatting sqref="AZ1608:AZ1611">
    <cfRule type="iconSet" priority="147">
      <iconSet iconSet="3Symbols">
        <cfvo type="percent" val="0"/>
        <cfvo type="num" val="0.75"/>
        <cfvo type="num" val="0.85"/>
      </iconSet>
    </cfRule>
    <cfRule type="dataBar" priority="1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{2F32BC2E-37B2-46F1-ABF0-3E4034885157}</x14:id>
        </ext>
      </extLst>
    </cfRule>
  </conditionalFormatting>
  <conditionalFormatting sqref="AZ1612">
    <cfRule type="iconSet" priority="145">
      <iconSet iconSet="3Symbols">
        <cfvo type="percent" val="0"/>
        <cfvo type="num" val="0.75"/>
        <cfvo type="num" val="0.85"/>
      </iconSet>
    </cfRule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{EDE20AC6-F8CB-4F7C-AB4B-F8CBB0A4FA98}</x14:id>
        </ext>
      </extLst>
    </cfRule>
  </conditionalFormatting>
  <conditionalFormatting sqref="AZ1614">
    <cfRule type="iconSet" priority="143">
      <iconSet iconSet="3Symbols">
        <cfvo type="percent" val="0"/>
        <cfvo type="num" val="0.75"/>
        <cfvo type="num" val="0.85"/>
      </iconSet>
    </cfRule>
    <cfRule type="dataBar" priority="1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{3C700726-9B3A-479E-BAF6-30B79C6FB79A}</x14:id>
        </ext>
      </extLst>
    </cfRule>
  </conditionalFormatting>
  <conditionalFormatting sqref="AZ1615:AZ1618">
    <cfRule type="iconSet" priority="141">
      <iconSet iconSet="3Symbols">
        <cfvo type="percent" val="0"/>
        <cfvo type="num" val="0.75"/>
        <cfvo type="num" val="0.85"/>
      </iconSet>
    </cfRule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{D60E58EA-F01C-4D1F-AAC8-F38C8D771DD5}</x14:id>
        </ext>
      </extLst>
    </cfRule>
  </conditionalFormatting>
  <conditionalFormatting sqref="AZ1619">
    <cfRule type="iconSet" priority="139">
      <iconSet iconSet="3Symbols">
        <cfvo type="percent" val="0"/>
        <cfvo type="num" val="0.75"/>
        <cfvo type="num" val="0.85"/>
      </iconSet>
    </cfRule>
    <cfRule type="dataBar" priority="1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{E66D9CEC-CB46-40E4-9897-94D679777163}</x14:id>
        </ext>
      </extLst>
    </cfRule>
  </conditionalFormatting>
  <conditionalFormatting sqref="AZ1621">
    <cfRule type="iconSet" priority="137">
      <iconSet iconSet="3Symbols">
        <cfvo type="percent" val="0"/>
        <cfvo type="num" val="0.75"/>
        <cfvo type="num" val="0.85"/>
      </iconSet>
    </cfRule>
    <cfRule type="dataBar" priority="1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{82161252-24BA-47A3-A7D8-CCDB37E2CE3F}</x14:id>
        </ext>
      </extLst>
    </cfRule>
  </conditionalFormatting>
  <conditionalFormatting sqref="AZ1622:AZ1625">
    <cfRule type="iconSet" priority="135">
      <iconSet iconSet="3Symbols">
        <cfvo type="percent" val="0"/>
        <cfvo type="num" val="0.75"/>
        <cfvo type="num" val="0.85"/>
      </iconSet>
    </cfRule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{C2BEACB9-582D-4760-942A-A75627A0EC09}</x14:id>
        </ext>
      </extLst>
    </cfRule>
  </conditionalFormatting>
  <conditionalFormatting sqref="AZ1626">
    <cfRule type="iconSet" priority="133">
      <iconSet iconSet="3Symbols">
        <cfvo type="percent" val="0"/>
        <cfvo type="num" val="0.75"/>
        <cfvo type="num" val="0.85"/>
      </iconSet>
    </cfRule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{0208C6A8-9E19-4234-9A58-EFDD7C1B8CB8}</x14:id>
        </ext>
      </extLst>
    </cfRule>
  </conditionalFormatting>
  <conditionalFormatting sqref="AZ1813 AZ1858 AZ1822 AZ1831 AZ1867">
    <cfRule type="iconSet" priority="123">
      <iconSet iconSet="3Symbols">
        <cfvo type="percent" val="0"/>
        <cfvo type="num" val="0.75"/>
        <cfvo type="num" val="0.85"/>
      </iconSet>
    </cfRule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{237ED7F4-B481-49C0-AD83-7763F70D27E5}</x14:id>
        </ext>
      </extLst>
    </cfRule>
  </conditionalFormatting>
  <conditionalFormatting sqref="AZ1862:AZ1864 AZ1817:AZ1819 AZ1826:AZ1828 AZ1835:AZ1837 AZ1871:AZ1873 AZ1814 AZ1823 AZ1832 AZ1859 AZ1868">
    <cfRule type="iconSet" priority="125">
      <iconSet iconSet="3Symbols">
        <cfvo type="percent" val="0"/>
        <cfvo type="num" val="0.75"/>
        <cfvo type="num" val="0.85"/>
      </iconSet>
    </cfRule>
    <cfRule type="dataBar" priority="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{9D5035B6-CA20-4B5B-A7BB-6C33F9612B2C}</x14:id>
        </ext>
      </extLst>
    </cfRule>
  </conditionalFormatting>
  <conditionalFormatting sqref="AZ1820 AZ1865 AZ1829 AZ1838 AZ1874">
    <cfRule type="iconSet" priority="127">
      <iconSet iconSet="3Symbols">
        <cfvo type="percent" val="0"/>
        <cfvo type="num" val="0.75"/>
        <cfvo type="num" val="0.85"/>
      </iconSet>
    </cfRule>
    <cfRule type="dataBar" priority="1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{C968BCC7-4700-43DA-9244-9300D6D84F90}</x14:id>
        </ext>
      </extLst>
    </cfRule>
  </conditionalFormatting>
  <conditionalFormatting sqref="AZ1815 AZ1860 AZ1824 AZ1833 AZ1869">
    <cfRule type="iconSet" priority="129">
      <iconSet iconSet="3Symbols">
        <cfvo type="percent" val="0"/>
        <cfvo type="num" val="0.75"/>
        <cfvo type="num" val="0.85"/>
      </iconSet>
    </cfRule>
    <cfRule type="dataBar" priority="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{4DC1D00C-1F0B-422A-8723-B2336496AF51}</x14:id>
        </ext>
      </extLst>
    </cfRule>
  </conditionalFormatting>
  <conditionalFormatting sqref="AZ1816 AZ1861 AZ1825 AZ1834 AZ1870">
    <cfRule type="iconSet" priority="131">
      <iconSet iconSet="3Symbols">
        <cfvo type="percent" val="0"/>
        <cfvo type="num" val="0.75"/>
        <cfvo type="num" val="0.85"/>
      </iconSet>
    </cfRule>
    <cfRule type="dataBar" priority="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{B3D84A05-D23A-4514-B3E3-CC39B3C0BE94}</x14:id>
        </ext>
      </extLst>
    </cfRule>
  </conditionalFormatting>
  <conditionalFormatting sqref="AZ1840">
    <cfRule type="iconSet" priority="113">
      <iconSet iconSet="3Symbols">
        <cfvo type="percent" val="0"/>
        <cfvo type="num" val="0.75"/>
        <cfvo type="num" val="0.85"/>
      </iconSet>
    </cfRule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{C95AF723-4C10-425D-9A52-20A250FF2B84}</x14:id>
        </ext>
      </extLst>
    </cfRule>
  </conditionalFormatting>
  <conditionalFormatting sqref="AZ1844:AZ1846 AZ1841">
    <cfRule type="iconSet" priority="115">
      <iconSet iconSet="3Symbols">
        <cfvo type="percent" val="0"/>
        <cfvo type="num" val="0.75"/>
        <cfvo type="num" val="0.85"/>
      </iconSet>
    </cfRule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{34A324E7-467A-49B1-88EF-5AAAE2212598}</x14:id>
        </ext>
      </extLst>
    </cfRule>
  </conditionalFormatting>
  <conditionalFormatting sqref="AZ1847">
    <cfRule type="iconSet" priority="117">
      <iconSet iconSet="3Symbols">
        <cfvo type="percent" val="0"/>
        <cfvo type="num" val="0.75"/>
        <cfvo type="num" val="0.85"/>
      </iconSet>
    </cfRule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{0E0AC3D7-2115-421F-A918-45604D5C8818}</x14:id>
        </ext>
      </extLst>
    </cfRule>
  </conditionalFormatting>
  <conditionalFormatting sqref="AZ1842">
    <cfRule type="iconSet" priority="119">
      <iconSet iconSet="3Symbols">
        <cfvo type="percent" val="0"/>
        <cfvo type="num" val="0.75"/>
        <cfvo type="num" val="0.85"/>
      </iconSet>
    </cfRule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{A69445CB-AE93-4A81-AF9C-D8E3406D0782}</x14:id>
        </ext>
      </extLst>
    </cfRule>
  </conditionalFormatting>
  <conditionalFormatting sqref="AZ1843">
    <cfRule type="iconSet" priority="121">
      <iconSet iconSet="3Symbols">
        <cfvo type="percent" val="0"/>
        <cfvo type="num" val="0.75"/>
        <cfvo type="num" val="0.85"/>
      </iconSet>
    </cfRule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{762DDF18-F933-497F-9B04-C83654E69B43}</x14:id>
        </ext>
      </extLst>
    </cfRule>
  </conditionalFormatting>
  <conditionalFormatting sqref="AZ1769">
    <cfRule type="iconSet" priority="111">
      <iconSet iconSet="3Symbols">
        <cfvo type="percent" val="0"/>
        <cfvo type="num" val="0.75"/>
        <cfvo type="num" val="0.85"/>
      </iconSet>
    </cfRule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{F087E5B5-7EFF-4282-B0B2-656A742A024B}</x14:id>
        </ext>
      </extLst>
    </cfRule>
  </conditionalFormatting>
  <conditionalFormatting sqref="AZ1770:AZ1773">
    <cfRule type="iconSet" priority="109">
      <iconSet iconSet="3Symbols">
        <cfvo type="percent" val="0"/>
        <cfvo type="num" val="0.75"/>
        <cfvo type="num" val="0.85"/>
      </iconSet>
    </cfRule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{E880F2CC-B087-4E66-A9EA-8A80E5294DF4}</x14:id>
        </ext>
      </extLst>
    </cfRule>
  </conditionalFormatting>
  <conditionalFormatting sqref="AZ1774">
    <cfRule type="iconSet" priority="107">
      <iconSet iconSet="3Symbols">
        <cfvo type="percent" val="0"/>
        <cfvo type="num" val="0.75"/>
        <cfvo type="num" val="0.85"/>
      </iconSet>
    </cfRule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{44EC01A2-D818-499C-9AB9-C39CF8DA41AF}</x14:id>
        </ext>
      </extLst>
    </cfRule>
  </conditionalFormatting>
  <conditionalFormatting sqref="AZ1805">
    <cfRule type="iconSet" priority="105">
      <iconSet iconSet="3Symbols">
        <cfvo type="percent" val="0"/>
        <cfvo type="num" val="0.75"/>
        <cfvo type="num" val="0.85"/>
      </iconSet>
    </cfRule>
    <cfRule type="dataBar" priority="1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{7FC05878-3A27-40F1-B86E-FA576F4F9572}</x14:id>
        </ext>
      </extLst>
    </cfRule>
  </conditionalFormatting>
  <conditionalFormatting sqref="AZ1804">
    <cfRule type="iconSet" priority="95">
      <iconSet iconSet="3Symbols">
        <cfvo type="percent" val="0"/>
        <cfvo type="num" val="0.75"/>
        <cfvo type="num" val="0.85"/>
      </iconSet>
    </cfRule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{38FD5555-9D99-48BF-9535-88902058D880}</x14:id>
        </ext>
      </extLst>
    </cfRule>
  </conditionalFormatting>
  <conditionalFormatting sqref="AZ1808:AZ1810">
    <cfRule type="iconSet" priority="97">
      <iconSet iconSet="3Symbols">
        <cfvo type="percent" val="0"/>
        <cfvo type="num" val="0.75"/>
        <cfvo type="num" val="0.85"/>
      </iconSet>
    </cfRule>
    <cfRule type="dataBar" priority="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{4B51EEB4-FDA5-445A-A0B2-A7749C21CED7}</x14:id>
        </ext>
      </extLst>
    </cfRule>
  </conditionalFormatting>
  <conditionalFormatting sqref="AZ1811">
    <cfRule type="iconSet" priority="99">
      <iconSet iconSet="3Symbols">
        <cfvo type="percent" val="0"/>
        <cfvo type="num" val="0.75"/>
        <cfvo type="num" val="0.85"/>
      </iconSet>
    </cfRule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{95853824-8B7D-4F0E-AA6A-4C92466352E9}</x14:id>
        </ext>
      </extLst>
    </cfRule>
  </conditionalFormatting>
  <conditionalFormatting sqref="AZ1806">
    <cfRule type="iconSet" priority="101">
      <iconSet iconSet="3Symbols">
        <cfvo type="percent" val="0"/>
        <cfvo type="num" val="0.75"/>
        <cfvo type="num" val="0.85"/>
      </iconSet>
    </cfRule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{6CCE22ED-DE58-4102-91E9-A23FC0302A6E}</x14:id>
        </ext>
      </extLst>
    </cfRule>
  </conditionalFormatting>
  <conditionalFormatting sqref="AZ1807">
    <cfRule type="iconSet" priority="103">
      <iconSet iconSet="3Symbols">
        <cfvo type="percent" val="0"/>
        <cfvo type="num" val="0.75"/>
        <cfvo type="num" val="0.85"/>
      </iconSet>
    </cfRule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{9D3D2451-746E-4C11-A0C5-1DD37FD113FB}</x14:id>
        </ext>
      </extLst>
    </cfRule>
  </conditionalFormatting>
  <conditionalFormatting sqref="AZ1912">
    <cfRule type="iconSet" priority="85">
      <iconSet iconSet="3Symbols">
        <cfvo type="percent" val="0"/>
        <cfvo type="num" val="0.75"/>
        <cfvo type="num" val="0.85"/>
      </iconSet>
    </cfRule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{291EA9F9-5A3E-4722-BBE7-86E5A7B1DB0B}</x14:id>
        </ext>
      </extLst>
    </cfRule>
  </conditionalFormatting>
  <conditionalFormatting sqref="AZ1916:AZ1918 AZ1913">
    <cfRule type="iconSet" priority="87">
      <iconSet iconSet="3Symbols">
        <cfvo type="percent" val="0"/>
        <cfvo type="num" val="0.75"/>
        <cfvo type="num" val="0.85"/>
      </iconSet>
    </cfRule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{15665F77-C1C3-4B45-BD54-0F3526A5A9E2}</x14:id>
        </ext>
      </extLst>
    </cfRule>
  </conditionalFormatting>
  <conditionalFormatting sqref="AZ1919">
    <cfRule type="iconSet" priority="89">
      <iconSet iconSet="3Symbols">
        <cfvo type="percent" val="0"/>
        <cfvo type="num" val="0.75"/>
        <cfvo type="num" val="0.85"/>
      </iconSet>
    </cfRule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{FA4C6B91-FD09-4E58-9BBA-87616C428EC9}</x14:id>
        </ext>
      </extLst>
    </cfRule>
  </conditionalFormatting>
  <conditionalFormatting sqref="AZ1914">
    <cfRule type="iconSet" priority="91">
      <iconSet iconSet="3Symbols">
        <cfvo type="percent" val="0"/>
        <cfvo type="num" val="0.75"/>
        <cfvo type="num" val="0.85"/>
      </iconSet>
    </cfRule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{6142CC9A-AA2B-4B71-8AC4-62DAE5642C37}</x14:id>
        </ext>
      </extLst>
    </cfRule>
  </conditionalFormatting>
  <conditionalFormatting sqref="AZ1915">
    <cfRule type="iconSet" priority="93">
      <iconSet iconSet="3Symbols">
        <cfvo type="percent" val="0"/>
        <cfvo type="num" val="0.75"/>
        <cfvo type="num" val="0.85"/>
      </iconSet>
    </cfRule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{93CC7957-AEC4-4455-8AD6-048E5CB3C60A}</x14:id>
        </ext>
      </extLst>
    </cfRule>
  </conditionalFormatting>
  <conditionalFormatting sqref="AZ1903">
    <cfRule type="iconSet" priority="75">
      <iconSet iconSet="3Symbols">
        <cfvo type="percent" val="0"/>
        <cfvo type="num" val="0.75"/>
        <cfvo type="num" val="0.85"/>
      </iconSet>
    </cfRule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{C102D4BA-45ED-4D6E-ADE0-47FB05DC95EA}</x14:id>
        </ext>
      </extLst>
    </cfRule>
  </conditionalFormatting>
  <conditionalFormatting sqref="AZ1907:AZ1909 AZ1904">
    <cfRule type="iconSet" priority="77">
      <iconSet iconSet="3Symbols">
        <cfvo type="percent" val="0"/>
        <cfvo type="num" val="0.75"/>
        <cfvo type="num" val="0.85"/>
      </iconSet>
    </cfRule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{6F3AE494-1C6F-487F-A5F6-57F242F1B7C6}</x14:id>
        </ext>
      </extLst>
    </cfRule>
  </conditionalFormatting>
  <conditionalFormatting sqref="AZ1910">
    <cfRule type="iconSet" priority="79">
      <iconSet iconSet="3Symbols">
        <cfvo type="percent" val="0"/>
        <cfvo type="num" val="0.75"/>
        <cfvo type="num" val="0.85"/>
      </iconSet>
    </cfRule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{5911C78F-6825-4EF0-AA26-2AA3D117F74C}</x14:id>
        </ext>
      </extLst>
    </cfRule>
  </conditionalFormatting>
  <conditionalFormatting sqref="AZ1905">
    <cfRule type="iconSet" priority="81">
      <iconSet iconSet="3Symbols">
        <cfvo type="percent" val="0"/>
        <cfvo type="num" val="0.75"/>
        <cfvo type="num" val="0.85"/>
      </iconSet>
    </cfRule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{486B5068-4915-4352-BFD5-659E73C63392}</x14:id>
        </ext>
      </extLst>
    </cfRule>
  </conditionalFormatting>
  <conditionalFormatting sqref="AZ1906">
    <cfRule type="iconSet" priority="83">
      <iconSet iconSet="3Symbols">
        <cfvo type="percent" val="0"/>
        <cfvo type="num" val="0.75"/>
        <cfvo type="num" val="0.85"/>
      </iconSet>
    </cfRule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{44521175-1EA0-4C17-BC9C-22AEF2C1FA45}</x14:id>
        </ext>
      </extLst>
    </cfRule>
  </conditionalFormatting>
  <conditionalFormatting sqref="AZ1876 AZ1885">
    <cfRule type="iconSet" priority="65">
      <iconSet iconSet="3Symbols">
        <cfvo type="percent" val="0"/>
        <cfvo type="num" val="0.75"/>
        <cfvo type="num" val="0.85"/>
      </iconSe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{769813FD-E4A1-4C43-86E1-36A939E926E3}</x14:id>
        </ext>
      </extLst>
    </cfRule>
  </conditionalFormatting>
  <conditionalFormatting sqref="AZ1880:AZ1882 AZ1889:AZ1891 AZ1877 AZ1886">
    <cfRule type="iconSet" priority="67">
      <iconSet iconSet="3Symbols">
        <cfvo type="percent" val="0"/>
        <cfvo type="num" val="0.75"/>
        <cfvo type="num" val="0.85"/>
      </iconSe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{BF8ABE6C-11D9-40C2-9AFB-33FCFC749567}</x14:id>
        </ext>
      </extLst>
    </cfRule>
  </conditionalFormatting>
  <conditionalFormatting sqref="AZ1883 AZ1892">
    <cfRule type="iconSet" priority="69">
      <iconSet iconSet="3Symbols">
        <cfvo type="percent" val="0"/>
        <cfvo type="num" val="0.75"/>
        <cfvo type="num" val="0.85"/>
      </iconSet>
    </cfRule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{EAB6E329-9077-46E5-A5AB-221CDD03674B}</x14:id>
        </ext>
      </extLst>
    </cfRule>
  </conditionalFormatting>
  <conditionalFormatting sqref="AZ1878 AZ1887">
    <cfRule type="iconSet" priority="71">
      <iconSet iconSet="3Symbols">
        <cfvo type="percent" val="0"/>
        <cfvo type="num" val="0.75"/>
        <cfvo type="num" val="0.85"/>
      </iconSet>
    </cfRule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{87CF3584-9ABF-43FD-8F27-2DEC8D4D469A}</x14:id>
        </ext>
      </extLst>
    </cfRule>
  </conditionalFormatting>
  <conditionalFormatting sqref="AZ1879 AZ1888">
    <cfRule type="iconSet" priority="73">
      <iconSet iconSet="3Symbols">
        <cfvo type="percent" val="0"/>
        <cfvo type="num" val="0.75"/>
        <cfvo type="num" val="0.85"/>
      </iconSet>
    </cfRule>
    <cfRule type="dataBar" priority="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{33B6FC65-26E0-4788-9ACC-D0DA75EFEAFC}</x14:id>
        </ext>
      </extLst>
    </cfRule>
  </conditionalFormatting>
  <conditionalFormatting sqref="AZ1930">
    <cfRule type="iconSet" priority="55">
      <iconSet iconSet="3Symbols">
        <cfvo type="percent" val="0"/>
        <cfvo type="num" val="0.75"/>
        <cfvo type="num" val="0.85"/>
      </iconSe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{C75A0CA5-0FB5-4F60-B7C5-2309761214BC}</x14:id>
        </ext>
      </extLst>
    </cfRule>
  </conditionalFormatting>
  <conditionalFormatting sqref="AZ1934:AZ1936 AZ1931">
    <cfRule type="iconSet" priority="57">
      <iconSet iconSet="3Symbols">
        <cfvo type="percent" val="0"/>
        <cfvo type="num" val="0.75"/>
        <cfvo type="num" val="0.85"/>
      </iconSe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{0EBB2835-B97B-4164-9AC5-DBC681F1D96C}</x14:id>
        </ext>
      </extLst>
    </cfRule>
  </conditionalFormatting>
  <conditionalFormatting sqref="AZ1937">
    <cfRule type="iconSet" priority="59">
      <iconSet iconSet="3Symbols">
        <cfvo type="percent" val="0"/>
        <cfvo type="num" val="0.75"/>
        <cfvo type="num" val="0.85"/>
      </iconSe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{FCAAB53A-05F7-498C-8522-372E3224FF3C}</x14:id>
        </ext>
      </extLst>
    </cfRule>
  </conditionalFormatting>
  <conditionalFormatting sqref="AZ1932">
    <cfRule type="iconSet" priority="61">
      <iconSet iconSet="3Symbols">
        <cfvo type="percent" val="0"/>
        <cfvo type="num" val="0.75"/>
        <cfvo type="num" val="0.85"/>
      </iconSet>
    </cfRule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{9F64E9FD-35CD-43A3-BF0C-DA4C9DD352C3}</x14:id>
        </ext>
      </extLst>
    </cfRule>
  </conditionalFormatting>
  <conditionalFormatting sqref="AZ1933">
    <cfRule type="iconSet" priority="63">
      <iconSet iconSet="3Symbols">
        <cfvo type="percent" val="0"/>
        <cfvo type="num" val="0.75"/>
        <cfvo type="num" val="0.85"/>
      </iconSe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{30809AA9-DFE9-451D-B405-872975DDB0E3}</x14:id>
        </ext>
      </extLst>
    </cfRule>
  </conditionalFormatting>
  <conditionalFormatting sqref="AZ1894">
    <cfRule type="iconSet" priority="45">
      <iconSet iconSet="3Symbols">
        <cfvo type="percent" val="0"/>
        <cfvo type="num" val="0.75"/>
        <cfvo type="num" val="0.85"/>
      </iconSe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{E901D2A0-AC8F-466C-B97B-47192BBFA359}</x14:id>
        </ext>
      </extLst>
    </cfRule>
  </conditionalFormatting>
  <conditionalFormatting sqref="AZ1898:AZ1900 AZ1895">
    <cfRule type="iconSet" priority="47">
      <iconSet iconSet="3Symbols">
        <cfvo type="percent" val="0"/>
        <cfvo type="num" val="0.75"/>
        <cfvo type="num" val="0.85"/>
      </iconSe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{E2DC846F-7D87-4B26-89A2-E722D041B476}</x14:id>
        </ext>
      </extLst>
    </cfRule>
  </conditionalFormatting>
  <conditionalFormatting sqref="AZ1901">
    <cfRule type="iconSet" priority="49">
      <iconSet iconSet="3Symbols">
        <cfvo type="percent" val="0"/>
        <cfvo type="num" val="0.75"/>
        <cfvo type="num" val="0.85"/>
      </iconSe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{2683C041-3CDF-4CC4-BE69-B52C895271ED}</x14:id>
        </ext>
      </extLst>
    </cfRule>
  </conditionalFormatting>
  <conditionalFormatting sqref="AZ1896">
    <cfRule type="iconSet" priority="51">
      <iconSet iconSet="3Symbols">
        <cfvo type="percent" val="0"/>
        <cfvo type="num" val="0.75"/>
        <cfvo type="num" val="0.85"/>
      </iconSet>
    </cfRule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{DC1AD180-F079-438E-BCD5-4935542ADA02}</x14:id>
        </ext>
      </extLst>
    </cfRule>
  </conditionalFormatting>
  <conditionalFormatting sqref="AZ1897">
    <cfRule type="iconSet" priority="53">
      <iconSet iconSet="3Symbols">
        <cfvo type="percent" val="0"/>
        <cfvo type="num" val="0.75"/>
        <cfvo type="num" val="0.85"/>
      </iconSet>
    </cfRule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{0F30A525-B7CC-4B56-A603-709ECD26A786}</x14:id>
        </ext>
      </extLst>
    </cfRule>
  </conditionalFormatting>
  <conditionalFormatting sqref="AZ1921">
    <cfRule type="iconSet" priority="35">
      <iconSet iconSet="3Symbols">
        <cfvo type="percent" val="0"/>
        <cfvo type="num" val="0.75"/>
        <cfvo type="num" val="0.85"/>
      </iconSet>
    </cfRule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{753D52E8-AF49-4EC7-91BA-6214E0C6A6CF}</x14:id>
        </ext>
      </extLst>
    </cfRule>
  </conditionalFormatting>
  <conditionalFormatting sqref="AZ1925:AZ1927 AZ1922">
    <cfRule type="iconSet" priority="37">
      <iconSet iconSet="3Symbols">
        <cfvo type="percent" val="0"/>
        <cfvo type="num" val="0.75"/>
        <cfvo type="num" val="0.85"/>
      </iconSet>
    </cfRule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{B72959BB-CE42-4955-8408-F03BB323074A}</x14:id>
        </ext>
      </extLst>
    </cfRule>
  </conditionalFormatting>
  <conditionalFormatting sqref="AZ1928">
    <cfRule type="iconSet" priority="39">
      <iconSet iconSet="3Symbols">
        <cfvo type="percent" val="0"/>
        <cfvo type="num" val="0.75"/>
        <cfvo type="num" val="0.85"/>
      </iconSe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{56BE631A-59A3-4795-9B1E-1916F51CF3FB}</x14:id>
        </ext>
      </extLst>
    </cfRule>
  </conditionalFormatting>
  <conditionalFormatting sqref="AZ1923">
    <cfRule type="iconSet" priority="41">
      <iconSet iconSet="3Symbols">
        <cfvo type="percent" val="0"/>
        <cfvo type="num" val="0.75"/>
        <cfvo type="num" val="0.85"/>
      </iconSe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{21F5CB32-19D3-4943-85CD-F4753D5C31A5}</x14:id>
        </ext>
      </extLst>
    </cfRule>
  </conditionalFormatting>
  <conditionalFormatting sqref="AZ1924">
    <cfRule type="iconSet" priority="43">
      <iconSet iconSet="3Symbols">
        <cfvo type="percent" val="0"/>
        <cfvo type="num" val="0.75"/>
        <cfvo type="num" val="0.85"/>
      </iconSe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{B7B49F4E-A74E-4201-92D5-083C03070C3A}</x14:id>
        </ext>
      </extLst>
    </cfRule>
  </conditionalFormatting>
  <conditionalFormatting sqref="AZ1776">
    <cfRule type="iconSet" priority="33">
      <iconSet iconSet="3Symbols">
        <cfvo type="percent" val="0"/>
        <cfvo type="num" val="0.75"/>
        <cfvo type="num" val="0.85"/>
      </iconSet>
    </cfRule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{0A388AD0-AC5B-4F79-A3AF-D363A20ECF29}</x14:id>
        </ext>
      </extLst>
    </cfRule>
  </conditionalFormatting>
  <conditionalFormatting sqref="AZ1777:AZ1780">
    <cfRule type="iconSet" priority="31">
      <iconSet iconSet="3Symbols">
        <cfvo type="percent" val="0"/>
        <cfvo type="num" val="0.75"/>
        <cfvo type="num" val="0.85"/>
      </iconSet>
    </cfRule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{6785A14F-7EE5-43E1-BDF9-F3D00095D163}</x14:id>
        </ext>
      </extLst>
    </cfRule>
  </conditionalFormatting>
  <conditionalFormatting sqref="AZ1781">
    <cfRule type="iconSet" priority="29">
      <iconSet iconSet="3Symbols">
        <cfvo type="percent" val="0"/>
        <cfvo type="num" val="0.75"/>
        <cfvo type="num" val="0.85"/>
      </iconSet>
    </cfRule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{E8923B7D-B7FF-4D0B-BD64-000510D260B6}</x14:id>
        </ext>
      </extLst>
    </cfRule>
  </conditionalFormatting>
  <conditionalFormatting sqref="AZ1849">
    <cfRule type="iconSet" priority="19">
      <iconSet iconSet="3Symbols">
        <cfvo type="percent" val="0"/>
        <cfvo type="num" val="0.75"/>
        <cfvo type="num" val="0.85"/>
      </iconSet>
    </cfRule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{1E4DEB60-6A3D-4E87-B092-3BCED077FD5D}</x14:id>
        </ext>
      </extLst>
    </cfRule>
  </conditionalFormatting>
  <conditionalFormatting sqref="AZ1853:AZ1855 AZ1850">
    <cfRule type="iconSet" priority="21">
      <iconSet iconSet="3Symbols">
        <cfvo type="percent" val="0"/>
        <cfvo type="num" val="0.75"/>
        <cfvo type="num" val="0.85"/>
      </iconSe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{A14170BB-0DE0-4337-9F38-CFF2B4156A4C}</x14:id>
        </ext>
      </extLst>
    </cfRule>
  </conditionalFormatting>
  <conditionalFormatting sqref="AZ1856">
    <cfRule type="iconSet" priority="23">
      <iconSet iconSet="3Symbols">
        <cfvo type="percent" val="0"/>
        <cfvo type="num" val="0.75"/>
        <cfvo type="num" val="0.85"/>
      </iconSet>
    </cfRule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{D51CF80D-FF0F-48E8-90C3-495F16A3AA2E}</x14:id>
        </ext>
      </extLst>
    </cfRule>
  </conditionalFormatting>
  <conditionalFormatting sqref="AZ1851">
    <cfRule type="iconSet" priority="25">
      <iconSet iconSet="3Symbols">
        <cfvo type="percent" val="0"/>
        <cfvo type="num" val="0.75"/>
        <cfvo type="num" val="0.85"/>
      </iconSet>
    </cfRule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{BB0B0904-59D7-4348-B1B2-433DD407F9BB}</x14:id>
        </ext>
      </extLst>
    </cfRule>
  </conditionalFormatting>
  <conditionalFormatting sqref="AZ1852">
    <cfRule type="iconSet" priority="27">
      <iconSet iconSet="3Symbols">
        <cfvo type="percent" val="0"/>
        <cfvo type="num" val="0.75"/>
        <cfvo type="num" val="0.85"/>
      </iconSet>
    </cfRule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{B46586BB-EF5B-4E74-9F37-51CC5A0C4F9E}</x14:id>
        </ext>
      </extLst>
    </cfRule>
  </conditionalFormatting>
  <conditionalFormatting sqref="AZ1783">
    <cfRule type="iconSet" priority="17">
      <iconSet iconSet="3Symbols">
        <cfvo type="percent" val="0"/>
        <cfvo type="num" val="0.75"/>
        <cfvo type="num" val="0.85"/>
      </iconSet>
    </cfRule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{50E32667-6E09-4357-A9D9-5D278FFAD710}</x14:id>
        </ext>
      </extLst>
    </cfRule>
  </conditionalFormatting>
  <conditionalFormatting sqref="AZ1784:AZ1787">
    <cfRule type="iconSet" priority="15">
      <iconSet iconSet="3Symbols">
        <cfvo type="percent" val="0"/>
        <cfvo type="num" val="0.75"/>
        <cfvo type="num" val="0.85"/>
      </iconSe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{64763785-9CA1-4BBB-9F79-7450C0AC2B89}</x14:id>
        </ext>
      </extLst>
    </cfRule>
  </conditionalFormatting>
  <conditionalFormatting sqref="AZ1788">
    <cfRule type="iconSet" priority="13">
      <iconSet iconSet="3Symbols">
        <cfvo type="percent" val="0"/>
        <cfvo type="num" val="0.75"/>
        <cfvo type="num" val="0.85"/>
      </iconSet>
    </cfRule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{7B625417-278A-43AD-B999-C07AF2DEBB19}</x14:id>
        </ext>
      </extLst>
    </cfRule>
  </conditionalFormatting>
  <conditionalFormatting sqref="AZ1790">
    <cfRule type="iconSet" priority="11">
      <iconSet iconSet="3Symbols">
        <cfvo type="percent" val="0"/>
        <cfvo type="num" val="0.75"/>
        <cfvo type="num" val="0.85"/>
      </iconSet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{DF40C253-7C47-40D6-8A73-78ABA517D627}</x14:id>
        </ext>
      </extLst>
    </cfRule>
  </conditionalFormatting>
  <conditionalFormatting sqref="AZ1791:AZ1794">
    <cfRule type="iconSet" priority="9">
      <iconSet iconSet="3Symbols">
        <cfvo type="percent" val="0"/>
        <cfvo type="num" val="0.75"/>
        <cfvo type="num" val="0.85"/>
      </iconSet>
    </cfRule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{7C6D3622-44F2-45F6-8B58-AFA7264B3D00}</x14:id>
        </ext>
      </extLst>
    </cfRule>
  </conditionalFormatting>
  <conditionalFormatting sqref="AZ1795">
    <cfRule type="iconSet" priority="7">
      <iconSet iconSet="3Symbols">
        <cfvo type="percent" val="0"/>
        <cfvo type="num" val="0.75"/>
        <cfvo type="num" val="0.85"/>
      </iconSet>
    </cfRule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{9742A02A-3E75-43CC-972C-8D5D3EDA3CDB}</x14:id>
        </ext>
      </extLst>
    </cfRule>
  </conditionalFormatting>
  <conditionalFormatting sqref="AZ1797">
    <cfRule type="iconSet" priority="5">
      <iconSet iconSet="3Symbols">
        <cfvo type="percent" val="0"/>
        <cfvo type="num" val="0.75"/>
        <cfvo type="num" val="0.85"/>
      </iconSe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{0A7C92D2-E8F3-4155-8271-5FE55B6E06F3}</x14:id>
        </ext>
      </extLst>
    </cfRule>
  </conditionalFormatting>
  <conditionalFormatting sqref="AZ1798:AZ1801">
    <cfRule type="iconSet" priority="3">
      <iconSet iconSet="3Symbols">
        <cfvo type="percent" val="0"/>
        <cfvo type="num" val="0.75"/>
        <cfvo type="num" val="0.85"/>
      </iconSet>
    </cfRule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{9918C25F-E6CD-4173-8554-2E866337CCEB}</x14:id>
        </ext>
      </extLst>
    </cfRule>
  </conditionalFormatting>
  <conditionalFormatting sqref="AZ1802">
    <cfRule type="iconSet" priority="1">
      <iconSet iconSet="3Symbols">
        <cfvo type="percent" val="0"/>
        <cfvo type="num" val="0.75"/>
        <cfvo type="num" val="0.85"/>
      </iconSe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{37A433BA-FAB9-4C17-BF1F-13B79358B8EF}</x14:id>
        </ext>
      </extLst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1B812D-A9D7-4D57-B153-AC8D7D825C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AZ62 AZ98 AZ53 AZ71 AZ107</xm:sqref>
        </x14:conditionalFormatting>
        <x14:conditionalFormatting xmlns:xm="http://schemas.microsoft.com/office/excel/2006/main">
          <x14:cfRule type="dataBar" id="{C83AE902-11AA-4019-BB48-437AFA701C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AZ102:AZ104 AZ57:AZ59 AZ66:AZ68 AZ75:AZ77 AZ111:AZ113 AZ54 AZ63 AZ72 AZ99 AZ108</xm:sqref>
        </x14:conditionalFormatting>
        <x14:conditionalFormatting xmlns:xm="http://schemas.microsoft.com/office/excel/2006/main">
          <x14:cfRule type="dataBar" id="{D66D41E1-6E22-43E5-AAA4-CFAA2E68F1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AZ69 AZ105 AZ60 AZ78 AZ114</xm:sqref>
        </x14:conditionalFormatting>
        <x14:conditionalFormatting xmlns:xm="http://schemas.microsoft.com/office/excel/2006/main">
          <x14:cfRule type="dataBar" id="{4072AD43-10F2-4F01-80A0-FAF20470DC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AZ64 AZ100 AZ55 AZ73 AZ109</xm:sqref>
        </x14:conditionalFormatting>
        <x14:conditionalFormatting xmlns:xm="http://schemas.microsoft.com/office/excel/2006/main">
          <x14:cfRule type="dataBar" id="{20385112-5D01-4DE7-BF75-BA431A93A3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AZ65 AZ101 AZ56 AZ74 AZ110</xm:sqref>
        </x14:conditionalFormatting>
        <x14:conditionalFormatting xmlns:xm="http://schemas.microsoft.com/office/excel/2006/main">
          <x14:cfRule type="dataBar" id="{622DA77B-5644-406C-8BE2-698F50D95D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AZ229 AZ274 AZ238 AZ247 AZ283</xm:sqref>
        </x14:conditionalFormatting>
        <x14:conditionalFormatting xmlns:xm="http://schemas.microsoft.com/office/excel/2006/main">
          <x14:cfRule type="dataBar" id="{857AA824-4782-4EDD-906C-D9655AF297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AZ278:AZ280 AZ233:AZ235 AZ242:AZ244 AZ251:AZ253 AZ287:AZ289 AZ230 AZ239 AZ248 AZ275 AZ284</xm:sqref>
        </x14:conditionalFormatting>
        <x14:conditionalFormatting xmlns:xm="http://schemas.microsoft.com/office/excel/2006/main">
          <x14:cfRule type="dataBar" id="{4D7DAF4F-3A76-4047-838D-23EB8FF4C4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AZ236 AZ281 AZ245 AZ254 AZ290</xm:sqref>
        </x14:conditionalFormatting>
        <x14:conditionalFormatting xmlns:xm="http://schemas.microsoft.com/office/excel/2006/main">
          <x14:cfRule type="dataBar" id="{CCD9332B-781E-4C18-BC9F-5810E652C8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AZ231 AZ276 AZ240 AZ249 AZ285</xm:sqref>
        </x14:conditionalFormatting>
        <x14:conditionalFormatting xmlns:xm="http://schemas.microsoft.com/office/excel/2006/main">
          <x14:cfRule type="dataBar" id="{7C10A42E-F5DF-4417-ADCA-233832F460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AZ232 AZ277 AZ241 AZ250 AZ286</xm:sqref>
        </x14:conditionalFormatting>
        <x14:conditionalFormatting xmlns:xm="http://schemas.microsoft.com/office/excel/2006/main">
          <x14:cfRule type="dataBar" id="{ACCBA5E2-4173-4D3C-8AC1-453AE6C412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AZ80</xm:sqref>
        </x14:conditionalFormatting>
        <x14:conditionalFormatting xmlns:xm="http://schemas.microsoft.com/office/excel/2006/main">
          <x14:cfRule type="dataBar" id="{03B7FCFE-EF85-488B-BF37-F6D0B48F26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AZ84:AZ86 AZ81</xm:sqref>
        </x14:conditionalFormatting>
        <x14:conditionalFormatting xmlns:xm="http://schemas.microsoft.com/office/excel/2006/main">
          <x14:cfRule type="dataBar" id="{8E11EA7A-ABB6-4650-9F46-5D9F31E0B3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AZ87</xm:sqref>
        </x14:conditionalFormatting>
        <x14:conditionalFormatting xmlns:xm="http://schemas.microsoft.com/office/excel/2006/main">
          <x14:cfRule type="dataBar" id="{B9B68EA8-AC5B-42C7-9293-5EB7BD9EB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AZ82</xm:sqref>
        </x14:conditionalFormatting>
        <x14:conditionalFormatting xmlns:xm="http://schemas.microsoft.com/office/excel/2006/main">
          <x14:cfRule type="dataBar" id="{97039A7D-CFA1-469C-873C-86C1DCFB3E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AZ83</xm:sqref>
        </x14:conditionalFormatting>
        <x14:conditionalFormatting xmlns:xm="http://schemas.microsoft.com/office/excel/2006/main">
          <x14:cfRule type="dataBar" id="{40468CEC-1CFB-475D-B408-C4281454CF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AZ256</xm:sqref>
        </x14:conditionalFormatting>
        <x14:conditionalFormatting xmlns:xm="http://schemas.microsoft.com/office/excel/2006/main">
          <x14:cfRule type="dataBar" id="{7DAE6BAA-F557-46A1-B47E-03C180BAEE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AZ260:AZ262 AZ257</xm:sqref>
        </x14:conditionalFormatting>
        <x14:conditionalFormatting xmlns:xm="http://schemas.microsoft.com/office/excel/2006/main">
          <x14:cfRule type="dataBar" id="{45D46E1D-66CA-4F2A-844E-4E6C7CE63E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AZ263</xm:sqref>
        </x14:conditionalFormatting>
        <x14:conditionalFormatting xmlns:xm="http://schemas.microsoft.com/office/excel/2006/main">
          <x14:cfRule type="dataBar" id="{9E0D15C0-9337-4468-BCD9-841A6A0978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AZ258</xm:sqref>
        </x14:conditionalFormatting>
        <x14:conditionalFormatting xmlns:xm="http://schemas.microsoft.com/office/excel/2006/main">
          <x14:cfRule type="dataBar" id="{654A4CEB-1839-428C-A4A6-16D1A7F8F3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AZ259</xm:sqref>
        </x14:conditionalFormatting>
        <x14:conditionalFormatting xmlns:xm="http://schemas.microsoft.com/office/excel/2006/main">
          <x14:cfRule type="dataBar" id="{0F9E4E93-B900-4A99-ACAA-7484619AA6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AZ10:AZ13</xm:sqref>
        </x14:conditionalFormatting>
        <x14:conditionalFormatting xmlns:xm="http://schemas.microsoft.com/office/excel/2006/main">
          <x14:cfRule type="dataBar" id="{C7D6D1FF-997F-4A32-8CAA-B8F127E5A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</xm:sqref>
        </x14:conditionalFormatting>
        <x14:conditionalFormatting xmlns:xm="http://schemas.microsoft.com/office/excel/2006/main">
          <x14:cfRule type="dataBar" id="{5DD88C26-8F69-4FA0-9100-D80548C239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AZ185</xm:sqref>
        </x14:conditionalFormatting>
        <x14:conditionalFormatting xmlns:xm="http://schemas.microsoft.com/office/excel/2006/main">
          <x14:cfRule type="dataBar" id="{2DC6EAA5-3C05-40E8-BB7C-A72316621F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AZ186:AZ189</xm:sqref>
        </x14:conditionalFormatting>
        <x14:conditionalFormatting xmlns:xm="http://schemas.microsoft.com/office/excel/2006/main">
          <x14:cfRule type="dataBar" id="{52684563-140B-4340-B19B-82E1060440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AZ190</xm:sqref>
        </x14:conditionalFormatting>
        <x14:conditionalFormatting xmlns:xm="http://schemas.microsoft.com/office/excel/2006/main">
          <x14:cfRule type="dataBar" id="{294145BE-2665-4F02-9984-A88370FAD2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AZ45</xm:sqref>
        </x14:conditionalFormatting>
        <x14:conditionalFormatting xmlns:xm="http://schemas.microsoft.com/office/excel/2006/main">
          <x14:cfRule type="dataBar" id="{75BE4B20-2D95-44E5-9369-35C8D37235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AZ221</xm:sqref>
        </x14:conditionalFormatting>
        <x14:conditionalFormatting xmlns:xm="http://schemas.microsoft.com/office/excel/2006/main">
          <x14:cfRule type="dataBar" id="{7D858BDF-E59E-408E-9C3E-0DBA669051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AZ144</xm:sqref>
        </x14:conditionalFormatting>
        <x14:conditionalFormatting xmlns:xm="http://schemas.microsoft.com/office/excel/2006/main">
          <x14:cfRule type="dataBar" id="{4653ED19-E0AD-4717-AA8B-E2DE244FB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AZ143</xm:sqref>
        </x14:conditionalFormatting>
        <x14:conditionalFormatting xmlns:xm="http://schemas.microsoft.com/office/excel/2006/main">
          <x14:cfRule type="dataBar" id="{F154880D-E12C-484F-9206-9FF3923E28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AZ147:AZ149</xm:sqref>
        </x14:conditionalFormatting>
        <x14:conditionalFormatting xmlns:xm="http://schemas.microsoft.com/office/excel/2006/main">
          <x14:cfRule type="dataBar" id="{0D288D5B-7A82-4542-870E-07993CD2AE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AZ150</xm:sqref>
        </x14:conditionalFormatting>
        <x14:conditionalFormatting xmlns:xm="http://schemas.microsoft.com/office/excel/2006/main">
          <x14:cfRule type="dataBar" id="{F72A11FC-E70E-4F87-BC91-E35953469D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AZ145</xm:sqref>
        </x14:conditionalFormatting>
        <x14:conditionalFormatting xmlns:xm="http://schemas.microsoft.com/office/excel/2006/main">
          <x14:cfRule type="dataBar" id="{AD5E6ECF-8F9A-4A77-A0DA-C6B03DAA63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AZ146</xm:sqref>
        </x14:conditionalFormatting>
        <x14:conditionalFormatting xmlns:xm="http://schemas.microsoft.com/office/excel/2006/main">
          <x14:cfRule type="dataBar" id="{15D63706-D329-4016-BEC9-9A539E1753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AZ171</xm:sqref>
        </x14:conditionalFormatting>
        <x14:conditionalFormatting xmlns:xm="http://schemas.microsoft.com/office/excel/2006/main">
          <x14:cfRule type="dataBar" id="{61E5C907-5748-4334-B629-CD412BDF45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AZ44</xm:sqref>
        </x14:conditionalFormatting>
        <x14:conditionalFormatting xmlns:xm="http://schemas.microsoft.com/office/excel/2006/main">
          <x14:cfRule type="dataBar" id="{C6928B23-6476-4A17-8CC4-A8AB809AF4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AZ48:AZ50</xm:sqref>
        </x14:conditionalFormatting>
        <x14:conditionalFormatting xmlns:xm="http://schemas.microsoft.com/office/excel/2006/main">
          <x14:cfRule type="dataBar" id="{A3A76557-98D6-4E7A-AAE7-9B47CDFA68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AZ51</xm:sqref>
        </x14:conditionalFormatting>
        <x14:conditionalFormatting xmlns:xm="http://schemas.microsoft.com/office/excel/2006/main">
          <x14:cfRule type="dataBar" id="{6331F1FC-AE98-4555-8F70-FDC1F1DF46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AZ46</xm:sqref>
        </x14:conditionalFormatting>
        <x14:conditionalFormatting xmlns:xm="http://schemas.microsoft.com/office/excel/2006/main">
          <x14:cfRule type="dataBar" id="{DDE0A301-3ED8-4580-AD90-7054E1A3D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AZ47</xm:sqref>
        </x14:conditionalFormatting>
        <x14:conditionalFormatting xmlns:xm="http://schemas.microsoft.com/office/excel/2006/main">
          <x14:cfRule type="dataBar" id="{C7AAB3A8-5B57-4654-9AB6-C5155CD69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AZ220</xm:sqref>
        </x14:conditionalFormatting>
        <x14:conditionalFormatting xmlns:xm="http://schemas.microsoft.com/office/excel/2006/main">
          <x14:cfRule type="dataBar" id="{D3D297C2-1C90-4F08-A102-B07A8A733A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AZ224:AZ226</xm:sqref>
        </x14:conditionalFormatting>
        <x14:conditionalFormatting xmlns:xm="http://schemas.microsoft.com/office/excel/2006/main">
          <x14:cfRule type="dataBar" id="{59BC2A7F-1B34-45CA-B156-A9DC272D5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AZ227</xm:sqref>
        </x14:conditionalFormatting>
        <x14:conditionalFormatting xmlns:xm="http://schemas.microsoft.com/office/excel/2006/main">
          <x14:cfRule type="dataBar" id="{30D1B715-207C-4860-A60A-5A5DEDE8C3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AZ222</xm:sqref>
        </x14:conditionalFormatting>
        <x14:conditionalFormatting xmlns:xm="http://schemas.microsoft.com/office/excel/2006/main">
          <x14:cfRule type="dataBar" id="{A876BAD4-7982-4173-A30F-2FAE642F51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AZ223</xm:sqref>
        </x14:conditionalFormatting>
        <x14:conditionalFormatting xmlns:xm="http://schemas.microsoft.com/office/excel/2006/main">
          <x14:cfRule type="dataBar" id="{7D9EDDA8-44A6-40F5-8076-83C26FC532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AZ153</xm:sqref>
        </x14:conditionalFormatting>
        <x14:conditionalFormatting xmlns:xm="http://schemas.microsoft.com/office/excel/2006/main">
          <x14:cfRule type="dataBar" id="{89F28F00-F6AA-4E01-95E9-28D2C7F166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AZ328</xm:sqref>
        </x14:conditionalFormatting>
        <x14:conditionalFormatting xmlns:xm="http://schemas.microsoft.com/office/excel/2006/main">
          <x14:cfRule type="dataBar" id="{7F348536-89A9-42DB-8A26-65B0635E74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AZ332:AZ334 AZ329</xm:sqref>
        </x14:conditionalFormatting>
        <x14:conditionalFormatting xmlns:xm="http://schemas.microsoft.com/office/excel/2006/main">
          <x14:cfRule type="dataBar" id="{1BD57529-A1A4-4215-8C47-058FFE2B86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AZ335</xm:sqref>
        </x14:conditionalFormatting>
        <x14:conditionalFormatting xmlns:xm="http://schemas.microsoft.com/office/excel/2006/main">
          <x14:cfRule type="dataBar" id="{0145781D-67EF-4B07-8EFB-5A6734BD24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AZ330</xm:sqref>
        </x14:conditionalFormatting>
        <x14:conditionalFormatting xmlns:xm="http://schemas.microsoft.com/office/excel/2006/main">
          <x14:cfRule type="dataBar" id="{8EEE475B-A4B8-497A-A7F0-9CA981125C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AZ331</xm:sqref>
        </x14:conditionalFormatting>
        <x14:conditionalFormatting xmlns:xm="http://schemas.microsoft.com/office/excel/2006/main">
          <x14:cfRule type="dataBar" id="{9FC38A6E-3F01-4678-889D-1EFE78C022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AZ152</xm:sqref>
        </x14:conditionalFormatting>
        <x14:conditionalFormatting xmlns:xm="http://schemas.microsoft.com/office/excel/2006/main">
          <x14:cfRule type="dataBar" id="{BF1E8B6F-3515-4207-A37A-D4C518FFA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AZ156:AZ158</xm:sqref>
        </x14:conditionalFormatting>
        <x14:conditionalFormatting xmlns:xm="http://schemas.microsoft.com/office/excel/2006/main">
          <x14:cfRule type="dataBar" id="{9AE3BCA1-DB73-4A37-BD99-E6A2A58DD8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AZ159</xm:sqref>
        </x14:conditionalFormatting>
        <x14:conditionalFormatting xmlns:xm="http://schemas.microsoft.com/office/excel/2006/main">
          <x14:cfRule type="dataBar" id="{76787874-3A99-4C8B-A7D4-FE75922A7A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AZ154</xm:sqref>
        </x14:conditionalFormatting>
        <x14:conditionalFormatting xmlns:xm="http://schemas.microsoft.com/office/excel/2006/main">
          <x14:cfRule type="dataBar" id="{E62E40F6-52BA-4EFF-A2B5-38F1A00AE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AZ155</xm:sqref>
        </x14:conditionalFormatting>
        <x14:conditionalFormatting xmlns:xm="http://schemas.microsoft.com/office/excel/2006/main">
          <x14:cfRule type="dataBar" id="{BCE0BEF5-BBB7-4A21-A651-16C027BD4F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AZ319</xm:sqref>
        </x14:conditionalFormatting>
        <x14:conditionalFormatting xmlns:xm="http://schemas.microsoft.com/office/excel/2006/main">
          <x14:cfRule type="dataBar" id="{BF96C7E3-A656-484E-A622-2CB0AFBCA8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AZ323:AZ325 AZ320</xm:sqref>
        </x14:conditionalFormatting>
        <x14:conditionalFormatting xmlns:xm="http://schemas.microsoft.com/office/excel/2006/main">
          <x14:cfRule type="dataBar" id="{03841108-BDD2-4A8B-ADC3-9B27E170BB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AZ326</xm:sqref>
        </x14:conditionalFormatting>
        <x14:conditionalFormatting xmlns:xm="http://schemas.microsoft.com/office/excel/2006/main">
          <x14:cfRule type="dataBar" id="{BA732E9D-7183-44E6-BB40-95959A6D85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AZ321</xm:sqref>
        </x14:conditionalFormatting>
        <x14:conditionalFormatting xmlns:xm="http://schemas.microsoft.com/office/excel/2006/main">
          <x14:cfRule type="dataBar" id="{5E632290-3B6F-4F7F-9346-C7F9F57A95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AZ322</xm:sqref>
        </x14:conditionalFormatting>
        <x14:conditionalFormatting xmlns:xm="http://schemas.microsoft.com/office/excel/2006/main">
          <x14:cfRule type="dataBar" id="{932185D9-D44B-4575-B68B-A9A31AE965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AZ23</xm:sqref>
        </x14:conditionalFormatting>
        <x14:conditionalFormatting xmlns:xm="http://schemas.microsoft.com/office/excel/2006/main">
          <x14:cfRule type="dataBar" id="{2B7DDD22-62FA-4742-817D-21F5CE62E7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AZ24:AZ27</xm:sqref>
        </x14:conditionalFormatting>
        <x14:conditionalFormatting xmlns:xm="http://schemas.microsoft.com/office/excel/2006/main">
          <x14:cfRule type="dataBar" id="{8C6002EE-7455-433D-9DDF-4EA5CFB225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AZ28</xm:sqref>
        </x14:conditionalFormatting>
        <x14:conditionalFormatting xmlns:xm="http://schemas.microsoft.com/office/excel/2006/main">
          <x14:cfRule type="dataBar" id="{8D595B6A-89B1-4228-A5F9-54B638EE3B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AZ116 AZ125</xm:sqref>
        </x14:conditionalFormatting>
        <x14:conditionalFormatting xmlns:xm="http://schemas.microsoft.com/office/excel/2006/main">
          <x14:cfRule type="dataBar" id="{AFE7B9F6-85C4-4F49-ABF0-383916BF00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AZ120:AZ122 AZ129:AZ131 AZ117 AZ126</xm:sqref>
        </x14:conditionalFormatting>
        <x14:conditionalFormatting xmlns:xm="http://schemas.microsoft.com/office/excel/2006/main">
          <x14:cfRule type="dataBar" id="{2C67720E-FE13-4F44-9977-33C2239ADD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AZ123 AZ132</xm:sqref>
        </x14:conditionalFormatting>
        <x14:conditionalFormatting xmlns:xm="http://schemas.microsoft.com/office/excel/2006/main">
          <x14:cfRule type="dataBar" id="{0DB7D3AA-12AF-4B9A-AEF6-3B145AD741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AZ118 AZ127</xm:sqref>
        </x14:conditionalFormatting>
        <x14:conditionalFormatting xmlns:xm="http://schemas.microsoft.com/office/excel/2006/main">
          <x14:cfRule type="dataBar" id="{23EF2A0F-B558-444E-AFB0-44EEB2A468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AZ119 AZ128</xm:sqref>
        </x14:conditionalFormatting>
        <x14:conditionalFormatting xmlns:xm="http://schemas.microsoft.com/office/excel/2006/main">
          <x14:cfRule type="dataBar" id="{B41BC64B-71B2-49F1-B0F1-368E440B2C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AZ170</xm:sqref>
        </x14:conditionalFormatting>
        <x14:conditionalFormatting xmlns:xm="http://schemas.microsoft.com/office/excel/2006/main">
          <x14:cfRule type="dataBar" id="{7E403C8B-A76D-415F-A7E6-6FA19EE030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AZ174:AZ176</xm:sqref>
        </x14:conditionalFormatting>
        <x14:conditionalFormatting xmlns:xm="http://schemas.microsoft.com/office/excel/2006/main">
          <x14:cfRule type="dataBar" id="{D7727BAD-72F8-470F-B5B0-9FA43F23E3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AZ177</xm:sqref>
        </x14:conditionalFormatting>
        <x14:conditionalFormatting xmlns:xm="http://schemas.microsoft.com/office/excel/2006/main">
          <x14:cfRule type="dataBar" id="{DA420E42-F829-4D82-A469-6C5EAC81E6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AZ172</xm:sqref>
        </x14:conditionalFormatting>
        <x14:conditionalFormatting xmlns:xm="http://schemas.microsoft.com/office/excel/2006/main">
          <x14:cfRule type="dataBar" id="{229D7C3E-E1A4-4277-B7F3-6CC691534B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AZ173</xm:sqref>
        </x14:conditionalFormatting>
        <x14:conditionalFormatting xmlns:xm="http://schemas.microsoft.com/office/excel/2006/main">
          <x14:cfRule type="dataBar" id="{4165F0F2-E210-4B16-97DA-502C5BBBBB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AZ292 AZ301</xm:sqref>
        </x14:conditionalFormatting>
        <x14:conditionalFormatting xmlns:xm="http://schemas.microsoft.com/office/excel/2006/main">
          <x14:cfRule type="dataBar" id="{6AC7F910-872E-463C-AB0C-EA048A6711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AZ296:AZ298 AZ305:AZ307 AZ293 AZ302</xm:sqref>
        </x14:conditionalFormatting>
        <x14:conditionalFormatting xmlns:xm="http://schemas.microsoft.com/office/excel/2006/main">
          <x14:cfRule type="dataBar" id="{86C7056C-DB17-4BBF-980F-942E3A67FD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AZ299 AZ308</xm:sqref>
        </x14:conditionalFormatting>
        <x14:conditionalFormatting xmlns:xm="http://schemas.microsoft.com/office/excel/2006/main">
          <x14:cfRule type="dataBar" id="{DE3272F2-1E90-4426-B6C2-12946EAB60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AZ294 AZ303</xm:sqref>
        </x14:conditionalFormatting>
        <x14:conditionalFormatting xmlns:xm="http://schemas.microsoft.com/office/excel/2006/main">
          <x14:cfRule type="dataBar" id="{9FDAC5F1-879F-4440-BD9F-891B1BCB89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AZ295 AZ304</xm:sqref>
        </x14:conditionalFormatting>
        <x14:conditionalFormatting xmlns:xm="http://schemas.microsoft.com/office/excel/2006/main">
          <x14:cfRule type="dataBar" id="{552B14ED-98C2-4645-A994-2D2746A973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AZ346</xm:sqref>
        </x14:conditionalFormatting>
        <x14:conditionalFormatting xmlns:xm="http://schemas.microsoft.com/office/excel/2006/main">
          <x14:cfRule type="dataBar" id="{B5226CD0-F087-4F42-A1BA-9847FB119C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AZ350:AZ352 AZ347</xm:sqref>
        </x14:conditionalFormatting>
        <x14:conditionalFormatting xmlns:xm="http://schemas.microsoft.com/office/excel/2006/main">
          <x14:cfRule type="dataBar" id="{9E991DED-15AC-402C-89EA-A1A6ACB2D0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AZ353</xm:sqref>
        </x14:conditionalFormatting>
        <x14:conditionalFormatting xmlns:xm="http://schemas.microsoft.com/office/excel/2006/main">
          <x14:cfRule type="dataBar" id="{DB20E886-B37D-49F4-BCFA-7DAE3FB0BC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AZ348</xm:sqref>
        </x14:conditionalFormatting>
        <x14:conditionalFormatting xmlns:xm="http://schemas.microsoft.com/office/excel/2006/main">
          <x14:cfRule type="dataBar" id="{57BB406E-3D33-4A07-919D-C00B9593A5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AZ349</xm:sqref>
        </x14:conditionalFormatting>
        <x14:conditionalFormatting xmlns:xm="http://schemas.microsoft.com/office/excel/2006/main">
          <x14:cfRule type="dataBar" id="{854C4770-C2E9-4379-8993-90A06467D4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AZ134</xm:sqref>
        </x14:conditionalFormatting>
        <x14:conditionalFormatting xmlns:xm="http://schemas.microsoft.com/office/excel/2006/main">
          <x14:cfRule type="dataBar" id="{8583217A-74F9-41B0-8928-AEBA127416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AZ138:AZ140 AZ135</xm:sqref>
        </x14:conditionalFormatting>
        <x14:conditionalFormatting xmlns:xm="http://schemas.microsoft.com/office/excel/2006/main">
          <x14:cfRule type="dataBar" id="{1951E0DC-9B61-4619-8F43-CCA3917BDF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AZ141</xm:sqref>
        </x14:conditionalFormatting>
        <x14:conditionalFormatting xmlns:xm="http://schemas.microsoft.com/office/excel/2006/main">
          <x14:cfRule type="dataBar" id="{DC9A6AE4-B5C4-4C04-8EA0-55C57F854D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AZ136</xm:sqref>
        </x14:conditionalFormatting>
        <x14:conditionalFormatting xmlns:xm="http://schemas.microsoft.com/office/excel/2006/main">
          <x14:cfRule type="dataBar" id="{1F886B51-313F-4327-98D4-9602129122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AZ137</xm:sqref>
        </x14:conditionalFormatting>
        <x14:conditionalFormatting xmlns:xm="http://schemas.microsoft.com/office/excel/2006/main">
          <x14:cfRule type="dataBar" id="{86C12255-30CE-48E1-BF34-B06D9EBBA4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AZ310</xm:sqref>
        </x14:conditionalFormatting>
        <x14:conditionalFormatting xmlns:xm="http://schemas.microsoft.com/office/excel/2006/main">
          <x14:cfRule type="dataBar" id="{89274A5D-2FF0-4246-B28F-21C36A33D4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AZ314:AZ316 AZ311</xm:sqref>
        </x14:conditionalFormatting>
        <x14:conditionalFormatting xmlns:xm="http://schemas.microsoft.com/office/excel/2006/main">
          <x14:cfRule type="dataBar" id="{DCE917F3-6A5F-4DF8-84A8-2D3B2232A4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AZ317</xm:sqref>
        </x14:conditionalFormatting>
        <x14:conditionalFormatting xmlns:xm="http://schemas.microsoft.com/office/excel/2006/main">
          <x14:cfRule type="dataBar" id="{56E570C7-30AE-4F9B-A011-8619667221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AZ312</xm:sqref>
        </x14:conditionalFormatting>
        <x14:conditionalFormatting xmlns:xm="http://schemas.microsoft.com/office/excel/2006/main">
          <x14:cfRule type="dataBar" id="{99F02D60-D330-4EF8-A06E-FF36F9061D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AZ313</xm:sqref>
        </x14:conditionalFormatting>
        <x14:conditionalFormatting xmlns:xm="http://schemas.microsoft.com/office/excel/2006/main">
          <x14:cfRule type="dataBar" id="{AEEF2AEF-0FB3-419C-80D9-21B783EDED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AZ162</xm:sqref>
        </x14:conditionalFormatting>
        <x14:conditionalFormatting xmlns:xm="http://schemas.microsoft.com/office/excel/2006/main">
          <x14:cfRule type="dataBar" id="{B844ADBA-BB50-44BF-8C42-6515868543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AZ161</xm:sqref>
        </x14:conditionalFormatting>
        <x14:conditionalFormatting xmlns:xm="http://schemas.microsoft.com/office/excel/2006/main">
          <x14:cfRule type="dataBar" id="{931C0E26-A91F-4F59-BAFB-62E8AC9343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AZ165:AZ167</xm:sqref>
        </x14:conditionalFormatting>
        <x14:conditionalFormatting xmlns:xm="http://schemas.microsoft.com/office/excel/2006/main">
          <x14:cfRule type="dataBar" id="{42884FC0-37BB-44B1-ADFF-CB24693FC2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AZ168</xm:sqref>
        </x14:conditionalFormatting>
        <x14:conditionalFormatting xmlns:xm="http://schemas.microsoft.com/office/excel/2006/main">
          <x14:cfRule type="dataBar" id="{4A04CF2B-8233-4916-8E47-699E88E3D4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AZ163</xm:sqref>
        </x14:conditionalFormatting>
        <x14:conditionalFormatting xmlns:xm="http://schemas.microsoft.com/office/excel/2006/main">
          <x14:cfRule type="dataBar" id="{DC592A14-A9C4-486C-858D-17B7AC4CA8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AZ164</xm:sqref>
        </x14:conditionalFormatting>
        <x14:conditionalFormatting xmlns:xm="http://schemas.microsoft.com/office/excel/2006/main">
          <x14:cfRule type="dataBar" id="{B5260AEF-DA76-4929-94D0-9D5F70544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AZ337</xm:sqref>
        </x14:conditionalFormatting>
        <x14:conditionalFormatting xmlns:xm="http://schemas.microsoft.com/office/excel/2006/main">
          <x14:cfRule type="dataBar" id="{12A92EFE-1838-459C-872A-425B330375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AZ341:AZ343 AZ338</xm:sqref>
        </x14:conditionalFormatting>
        <x14:conditionalFormatting xmlns:xm="http://schemas.microsoft.com/office/excel/2006/main">
          <x14:cfRule type="dataBar" id="{80FF124E-5CEE-4BE3-84C4-211D43EC79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AZ344</xm:sqref>
        </x14:conditionalFormatting>
        <x14:conditionalFormatting xmlns:xm="http://schemas.microsoft.com/office/excel/2006/main">
          <x14:cfRule type="dataBar" id="{586BE688-181D-4866-B2D1-5AF4837383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AZ339</xm:sqref>
        </x14:conditionalFormatting>
        <x14:conditionalFormatting xmlns:xm="http://schemas.microsoft.com/office/excel/2006/main">
          <x14:cfRule type="dataBar" id="{CC0AB7AE-63C9-4704-826F-C95344249B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AZ340</xm:sqref>
        </x14:conditionalFormatting>
        <x14:conditionalFormatting xmlns:xm="http://schemas.microsoft.com/office/excel/2006/main">
          <x14:cfRule type="dataBar" id="{8744D7B0-314D-4CC6-81D0-693C24097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</xm:sqref>
        </x14:conditionalFormatting>
        <x14:conditionalFormatting xmlns:xm="http://schemas.microsoft.com/office/excel/2006/main">
          <x14:cfRule type="dataBar" id="{DE503842-1A25-42A9-BB65-3B55E5F6F4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</xm:sqref>
        </x14:conditionalFormatting>
        <x14:conditionalFormatting xmlns:xm="http://schemas.microsoft.com/office/excel/2006/main">
          <x14:cfRule type="dataBar" id="{A2DD8C0F-1336-4390-BD86-C434484E1F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AZ17:AZ20</xm:sqref>
        </x14:conditionalFormatting>
        <x14:conditionalFormatting xmlns:xm="http://schemas.microsoft.com/office/excel/2006/main">
          <x14:cfRule type="dataBar" id="{E92412B5-F55D-4C2F-B772-F68A9B7569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AZ21</xm:sqref>
        </x14:conditionalFormatting>
        <x14:conditionalFormatting xmlns:xm="http://schemas.microsoft.com/office/excel/2006/main">
          <x14:cfRule type="dataBar" id="{F3E4C4D1-94DF-4F12-BC1B-601B79B4DB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AZ192</xm:sqref>
        </x14:conditionalFormatting>
        <x14:conditionalFormatting xmlns:xm="http://schemas.microsoft.com/office/excel/2006/main">
          <x14:cfRule type="dataBar" id="{A0E710CE-BBB7-42E5-8839-7B149DA5A4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AZ193:AZ196</xm:sqref>
        </x14:conditionalFormatting>
        <x14:conditionalFormatting xmlns:xm="http://schemas.microsoft.com/office/excel/2006/main">
          <x14:cfRule type="dataBar" id="{FB90E7DC-44C2-453B-ABAF-70F2556576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AZ197</xm:sqref>
        </x14:conditionalFormatting>
        <x14:conditionalFormatting xmlns:xm="http://schemas.microsoft.com/office/excel/2006/main">
          <x14:cfRule type="dataBar" id="{FE239409-CB1B-4FAD-BCD4-CAA7D3FFED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AZ89</xm:sqref>
        </x14:conditionalFormatting>
        <x14:conditionalFormatting xmlns:xm="http://schemas.microsoft.com/office/excel/2006/main">
          <x14:cfRule type="dataBar" id="{D54E39C4-731D-4BE8-8B9C-1CF352CA38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AZ93:AZ95 AZ90</xm:sqref>
        </x14:conditionalFormatting>
        <x14:conditionalFormatting xmlns:xm="http://schemas.microsoft.com/office/excel/2006/main">
          <x14:cfRule type="dataBar" id="{8DB567B7-E89E-4339-A1FF-A7D52A02E5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AZ96</xm:sqref>
        </x14:conditionalFormatting>
        <x14:conditionalFormatting xmlns:xm="http://schemas.microsoft.com/office/excel/2006/main">
          <x14:cfRule type="dataBar" id="{74D6BEE6-C0DF-45E9-8C39-1EF81A2F13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AZ91</xm:sqref>
        </x14:conditionalFormatting>
        <x14:conditionalFormatting xmlns:xm="http://schemas.microsoft.com/office/excel/2006/main">
          <x14:cfRule type="dataBar" id="{245735FB-7143-4F1F-BA2B-7946E770B4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AZ92</xm:sqref>
        </x14:conditionalFormatting>
        <x14:conditionalFormatting xmlns:xm="http://schemas.microsoft.com/office/excel/2006/main">
          <x14:cfRule type="dataBar" id="{D124C2F8-CE41-4802-8AA9-210647EC24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AZ265</xm:sqref>
        </x14:conditionalFormatting>
        <x14:conditionalFormatting xmlns:xm="http://schemas.microsoft.com/office/excel/2006/main">
          <x14:cfRule type="dataBar" id="{2F85C568-8328-4C54-8FB4-F8630BAEF9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AZ269:AZ271 AZ266</xm:sqref>
        </x14:conditionalFormatting>
        <x14:conditionalFormatting xmlns:xm="http://schemas.microsoft.com/office/excel/2006/main">
          <x14:cfRule type="dataBar" id="{9392F3F3-F539-4415-8A48-37D5F12001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AZ272</xm:sqref>
        </x14:conditionalFormatting>
        <x14:conditionalFormatting xmlns:xm="http://schemas.microsoft.com/office/excel/2006/main">
          <x14:cfRule type="dataBar" id="{FEBFD08A-3D41-4F7A-BC28-8EA48DCEA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AZ267</xm:sqref>
        </x14:conditionalFormatting>
        <x14:conditionalFormatting xmlns:xm="http://schemas.microsoft.com/office/excel/2006/main">
          <x14:cfRule type="dataBar" id="{942B824D-FEF3-40BC-A207-977E57200D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AZ268</xm:sqref>
        </x14:conditionalFormatting>
        <x14:conditionalFormatting xmlns:xm="http://schemas.microsoft.com/office/excel/2006/main">
          <x14:cfRule type="dataBar" id="{4F4DFDD1-B82F-41F3-B5EE-0B8B3C89C1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AZ37</xm:sqref>
        </x14:conditionalFormatting>
        <x14:conditionalFormatting xmlns:xm="http://schemas.microsoft.com/office/excel/2006/main">
          <x14:cfRule type="dataBar" id="{7D208BA4-05B9-461C-A4B3-3B63A95DAF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AZ38:AZ41</xm:sqref>
        </x14:conditionalFormatting>
        <x14:conditionalFormatting xmlns:xm="http://schemas.microsoft.com/office/excel/2006/main">
          <x14:cfRule type="dataBar" id="{BAFFB13E-2296-4542-8627-4AB3635898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AZ42</xm:sqref>
        </x14:conditionalFormatting>
        <x14:conditionalFormatting xmlns:xm="http://schemas.microsoft.com/office/excel/2006/main">
          <x14:cfRule type="dataBar" id="{9055359A-37B0-4265-937A-15795299B7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AZ30</xm:sqref>
        </x14:conditionalFormatting>
        <x14:conditionalFormatting xmlns:xm="http://schemas.microsoft.com/office/excel/2006/main">
          <x14:cfRule type="dataBar" id="{9B1E7175-B736-493E-9097-42C7C1AC76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AZ31:AZ34</xm:sqref>
        </x14:conditionalFormatting>
        <x14:conditionalFormatting xmlns:xm="http://schemas.microsoft.com/office/excel/2006/main">
          <x14:cfRule type="dataBar" id="{2F107F2B-70C0-46D1-917F-CE84952DE3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AZ35</xm:sqref>
        </x14:conditionalFormatting>
        <x14:conditionalFormatting xmlns:xm="http://schemas.microsoft.com/office/excel/2006/main">
          <x14:cfRule type="dataBar" id="{A2770C3F-EA09-4598-9135-1177DDFD91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AZ199</xm:sqref>
        </x14:conditionalFormatting>
        <x14:conditionalFormatting xmlns:xm="http://schemas.microsoft.com/office/excel/2006/main">
          <x14:cfRule type="dataBar" id="{71BBEBE9-F5EC-4BC0-B78B-0AE11CA9C4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AZ200:AZ203</xm:sqref>
        </x14:conditionalFormatting>
        <x14:conditionalFormatting xmlns:xm="http://schemas.microsoft.com/office/excel/2006/main">
          <x14:cfRule type="dataBar" id="{BEBB0F08-C056-4A6B-B6C8-6A84C99888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AZ204</xm:sqref>
        </x14:conditionalFormatting>
        <x14:conditionalFormatting xmlns:xm="http://schemas.microsoft.com/office/excel/2006/main">
          <x14:cfRule type="dataBar" id="{D62E9ACF-3307-4646-A832-54C8AE1A5D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AZ206</xm:sqref>
        </x14:conditionalFormatting>
        <x14:conditionalFormatting xmlns:xm="http://schemas.microsoft.com/office/excel/2006/main">
          <x14:cfRule type="dataBar" id="{AEAEE25E-35D9-4418-98A7-97611F8DFC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AZ207:AZ210</xm:sqref>
        </x14:conditionalFormatting>
        <x14:conditionalFormatting xmlns:xm="http://schemas.microsoft.com/office/excel/2006/main">
          <x14:cfRule type="dataBar" id="{B1A3D163-83C3-41FC-843E-405A78D553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AZ211</xm:sqref>
        </x14:conditionalFormatting>
        <x14:conditionalFormatting xmlns:xm="http://schemas.microsoft.com/office/excel/2006/main">
          <x14:cfRule type="dataBar" id="{8131885B-6D70-4833-9175-71FD310663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AZ213</xm:sqref>
        </x14:conditionalFormatting>
        <x14:conditionalFormatting xmlns:xm="http://schemas.microsoft.com/office/excel/2006/main">
          <x14:cfRule type="dataBar" id="{4D7E2DAA-5463-4FE9-930B-67C8F11A95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AZ214:AZ217</xm:sqref>
        </x14:conditionalFormatting>
        <x14:conditionalFormatting xmlns:xm="http://schemas.microsoft.com/office/excel/2006/main">
          <x14:cfRule type="dataBar" id="{B9BEFEE7-8C05-4518-B100-38ECBD59F9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AZ218</xm:sqref>
        </x14:conditionalFormatting>
        <x14:conditionalFormatting xmlns:xm="http://schemas.microsoft.com/office/excel/2006/main">
          <x14:cfRule type="dataBar" id="{88AC8BCB-BFF7-4A22-A84A-6CF25B5320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AZ405 AZ450 AZ414 AZ423 AZ459</xm:sqref>
        </x14:conditionalFormatting>
        <x14:conditionalFormatting xmlns:xm="http://schemas.microsoft.com/office/excel/2006/main">
          <x14:cfRule type="dataBar" id="{07C498CF-8216-4A5B-971A-C0CB511DF2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AZ454:AZ456 AZ409:AZ411 AZ418:AZ420 AZ427:AZ429 AZ463:AZ465 AZ406 AZ415 AZ424 AZ451 AZ460</xm:sqref>
        </x14:conditionalFormatting>
        <x14:conditionalFormatting xmlns:xm="http://schemas.microsoft.com/office/excel/2006/main">
          <x14:cfRule type="dataBar" id="{0D1B1320-87C4-4BAE-932C-7E9CE36CDA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AZ412 AZ457 AZ421 AZ430 AZ466</xm:sqref>
        </x14:conditionalFormatting>
        <x14:conditionalFormatting xmlns:xm="http://schemas.microsoft.com/office/excel/2006/main">
          <x14:cfRule type="dataBar" id="{850A86B0-C3C3-4204-94F2-A78D37B40E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AZ407 AZ452 AZ416 AZ425 AZ461</xm:sqref>
        </x14:conditionalFormatting>
        <x14:conditionalFormatting xmlns:xm="http://schemas.microsoft.com/office/excel/2006/main">
          <x14:cfRule type="dataBar" id="{ED158A02-ABA2-4B72-A468-0A86378C6E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AZ408 AZ453 AZ417 AZ426 AZ462</xm:sqref>
        </x14:conditionalFormatting>
        <x14:conditionalFormatting xmlns:xm="http://schemas.microsoft.com/office/excel/2006/main">
          <x14:cfRule type="dataBar" id="{482350DE-94F3-4315-8DAE-571731ADA0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AZ432</xm:sqref>
        </x14:conditionalFormatting>
        <x14:conditionalFormatting xmlns:xm="http://schemas.microsoft.com/office/excel/2006/main">
          <x14:cfRule type="dataBar" id="{78BBFD6A-6DAB-4E54-9A6F-C6DC7B86C0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AZ436:AZ438 AZ433</xm:sqref>
        </x14:conditionalFormatting>
        <x14:conditionalFormatting xmlns:xm="http://schemas.microsoft.com/office/excel/2006/main">
          <x14:cfRule type="dataBar" id="{5F3BDB9C-4290-4CEF-83C3-D1D5E84E60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AZ439</xm:sqref>
        </x14:conditionalFormatting>
        <x14:conditionalFormatting xmlns:xm="http://schemas.microsoft.com/office/excel/2006/main">
          <x14:cfRule type="dataBar" id="{C86EB87F-C3AC-4DCA-8581-D2EF86CB1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AZ434</xm:sqref>
        </x14:conditionalFormatting>
        <x14:conditionalFormatting xmlns:xm="http://schemas.microsoft.com/office/excel/2006/main">
          <x14:cfRule type="dataBar" id="{06EAAB84-74F7-43CE-9500-7050793E0B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AZ435</xm:sqref>
        </x14:conditionalFormatting>
        <x14:conditionalFormatting xmlns:xm="http://schemas.microsoft.com/office/excel/2006/main">
          <x14:cfRule type="dataBar" id="{D55C77D0-AA4A-4EB6-93EA-CF27B17B20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AZ361</xm:sqref>
        </x14:conditionalFormatting>
        <x14:conditionalFormatting xmlns:xm="http://schemas.microsoft.com/office/excel/2006/main">
          <x14:cfRule type="dataBar" id="{8316C54B-B76D-400E-BB98-BF2290ABC4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AZ362:AZ365</xm:sqref>
        </x14:conditionalFormatting>
        <x14:conditionalFormatting xmlns:xm="http://schemas.microsoft.com/office/excel/2006/main">
          <x14:cfRule type="dataBar" id="{C1EEBBDA-F449-4382-A729-E2C8334591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AZ366</xm:sqref>
        </x14:conditionalFormatting>
        <x14:conditionalFormatting xmlns:xm="http://schemas.microsoft.com/office/excel/2006/main">
          <x14:cfRule type="dataBar" id="{0ECA6D0E-063A-4AE8-9EA4-206006D39C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AZ397</xm:sqref>
        </x14:conditionalFormatting>
        <x14:conditionalFormatting xmlns:xm="http://schemas.microsoft.com/office/excel/2006/main">
          <x14:cfRule type="dataBar" id="{FFABE993-4733-4405-A29B-00D49E5314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AZ396</xm:sqref>
        </x14:conditionalFormatting>
        <x14:conditionalFormatting xmlns:xm="http://schemas.microsoft.com/office/excel/2006/main">
          <x14:cfRule type="dataBar" id="{984F6B98-6781-48CD-947C-4AE332A122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AZ400:AZ402</xm:sqref>
        </x14:conditionalFormatting>
        <x14:conditionalFormatting xmlns:xm="http://schemas.microsoft.com/office/excel/2006/main">
          <x14:cfRule type="dataBar" id="{04716D56-C010-449A-BA18-C359D61A2D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AZ403</xm:sqref>
        </x14:conditionalFormatting>
        <x14:conditionalFormatting xmlns:xm="http://schemas.microsoft.com/office/excel/2006/main">
          <x14:cfRule type="dataBar" id="{2157D524-153E-4DFB-98A9-E0A354BE89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AZ398</xm:sqref>
        </x14:conditionalFormatting>
        <x14:conditionalFormatting xmlns:xm="http://schemas.microsoft.com/office/excel/2006/main">
          <x14:cfRule type="dataBar" id="{16D573D9-F66F-407F-84CF-D1A555FC00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AZ399</xm:sqref>
        </x14:conditionalFormatting>
        <x14:conditionalFormatting xmlns:xm="http://schemas.microsoft.com/office/excel/2006/main">
          <x14:cfRule type="dataBar" id="{33F6565B-2DB9-4829-B0C1-FCDD32D040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AZ504</xm:sqref>
        </x14:conditionalFormatting>
        <x14:conditionalFormatting xmlns:xm="http://schemas.microsoft.com/office/excel/2006/main">
          <x14:cfRule type="dataBar" id="{81003B8B-2A59-4683-963A-5CEEDF430E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AZ508:AZ510 AZ505</xm:sqref>
        </x14:conditionalFormatting>
        <x14:conditionalFormatting xmlns:xm="http://schemas.microsoft.com/office/excel/2006/main">
          <x14:cfRule type="dataBar" id="{180CBDA6-AED9-4FE4-B262-11C29C6190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AZ511</xm:sqref>
        </x14:conditionalFormatting>
        <x14:conditionalFormatting xmlns:xm="http://schemas.microsoft.com/office/excel/2006/main">
          <x14:cfRule type="dataBar" id="{ABC79DBA-1103-419F-8179-16D1DEEF71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AZ506</xm:sqref>
        </x14:conditionalFormatting>
        <x14:conditionalFormatting xmlns:xm="http://schemas.microsoft.com/office/excel/2006/main">
          <x14:cfRule type="dataBar" id="{A4FBF86D-C2B6-4CEC-B1B8-383575A184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AZ507</xm:sqref>
        </x14:conditionalFormatting>
        <x14:conditionalFormatting xmlns:xm="http://schemas.microsoft.com/office/excel/2006/main">
          <x14:cfRule type="dataBar" id="{179B5418-432D-4F29-AA73-BA8C34A4B1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AZ495</xm:sqref>
        </x14:conditionalFormatting>
        <x14:conditionalFormatting xmlns:xm="http://schemas.microsoft.com/office/excel/2006/main">
          <x14:cfRule type="dataBar" id="{E368BBD6-0150-4274-A91F-E9BDB10898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AZ499:AZ501 AZ496</xm:sqref>
        </x14:conditionalFormatting>
        <x14:conditionalFormatting xmlns:xm="http://schemas.microsoft.com/office/excel/2006/main">
          <x14:cfRule type="dataBar" id="{C8EB3DA1-9BBF-4DAC-B7AE-EF777C447F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AZ502</xm:sqref>
        </x14:conditionalFormatting>
        <x14:conditionalFormatting xmlns:xm="http://schemas.microsoft.com/office/excel/2006/main">
          <x14:cfRule type="dataBar" id="{48D1B1F3-45EE-4458-B63F-3C35B76FA4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AZ497</xm:sqref>
        </x14:conditionalFormatting>
        <x14:conditionalFormatting xmlns:xm="http://schemas.microsoft.com/office/excel/2006/main">
          <x14:cfRule type="dataBar" id="{DF2A8005-080F-482C-AC9E-0BA4AB66E5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AZ498</xm:sqref>
        </x14:conditionalFormatting>
        <x14:conditionalFormatting xmlns:xm="http://schemas.microsoft.com/office/excel/2006/main">
          <x14:cfRule type="dataBar" id="{A4961F39-3D57-43A6-B9DB-133242E247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AZ468 AZ477</xm:sqref>
        </x14:conditionalFormatting>
        <x14:conditionalFormatting xmlns:xm="http://schemas.microsoft.com/office/excel/2006/main">
          <x14:cfRule type="dataBar" id="{F8495C0D-6955-488B-A44D-FD37B3690B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AZ472:AZ474 AZ481:AZ483 AZ469 AZ478</xm:sqref>
        </x14:conditionalFormatting>
        <x14:conditionalFormatting xmlns:xm="http://schemas.microsoft.com/office/excel/2006/main">
          <x14:cfRule type="dataBar" id="{85FBD6C3-8A5A-4690-B95B-8E48813E37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AZ475 AZ484</xm:sqref>
        </x14:conditionalFormatting>
        <x14:conditionalFormatting xmlns:xm="http://schemas.microsoft.com/office/excel/2006/main">
          <x14:cfRule type="dataBar" id="{238C53B8-1803-472F-BA19-FC1E499320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AZ470 AZ479</xm:sqref>
        </x14:conditionalFormatting>
        <x14:conditionalFormatting xmlns:xm="http://schemas.microsoft.com/office/excel/2006/main">
          <x14:cfRule type="dataBar" id="{2F962F2D-151F-4ECC-9C29-19DA6E8433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AZ471 AZ480</xm:sqref>
        </x14:conditionalFormatting>
        <x14:conditionalFormatting xmlns:xm="http://schemas.microsoft.com/office/excel/2006/main">
          <x14:cfRule type="dataBar" id="{39D77282-A5B1-47E7-B155-61DCF938ED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AZ522</xm:sqref>
        </x14:conditionalFormatting>
        <x14:conditionalFormatting xmlns:xm="http://schemas.microsoft.com/office/excel/2006/main">
          <x14:cfRule type="dataBar" id="{C72D97FF-E16C-4089-A094-AF31AC0BF9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AZ526:AZ528 AZ523</xm:sqref>
        </x14:conditionalFormatting>
        <x14:conditionalFormatting xmlns:xm="http://schemas.microsoft.com/office/excel/2006/main">
          <x14:cfRule type="dataBar" id="{9C14904E-3B9C-4ED4-B612-B58A5C9152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AZ529</xm:sqref>
        </x14:conditionalFormatting>
        <x14:conditionalFormatting xmlns:xm="http://schemas.microsoft.com/office/excel/2006/main">
          <x14:cfRule type="dataBar" id="{550AFD68-C87C-4A15-85C1-AE4BC56F6F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AZ524</xm:sqref>
        </x14:conditionalFormatting>
        <x14:conditionalFormatting xmlns:xm="http://schemas.microsoft.com/office/excel/2006/main">
          <x14:cfRule type="dataBar" id="{0F56F3BF-B174-443F-8820-9ACC096BB2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AZ525</xm:sqref>
        </x14:conditionalFormatting>
        <x14:conditionalFormatting xmlns:xm="http://schemas.microsoft.com/office/excel/2006/main">
          <x14:cfRule type="dataBar" id="{127F72AF-3492-4186-934C-A5472004DF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AZ486</xm:sqref>
        </x14:conditionalFormatting>
        <x14:conditionalFormatting xmlns:xm="http://schemas.microsoft.com/office/excel/2006/main">
          <x14:cfRule type="dataBar" id="{D68FA4BA-324C-4126-BC19-3B73B02E72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AZ490:AZ492 AZ487</xm:sqref>
        </x14:conditionalFormatting>
        <x14:conditionalFormatting xmlns:xm="http://schemas.microsoft.com/office/excel/2006/main">
          <x14:cfRule type="dataBar" id="{89216C61-B2AB-47B6-BF0B-B566B6746D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AZ493</xm:sqref>
        </x14:conditionalFormatting>
        <x14:conditionalFormatting xmlns:xm="http://schemas.microsoft.com/office/excel/2006/main">
          <x14:cfRule type="dataBar" id="{5F0F72D9-0B44-4B0B-B028-A2CF3ABA41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AZ488</xm:sqref>
        </x14:conditionalFormatting>
        <x14:conditionalFormatting xmlns:xm="http://schemas.microsoft.com/office/excel/2006/main">
          <x14:cfRule type="dataBar" id="{538AF997-B53F-4CC9-860F-5680D24BDA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AZ489</xm:sqref>
        </x14:conditionalFormatting>
        <x14:conditionalFormatting xmlns:xm="http://schemas.microsoft.com/office/excel/2006/main">
          <x14:cfRule type="dataBar" id="{506242BF-C30E-4959-B065-6802DBA93C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AZ513</xm:sqref>
        </x14:conditionalFormatting>
        <x14:conditionalFormatting xmlns:xm="http://schemas.microsoft.com/office/excel/2006/main">
          <x14:cfRule type="dataBar" id="{A5F5F271-F28C-4B23-9B46-8F0A0179F2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AZ517:AZ519 AZ514</xm:sqref>
        </x14:conditionalFormatting>
        <x14:conditionalFormatting xmlns:xm="http://schemas.microsoft.com/office/excel/2006/main">
          <x14:cfRule type="dataBar" id="{057F9DF8-527E-4334-BD5E-F622D3411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AZ520</xm:sqref>
        </x14:conditionalFormatting>
        <x14:conditionalFormatting xmlns:xm="http://schemas.microsoft.com/office/excel/2006/main">
          <x14:cfRule type="dataBar" id="{E13B290C-0F1C-47A9-9A0C-C9B6C73BBC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AZ515</xm:sqref>
        </x14:conditionalFormatting>
        <x14:conditionalFormatting xmlns:xm="http://schemas.microsoft.com/office/excel/2006/main">
          <x14:cfRule type="dataBar" id="{F792A99B-EF57-42BB-B4A1-BE1BD6555A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AZ516</xm:sqref>
        </x14:conditionalFormatting>
        <x14:conditionalFormatting xmlns:xm="http://schemas.microsoft.com/office/excel/2006/main">
          <x14:cfRule type="dataBar" id="{B246C232-83C3-48D0-AC99-4C77657503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AZ368</xm:sqref>
        </x14:conditionalFormatting>
        <x14:conditionalFormatting xmlns:xm="http://schemas.microsoft.com/office/excel/2006/main">
          <x14:cfRule type="dataBar" id="{85F9067E-4213-4CB1-AA66-325A5E2A4D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AZ369:AZ372</xm:sqref>
        </x14:conditionalFormatting>
        <x14:conditionalFormatting xmlns:xm="http://schemas.microsoft.com/office/excel/2006/main">
          <x14:cfRule type="dataBar" id="{964BAECD-1343-4CAA-AB50-95FCE74E35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AZ373</xm:sqref>
        </x14:conditionalFormatting>
        <x14:conditionalFormatting xmlns:xm="http://schemas.microsoft.com/office/excel/2006/main">
          <x14:cfRule type="dataBar" id="{951E8C3D-584F-4366-B827-FF3CB7CF67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AZ441</xm:sqref>
        </x14:conditionalFormatting>
        <x14:conditionalFormatting xmlns:xm="http://schemas.microsoft.com/office/excel/2006/main">
          <x14:cfRule type="dataBar" id="{F4E67680-F8DC-4F39-978C-1430B2F4B7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AZ445:AZ447 AZ442</xm:sqref>
        </x14:conditionalFormatting>
        <x14:conditionalFormatting xmlns:xm="http://schemas.microsoft.com/office/excel/2006/main">
          <x14:cfRule type="dataBar" id="{11D856D6-843C-444E-9924-3AC92838AC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AZ448</xm:sqref>
        </x14:conditionalFormatting>
        <x14:conditionalFormatting xmlns:xm="http://schemas.microsoft.com/office/excel/2006/main">
          <x14:cfRule type="dataBar" id="{8BFE9B20-EA9A-43BD-B531-C7B31DF1D1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AZ443</xm:sqref>
        </x14:conditionalFormatting>
        <x14:conditionalFormatting xmlns:xm="http://schemas.microsoft.com/office/excel/2006/main">
          <x14:cfRule type="dataBar" id="{807F5828-1E0E-4031-9CFB-726FD7948D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AZ444</xm:sqref>
        </x14:conditionalFormatting>
        <x14:conditionalFormatting xmlns:xm="http://schemas.microsoft.com/office/excel/2006/main">
          <x14:cfRule type="dataBar" id="{CB838800-A614-4E82-9162-A5E8342E5A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AZ375</xm:sqref>
        </x14:conditionalFormatting>
        <x14:conditionalFormatting xmlns:xm="http://schemas.microsoft.com/office/excel/2006/main">
          <x14:cfRule type="dataBar" id="{2EB29768-AA63-44C0-B312-9B769BB535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AZ376:AZ379</xm:sqref>
        </x14:conditionalFormatting>
        <x14:conditionalFormatting xmlns:xm="http://schemas.microsoft.com/office/excel/2006/main">
          <x14:cfRule type="dataBar" id="{82C3926E-A956-4F32-8A22-3454CFEC6E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AZ380</xm:sqref>
        </x14:conditionalFormatting>
        <x14:conditionalFormatting xmlns:xm="http://schemas.microsoft.com/office/excel/2006/main">
          <x14:cfRule type="dataBar" id="{41904DC8-E688-4379-8C61-74BE73A4D3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AZ382</xm:sqref>
        </x14:conditionalFormatting>
        <x14:conditionalFormatting xmlns:xm="http://schemas.microsoft.com/office/excel/2006/main">
          <x14:cfRule type="dataBar" id="{FC41FABC-D23A-4DBD-BF1B-F4215F9928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AZ383:AZ386</xm:sqref>
        </x14:conditionalFormatting>
        <x14:conditionalFormatting xmlns:xm="http://schemas.microsoft.com/office/excel/2006/main">
          <x14:cfRule type="dataBar" id="{25CADDC5-8EA1-464B-A631-26CCE7D6DF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AZ387</xm:sqref>
        </x14:conditionalFormatting>
        <x14:conditionalFormatting xmlns:xm="http://schemas.microsoft.com/office/excel/2006/main">
          <x14:cfRule type="dataBar" id="{CDF6BDFD-3C59-407F-9A6F-D8A87649FC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AZ389</xm:sqref>
        </x14:conditionalFormatting>
        <x14:conditionalFormatting xmlns:xm="http://schemas.microsoft.com/office/excel/2006/main">
          <x14:cfRule type="dataBar" id="{1610DED0-486C-4F0A-92A7-351660AE23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AZ390:AZ393</xm:sqref>
        </x14:conditionalFormatting>
        <x14:conditionalFormatting xmlns:xm="http://schemas.microsoft.com/office/excel/2006/main">
          <x14:cfRule type="dataBar" id="{D7F5D7DC-514E-487A-8966-090DF648D6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AZ394</xm:sqref>
        </x14:conditionalFormatting>
        <x14:conditionalFormatting xmlns:xm="http://schemas.microsoft.com/office/excel/2006/main">
          <x14:cfRule type="dataBar" id="{DB75DFC2-A073-4FB9-B5D8-EF998EAA9B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AZ581 AZ626 AZ590 AZ599 AZ635</xm:sqref>
        </x14:conditionalFormatting>
        <x14:conditionalFormatting xmlns:xm="http://schemas.microsoft.com/office/excel/2006/main">
          <x14:cfRule type="dataBar" id="{4A0D7F91-FFF4-4F30-9C2F-BA74D0C3A6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AZ630:AZ632 AZ585:AZ587 AZ594:AZ596 AZ603:AZ605 AZ639:AZ641 AZ582 AZ591 AZ600 AZ627 AZ636</xm:sqref>
        </x14:conditionalFormatting>
        <x14:conditionalFormatting xmlns:xm="http://schemas.microsoft.com/office/excel/2006/main">
          <x14:cfRule type="dataBar" id="{F03C2457-B81C-4B53-BF7E-4481898CC7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AZ588 AZ633 AZ597 AZ606 AZ642</xm:sqref>
        </x14:conditionalFormatting>
        <x14:conditionalFormatting xmlns:xm="http://schemas.microsoft.com/office/excel/2006/main">
          <x14:cfRule type="dataBar" id="{F43DAA32-9D6F-4CBB-9946-7AC11DEF55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AZ583 AZ628 AZ592 AZ601 AZ637</xm:sqref>
        </x14:conditionalFormatting>
        <x14:conditionalFormatting xmlns:xm="http://schemas.microsoft.com/office/excel/2006/main">
          <x14:cfRule type="dataBar" id="{4140A5A7-B813-4F09-ACCA-AB9F45D07E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AZ584 AZ629 AZ593 AZ602 AZ638</xm:sqref>
        </x14:conditionalFormatting>
        <x14:conditionalFormatting xmlns:xm="http://schemas.microsoft.com/office/excel/2006/main">
          <x14:cfRule type="dataBar" id="{1662A78B-1445-4E8D-8A8F-FE55E38D14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AZ608</xm:sqref>
        </x14:conditionalFormatting>
        <x14:conditionalFormatting xmlns:xm="http://schemas.microsoft.com/office/excel/2006/main">
          <x14:cfRule type="dataBar" id="{DDC9EE55-8520-4C32-A395-B3F541BA35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AZ612:AZ614 AZ609</xm:sqref>
        </x14:conditionalFormatting>
        <x14:conditionalFormatting xmlns:xm="http://schemas.microsoft.com/office/excel/2006/main">
          <x14:cfRule type="dataBar" id="{735BF253-BC2E-49E5-A81B-96B7A9FB9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AZ615</xm:sqref>
        </x14:conditionalFormatting>
        <x14:conditionalFormatting xmlns:xm="http://schemas.microsoft.com/office/excel/2006/main">
          <x14:cfRule type="dataBar" id="{EB92A1EF-1B74-44A1-8D12-2E473944D9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AZ610</xm:sqref>
        </x14:conditionalFormatting>
        <x14:conditionalFormatting xmlns:xm="http://schemas.microsoft.com/office/excel/2006/main">
          <x14:cfRule type="dataBar" id="{E1337AF0-44CB-479C-8255-E870B05F46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AZ611</xm:sqref>
        </x14:conditionalFormatting>
        <x14:conditionalFormatting xmlns:xm="http://schemas.microsoft.com/office/excel/2006/main">
          <x14:cfRule type="dataBar" id="{5234C76A-04CF-4FCF-A1B6-D768B64881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AZ537</xm:sqref>
        </x14:conditionalFormatting>
        <x14:conditionalFormatting xmlns:xm="http://schemas.microsoft.com/office/excel/2006/main">
          <x14:cfRule type="dataBar" id="{6C2EC63C-554D-4C9C-A070-FB26308F19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AZ538:AZ541</xm:sqref>
        </x14:conditionalFormatting>
        <x14:conditionalFormatting xmlns:xm="http://schemas.microsoft.com/office/excel/2006/main">
          <x14:cfRule type="dataBar" id="{0A7AACAC-7410-4345-A120-538CE6D1E1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AZ542</xm:sqref>
        </x14:conditionalFormatting>
        <x14:conditionalFormatting xmlns:xm="http://schemas.microsoft.com/office/excel/2006/main">
          <x14:cfRule type="dataBar" id="{7CB123E6-55AF-417C-AA4E-EE9B959BBE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AZ573</xm:sqref>
        </x14:conditionalFormatting>
        <x14:conditionalFormatting xmlns:xm="http://schemas.microsoft.com/office/excel/2006/main">
          <x14:cfRule type="dataBar" id="{99D1FF87-37E1-42A9-BCAC-8214F0522F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AZ572</xm:sqref>
        </x14:conditionalFormatting>
        <x14:conditionalFormatting xmlns:xm="http://schemas.microsoft.com/office/excel/2006/main">
          <x14:cfRule type="dataBar" id="{A6389DEA-6AD9-497E-B4A9-ACCE3DC490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AZ576:AZ578</xm:sqref>
        </x14:conditionalFormatting>
        <x14:conditionalFormatting xmlns:xm="http://schemas.microsoft.com/office/excel/2006/main">
          <x14:cfRule type="dataBar" id="{D667B905-9224-4F86-A795-47A5514699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AZ579</xm:sqref>
        </x14:conditionalFormatting>
        <x14:conditionalFormatting xmlns:xm="http://schemas.microsoft.com/office/excel/2006/main">
          <x14:cfRule type="dataBar" id="{78CD4C4D-A71E-4FD2-9CDD-6219037858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AZ574</xm:sqref>
        </x14:conditionalFormatting>
        <x14:conditionalFormatting xmlns:xm="http://schemas.microsoft.com/office/excel/2006/main">
          <x14:cfRule type="dataBar" id="{0FC1D8B6-20AF-464D-89FD-1FC19F816F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AZ575</xm:sqref>
        </x14:conditionalFormatting>
        <x14:conditionalFormatting xmlns:xm="http://schemas.microsoft.com/office/excel/2006/main">
          <x14:cfRule type="dataBar" id="{2BA69458-896B-41AE-AB71-31301C83E1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AZ680</xm:sqref>
        </x14:conditionalFormatting>
        <x14:conditionalFormatting xmlns:xm="http://schemas.microsoft.com/office/excel/2006/main">
          <x14:cfRule type="dataBar" id="{53D94409-7D03-4E36-976D-68F73F06BE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AZ684:AZ686 AZ681</xm:sqref>
        </x14:conditionalFormatting>
        <x14:conditionalFormatting xmlns:xm="http://schemas.microsoft.com/office/excel/2006/main">
          <x14:cfRule type="dataBar" id="{A71F2827-087D-4504-906B-8AE5AEE3A1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AZ687</xm:sqref>
        </x14:conditionalFormatting>
        <x14:conditionalFormatting xmlns:xm="http://schemas.microsoft.com/office/excel/2006/main">
          <x14:cfRule type="dataBar" id="{51453601-172A-4CC0-B1A8-D16AFB3A7A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AZ682</xm:sqref>
        </x14:conditionalFormatting>
        <x14:conditionalFormatting xmlns:xm="http://schemas.microsoft.com/office/excel/2006/main">
          <x14:cfRule type="dataBar" id="{B4755339-ECCD-42EA-907B-1902622C6C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AZ683</xm:sqref>
        </x14:conditionalFormatting>
        <x14:conditionalFormatting xmlns:xm="http://schemas.microsoft.com/office/excel/2006/main">
          <x14:cfRule type="dataBar" id="{8C81F90C-8576-45E0-BA9C-5E6C9634CA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AZ671</xm:sqref>
        </x14:conditionalFormatting>
        <x14:conditionalFormatting xmlns:xm="http://schemas.microsoft.com/office/excel/2006/main">
          <x14:cfRule type="dataBar" id="{AD31DB1D-9D0A-4C3A-A3B5-5CE2109899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AZ675:AZ677 AZ672</xm:sqref>
        </x14:conditionalFormatting>
        <x14:conditionalFormatting xmlns:xm="http://schemas.microsoft.com/office/excel/2006/main">
          <x14:cfRule type="dataBar" id="{CDACA93F-7AAF-4D1C-991B-1EA3CFEB27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AZ678</xm:sqref>
        </x14:conditionalFormatting>
        <x14:conditionalFormatting xmlns:xm="http://schemas.microsoft.com/office/excel/2006/main">
          <x14:cfRule type="dataBar" id="{39B21C5D-646E-4F17-A33A-DFCB068E38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AZ673</xm:sqref>
        </x14:conditionalFormatting>
        <x14:conditionalFormatting xmlns:xm="http://schemas.microsoft.com/office/excel/2006/main">
          <x14:cfRule type="dataBar" id="{89C10E7B-A28D-45DF-8EBC-9802F84C64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AZ674</xm:sqref>
        </x14:conditionalFormatting>
        <x14:conditionalFormatting xmlns:xm="http://schemas.microsoft.com/office/excel/2006/main">
          <x14:cfRule type="dataBar" id="{03C31201-244F-430B-803F-86762161E6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AZ644 AZ653</xm:sqref>
        </x14:conditionalFormatting>
        <x14:conditionalFormatting xmlns:xm="http://schemas.microsoft.com/office/excel/2006/main">
          <x14:cfRule type="dataBar" id="{A629E745-A760-4C27-A772-33DA9D6257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AZ648:AZ650 AZ657:AZ659 AZ645 AZ654</xm:sqref>
        </x14:conditionalFormatting>
        <x14:conditionalFormatting xmlns:xm="http://schemas.microsoft.com/office/excel/2006/main">
          <x14:cfRule type="dataBar" id="{F41FF101-B544-447A-B3B4-3EFCB28306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AZ651 AZ660</xm:sqref>
        </x14:conditionalFormatting>
        <x14:conditionalFormatting xmlns:xm="http://schemas.microsoft.com/office/excel/2006/main">
          <x14:cfRule type="dataBar" id="{F4F57B25-922F-478B-A0C8-35C4D4F903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AZ646 AZ655</xm:sqref>
        </x14:conditionalFormatting>
        <x14:conditionalFormatting xmlns:xm="http://schemas.microsoft.com/office/excel/2006/main">
          <x14:cfRule type="dataBar" id="{E98ED53A-D25F-495D-A9A7-8B4EEA76F5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AZ647 AZ656</xm:sqref>
        </x14:conditionalFormatting>
        <x14:conditionalFormatting xmlns:xm="http://schemas.microsoft.com/office/excel/2006/main">
          <x14:cfRule type="dataBar" id="{164C9F30-FE3A-442D-B1C8-CC74B86D4F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AZ698</xm:sqref>
        </x14:conditionalFormatting>
        <x14:conditionalFormatting xmlns:xm="http://schemas.microsoft.com/office/excel/2006/main">
          <x14:cfRule type="dataBar" id="{A08870AF-9092-45E5-AA74-102744B34C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AZ702:AZ704 AZ699</xm:sqref>
        </x14:conditionalFormatting>
        <x14:conditionalFormatting xmlns:xm="http://schemas.microsoft.com/office/excel/2006/main">
          <x14:cfRule type="dataBar" id="{375759C9-CAA8-4707-89B2-26950C17A7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AZ705</xm:sqref>
        </x14:conditionalFormatting>
        <x14:conditionalFormatting xmlns:xm="http://schemas.microsoft.com/office/excel/2006/main">
          <x14:cfRule type="dataBar" id="{96077DC5-0AF9-4DCD-8F71-544B450663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AZ700</xm:sqref>
        </x14:conditionalFormatting>
        <x14:conditionalFormatting xmlns:xm="http://schemas.microsoft.com/office/excel/2006/main">
          <x14:cfRule type="dataBar" id="{8B638269-7429-4159-808A-6DBBA5B5F0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AZ701</xm:sqref>
        </x14:conditionalFormatting>
        <x14:conditionalFormatting xmlns:xm="http://schemas.microsoft.com/office/excel/2006/main">
          <x14:cfRule type="dataBar" id="{8D9D30E7-5E6C-44EE-A91A-D5FCCB8147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AZ662</xm:sqref>
        </x14:conditionalFormatting>
        <x14:conditionalFormatting xmlns:xm="http://schemas.microsoft.com/office/excel/2006/main">
          <x14:cfRule type="dataBar" id="{FAADDDA0-AC0C-495B-B116-C87886056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AZ666:AZ668 AZ663</xm:sqref>
        </x14:conditionalFormatting>
        <x14:conditionalFormatting xmlns:xm="http://schemas.microsoft.com/office/excel/2006/main">
          <x14:cfRule type="dataBar" id="{CB9B0FCC-2B39-4518-8514-A50813E9A8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AZ669</xm:sqref>
        </x14:conditionalFormatting>
        <x14:conditionalFormatting xmlns:xm="http://schemas.microsoft.com/office/excel/2006/main">
          <x14:cfRule type="dataBar" id="{AA2B2276-60CE-4652-87D9-2B51B9B971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AZ664</xm:sqref>
        </x14:conditionalFormatting>
        <x14:conditionalFormatting xmlns:xm="http://schemas.microsoft.com/office/excel/2006/main">
          <x14:cfRule type="dataBar" id="{7DCF35E9-53F2-45FA-B07C-BA6A174A6A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AZ665</xm:sqref>
        </x14:conditionalFormatting>
        <x14:conditionalFormatting xmlns:xm="http://schemas.microsoft.com/office/excel/2006/main">
          <x14:cfRule type="dataBar" id="{9128A664-2762-4749-A303-329D0DF22C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AZ689</xm:sqref>
        </x14:conditionalFormatting>
        <x14:conditionalFormatting xmlns:xm="http://schemas.microsoft.com/office/excel/2006/main">
          <x14:cfRule type="dataBar" id="{3EEB8B2C-E572-4025-B04B-3F8527FECC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AZ693:AZ695 AZ690</xm:sqref>
        </x14:conditionalFormatting>
        <x14:conditionalFormatting xmlns:xm="http://schemas.microsoft.com/office/excel/2006/main">
          <x14:cfRule type="dataBar" id="{652DD9FA-BC59-4B10-ACD9-A5DA32C095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AZ696</xm:sqref>
        </x14:conditionalFormatting>
        <x14:conditionalFormatting xmlns:xm="http://schemas.microsoft.com/office/excel/2006/main">
          <x14:cfRule type="dataBar" id="{EAA3245B-C8FD-40F0-A9F1-8EEAF4B3EC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AZ691</xm:sqref>
        </x14:conditionalFormatting>
        <x14:conditionalFormatting xmlns:xm="http://schemas.microsoft.com/office/excel/2006/main">
          <x14:cfRule type="dataBar" id="{E77CC166-4B70-4464-A269-A5E56566D4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AZ692</xm:sqref>
        </x14:conditionalFormatting>
        <x14:conditionalFormatting xmlns:xm="http://schemas.microsoft.com/office/excel/2006/main">
          <x14:cfRule type="dataBar" id="{B57F06FC-2002-4B2A-9912-F2254EA88C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AZ544</xm:sqref>
        </x14:conditionalFormatting>
        <x14:conditionalFormatting xmlns:xm="http://schemas.microsoft.com/office/excel/2006/main">
          <x14:cfRule type="dataBar" id="{6C7098FC-3880-4DB2-8A4A-F6045F2D88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AZ545:AZ548</xm:sqref>
        </x14:conditionalFormatting>
        <x14:conditionalFormatting xmlns:xm="http://schemas.microsoft.com/office/excel/2006/main">
          <x14:cfRule type="dataBar" id="{FE6FB3F0-C028-4423-BF2E-EA12952D1A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AZ549</xm:sqref>
        </x14:conditionalFormatting>
        <x14:conditionalFormatting xmlns:xm="http://schemas.microsoft.com/office/excel/2006/main">
          <x14:cfRule type="dataBar" id="{EDF508C0-9390-4060-B26D-38B02A8DEE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AZ617</xm:sqref>
        </x14:conditionalFormatting>
        <x14:conditionalFormatting xmlns:xm="http://schemas.microsoft.com/office/excel/2006/main">
          <x14:cfRule type="dataBar" id="{D0EA2567-B444-4D0F-8E4B-E73116456A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AZ621:AZ623 AZ618</xm:sqref>
        </x14:conditionalFormatting>
        <x14:conditionalFormatting xmlns:xm="http://schemas.microsoft.com/office/excel/2006/main">
          <x14:cfRule type="dataBar" id="{B182C498-EF4D-4BC7-93C2-C07B7C0FF3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AZ624</xm:sqref>
        </x14:conditionalFormatting>
        <x14:conditionalFormatting xmlns:xm="http://schemas.microsoft.com/office/excel/2006/main">
          <x14:cfRule type="dataBar" id="{694154D3-A065-4611-8471-97D15FD30F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AZ619</xm:sqref>
        </x14:conditionalFormatting>
        <x14:conditionalFormatting xmlns:xm="http://schemas.microsoft.com/office/excel/2006/main">
          <x14:cfRule type="dataBar" id="{C61B88C2-DC62-491F-B09B-8E66C7C6C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AZ620</xm:sqref>
        </x14:conditionalFormatting>
        <x14:conditionalFormatting xmlns:xm="http://schemas.microsoft.com/office/excel/2006/main">
          <x14:cfRule type="dataBar" id="{46B2A670-87B2-4016-84CD-0ED6A07B66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AZ551</xm:sqref>
        </x14:conditionalFormatting>
        <x14:conditionalFormatting xmlns:xm="http://schemas.microsoft.com/office/excel/2006/main">
          <x14:cfRule type="dataBar" id="{8F341045-DFF1-441B-A2E8-BABFDD3941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AZ552:AZ555</xm:sqref>
        </x14:conditionalFormatting>
        <x14:conditionalFormatting xmlns:xm="http://schemas.microsoft.com/office/excel/2006/main">
          <x14:cfRule type="dataBar" id="{A5741CE4-6A7F-4E80-84C8-27C0C69579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AZ556</xm:sqref>
        </x14:conditionalFormatting>
        <x14:conditionalFormatting xmlns:xm="http://schemas.microsoft.com/office/excel/2006/main">
          <x14:cfRule type="dataBar" id="{B25D815E-E8BE-4792-98C6-FBE27A38AB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AZ558</xm:sqref>
        </x14:conditionalFormatting>
        <x14:conditionalFormatting xmlns:xm="http://schemas.microsoft.com/office/excel/2006/main">
          <x14:cfRule type="dataBar" id="{9B4A8988-A2F7-406B-917D-6F8AEC99D3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AZ559:AZ562</xm:sqref>
        </x14:conditionalFormatting>
        <x14:conditionalFormatting xmlns:xm="http://schemas.microsoft.com/office/excel/2006/main">
          <x14:cfRule type="dataBar" id="{08215286-EFF4-41D7-8B08-9262D23274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AZ563</xm:sqref>
        </x14:conditionalFormatting>
        <x14:conditionalFormatting xmlns:xm="http://schemas.microsoft.com/office/excel/2006/main">
          <x14:cfRule type="dataBar" id="{3495BD6F-E435-4823-B47B-38DBB08F02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AZ565</xm:sqref>
        </x14:conditionalFormatting>
        <x14:conditionalFormatting xmlns:xm="http://schemas.microsoft.com/office/excel/2006/main">
          <x14:cfRule type="dataBar" id="{37D649DE-C7F5-4E73-A9D6-7B296DD761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AZ566:AZ569</xm:sqref>
        </x14:conditionalFormatting>
        <x14:conditionalFormatting xmlns:xm="http://schemas.microsoft.com/office/excel/2006/main">
          <x14:cfRule type="dataBar" id="{FC8B59FA-8C34-477D-8DD6-3C03A0B3BE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AZ570</xm:sqref>
        </x14:conditionalFormatting>
        <x14:conditionalFormatting xmlns:xm="http://schemas.microsoft.com/office/excel/2006/main">
          <x14:cfRule type="dataBar" id="{4DB5FF04-02F6-4FAF-997D-334FD60C1E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AZ757 AZ802 AZ766 AZ775 AZ811</xm:sqref>
        </x14:conditionalFormatting>
        <x14:conditionalFormatting xmlns:xm="http://schemas.microsoft.com/office/excel/2006/main">
          <x14:cfRule type="dataBar" id="{81EA2E1D-5491-407F-834A-27C74E8A61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AZ806:AZ808 AZ761:AZ763 AZ770:AZ772 AZ779:AZ781 AZ815:AZ817 AZ758 AZ767 AZ776 AZ803 AZ812</xm:sqref>
        </x14:conditionalFormatting>
        <x14:conditionalFormatting xmlns:xm="http://schemas.microsoft.com/office/excel/2006/main">
          <x14:cfRule type="dataBar" id="{86B348B5-C2F4-4E11-AFB2-4E1D4DE6D9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AZ764 AZ809 AZ773 AZ782 AZ818</xm:sqref>
        </x14:conditionalFormatting>
        <x14:conditionalFormatting xmlns:xm="http://schemas.microsoft.com/office/excel/2006/main">
          <x14:cfRule type="dataBar" id="{8DE54C77-8507-40A6-8BBF-4446F36225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AZ759 AZ804 AZ768 AZ777 AZ813</xm:sqref>
        </x14:conditionalFormatting>
        <x14:conditionalFormatting xmlns:xm="http://schemas.microsoft.com/office/excel/2006/main">
          <x14:cfRule type="dataBar" id="{644FDF04-2815-4B5E-94AF-7842FCE8ED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AZ760 AZ805 AZ769 AZ778 AZ814</xm:sqref>
        </x14:conditionalFormatting>
        <x14:conditionalFormatting xmlns:xm="http://schemas.microsoft.com/office/excel/2006/main">
          <x14:cfRule type="dataBar" id="{52558461-6ADB-432A-8A35-DD60075C85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AZ784</xm:sqref>
        </x14:conditionalFormatting>
        <x14:conditionalFormatting xmlns:xm="http://schemas.microsoft.com/office/excel/2006/main">
          <x14:cfRule type="dataBar" id="{F2780440-12DE-447A-806F-F8872B1F96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AZ788:AZ790 AZ785</xm:sqref>
        </x14:conditionalFormatting>
        <x14:conditionalFormatting xmlns:xm="http://schemas.microsoft.com/office/excel/2006/main">
          <x14:cfRule type="dataBar" id="{7F104D70-2E23-47FF-A95F-EF1A73D2F4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AZ791</xm:sqref>
        </x14:conditionalFormatting>
        <x14:conditionalFormatting xmlns:xm="http://schemas.microsoft.com/office/excel/2006/main">
          <x14:cfRule type="dataBar" id="{84C0DAC4-AA40-4AC2-B886-D70E5EE0B9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AZ786</xm:sqref>
        </x14:conditionalFormatting>
        <x14:conditionalFormatting xmlns:xm="http://schemas.microsoft.com/office/excel/2006/main">
          <x14:cfRule type="dataBar" id="{0E25E686-A150-4DB7-9F39-0C08858A70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AZ787</xm:sqref>
        </x14:conditionalFormatting>
        <x14:conditionalFormatting xmlns:xm="http://schemas.microsoft.com/office/excel/2006/main">
          <x14:cfRule type="dataBar" id="{A61A8EF0-740A-41CF-B3C0-7E203FE181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AZ713</xm:sqref>
        </x14:conditionalFormatting>
        <x14:conditionalFormatting xmlns:xm="http://schemas.microsoft.com/office/excel/2006/main">
          <x14:cfRule type="dataBar" id="{368B6F02-A9D4-407B-B8D7-3C73ECE5DB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AZ714:AZ717</xm:sqref>
        </x14:conditionalFormatting>
        <x14:conditionalFormatting xmlns:xm="http://schemas.microsoft.com/office/excel/2006/main">
          <x14:cfRule type="dataBar" id="{3288BE49-8937-48E7-B514-97018CCE97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AZ718</xm:sqref>
        </x14:conditionalFormatting>
        <x14:conditionalFormatting xmlns:xm="http://schemas.microsoft.com/office/excel/2006/main">
          <x14:cfRule type="dataBar" id="{8FE7DF78-60E4-4734-939D-9BC7FAF649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AZ749</xm:sqref>
        </x14:conditionalFormatting>
        <x14:conditionalFormatting xmlns:xm="http://schemas.microsoft.com/office/excel/2006/main">
          <x14:cfRule type="dataBar" id="{86AE5C09-A141-4473-82DB-80DDDB59F6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AZ748</xm:sqref>
        </x14:conditionalFormatting>
        <x14:conditionalFormatting xmlns:xm="http://schemas.microsoft.com/office/excel/2006/main">
          <x14:cfRule type="dataBar" id="{9D7325AB-3136-498A-8F62-E337AC0830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AZ752:AZ754</xm:sqref>
        </x14:conditionalFormatting>
        <x14:conditionalFormatting xmlns:xm="http://schemas.microsoft.com/office/excel/2006/main">
          <x14:cfRule type="dataBar" id="{08C43BCB-3500-4437-9D6C-1813E77E57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AZ755</xm:sqref>
        </x14:conditionalFormatting>
        <x14:conditionalFormatting xmlns:xm="http://schemas.microsoft.com/office/excel/2006/main">
          <x14:cfRule type="dataBar" id="{E3D5F7B4-D53F-43DF-9C12-F63AD34CC3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AZ750</xm:sqref>
        </x14:conditionalFormatting>
        <x14:conditionalFormatting xmlns:xm="http://schemas.microsoft.com/office/excel/2006/main">
          <x14:cfRule type="dataBar" id="{D27FCDB5-ADCB-434B-928D-7E62E67AA6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AZ751</xm:sqref>
        </x14:conditionalFormatting>
        <x14:conditionalFormatting xmlns:xm="http://schemas.microsoft.com/office/excel/2006/main">
          <x14:cfRule type="dataBar" id="{E844A868-2F30-4815-960E-2DF95B22A2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AZ856</xm:sqref>
        </x14:conditionalFormatting>
        <x14:conditionalFormatting xmlns:xm="http://schemas.microsoft.com/office/excel/2006/main">
          <x14:cfRule type="dataBar" id="{7CA5A348-F2CC-43B6-9E43-6852291E93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AZ860:AZ862 AZ857</xm:sqref>
        </x14:conditionalFormatting>
        <x14:conditionalFormatting xmlns:xm="http://schemas.microsoft.com/office/excel/2006/main">
          <x14:cfRule type="dataBar" id="{F05C17E1-1278-4646-B8C8-DEC016AF96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AZ863</xm:sqref>
        </x14:conditionalFormatting>
        <x14:conditionalFormatting xmlns:xm="http://schemas.microsoft.com/office/excel/2006/main">
          <x14:cfRule type="dataBar" id="{28D65560-B018-4890-AB5D-3ACDDCD526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AZ858</xm:sqref>
        </x14:conditionalFormatting>
        <x14:conditionalFormatting xmlns:xm="http://schemas.microsoft.com/office/excel/2006/main">
          <x14:cfRule type="dataBar" id="{2B74E8FD-BEBD-48A9-B559-3A5F314FD5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AZ859</xm:sqref>
        </x14:conditionalFormatting>
        <x14:conditionalFormatting xmlns:xm="http://schemas.microsoft.com/office/excel/2006/main">
          <x14:cfRule type="dataBar" id="{C6673341-9DC1-4EDD-8B69-A20B5850EF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AZ847</xm:sqref>
        </x14:conditionalFormatting>
        <x14:conditionalFormatting xmlns:xm="http://schemas.microsoft.com/office/excel/2006/main">
          <x14:cfRule type="dataBar" id="{A8BB4A38-F600-464C-98BE-293D69EF4B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AZ851:AZ853 AZ848</xm:sqref>
        </x14:conditionalFormatting>
        <x14:conditionalFormatting xmlns:xm="http://schemas.microsoft.com/office/excel/2006/main">
          <x14:cfRule type="dataBar" id="{A3A3AE7F-307F-424E-953A-3707E56CAD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AZ854</xm:sqref>
        </x14:conditionalFormatting>
        <x14:conditionalFormatting xmlns:xm="http://schemas.microsoft.com/office/excel/2006/main">
          <x14:cfRule type="dataBar" id="{C0E1B478-5094-47DE-B419-03B4DAB07F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AZ849</xm:sqref>
        </x14:conditionalFormatting>
        <x14:conditionalFormatting xmlns:xm="http://schemas.microsoft.com/office/excel/2006/main">
          <x14:cfRule type="dataBar" id="{546D9612-40D9-47BB-8453-E6A8A53234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AZ850</xm:sqref>
        </x14:conditionalFormatting>
        <x14:conditionalFormatting xmlns:xm="http://schemas.microsoft.com/office/excel/2006/main">
          <x14:cfRule type="dataBar" id="{49F1077E-B363-4E46-B2C6-13422DC5FE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AZ820 AZ829</xm:sqref>
        </x14:conditionalFormatting>
        <x14:conditionalFormatting xmlns:xm="http://schemas.microsoft.com/office/excel/2006/main">
          <x14:cfRule type="dataBar" id="{EBDCE3F8-0D05-4A3F-A36A-20CA3AB61F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AZ824:AZ826 AZ833:AZ835 AZ821 AZ830</xm:sqref>
        </x14:conditionalFormatting>
        <x14:conditionalFormatting xmlns:xm="http://schemas.microsoft.com/office/excel/2006/main">
          <x14:cfRule type="dataBar" id="{CC6EB41B-0E68-4B4A-87FD-EB2CC72393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AZ827 AZ836</xm:sqref>
        </x14:conditionalFormatting>
        <x14:conditionalFormatting xmlns:xm="http://schemas.microsoft.com/office/excel/2006/main">
          <x14:cfRule type="dataBar" id="{89309B78-52A4-401E-A00E-080ABE1506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AZ822 AZ831</xm:sqref>
        </x14:conditionalFormatting>
        <x14:conditionalFormatting xmlns:xm="http://schemas.microsoft.com/office/excel/2006/main">
          <x14:cfRule type="dataBar" id="{F5678A39-99DC-4DC2-B98C-9785ECAA4F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AZ823 AZ832</xm:sqref>
        </x14:conditionalFormatting>
        <x14:conditionalFormatting xmlns:xm="http://schemas.microsoft.com/office/excel/2006/main">
          <x14:cfRule type="dataBar" id="{0005947D-FC55-4D8F-A393-8E7BE456D0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AZ874</xm:sqref>
        </x14:conditionalFormatting>
        <x14:conditionalFormatting xmlns:xm="http://schemas.microsoft.com/office/excel/2006/main">
          <x14:cfRule type="dataBar" id="{33FD07AB-0F15-4A37-B0EB-8C1565BD87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AZ878:AZ880 AZ875</xm:sqref>
        </x14:conditionalFormatting>
        <x14:conditionalFormatting xmlns:xm="http://schemas.microsoft.com/office/excel/2006/main">
          <x14:cfRule type="dataBar" id="{5D3898DA-36CC-423A-9317-330D6DEA9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AZ881</xm:sqref>
        </x14:conditionalFormatting>
        <x14:conditionalFormatting xmlns:xm="http://schemas.microsoft.com/office/excel/2006/main">
          <x14:cfRule type="dataBar" id="{60A361B2-FB67-4A72-A0BB-B413494040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AZ876</xm:sqref>
        </x14:conditionalFormatting>
        <x14:conditionalFormatting xmlns:xm="http://schemas.microsoft.com/office/excel/2006/main">
          <x14:cfRule type="dataBar" id="{5DDD410E-40FC-49A5-9BA9-7CC9313870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AZ877</xm:sqref>
        </x14:conditionalFormatting>
        <x14:conditionalFormatting xmlns:xm="http://schemas.microsoft.com/office/excel/2006/main">
          <x14:cfRule type="dataBar" id="{29D25697-E3B4-48B7-90B4-93A0298CF9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AZ838</xm:sqref>
        </x14:conditionalFormatting>
        <x14:conditionalFormatting xmlns:xm="http://schemas.microsoft.com/office/excel/2006/main">
          <x14:cfRule type="dataBar" id="{67533713-5AAF-4705-8C69-831C62A4B2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AZ842:AZ844 AZ839</xm:sqref>
        </x14:conditionalFormatting>
        <x14:conditionalFormatting xmlns:xm="http://schemas.microsoft.com/office/excel/2006/main">
          <x14:cfRule type="dataBar" id="{92A6D63E-0AD7-41A0-B23F-A91EE12A42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AZ845</xm:sqref>
        </x14:conditionalFormatting>
        <x14:conditionalFormatting xmlns:xm="http://schemas.microsoft.com/office/excel/2006/main">
          <x14:cfRule type="dataBar" id="{4FBDABDB-EE8E-46CB-9289-DA08FA2E2D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AZ840</xm:sqref>
        </x14:conditionalFormatting>
        <x14:conditionalFormatting xmlns:xm="http://schemas.microsoft.com/office/excel/2006/main">
          <x14:cfRule type="dataBar" id="{CF1A9B36-8E1D-44FD-B00A-2A8E7E0EA5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AZ841</xm:sqref>
        </x14:conditionalFormatting>
        <x14:conditionalFormatting xmlns:xm="http://schemas.microsoft.com/office/excel/2006/main">
          <x14:cfRule type="dataBar" id="{0B3C8097-58E9-4B24-9697-3F9514D687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AZ865</xm:sqref>
        </x14:conditionalFormatting>
        <x14:conditionalFormatting xmlns:xm="http://schemas.microsoft.com/office/excel/2006/main">
          <x14:cfRule type="dataBar" id="{BC31DA24-E354-43D8-AD96-0A6BDEDD30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AZ869:AZ871 AZ866</xm:sqref>
        </x14:conditionalFormatting>
        <x14:conditionalFormatting xmlns:xm="http://schemas.microsoft.com/office/excel/2006/main">
          <x14:cfRule type="dataBar" id="{5F8125B2-3D16-4A33-8FBA-E00EA2B43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AZ872</xm:sqref>
        </x14:conditionalFormatting>
        <x14:conditionalFormatting xmlns:xm="http://schemas.microsoft.com/office/excel/2006/main">
          <x14:cfRule type="dataBar" id="{157974AD-AC14-4023-B1AA-46CF9B1DCC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AZ867</xm:sqref>
        </x14:conditionalFormatting>
        <x14:conditionalFormatting xmlns:xm="http://schemas.microsoft.com/office/excel/2006/main">
          <x14:cfRule type="dataBar" id="{D372399F-B90C-4374-886D-B1482C6582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AZ868</xm:sqref>
        </x14:conditionalFormatting>
        <x14:conditionalFormatting xmlns:xm="http://schemas.microsoft.com/office/excel/2006/main">
          <x14:cfRule type="dataBar" id="{49ABD3C9-DCDE-4F1C-9591-1F4C8FD8DE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AZ720</xm:sqref>
        </x14:conditionalFormatting>
        <x14:conditionalFormatting xmlns:xm="http://schemas.microsoft.com/office/excel/2006/main">
          <x14:cfRule type="dataBar" id="{85FB2F35-8733-44E2-9FD5-4DF245E9E3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AZ721:AZ724</xm:sqref>
        </x14:conditionalFormatting>
        <x14:conditionalFormatting xmlns:xm="http://schemas.microsoft.com/office/excel/2006/main">
          <x14:cfRule type="dataBar" id="{0725705C-3FEF-499A-933E-88B6F88DB7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AZ725</xm:sqref>
        </x14:conditionalFormatting>
        <x14:conditionalFormatting xmlns:xm="http://schemas.microsoft.com/office/excel/2006/main">
          <x14:cfRule type="dataBar" id="{2F2584C9-CF7D-4A60-98F1-727DF66494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AZ793</xm:sqref>
        </x14:conditionalFormatting>
        <x14:conditionalFormatting xmlns:xm="http://schemas.microsoft.com/office/excel/2006/main">
          <x14:cfRule type="dataBar" id="{DAEF0D5E-A402-4926-A394-D5664C584E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AZ797:AZ799 AZ794</xm:sqref>
        </x14:conditionalFormatting>
        <x14:conditionalFormatting xmlns:xm="http://schemas.microsoft.com/office/excel/2006/main">
          <x14:cfRule type="dataBar" id="{B0BCA469-7DA4-4984-A4FF-6016182C0B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AZ800</xm:sqref>
        </x14:conditionalFormatting>
        <x14:conditionalFormatting xmlns:xm="http://schemas.microsoft.com/office/excel/2006/main">
          <x14:cfRule type="dataBar" id="{D079DE41-CF6D-46C4-839A-6D4129A34F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AZ795</xm:sqref>
        </x14:conditionalFormatting>
        <x14:conditionalFormatting xmlns:xm="http://schemas.microsoft.com/office/excel/2006/main">
          <x14:cfRule type="dataBar" id="{F14C189A-D754-4C27-8226-CA9B05E880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AZ796</xm:sqref>
        </x14:conditionalFormatting>
        <x14:conditionalFormatting xmlns:xm="http://schemas.microsoft.com/office/excel/2006/main">
          <x14:cfRule type="dataBar" id="{8B3926F2-88F5-41C3-BB09-93BB143C59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AZ727</xm:sqref>
        </x14:conditionalFormatting>
        <x14:conditionalFormatting xmlns:xm="http://schemas.microsoft.com/office/excel/2006/main">
          <x14:cfRule type="dataBar" id="{06ACC9F9-EC74-4401-BF2B-E462C57C5E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AZ728:AZ731</xm:sqref>
        </x14:conditionalFormatting>
        <x14:conditionalFormatting xmlns:xm="http://schemas.microsoft.com/office/excel/2006/main">
          <x14:cfRule type="dataBar" id="{6B7D9A88-4300-4279-9B41-C15AFF9DA3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AZ732</xm:sqref>
        </x14:conditionalFormatting>
        <x14:conditionalFormatting xmlns:xm="http://schemas.microsoft.com/office/excel/2006/main">
          <x14:cfRule type="dataBar" id="{12AFBB6C-7AF1-4B2B-B800-0E16BF5142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AZ734</xm:sqref>
        </x14:conditionalFormatting>
        <x14:conditionalFormatting xmlns:xm="http://schemas.microsoft.com/office/excel/2006/main">
          <x14:cfRule type="dataBar" id="{DC9FFF45-1F19-4634-8E47-FE15E6E5E5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AZ735:AZ738</xm:sqref>
        </x14:conditionalFormatting>
        <x14:conditionalFormatting xmlns:xm="http://schemas.microsoft.com/office/excel/2006/main">
          <x14:cfRule type="dataBar" id="{AA0D29AF-01B2-4D3A-8728-934E6A0AB7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AZ739</xm:sqref>
        </x14:conditionalFormatting>
        <x14:conditionalFormatting xmlns:xm="http://schemas.microsoft.com/office/excel/2006/main">
          <x14:cfRule type="dataBar" id="{78ED38C2-B808-4836-B63C-402950A42C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AZ741</xm:sqref>
        </x14:conditionalFormatting>
        <x14:conditionalFormatting xmlns:xm="http://schemas.microsoft.com/office/excel/2006/main">
          <x14:cfRule type="dataBar" id="{526AE5F6-A0E6-46CC-9D0B-6160497516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AZ742:AZ745</xm:sqref>
        </x14:conditionalFormatting>
        <x14:conditionalFormatting xmlns:xm="http://schemas.microsoft.com/office/excel/2006/main">
          <x14:cfRule type="dataBar" id="{C73C6832-710C-4C54-B910-70DE7A1596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AZ746</xm:sqref>
        </x14:conditionalFormatting>
        <x14:conditionalFormatting xmlns:xm="http://schemas.microsoft.com/office/excel/2006/main">
          <x14:cfRule type="dataBar" id="{A48EBB76-99E8-4E20-8C7C-1859CD64F3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AZ933 AZ978 AZ942 AZ951 AZ987</xm:sqref>
        </x14:conditionalFormatting>
        <x14:conditionalFormatting xmlns:xm="http://schemas.microsoft.com/office/excel/2006/main">
          <x14:cfRule type="dataBar" id="{F7088348-5067-4A9B-BEF9-13F085D840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AZ982:AZ984 AZ937:AZ939 AZ946:AZ948 AZ955:AZ957 AZ991:AZ993 AZ934 AZ943 AZ952 AZ979 AZ988</xm:sqref>
        </x14:conditionalFormatting>
        <x14:conditionalFormatting xmlns:xm="http://schemas.microsoft.com/office/excel/2006/main">
          <x14:cfRule type="dataBar" id="{30923E6A-4120-40D6-BEA3-D06794D067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AZ940 AZ985 AZ949 AZ958 AZ994</xm:sqref>
        </x14:conditionalFormatting>
        <x14:conditionalFormatting xmlns:xm="http://schemas.microsoft.com/office/excel/2006/main">
          <x14:cfRule type="dataBar" id="{2967761B-81FE-4389-B81E-9461F79E5D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AZ935 AZ980 AZ944 AZ953 AZ989</xm:sqref>
        </x14:conditionalFormatting>
        <x14:conditionalFormatting xmlns:xm="http://schemas.microsoft.com/office/excel/2006/main">
          <x14:cfRule type="dataBar" id="{01C62A3B-2017-4A79-A6D7-D0C614CD22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AZ936 AZ981 AZ945 AZ954 AZ990</xm:sqref>
        </x14:conditionalFormatting>
        <x14:conditionalFormatting xmlns:xm="http://schemas.microsoft.com/office/excel/2006/main">
          <x14:cfRule type="dataBar" id="{19FB9A75-9B73-48B5-8B8F-31E95DE6D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AZ960</xm:sqref>
        </x14:conditionalFormatting>
        <x14:conditionalFormatting xmlns:xm="http://schemas.microsoft.com/office/excel/2006/main">
          <x14:cfRule type="dataBar" id="{05FCD414-5C98-4796-8997-500088196D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AZ964:AZ966 AZ961</xm:sqref>
        </x14:conditionalFormatting>
        <x14:conditionalFormatting xmlns:xm="http://schemas.microsoft.com/office/excel/2006/main">
          <x14:cfRule type="dataBar" id="{502619C7-1383-4761-9641-9EC1B3D380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AZ967</xm:sqref>
        </x14:conditionalFormatting>
        <x14:conditionalFormatting xmlns:xm="http://schemas.microsoft.com/office/excel/2006/main">
          <x14:cfRule type="dataBar" id="{A6931359-7AA6-4589-8F71-A7A0247FEA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AZ962</xm:sqref>
        </x14:conditionalFormatting>
        <x14:conditionalFormatting xmlns:xm="http://schemas.microsoft.com/office/excel/2006/main">
          <x14:cfRule type="dataBar" id="{3C447EFE-2EE2-493A-8757-D75D1AECD6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AZ963</xm:sqref>
        </x14:conditionalFormatting>
        <x14:conditionalFormatting xmlns:xm="http://schemas.microsoft.com/office/excel/2006/main">
          <x14:cfRule type="dataBar" id="{0210AA65-3091-4468-B220-8576C9E704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AZ889</xm:sqref>
        </x14:conditionalFormatting>
        <x14:conditionalFormatting xmlns:xm="http://schemas.microsoft.com/office/excel/2006/main">
          <x14:cfRule type="dataBar" id="{56C792A1-2B3A-4669-8CA6-E9DEA12EE6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AZ890:AZ893</xm:sqref>
        </x14:conditionalFormatting>
        <x14:conditionalFormatting xmlns:xm="http://schemas.microsoft.com/office/excel/2006/main">
          <x14:cfRule type="dataBar" id="{BA18BC08-3836-40E3-9C92-0479AB90B2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AZ894</xm:sqref>
        </x14:conditionalFormatting>
        <x14:conditionalFormatting xmlns:xm="http://schemas.microsoft.com/office/excel/2006/main">
          <x14:cfRule type="dataBar" id="{CD3B00D7-E079-499E-AE8C-B5ACE3EBB3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AZ925</xm:sqref>
        </x14:conditionalFormatting>
        <x14:conditionalFormatting xmlns:xm="http://schemas.microsoft.com/office/excel/2006/main">
          <x14:cfRule type="dataBar" id="{968FC23D-8A65-4C5E-B132-310BDB221D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AZ924</xm:sqref>
        </x14:conditionalFormatting>
        <x14:conditionalFormatting xmlns:xm="http://schemas.microsoft.com/office/excel/2006/main">
          <x14:cfRule type="dataBar" id="{765DA65C-800A-4172-BFA5-50B979793F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AZ928:AZ930</xm:sqref>
        </x14:conditionalFormatting>
        <x14:conditionalFormatting xmlns:xm="http://schemas.microsoft.com/office/excel/2006/main">
          <x14:cfRule type="dataBar" id="{6EB07B67-6E6B-4A15-AD6F-A22975B27C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AZ931</xm:sqref>
        </x14:conditionalFormatting>
        <x14:conditionalFormatting xmlns:xm="http://schemas.microsoft.com/office/excel/2006/main">
          <x14:cfRule type="dataBar" id="{E0C10177-4EC5-43EB-B73A-36827E0516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AZ926</xm:sqref>
        </x14:conditionalFormatting>
        <x14:conditionalFormatting xmlns:xm="http://schemas.microsoft.com/office/excel/2006/main">
          <x14:cfRule type="dataBar" id="{4C69F1EB-A31A-48B2-A074-F8EC7CF511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AZ927</xm:sqref>
        </x14:conditionalFormatting>
        <x14:conditionalFormatting xmlns:xm="http://schemas.microsoft.com/office/excel/2006/main">
          <x14:cfRule type="dataBar" id="{75FF0AA0-593F-4448-BF43-B4F95CF514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AZ1032</xm:sqref>
        </x14:conditionalFormatting>
        <x14:conditionalFormatting xmlns:xm="http://schemas.microsoft.com/office/excel/2006/main">
          <x14:cfRule type="dataBar" id="{10CEB29E-6041-4EAD-8E03-B459920466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AZ1036:AZ1038 AZ1033</xm:sqref>
        </x14:conditionalFormatting>
        <x14:conditionalFormatting xmlns:xm="http://schemas.microsoft.com/office/excel/2006/main">
          <x14:cfRule type="dataBar" id="{9125AF40-CE12-4AAF-8B87-5AA9FF9F55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AZ1039</xm:sqref>
        </x14:conditionalFormatting>
        <x14:conditionalFormatting xmlns:xm="http://schemas.microsoft.com/office/excel/2006/main">
          <x14:cfRule type="dataBar" id="{E817BFCD-FA7E-47D1-A1E4-D4E771C805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AZ1034</xm:sqref>
        </x14:conditionalFormatting>
        <x14:conditionalFormatting xmlns:xm="http://schemas.microsoft.com/office/excel/2006/main">
          <x14:cfRule type="dataBar" id="{C6F17C34-1350-468A-82B2-2C676272CA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AZ1035</xm:sqref>
        </x14:conditionalFormatting>
        <x14:conditionalFormatting xmlns:xm="http://schemas.microsoft.com/office/excel/2006/main">
          <x14:cfRule type="dataBar" id="{6C808E62-9FAE-47F0-B342-68D21237F2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AZ1023</xm:sqref>
        </x14:conditionalFormatting>
        <x14:conditionalFormatting xmlns:xm="http://schemas.microsoft.com/office/excel/2006/main">
          <x14:cfRule type="dataBar" id="{8B83EA41-78A3-4C25-B0FE-024E8A8DAD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AZ1027:AZ1029 AZ1024</xm:sqref>
        </x14:conditionalFormatting>
        <x14:conditionalFormatting xmlns:xm="http://schemas.microsoft.com/office/excel/2006/main">
          <x14:cfRule type="dataBar" id="{DF8B44E6-4126-40E5-97E6-476C3AA38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AZ1030</xm:sqref>
        </x14:conditionalFormatting>
        <x14:conditionalFormatting xmlns:xm="http://schemas.microsoft.com/office/excel/2006/main">
          <x14:cfRule type="dataBar" id="{6C0EBF6B-1EE0-4EB2-B6D0-39E2B2BF76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AZ1025</xm:sqref>
        </x14:conditionalFormatting>
        <x14:conditionalFormatting xmlns:xm="http://schemas.microsoft.com/office/excel/2006/main">
          <x14:cfRule type="dataBar" id="{C1919506-2DC4-49F1-9EAC-E26A39F459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AZ1026</xm:sqref>
        </x14:conditionalFormatting>
        <x14:conditionalFormatting xmlns:xm="http://schemas.microsoft.com/office/excel/2006/main">
          <x14:cfRule type="dataBar" id="{A6990B3E-EA08-4C36-B08E-73008004BD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AZ996 AZ1005</xm:sqref>
        </x14:conditionalFormatting>
        <x14:conditionalFormatting xmlns:xm="http://schemas.microsoft.com/office/excel/2006/main">
          <x14:cfRule type="dataBar" id="{C9E29A73-BB20-45E6-85E1-384F6A3108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AZ1000:AZ1002 AZ1009:AZ1011 AZ997 AZ1006</xm:sqref>
        </x14:conditionalFormatting>
        <x14:conditionalFormatting xmlns:xm="http://schemas.microsoft.com/office/excel/2006/main">
          <x14:cfRule type="dataBar" id="{37661299-2E1C-42E1-BD3D-95DAABCB2C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AZ1003 AZ1012</xm:sqref>
        </x14:conditionalFormatting>
        <x14:conditionalFormatting xmlns:xm="http://schemas.microsoft.com/office/excel/2006/main">
          <x14:cfRule type="dataBar" id="{8F408733-9800-4F47-94E6-803EBDCBB8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AZ998 AZ1007</xm:sqref>
        </x14:conditionalFormatting>
        <x14:conditionalFormatting xmlns:xm="http://schemas.microsoft.com/office/excel/2006/main">
          <x14:cfRule type="dataBar" id="{214BCEC5-BA03-43F8-8909-A1E0F79C7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AZ999 AZ1008</xm:sqref>
        </x14:conditionalFormatting>
        <x14:conditionalFormatting xmlns:xm="http://schemas.microsoft.com/office/excel/2006/main">
          <x14:cfRule type="dataBar" id="{E37D0ECB-8261-4CCC-8361-C7160AF5C1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AZ1050</xm:sqref>
        </x14:conditionalFormatting>
        <x14:conditionalFormatting xmlns:xm="http://schemas.microsoft.com/office/excel/2006/main">
          <x14:cfRule type="dataBar" id="{76BB5BB0-2A78-4586-AB0F-9231FAFD02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AZ1054:AZ1056 AZ1051</xm:sqref>
        </x14:conditionalFormatting>
        <x14:conditionalFormatting xmlns:xm="http://schemas.microsoft.com/office/excel/2006/main">
          <x14:cfRule type="dataBar" id="{A0B88E9E-8137-42C2-B25D-B67BA6B9C8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AZ1057</xm:sqref>
        </x14:conditionalFormatting>
        <x14:conditionalFormatting xmlns:xm="http://schemas.microsoft.com/office/excel/2006/main">
          <x14:cfRule type="dataBar" id="{5F036198-95A0-4D41-A519-4A3FE95D8E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AZ1052</xm:sqref>
        </x14:conditionalFormatting>
        <x14:conditionalFormatting xmlns:xm="http://schemas.microsoft.com/office/excel/2006/main">
          <x14:cfRule type="dataBar" id="{308113D1-15CC-40CB-B11F-DBC1A66D73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AZ1053</xm:sqref>
        </x14:conditionalFormatting>
        <x14:conditionalFormatting xmlns:xm="http://schemas.microsoft.com/office/excel/2006/main">
          <x14:cfRule type="dataBar" id="{D2A6CB2E-EA33-4DB0-9F0B-64CC38E5D4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AZ1014</xm:sqref>
        </x14:conditionalFormatting>
        <x14:conditionalFormatting xmlns:xm="http://schemas.microsoft.com/office/excel/2006/main">
          <x14:cfRule type="dataBar" id="{0511701F-8A10-4BE1-82FA-590B36EAC1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AZ1018:AZ1020 AZ1015</xm:sqref>
        </x14:conditionalFormatting>
        <x14:conditionalFormatting xmlns:xm="http://schemas.microsoft.com/office/excel/2006/main">
          <x14:cfRule type="dataBar" id="{0A0AA3E2-107F-4C95-AFB7-EB6B5C2735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AZ1021</xm:sqref>
        </x14:conditionalFormatting>
        <x14:conditionalFormatting xmlns:xm="http://schemas.microsoft.com/office/excel/2006/main">
          <x14:cfRule type="dataBar" id="{6D0C3B5D-0498-46BE-8FFF-9DDDBC51A1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AZ1016</xm:sqref>
        </x14:conditionalFormatting>
        <x14:conditionalFormatting xmlns:xm="http://schemas.microsoft.com/office/excel/2006/main">
          <x14:cfRule type="dataBar" id="{546BF8DA-D202-4628-B0FB-5724BC5637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AZ1017</xm:sqref>
        </x14:conditionalFormatting>
        <x14:conditionalFormatting xmlns:xm="http://schemas.microsoft.com/office/excel/2006/main">
          <x14:cfRule type="dataBar" id="{844DECB2-CD78-4A10-9099-D416D3F233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AZ1041</xm:sqref>
        </x14:conditionalFormatting>
        <x14:conditionalFormatting xmlns:xm="http://schemas.microsoft.com/office/excel/2006/main">
          <x14:cfRule type="dataBar" id="{8AD41DAD-9A44-4633-9F7B-8C065A3DA5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AZ1045:AZ1047 AZ1042</xm:sqref>
        </x14:conditionalFormatting>
        <x14:conditionalFormatting xmlns:xm="http://schemas.microsoft.com/office/excel/2006/main">
          <x14:cfRule type="dataBar" id="{5EF403BB-5724-420C-BAB5-9D5990249E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AZ1048</xm:sqref>
        </x14:conditionalFormatting>
        <x14:conditionalFormatting xmlns:xm="http://schemas.microsoft.com/office/excel/2006/main">
          <x14:cfRule type="dataBar" id="{43AAA891-8D55-4453-9B88-ACAD790DC3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AZ1043</xm:sqref>
        </x14:conditionalFormatting>
        <x14:conditionalFormatting xmlns:xm="http://schemas.microsoft.com/office/excel/2006/main">
          <x14:cfRule type="dataBar" id="{8D92DC3C-78E5-4367-92FA-2B53CC497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AZ1044</xm:sqref>
        </x14:conditionalFormatting>
        <x14:conditionalFormatting xmlns:xm="http://schemas.microsoft.com/office/excel/2006/main">
          <x14:cfRule type="dataBar" id="{6CA473B8-7197-447A-BFD2-834AD6AA4D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AZ896</xm:sqref>
        </x14:conditionalFormatting>
        <x14:conditionalFormatting xmlns:xm="http://schemas.microsoft.com/office/excel/2006/main">
          <x14:cfRule type="dataBar" id="{4D3CC66D-8EB7-4141-A79E-F0D3F92744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AZ897:AZ900</xm:sqref>
        </x14:conditionalFormatting>
        <x14:conditionalFormatting xmlns:xm="http://schemas.microsoft.com/office/excel/2006/main">
          <x14:cfRule type="dataBar" id="{0C98AB14-AAAA-4B47-8DD2-C1D052F749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AZ901</xm:sqref>
        </x14:conditionalFormatting>
        <x14:conditionalFormatting xmlns:xm="http://schemas.microsoft.com/office/excel/2006/main">
          <x14:cfRule type="dataBar" id="{1F911B56-5C95-4EF2-A528-1611A2E491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AZ969</xm:sqref>
        </x14:conditionalFormatting>
        <x14:conditionalFormatting xmlns:xm="http://schemas.microsoft.com/office/excel/2006/main">
          <x14:cfRule type="dataBar" id="{55A0DA6E-9B68-4DA4-B124-35D8E969B2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AZ973:AZ975 AZ970</xm:sqref>
        </x14:conditionalFormatting>
        <x14:conditionalFormatting xmlns:xm="http://schemas.microsoft.com/office/excel/2006/main">
          <x14:cfRule type="dataBar" id="{F3271A78-ACED-4412-A947-90FE3671C9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AZ976</xm:sqref>
        </x14:conditionalFormatting>
        <x14:conditionalFormatting xmlns:xm="http://schemas.microsoft.com/office/excel/2006/main">
          <x14:cfRule type="dataBar" id="{4749595C-B804-4DB2-958D-994D79A8D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AZ971</xm:sqref>
        </x14:conditionalFormatting>
        <x14:conditionalFormatting xmlns:xm="http://schemas.microsoft.com/office/excel/2006/main">
          <x14:cfRule type="dataBar" id="{AFEB9E0E-5725-4D61-BBB4-94FA11FAB0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AZ972</xm:sqref>
        </x14:conditionalFormatting>
        <x14:conditionalFormatting xmlns:xm="http://schemas.microsoft.com/office/excel/2006/main">
          <x14:cfRule type="dataBar" id="{C31E3603-A3C8-44E7-9850-C4F5E82C82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AZ903</xm:sqref>
        </x14:conditionalFormatting>
        <x14:conditionalFormatting xmlns:xm="http://schemas.microsoft.com/office/excel/2006/main">
          <x14:cfRule type="dataBar" id="{F7D39D12-109F-4D38-9449-47B9BAD940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AZ904:AZ907</xm:sqref>
        </x14:conditionalFormatting>
        <x14:conditionalFormatting xmlns:xm="http://schemas.microsoft.com/office/excel/2006/main">
          <x14:cfRule type="dataBar" id="{5C5034B3-35F7-4669-940B-1AFC265C70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AZ908</xm:sqref>
        </x14:conditionalFormatting>
        <x14:conditionalFormatting xmlns:xm="http://schemas.microsoft.com/office/excel/2006/main">
          <x14:cfRule type="dataBar" id="{2CCA4794-6218-4358-8160-4E9FD6F48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AZ910</xm:sqref>
        </x14:conditionalFormatting>
        <x14:conditionalFormatting xmlns:xm="http://schemas.microsoft.com/office/excel/2006/main">
          <x14:cfRule type="dataBar" id="{06F58048-09E9-4229-9607-25AFDB5437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AZ911:AZ914</xm:sqref>
        </x14:conditionalFormatting>
        <x14:conditionalFormatting xmlns:xm="http://schemas.microsoft.com/office/excel/2006/main">
          <x14:cfRule type="dataBar" id="{553DE526-731C-40AF-9365-54FE433A0B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AZ915</xm:sqref>
        </x14:conditionalFormatting>
        <x14:conditionalFormatting xmlns:xm="http://schemas.microsoft.com/office/excel/2006/main">
          <x14:cfRule type="dataBar" id="{99B9D752-D2EE-4491-ACDE-C19C74E63A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AZ917</xm:sqref>
        </x14:conditionalFormatting>
        <x14:conditionalFormatting xmlns:xm="http://schemas.microsoft.com/office/excel/2006/main">
          <x14:cfRule type="dataBar" id="{F6C15FD4-6FF3-4DB6-BA8B-E16E819789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AZ918:AZ921</xm:sqref>
        </x14:conditionalFormatting>
        <x14:conditionalFormatting xmlns:xm="http://schemas.microsoft.com/office/excel/2006/main">
          <x14:cfRule type="dataBar" id="{F851DC37-F9F9-499A-AA26-0B1B87C5EE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AZ922</xm:sqref>
        </x14:conditionalFormatting>
        <x14:conditionalFormatting xmlns:xm="http://schemas.microsoft.com/office/excel/2006/main">
          <x14:cfRule type="dataBar" id="{C660E51E-4262-4CEC-898D-25C0AD0026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AZ1109 AZ1154 AZ1118 AZ1127 AZ1163</xm:sqref>
        </x14:conditionalFormatting>
        <x14:conditionalFormatting xmlns:xm="http://schemas.microsoft.com/office/excel/2006/main">
          <x14:cfRule type="dataBar" id="{595017C3-CD90-4FA6-8853-7D16679C11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AZ1158:AZ1160 AZ1113:AZ1115 AZ1122:AZ1124 AZ1131:AZ1133 AZ1167:AZ1169 AZ1110 AZ1119 AZ1128 AZ1155 AZ1164</xm:sqref>
        </x14:conditionalFormatting>
        <x14:conditionalFormatting xmlns:xm="http://schemas.microsoft.com/office/excel/2006/main">
          <x14:cfRule type="dataBar" id="{6F4FBEB8-B858-43B5-A63C-71AC22E87B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AZ1116 AZ1161 AZ1125 AZ1134 AZ1170</xm:sqref>
        </x14:conditionalFormatting>
        <x14:conditionalFormatting xmlns:xm="http://schemas.microsoft.com/office/excel/2006/main">
          <x14:cfRule type="dataBar" id="{75325ACE-42C6-45F3-9133-6E9E396CF4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AZ1111 AZ1156 AZ1120 AZ1129 AZ1165</xm:sqref>
        </x14:conditionalFormatting>
        <x14:conditionalFormatting xmlns:xm="http://schemas.microsoft.com/office/excel/2006/main">
          <x14:cfRule type="dataBar" id="{5820F13B-A9CB-461A-A6DF-0870E9B91C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AZ1112 AZ1157 AZ1121 AZ1130 AZ1166</xm:sqref>
        </x14:conditionalFormatting>
        <x14:conditionalFormatting xmlns:xm="http://schemas.microsoft.com/office/excel/2006/main">
          <x14:cfRule type="dataBar" id="{F247157E-43D8-495F-958B-4FD8CCB4A2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AZ1136</xm:sqref>
        </x14:conditionalFormatting>
        <x14:conditionalFormatting xmlns:xm="http://schemas.microsoft.com/office/excel/2006/main">
          <x14:cfRule type="dataBar" id="{A87CA6C3-AC35-47DF-9FE0-E54D27F405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AZ1140:AZ1142 AZ1137</xm:sqref>
        </x14:conditionalFormatting>
        <x14:conditionalFormatting xmlns:xm="http://schemas.microsoft.com/office/excel/2006/main">
          <x14:cfRule type="dataBar" id="{8F398A7F-F9B1-4DA0-9C47-F9C2D19592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AZ1143</xm:sqref>
        </x14:conditionalFormatting>
        <x14:conditionalFormatting xmlns:xm="http://schemas.microsoft.com/office/excel/2006/main">
          <x14:cfRule type="dataBar" id="{47BA492C-501D-4784-96E1-A3B4E5A8AF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AZ1138</xm:sqref>
        </x14:conditionalFormatting>
        <x14:conditionalFormatting xmlns:xm="http://schemas.microsoft.com/office/excel/2006/main">
          <x14:cfRule type="dataBar" id="{B5E96D0B-5BD5-4A63-BC3C-E130165BFF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AZ1139</xm:sqref>
        </x14:conditionalFormatting>
        <x14:conditionalFormatting xmlns:xm="http://schemas.microsoft.com/office/excel/2006/main">
          <x14:cfRule type="dataBar" id="{27233C8D-655C-41F6-B213-A4493A9BBE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AZ1065</xm:sqref>
        </x14:conditionalFormatting>
        <x14:conditionalFormatting xmlns:xm="http://schemas.microsoft.com/office/excel/2006/main">
          <x14:cfRule type="dataBar" id="{15F68CAC-3EEE-4F27-9CEE-DD1B7C1A8E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AZ1066:AZ1069</xm:sqref>
        </x14:conditionalFormatting>
        <x14:conditionalFormatting xmlns:xm="http://schemas.microsoft.com/office/excel/2006/main">
          <x14:cfRule type="dataBar" id="{A1A97584-F5A4-4198-8D1E-C2DB7E2014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AZ1070</xm:sqref>
        </x14:conditionalFormatting>
        <x14:conditionalFormatting xmlns:xm="http://schemas.microsoft.com/office/excel/2006/main">
          <x14:cfRule type="dataBar" id="{CA6CD77F-CCD7-43FF-8B68-C7D1CBC77E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AZ1101</xm:sqref>
        </x14:conditionalFormatting>
        <x14:conditionalFormatting xmlns:xm="http://schemas.microsoft.com/office/excel/2006/main">
          <x14:cfRule type="dataBar" id="{8BAC3F5B-DD57-4692-9806-3B81A5895B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AZ1100</xm:sqref>
        </x14:conditionalFormatting>
        <x14:conditionalFormatting xmlns:xm="http://schemas.microsoft.com/office/excel/2006/main">
          <x14:cfRule type="dataBar" id="{0A2DA1D2-EC3C-45F4-9E61-A5B7AA3AA7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AZ1104:AZ1106</xm:sqref>
        </x14:conditionalFormatting>
        <x14:conditionalFormatting xmlns:xm="http://schemas.microsoft.com/office/excel/2006/main">
          <x14:cfRule type="dataBar" id="{82D8D98C-46A6-4487-9182-8706C2B455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AZ1107</xm:sqref>
        </x14:conditionalFormatting>
        <x14:conditionalFormatting xmlns:xm="http://schemas.microsoft.com/office/excel/2006/main">
          <x14:cfRule type="dataBar" id="{006C1FF4-1753-4465-AE07-D824C69BB3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AZ1102</xm:sqref>
        </x14:conditionalFormatting>
        <x14:conditionalFormatting xmlns:xm="http://schemas.microsoft.com/office/excel/2006/main">
          <x14:cfRule type="dataBar" id="{D5B351CD-2986-4934-A865-B933B6C70A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AZ1103</xm:sqref>
        </x14:conditionalFormatting>
        <x14:conditionalFormatting xmlns:xm="http://schemas.microsoft.com/office/excel/2006/main">
          <x14:cfRule type="dataBar" id="{D038274D-7C81-4F4C-A38A-4AF1F7A6DA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AZ1208</xm:sqref>
        </x14:conditionalFormatting>
        <x14:conditionalFormatting xmlns:xm="http://schemas.microsoft.com/office/excel/2006/main">
          <x14:cfRule type="dataBar" id="{42E04C30-6B5F-4BCF-8679-52F194FE2E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AZ1212:AZ1214 AZ1209</xm:sqref>
        </x14:conditionalFormatting>
        <x14:conditionalFormatting xmlns:xm="http://schemas.microsoft.com/office/excel/2006/main">
          <x14:cfRule type="dataBar" id="{0277C9CC-2E6C-4D59-A12B-6E3EA7DF46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AZ1215</xm:sqref>
        </x14:conditionalFormatting>
        <x14:conditionalFormatting xmlns:xm="http://schemas.microsoft.com/office/excel/2006/main">
          <x14:cfRule type="dataBar" id="{1CDA0ACF-1B66-4E30-B416-E508195C6A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AZ1210</xm:sqref>
        </x14:conditionalFormatting>
        <x14:conditionalFormatting xmlns:xm="http://schemas.microsoft.com/office/excel/2006/main">
          <x14:cfRule type="dataBar" id="{9B0A034B-4199-4B2B-92C8-42FF1EB1B1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AZ1211</xm:sqref>
        </x14:conditionalFormatting>
        <x14:conditionalFormatting xmlns:xm="http://schemas.microsoft.com/office/excel/2006/main">
          <x14:cfRule type="dataBar" id="{28380512-9984-4C84-B86C-D27090D9CD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AZ1199</xm:sqref>
        </x14:conditionalFormatting>
        <x14:conditionalFormatting xmlns:xm="http://schemas.microsoft.com/office/excel/2006/main">
          <x14:cfRule type="dataBar" id="{11DF2794-200C-4530-B210-5F8E4A20ED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AZ1203:AZ1205 AZ1200</xm:sqref>
        </x14:conditionalFormatting>
        <x14:conditionalFormatting xmlns:xm="http://schemas.microsoft.com/office/excel/2006/main">
          <x14:cfRule type="dataBar" id="{8FF2358E-6F10-46E4-806F-C95C59AEB2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AZ1206</xm:sqref>
        </x14:conditionalFormatting>
        <x14:conditionalFormatting xmlns:xm="http://schemas.microsoft.com/office/excel/2006/main">
          <x14:cfRule type="dataBar" id="{6D9A08E6-7808-4728-BD24-61A19C01A3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AZ1201</xm:sqref>
        </x14:conditionalFormatting>
        <x14:conditionalFormatting xmlns:xm="http://schemas.microsoft.com/office/excel/2006/main">
          <x14:cfRule type="dataBar" id="{5AA62F5D-6D31-4377-8C14-918CF10D2C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AZ1202</xm:sqref>
        </x14:conditionalFormatting>
        <x14:conditionalFormatting xmlns:xm="http://schemas.microsoft.com/office/excel/2006/main">
          <x14:cfRule type="dataBar" id="{A25D5F7F-22F1-4857-B00F-1664874BD6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AZ1172 AZ1181</xm:sqref>
        </x14:conditionalFormatting>
        <x14:conditionalFormatting xmlns:xm="http://schemas.microsoft.com/office/excel/2006/main">
          <x14:cfRule type="dataBar" id="{91A01BA0-1E5D-45CB-BEDB-025853EF1A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AZ1176:AZ1178 AZ1185:AZ1187 AZ1173 AZ1182</xm:sqref>
        </x14:conditionalFormatting>
        <x14:conditionalFormatting xmlns:xm="http://schemas.microsoft.com/office/excel/2006/main">
          <x14:cfRule type="dataBar" id="{84A2EBCE-2B56-4E4E-A9E3-8ED6A32BE2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AZ1179 AZ1188</xm:sqref>
        </x14:conditionalFormatting>
        <x14:conditionalFormatting xmlns:xm="http://schemas.microsoft.com/office/excel/2006/main">
          <x14:cfRule type="dataBar" id="{33C4E036-C29E-4912-9140-F08C3EFDFF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AZ1174 AZ1183</xm:sqref>
        </x14:conditionalFormatting>
        <x14:conditionalFormatting xmlns:xm="http://schemas.microsoft.com/office/excel/2006/main">
          <x14:cfRule type="dataBar" id="{EA99C2BC-F98A-4F80-B3C6-95B66DC1E9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AZ1175 AZ1184</xm:sqref>
        </x14:conditionalFormatting>
        <x14:conditionalFormatting xmlns:xm="http://schemas.microsoft.com/office/excel/2006/main">
          <x14:cfRule type="dataBar" id="{C292E176-7199-450E-87F8-C8160C03BB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AZ1226</xm:sqref>
        </x14:conditionalFormatting>
        <x14:conditionalFormatting xmlns:xm="http://schemas.microsoft.com/office/excel/2006/main">
          <x14:cfRule type="dataBar" id="{836770F2-5D8A-4CEA-BBB7-E142625F26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AZ1230:AZ1232 AZ1227</xm:sqref>
        </x14:conditionalFormatting>
        <x14:conditionalFormatting xmlns:xm="http://schemas.microsoft.com/office/excel/2006/main">
          <x14:cfRule type="dataBar" id="{4AC8BA1E-F88C-4D68-A9E6-9971D88AA2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AZ1233</xm:sqref>
        </x14:conditionalFormatting>
        <x14:conditionalFormatting xmlns:xm="http://schemas.microsoft.com/office/excel/2006/main">
          <x14:cfRule type="dataBar" id="{FF69517E-BEBC-4DE6-8A92-1F50F5A0D8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AZ1228</xm:sqref>
        </x14:conditionalFormatting>
        <x14:conditionalFormatting xmlns:xm="http://schemas.microsoft.com/office/excel/2006/main">
          <x14:cfRule type="dataBar" id="{A6ADA7FC-0D31-47F6-853C-242777978B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AZ1229</xm:sqref>
        </x14:conditionalFormatting>
        <x14:conditionalFormatting xmlns:xm="http://schemas.microsoft.com/office/excel/2006/main">
          <x14:cfRule type="dataBar" id="{E354D70A-E503-469E-9EF1-EAAF0794B8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AZ1190</xm:sqref>
        </x14:conditionalFormatting>
        <x14:conditionalFormatting xmlns:xm="http://schemas.microsoft.com/office/excel/2006/main">
          <x14:cfRule type="dataBar" id="{4DBCADC4-93FE-49A2-9FA9-FFEC46E13C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AZ1194:AZ1196 AZ1191</xm:sqref>
        </x14:conditionalFormatting>
        <x14:conditionalFormatting xmlns:xm="http://schemas.microsoft.com/office/excel/2006/main">
          <x14:cfRule type="dataBar" id="{585506CB-1E02-4CA8-8DC9-E56271740A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AZ1197</xm:sqref>
        </x14:conditionalFormatting>
        <x14:conditionalFormatting xmlns:xm="http://schemas.microsoft.com/office/excel/2006/main">
          <x14:cfRule type="dataBar" id="{8F5C7F04-3967-4234-A8F8-5D62310380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AZ1192</xm:sqref>
        </x14:conditionalFormatting>
        <x14:conditionalFormatting xmlns:xm="http://schemas.microsoft.com/office/excel/2006/main">
          <x14:cfRule type="dataBar" id="{11B7BC31-086C-4985-AC0D-0E97FAA6E5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AZ1193</xm:sqref>
        </x14:conditionalFormatting>
        <x14:conditionalFormatting xmlns:xm="http://schemas.microsoft.com/office/excel/2006/main">
          <x14:cfRule type="dataBar" id="{6D130F58-5186-4590-BE29-681B0FAFDB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AZ1217</xm:sqref>
        </x14:conditionalFormatting>
        <x14:conditionalFormatting xmlns:xm="http://schemas.microsoft.com/office/excel/2006/main">
          <x14:cfRule type="dataBar" id="{3A81A559-F737-4402-BDF6-BB487D33BD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AZ1221:AZ1223 AZ1218</xm:sqref>
        </x14:conditionalFormatting>
        <x14:conditionalFormatting xmlns:xm="http://schemas.microsoft.com/office/excel/2006/main">
          <x14:cfRule type="dataBar" id="{53594933-11CA-44BA-A5EF-EBCB7FCAAE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AZ1224</xm:sqref>
        </x14:conditionalFormatting>
        <x14:conditionalFormatting xmlns:xm="http://schemas.microsoft.com/office/excel/2006/main">
          <x14:cfRule type="dataBar" id="{E36CD7AC-2376-4FDF-8870-40E37B2F76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AZ1219</xm:sqref>
        </x14:conditionalFormatting>
        <x14:conditionalFormatting xmlns:xm="http://schemas.microsoft.com/office/excel/2006/main">
          <x14:cfRule type="dataBar" id="{8AB43A94-13B4-48E2-A91B-A8304510B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AZ1220</xm:sqref>
        </x14:conditionalFormatting>
        <x14:conditionalFormatting xmlns:xm="http://schemas.microsoft.com/office/excel/2006/main">
          <x14:cfRule type="dataBar" id="{0B9805B2-C1FE-4710-905D-555E496B27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AZ1072</xm:sqref>
        </x14:conditionalFormatting>
        <x14:conditionalFormatting xmlns:xm="http://schemas.microsoft.com/office/excel/2006/main">
          <x14:cfRule type="dataBar" id="{8CD5C051-7B58-4D2E-833B-C76B0A9653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AZ1073:AZ1076</xm:sqref>
        </x14:conditionalFormatting>
        <x14:conditionalFormatting xmlns:xm="http://schemas.microsoft.com/office/excel/2006/main">
          <x14:cfRule type="dataBar" id="{D4EDC421-B453-4EBE-9CEC-C007814C29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AZ1077</xm:sqref>
        </x14:conditionalFormatting>
        <x14:conditionalFormatting xmlns:xm="http://schemas.microsoft.com/office/excel/2006/main">
          <x14:cfRule type="dataBar" id="{B6EB9CC2-2C0E-4A07-93D3-73EF5FB4AB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AZ1145</xm:sqref>
        </x14:conditionalFormatting>
        <x14:conditionalFormatting xmlns:xm="http://schemas.microsoft.com/office/excel/2006/main">
          <x14:cfRule type="dataBar" id="{9D368305-7A07-4E7E-A064-15619A2595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AZ1149:AZ1151 AZ1146</xm:sqref>
        </x14:conditionalFormatting>
        <x14:conditionalFormatting xmlns:xm="http://schemas.microsoft.com/office/excel/2006/main">
          <x14:cfRule type="dataBar" id="{9D2C6F19-30B7-4403-87F2-F2B0A51EF7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AZ1152</xm:sqref>
        </x14:conditionalFormatting>
        <x14:conditionalFormatting xmlns:xm="http://schemas.microsoft.com/office/excel/2006/main">
          <x14:cfRule type="dataBar" id="{13DC61BF-8F23-4EB5-AEC7-5CF3455A72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AZ1147</xm:sqref>
        </x14:conditionalFormatting>
        <x14:conditionalFormatting xmlns:xm="http://schemas.microsoft.com/office/excel/2006/main">
          <x14:cfRule type="dataBar" id="{4C62082D-695C-4C21-BFF8-E910A9401D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AZ1148</xm:sqref>
        </x14:conditionalFormatting>
        <x14:conditionalFormatting xmlns:xm="http://schemas.microsoft.com/office/excel/2006/main">
          <x14:cfRule type="dataBar" id="{94BADFFC-BCB0-4B26-B561-2EBD416C92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AZ1079</xm:sqref>
        </x14:conditionalFormatting>
        <x14:conditionalFormatting xmlns:xm="http://schemas.microsoft.com/office/excel/2006/main">
          <x14:cfRule type="dataBar" id="{1D053058-BE45-4404-8CA4-044A7E14F1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AZ1080:AZ1083</xm:sqref>
        </x14:conditionalFormatting>
        <x14:conditionalFormatting xmlns:xm="http://schemas.microsoft.com/office/excel/2006/main">
          <x14:cfRule type="dataBar" id="{07D2B9BD-A35E-4D4C-92C4-01D48A5622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AZ1084</xm:sqref>
        </x14:conditionalFormatting>
        <x14:conditionalFormatting xmlns:xm="http://schemas.microsoft.com/office/excel/2006/main">
          <x14:cfRule type="dataBar" id="{550B05DB-39EF-4810-9261-40C71D2923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AZ1086</xm:sqref>
        </x14:conditionalFormatting>
        <x14:conditionalFormatting xmlns:xm="http://schemas.microsoft.com/office/excel/2006/main">
          <x14:cfRule type="dataBar" id="{1A020F52-4C91-4E87-BAEF-FD6EB8C64D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AZ1087:AZ1090</xm:sqref>
        </x14:conditionalFormatting>
        <x14:conditionalFormatting xmlns:xm="http://schemas.microsoft.com/office/excel/2006/main">
          <x14:cfRule type="dataBar" id="{86F3505A-F36A-45B4-8C8E-972F812DD0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AZ1091</xm:sqref>
        </x14:conditionalFormatting>
        <x14:conditionalFormatting xmlns:xm="http://schemas.microsoft.com/office/excel/2006/main">
          <x14:cfRule type="dataBar" id="{70494A96-53B1-4E4A-A8D6-42EAE5C6E8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AZ1093</xm:sqref>
        </x14:conditionalFormatting>
        <x14:conditionalFormatting xmlns:xm="http://schemas.microsoft.com/office/excel/2006/main">
          <x14:cfRule type="dataBar" id="{361764B0-11C4-4BAE-92F7-4ED7DD0127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AZ1094:AZ1097</xm:sqref>
        </x14:conditionalFormatting>
        <x14:conditionalFormatting xmlns:xm="http://schemas.microsoft.com/office/excel/2006/main">
          <x14:cfRule type="dataBar" id="{5F0A1562-B95E-4D14-9943-917EFDBBB6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AZ1098</xm:sqref>
        </x14:conditionalFormatting>
        <x14:conditionalFormatting xmlns:xm="http://schemas.microsoft.com/office/excel/2006/main">
          <x14:cfRule type="dataBar" id="{50767EF1-BA5A-4273-AA57-87C7601A6D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AZ1285 AZ1330 AZ1294 AZ1303 AZ1339</xm:sqref>
        </x14:conditionalFormatting>
        <x14:conditionalFormatting xmlns:xm="http://schemas.microsoft.com/office/excel/2006/main">
          <x14:cfRule type="dataBar" id="{6BF049EE-79C4-4DEB-9D7E-F570F3BB9E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AZ1334:AZ1336 AZ1289:AZ1291 AZ1298:AZ1300 AZ1307:AZ1309 AZ1343:AZ1345 AZ1286 AZ1295 AZ1304 AZ1331 AZ1340</xm:sqref>
        </x14:conditionalFormatting>
        <x14:conditionalFormatting xmlns:xm="http://schemas.microsoft.com/office/excel/2006/main">
          <x14:cfRule type="dataBar" id="{B42DA693-311F-49A1-93CD-7A5FB2818F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AZ1292 AZ1337 AZ1301 AZ1310 AZ1346</xm:sqref>
        </x14:conditionalFormatting>
        <x14:conditionalFormatting xmlns:xm="http://schemas.microsoft.com/office/excel/2006/main">
          <x14:cfRule type="dataBar" id="{39F7ADE2-8FF0-4858-A8B9-B8375F4002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AZ1287 AZ1332 AZ1296 AZ1305 AZ1341</xm:sqref>
        </x14:conditionalFormatting>
        <x14:conditionalFormatting xmlns:xm="http://schemas.microsoft.com/office/excel/2006/main">
          <x14:cfRule type="dataBar" id="{50D897DA-99EC-4225-9A9C-3BFC74E81C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AZ1288 AZ1333 AZ1297 AZ1306 AZ1342</xm:sqref>
        </x14:conditionalFormatting>
        <x14:conditionalFormatting xmlns:xm="http://schemas.microsoft.com/office/excel/2006/main">
          <x14:cfRule type="dataBar" id="{3C3A7FFE-FCF2-4FEA-A991-74D46FF732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AZ1312</xm:sqref>
        </x14:conditionalFormatting>
        <x14:conditionalFormatting xmlns:xm="http://schemas.microsoft.com/office/excel/2006/main">
          <x14:cfRule type="dataBar" id="{28C8CCF3-9AB6-48B8-B491-A249AA8B4E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AZ1316:AZ1318 AZ1313</xm:sqref>
        </x14:conditionalFormatting>
        <x14:conditionalFormatting xmlns:xm="http://schemas.microsoft.com/office/excel/2006/main">
          <x14:cfRule type="dataBar" id="{AD3FED84-7CE0-4980-A2BF-56E13ECAEA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AZ1319</xm:sqref>
        </x14:conditionalFormatting>
        <x14:conditionalFormatting xmlns:xm="http://schemas.microsoft.com/office/excel/2006/main">
          <x14:cfRule type="dataBar" id="{E6C0A67F-0F86-4D8F-BDAC-8D587FE4E7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AZ1314</xm:sqref>
        </x14:conditionalFormatting>
        <x14:conditionalFormatting xmlns:xm="http://schemas.microsoft.com/office/excel/2006/main">
          <x14:cfRule type="dataBar" id="{9E960C09-A80D-4908-9A99-51EC903B63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AZ1315</xm:sqref>
        </x14:conditionalFormatting>
        <x14:conditionalFormatting xmlns:xm="http://schemas.microsoft.com/office/excel/2006/main">
          <x14:cfRule type="dataBar" id="{44343370-86F3-4AA9-87C9-4175B9838F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AZ1241</xm:sqref>
        </x14:conditionalFormatting>
        <x14:conditionalFormatting xmlns:xm="http://schemas.microsoft.com/office/excel/2006/main">
          <x14:cfRule type="dataBar" id="{20E477F8-89A9-45EA-BAB2-37AED619FD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AZ1242:AZ1245</xm:sqref>
        </x14:conditionalFormatting>
        <x14:conditionalFormatting xmlns:xm="http://schemas.microsoft.com/office/excel/2006/main">
          <x14:cfRule type="dataBar" id="{B6752D10-1F50-450F-9AEE-064C46AFA2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AZ1246</xm:sqref>
        </x14:conditionalFormatting>
        <x14:conditionalFormatting xmlns:xm="http://schemas.microsoft.com/office/excel/2006/main">
          <x14:cfRule type="dataBar" id="{473FAAD3-AE57-4C35-906A-AF1A9299CD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AZ1277</xm:sqref>
        </x14:conditionalFormatting>
        <x14:conditionalFormatting xmlns:xm="http://schemas.microsoft.com/office/excel/2006/main">
          <x14:cfRule type="dataBar" id="{73E908C9-8F3F-41DB-ADCF-352176F37B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AZ1276</xm:sqref>
        </x14:conditionalFormatting>
        <x14:conditionalFormatting xmlns:xm="http://schemas.microsoft.com/office/excel/2006/main">
          <x14:cfRule type="dataBar" id="{5580F37A-654A-450B-BB53-5A634BD6AC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AZ1280:AZ1282</xm:sqref>
        </x14:conditionalFormatting>
        <x14:conditionalFormatting xmlns:xm="http://schemas.microsoft.com/office/excel/2006/main">
          <x14:cfRule type="dataBar" id="{086E56D6-EB12-4D4C-8CDC-0C85795371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AZ1283</xm:sqref>
        </x14:conditionalFormatting>
        <x14:conditionalFormatting xmlns:xm="http://schemas.microsoft.com/office/excel/2006/main">
          <x14:cfRule type="dataBar" id="{0713FEDC-9F97-4543-B518-C5EF235E0D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AZ1278</xm:sqref>
        </x14:conditionalFormatting>
        <x14:conditionalFormatting xmlns:xm="http://schemas.microsoft.com/office/excel/2006/main">
          <x14:cfRule type="dataBar" id="{3D5AFD94-8E84-4067-9E36-B6C407370A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AZ1279</xm:sqref>
        </x14:conditionalFormatting>
        <x14:conditionalFormatting xmlns:xm="http://schemas.microsoft.com/office/excel/2006/main">
          <x14:cfRule type="dataBar" id="{1391471F-0860-42BB-8ADF-0D8FC1A4DD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AZ1384</xm:sqref>
        </x14:conditionalFormatting>
        <x14:conditionalFormatting xmlns:xm="http://schemas.microsoft.com/office/excel/2006/main">
          <x14:cfRule type="dataBar" id="{5279DAB2-E792-45BB-94AE-DD63DBED38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AZ1388:AZ1390 AZ1385</xm:sqref>
        </x14:conditionalFormatting>
        <x14:conditionalFormatting xmlns:xm="http://schemas.microsoft.com/office/excel/2006/main">
          <x14:cfRule type="dataBar" id="{A14A9C01-A108-487F-889E-19A844F077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AZ1391</xm:sqref>
        </x14:conditionalFormatting>
        <x14:conditionalFormatting xmlns:xm="http://schemas.microsoft.com/office/excel/2006/main">
          <x14:cfRule type="dataBar" id="{62404A1D-C6B6-432B-B1FC-FC6F85B27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AZ1386</xm:sqref>
        </x14:conditionalFormatting>
        <x14:conditionalFormatting xmlns:xm="http://schemas.microsoft.com/office/excel/2006/main">
          <x14:cfRule type="dataBar" id="{993D9402-2BCB-49A2-B067-B83355BA93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AZ1387</xm:sqref>
        </x14:conditionalFormatting>
        <x14:conditionalFormatting xmlns:xm="http://schemas.microsoft.com/office/excel/2006/main">
          <x14:cfRule type="dataBar" id="{94D949CE-433E-4B98-B1B1-C34CCDF8C7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AZ1375</xm:sqref>
        </x14:conditionalFormatting>
        <x14:conditionalFormatting xmlns:xm="http://schemas.microsoft.com/office/excel/2006/main">
          <x14:cfRule type="dataBar" id="{6D0E453B-0748-43BE-839F-809BF83C9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AZ1379:AZ1381 AZ1376</xm:sqref>
        </x14:conditionalFormatting>
        <x14:conditionalFormatting xmlns:xm="http://schemas.microsoft.com/office/excel/2006/main">
          <x14:cfRule type="dataBar" id="{294AA1EF-1091-4C41-8E49-A568CA1938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AZ1382</xm:sqref>
        </x14:conditionalFormatting>
        <x14:conditionalFormatting xmlns:xm="http://schemas.microsoft.com/office/excel/2006/main">
          <x14:cfRule type="dataBar" id="{37158A0E-B9AE-4A32-95B8-E5B2D88FE2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AZ1377</xm:sqref>
        </x14:conditionalFormatting>
        <x14:conditionalFormatting xmlns:xm="http://schemas.microsoft.com/office/excel/2006/main">
          <x14:cfRule type="dataBar" id="{7D85257F-5E16-40F7-B697-28A6C80140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AZ1378</xm:sqref>
        </x14:conditionalFormatting>
        <x14:conditionalFormatting xmlns:xm="http://schemas.microsoft.com/office/excel/2006/main">
          <x14:cfRule type="dataBar" id="{A0B57C65-15FE-43AB-BE8A-81AB361F6C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AZ1348 AZ1357</xm:sqref>
        </x14:conditionalFormatting>
        <x14:conditionalFormatting xmlns:xm="http://schemas.microsoft.com/office/excel/2006/main">
          <x14:cfRule type="dataBar" id="{27F22485-B7E0-4A0F-859D-508EDF08DA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AZ1352:AZ1354 AZ1361:AZ1363 AZ1349 AZ1358</xm:sqref>
        </x14:conditionalFormatting>
        <x14:conditionalFormatting xmlns:xm="http://schemas.microsoft.com/office/excel/2006/main">
          <x14:cfRule type="dataBar" id="{4770684E-2251-4851-9CA6-119CB15755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AZ1355 AZ1364</xm:sqref>
        </x14:conditionalFormatting>
        <x14:conditionalFormatting xmlns:xm="http://schemas.microsoft.com/office/excel/2006/main">
          <x14:cfRule type="dataBar" id="{FDF06BE5-D7E3-4DB6-AFC5-8EF729F759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AZ1350 AZ1359</xm:sqref>
        </x14:conditionalFormatting>
        <x14:conditionalFormatting xmlns:xm="http://schemas.microsoft.com/office/excel/2006/main">
          <x14:cfRule type="dataBar" id="{BDEAB449-E4B7-471D-8500-96BAA367CF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AZ1351 AZ1360</xm:sqref>
        </x14:conditionalFormatting>
        <x14:conditionalFormatting xmlns:xm="http://schemas.microsoft.com/office/excel/2006/main">
          <x14:cfRule type="dataBar" id="{909E4A3E-722C-402B-A035-ED165C6211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AZ1402</xm:sqref>
        </x14:conditionalFormatting>
        <x14:conditionalFormatting xmlns:xm="http://schemas.microsoft.com/office/excel/2006/main">
          <x14:cfRule type="dataBar" id="{E5B80072-EE79-43FE-8030-3433D37FFC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AZ1406:AZ1408 AZ1403</xm:sqref>
        </x14:conditionalFormatting>
        <x14:conditionalFormatting xmlns:xm="http://schemas.microsoft.com/office/excel/2006/main">
          <x14:cfRule type="dataBar" id="{57EA105D-E191-4998-B152-875E0E1E07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AZ1409</xm:sqref>
        </x14:conditionalFormatting>
        <x14:conditionalFormatting xmlns:xm="http://schemas.microsoft.com/office/excel/2006/main">
          <x14:cfRule type="dataBar" id="{E9FC91E5-CCDE-42A6-B236-98804EB9C2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AZ1404</xm:sqref>
        </x14:conditionalFormatting>
        <x14:conditionalFormatting xmlns:xm="http://schemas.microsoft.com/office/excel/2006/main">
          <x14:cfRule type="dataBar" id="{C9EABC8A-CE5B-40A6-9089-9F9D830BDA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AZ1405</xm:sqref>
        </x14:conditionalFormatting>
        <x14:conditionalFormatting xmlns:xm="http://schemas.microsoft.com/office/excel/2006/main">
          <x14:cfRule type="dataBar" id="{87F06BB5-F3F7-44EE-B1A3-B93C217666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AZ1366</xm:sqref>
        </x14:conditionalFormatting>
        <x14:conditionalFormatting xmlns:xm="http://schemas.microsoft.com/office/excel/2006/main">
          <x14:cfRule type="dataBar" id="{82B89758-9EA8-4C03-B4CC-8025C8B841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AZ1370:AZ1372 AZ1367</xm:sqref>
        </x14:conditionalFormatting>
        <x14:conditionalFormatting xmlns:xm="http://schemas.microsoft.com/office/excel/2006/main">
          <x14:cfRule type="dataBar" id="{1727A602-EF4C-4DE0-9AC3-B7748B14A1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AZ1373</xm:sqref>
        </x14:conditionalFormatting>
        <x14:conditionalFormatting xmlns:xm="http://schemas.microsoft.com/office/excel/2006/main">
          <x14:cfRule type="dataBar" id="{DDD8A968-1D6A-4F41-8B2C-924E99BA11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AZ1368</xm:sqref>
        </x14:conditionalFormatting>
        <x14:conditionalFormatting xmlns:xm="http://schemas.microsoft.com/office/excel/2006/main">
          <x14:cfRule type="dataBar" id="{88295ACC-AAEA-427B-8FC3-841CA4D99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AZ1369</xm:sqref>
        </x14:conditionalFormatting>
        <x14:conditionalFormatting xmlns:xm="http://schemas.microsoft.com/office/excel/2006/main">
          <x14:cfRule type="dataBar" id="{EB045729-54B2-4329-A57B-E5F7CE1C81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AZ1393</xm:sqref>
        </x14:conditionalFormatting>
        <x14:conditionalFormatting xmlns:xm="http://schemas.microsoft.com/office/excel/2006/main">
          <x14:cfRule type="dataBar" id="{6D9B2675-C178-4E60-93C1-51694ACF0D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AZ1397:AZ1399 AZ1394</xm:sqref>
        </x14:conditionalFormatting>
        <x14:conditionalFormatting xmlns:xm="http://schemas.microsoft.com/office/excel/2006/main">
          <x14:cfRule type="dataBar" id="{C776EA75-1D15-4F95-8E14-815509A0C8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AZ1400</xm:sqref>
        </x14:conditionalFormatting>
        <x14:conditionalFormatting xmlns:xm="http://schemas.microsoft.com/office/excel/2006/main">
          <x14:cfRule type="dataBar" id="{1308DC60-3603-40FC-9D2F-18B5B54A2D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AZ1395</xm:sqref>
        </x14:conditionalFormatting>
        <x14:conditionalFormatting xmlns:xm="http://schemas.microsoft.com/office/excel/2006/main">
          <x14:cfRule type="dataBar" id="{9DBD42C9-8EFF-4BED-8701-AA6C982107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AZ1396</xm:sqref>
        </x14:conditionalFormatting>
        <x14:conditionalFormatting xmlns:xm="http://schemas.microsoft.com/office/excel/2006/main">
          <x14:cfRule type="dataBar" id="{8CAE271A-3CE4-4A2A-BCEC-219CB29A2A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AZ1248</xm:sqref>
        </x14:conditionalFormatting>
        <x14:conditionalFormatting xmlns:xm="http://schemas.microsoft.com/office/excel/2006/main">
          <x14:cfRule type="dataBar" id="{A48CB321-A8B2-4330-8618-757B9C6F02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AZ1249:AZ1252</xm:sqref>
        </x14:conditionalFormatting>
        <x14:conditionalFormatting xmlns:xm="http://schemas.microsoft.com/office/excel/2006/main">
          <x14:cfRule type="dataBar" id="{D20CB82D-A4DA-4EDA-B4A7-0ECE4DF977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AZ1253</xm:sqref>
        </x14:conditionalFormatting>
        <x14:conditionalFormatting xmlns:xm="http://schemas.microsoft.com/office/excel/2006/main">
          <x14:cfRule type="dataBar" id="{76093C3C-4C9A-43B1-91C6-22907B0401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AZ1321</xm:sqref>
        </x14:conditionalFormatting>
        <x14:conditionalFormatting xmlns:xm="http://schemas.microsoft.com/office/excel/2006/main">
          <x14:cfRule type="dataBar" id="{740F72EA-03A9-4C1D-917C-1AEA4606DE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AZ1325:AZ1327 AZ1322</xm:sqref>
        </x14:conditionalFormatting>
        <x14:conditionalFormatting xmlns:xm="http://schemas.microsoft.com/office/excel/2006/main">
          <x14:cfRule type="dataBar" id="{9F4FFD4D-2E78-42A6-94E3-0CB36BBDA5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AZ1328</xm:sqref>
        </x14:conditionalFormatting>
        <x14:conditionalFormatting xmlns:xm="http://schemas.microsoft.com/office/excel/2006/main">
          <x14:cfRule type="dataBar" id="{3F065FE2-68D7-4533-A7E4-F4A53988DE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AZ1323</xm:sqref>
        </x14:conditionalFormatting>
        <x14:conditionalFormatting xmlns:xm="http://schemas.microsoft.com/office/excel/2006/main">
          <x14:cfRule type="dataBar" id="{03FFC2A5-B49E-4049-BE4A-353B62186F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AZ1324</xm:sqref>
        </x14:conditionalFormatting>
        <x14:conditionalFormatting xmlns:xm="http://schemas.microsoft.com/office/excel/2006/main">
          <x14:cfRule type="dataBar" id="{EFDDD02D-6DFE-4156-8B35-F14074C771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AZ1255</xm:sqref>
        </x14:conditionalFormatting>
        <x14:conditionalFormatting xmlns:xm="http://schemas.microsoft.com/office/excel/2006/main">
          <x14:cfRule type="dataBar" id="{CCB9503E-CA6E-479D-B109-8092082796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AZ1256:AZ1259</xm:sqref>
        </x14:conditionalFormatting>
        <x14:conditionalFormatting xmlns:xm="http://schemas.microsoft.com/office/excel/2006/main">
          <x14:cfRule type="dataBar" id="{BB0BB963-6BCA-421F-815B-8BE3C774CF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AZ1260</xm:sqref>
        </x14:conditionalFormatting>
        <x14:conditionalFormatting xmlns:xm="http://schemas.microsoft.com/office/excel/2006/main">
          <x14:cfRule type="dataBar" id="{9DAF1EFE-0D29-45FB-A791-785E357963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AZ1262</xm:sqref>
        </x14:conditionalFormatting>
        <x14:conditionalFormatting xmlns:xm="http://schemas.microsoft.com/office/excel/2006/main">
          <x14:cfRule type="dataBar" id="{70F86B78-3A11-42BB-B33F-A9E6D15632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AZ1263:AZ1266</xm:sqref>
        </x14:conditionalFormatting>
        <x14:conditionalFormatting xmlns:xm="http://schemas.microsoft.com/office/excel/2006/main">
          <x14:cfRule type="dataBar" id="{AB557B8E-2A44-4C82-940C-E7F448203C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AZ1267</xm:sqref>
        </x14:conditionalFormatting>
        <x14:conditionalFormatting xmlns:xm="http://schemas.microsoft.com/office/excel/2006/main">
          <x14:cfRule type="dataBar" id="{88839037-CB75-459C-B2D2-AF856C7E2D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AZ1269</xm:sqref>
        </x14:conditionalFormatting>
        <x14:conditionalFormatting xmlns:xm="http://schemas.microsoft.com/office/excel/2006/main">
          <x14:cfRule type="dataBar" id="{B4833D6C-43AB-43DC-B9BB-2C7D6DFADB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AZ1270:AZ1273</xm:sqref>
        </x14:conditionalFormatting>
        <x14:conditionalFormatting xmlns:xm="http://schemas.microsoft.com/office/excel/2006/main">
          <x14:cfRule type="dataBar" id="{B7002771-247E-4295-B1CD-3AF20378E9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AZ1274</xm:sqref>
        </x14:conditionalFormatting>
        <x14:conditionalFormatting xmlns:xm="http://schemas.microsoft.com/office/excel/2006/main">
          <x14:cfRule type="dataBar" id="{29653134-EC81-4F84-9C18-4670EF71EE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AZ1461 AZ1506 AZ1470 AZ1479 AZ1515</xm:sqref>
        </x14:conditionalFormatting>
        <x14:conditionalFormatting xmlns:xm="http://schemas.microsoft.com/office/excel/2006/main">
          <x14:cfRule type="dataBar" id="{832917AA-AD5C-4421-BD9D-CA22B65AE9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AZ1510:AZ1512 AZ1465:AZ1467 AZ1474:AZ1476 AZ1483:AZ1485 AZ1519:AZ1521 AZ1462 AZ1471 AZ1480 AZ1507 AZ1516</xm:sqref>
        </x14:conditionalFormatting>
        <x14:conditionalFormatting xmlns:xm="http://schemas.microsoft.com/office/excel/2006/main">
          <x14:cfRule type="dataBar" id="{B349ABA6-68B4-4A26-B4C3-9958935A6A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AZ1468 AZ1513 AZ1477 AZ1486 AZ1522</xm:sqref>
        </x14:conditionalFormatting>
        <x14:conditionalFormatting xmlns:xm="http://schemas.microsoft.com/office/excel/2006/main">
          <x14:cfRule type="dataBar" id="{95279A21-FAED-41C7-956A-06DFEA7AD6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AZ1463 AZ1508 AZ1472 AZ1481 AZ1517</xm:sqref>
        </x14:conditionalFormatting>
        <x14:conditionalFormatting xmlns:xm="http://schemas.microsoft.com/office/excel/2006/main">
          <x14:cfRule type="dataBar" id="{C8566628-20AB-4B96-AAAA-3C788D9E86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AZ1464 AZ1509 AZ1473 AZ1482 AZ1518</xm:sqref>
        </x14:conditionalFormatting>
        <x14:conditionalFormatting xmlns:xm="http://schemas.microsoft.com/office/excel/2006/main">
          <x14:cfRule type="dataBar" id="{2C00D57A-59CA-474B-9AD6-2FCEC2582E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AZ1488</xm:sqref>
        </x14:conditionalFormatting>
        <x14:conditionalFormatting xmlns:xm="http://schemas.microsoft.com/office/excel/2006/main">
          <x14:cfRule type="dataBar" id="{D865AF09-DD1F-45C9-8D9F-A85545D3E4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AZ1492:AZ1494 AZ1489</xm:sqref>
        </x14:conditionalFormatting>
        <x14:conditionalFormatting xmlns:xm="http://schemas.microsoft.com/office/excel/2006/main">
          <x14:cfRule type="dataBar" id="{F496891E-6B21-497F-AE19-BB8CEBDDC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AZ1495</xm:sqref>
        </x14:conditionalFormatting>
        <x14:conditionalFormatting xmlns:xm="http://schemas.microsoft.com/office/excel/2006/main">
          <x14:cfRule type="dataBar" id="{C8508AF2-73CC-405F-947D-2B7C4839A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AZ1490</xm:sqref>
        </x14:conditionalFormatting>
        <x14:conditionalFormatting xmlns:xm="http://schemas.microsoft.com/office/excel/2006/main">
          <x14:cfRule type="dataBar" id="{04976E2C-1660-4B07-820C-F5FD38C18B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AZ1491</xm:sqref>
        </x14:conditionalFormatting>
        <x14:conditionalFormatting xmlns:xm="http://schemas.microsoft.com/office/excel/2006/main">
          <x14:cfRule type="dataBar" id="{0E89571C-925D-4EA7-A9EF-4E7A70EB45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AZ1417</xm:sqref>
        </x14:conditionalFormatting>
        <x14:conditionalFormatting xmlns:xm="http://schemas.microsoft.com/office/excel/2006/main">
          <x14:cfRule type="dataBar" id="{E6CD9DC1-6ABB-414C-8768-329FF3FB42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AZ1418:AZ1421</xm:sqref>
        </x14:conditionalFormatting>
        <x14:conditionalFormatting xmlns:xm="http://schemas.microsoft.com/office/excel/2006/main">
          <x14:cfRule type="dataBar" id="{DAE0CA27-FE50-4EBE-912B-6248065B94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AZ1422</xm:sqref>
        </x14:conditionalFormatting>
        <x14:conditionalFormatting xmlns:xm="http://schemas.microsoft.com/office/excel/2006/main">
          <x14:cfRule type="dataBar" id="{82E7ED3C-9126-4491-8AE7-DB9FACF504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AZ1453</xm:sqref>
        </x14:conditionalFormatting>
        <x14:conditionalFormatting xmlns:xm="http://schemas.microsoft.com/office/excel/2006/main">
          <x14:cfRule type="dataBar" id="{6ABD6389-6B7E-401D-9099-06F60C4C4F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AZ1452</xm:sqref>
        </x14:conditionalFormatting>
        <x14:conditionalFormatting xmlns:xm="http://schemas.microsoft.com/office/excel/2006/main">
          <x14:cfRule type="dataBar" id="{AB87279B-A9D2-4153-8CE2-C7D6219498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AZ1456:AZ1458</xm:sqref>
        </x14:conditionalFormatting>
        <x14:conditionalFormatting xmlns:xm="http://schemas.microsoft.com/office/excel/2006/main">
          <x14:cfRule type="dataBar" id="{06FA8A1D-58B4-49F1-815D-CB68AED7BE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AZ1459</xm:sqref>
        </x14:conditionalFormatting>
        <x14:conditionalFormatting xmlns:xm="http://schemas.microsoft.com/office/excel/2006/main">
          <x14:cfRule type="dataBar" id="{451FF53F-A70C-4DD5-A73B-2FC60777C2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AZ1454</xm:sqref>
        </x14:conditionalFormatting>
        <x14:conditionalFormatting xmlns:xm="http://schemas.microsoft.com/office/excel/2006/main">
          <x14:cfRule type="dataBar" id="{62E81FAE-9391-46D4-8961-168DB5B781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AZ1455</xm:sqref>
        </x14:conditionalFormatting>
        <x14:conditionalFormatting xmlns:xm="http://schemas.microsoft.com/office/excel/2006/main">
          <x14:cfRule type="dataBar" id="{9F518928-92F3-496F-8F78-B1CC52693B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AZ1560</xm:sqref>
        </x14:conditionalFormatting>
        <x14:conditionalFormatting xmlns:xm="http://schemas.microsoft.com/office/excel/2006/main">
          <x14:cfRule type="dataBar" id="{43741E90-1492-4823-934C-83BDBD2C99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AZ1564:AZ1566 AZ1561</xm:sqref>
        </x14:conditionalFormatting>
        <x14:conditionalFormatting xmlns:xm="http://schemas.microsoft.com/office/excel/2006/main">
          <x14:cfRule type="dataBar" id="{4816D9E2-4747-466F-A8CC-3B1E8CD126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AZ1567</xm:sqref>
        </x14:conditionalFormatting>
        <x14:conditionalFormatting xmlns:xm="http://schemas.microsoft.com/office/excel/2006/main">
          <x14:cfRule type="dataBar" id="{9EDF4692-69F1-470E-8DAF-6201937DC2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AZ1562</xm:sqref>
        </x14:conditionalFormatting>
        <x14:conditionalFormatting xmlns:xm="http://schemas.microsoft.com/office/excel/2006/main">
          <x14:cfRule type="dataBar" id="{C4DCA74C-FB45-4763-8C96-736C2ABF5A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AZ1563</xm:sqref>
        </x14:conditionalFormatting>
        <x14:conditionalFormatting xmlns:xm="http://schemas.microsoft.com/office/excel/2006/main">
          <x14:cfRule type="dataBar" id="{232F15EA-8830-4733-A559-9D165AFDEA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AZ1551</xm:sqref>
        </x14:conditionalFormatting>
        <x14:conditionalFormatting xmlns:xm="http://schemas.microsoft.com/office/excel/2006/main">
          <x14:cfRule type="dataBar" id="{4C4D0782-77F3-40F3-9516-4672E5E220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AZ1555:AZ1557 AZ1552</xm:sqref>
        </x14:conditionalFormatting>
        <x14:conditionalFormatting xmlns:xm="http://schemas.microsoft.com/office/excel/2006/main">
          <x14:cfRule type="dataBar" id="{EB02EECE-0544-46DE-A55B-7EFD771CBA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AZ1558</xm:sqref>
        </x14:conditionalFormatting>
        <x14:conditionalFormatting xmlns:xm="http://schemas.microsoft.com/office/excel/2006/main">
          <x14:cfRule type="dataBar" id="{F26E91ED-2948-4D7C-9E20-842D1EADFA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AZ1553</xm:sqref>
        </x14:conditionalFormatting>
        <x14:conditionalFormatting xmlns:xm="http://schemas.microsoft.com/office/excel/2006/main">
          <x14:cfRule type="dataBar" id="{D72CB2BE-C741-40DC-A145-5C09518CCF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AZ1554</xm:sqref>
        </x14:conditionalFormatting>
        <x14:conditionalFormatting xmlns:xm="http://schemas.microsoft.com/office/excel/2006/main">
          <x14:cfRule type="dataBar" id="{C4EBAB93-E30C-4BEC-84AF-8F8C2AA01F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AZ1533 AZ1524</xm:sqref>
        </x14:conditionalFormatting>
        <x14:conditionalFormatting xmlns:xm="http://schemas.microsoft.com/office/excel/2006/main">
          <x14:cfRule type="dataBar" id="{FD2A42A9-0076-4E7C-926A-F63C2BFA01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AZ1528:AZ1530 AZ1537:AZ1539 AZ1525 AZ1534</xm:sqref>
        </x14:conditionalFormatting>
        <x14:conditionalFormatting xmlns:xm="http://schemas.microsoft.com/office/excel/2006/main">
          <x14:cfRule type="dataBar" id="{5A2BA240-AF90-4435-A9E7-A4F9BE4E9A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AZ1531 AZ1540</xm:sqref>
        </x14:conditionalFormatting>
        <x14:conditionalFormatting xmlns:xm="http://schemas.microsoft.com/office/excel/2006/main">
          <x14:cfRule type="dataBar" id="{2376E2BB-37E2-4B31-AD2B-F1AE6EFE22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AZ1535 AZ1526</xm:sqref>
        </x14:conditionalFormatting>
        <x14:conditionalFormatting xmlns:xm="http://schemas.microsoft.com/office/excel/2006/main">
          <x14:cfRule type="dataBar" id="{7F89EE2F-12D9-46EA-B2DD-3DF305279B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AZ1536 AZ1527</xm:sqref>
        </x14:conditionalFormatting>
        <x14:conditionalFormatting xmlns:xm="http://schemas.microsoft.com/office/excel/2006/main">
          <x14:cfRule type="dataBar" id="{E89D8BF9-0CA5-4629-8BA3-174B4549E7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AZ1578</xm:sqref>
        </x14:conditionalFormatting>
        <x14:conditionalFormatting xmlns:xm="http://schemas.microsoft.com/office/excel/2006/main">
          <x14:cfRule type="dataBar" id="{2D24BA84-2CE6-427D-92B8-0C54EA98A8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AZ1582:AZ1584 AZ1579</xm:sqref>
        </x14:conditionalFormatting>
        <x14:conditionalFormatting xmlns:xm="http://schemas.microsoft.com/office/excel/2006/main">
          <x14:cfRule type="dataBar" id="{2173FC5E-8691-4070-B16E-2CA2AE6BCF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AZ1585</xm:sqref>
        </x14:conditionalFormatting>
        <x14:conditionalFormatting xmlns:xm="http://schemas.microsoft.com/office/excel/2006/main">
          <x14:cfRule type="dataBar" id="{49FAB24F-002C-4D4D-A6DB-26805D1317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AZ1580</xm:sqref>
        </x14:conditionalFormatting>
        <x14:conditionalFormatting xmlns:xm="http://schemas.microsoft.com/office/excel/2006/main">
          <x14:cfRule type="dataBar" id="{EBF5A650-3B58-4FC4-A3F0-32D1990AE9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AZ1581</xm:sqref>
        </x14:conditionalFormatting>
        <x14:conditionalFormatting xmlns:xm="http://schemas.microsoft.com/office/excel/2006/main">
          <x14:cfRule type="dataBar" id="{20E30048-888B-4807-8A47-17B28CE9D0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AZ1542</xm:sqref>
        </x14:conditionalFormatting>
        <x14:conditionalFormatting xmlns:xm="http://schemas.microsoft.com/office/excel/2006/main">
          <x14:cfRule type="dataBar" id="{A7C57EE9-D391-46F2-BFAD-ED0E162C24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AZ1546:AZ1548 AZ1543</xm:sqref>
        </x14:conditionalFormatting>
        <x14:conditionalFormatting xmlns:xm="http://schemas.microsoft.com/office/excel/2006/main">
          <x14:cfRule type="dataBar" id="{7A2F4C99-ACA9-4263-8A36-B7B168BEA7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AZ1549</xm:sqref>
        </x14:conditionalFormatting>
        <x14:conditionalFormatting xmlns:xm="http://schemas.microsoft.com/office/excel/2006/main">
          <x14:cfRule type="dataBar" id="{C76160AA-0B44-42BE-8253-D473D4F25C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AZ1544</xm:sqref>
        </x14:conditionalFormatting>
        <x14:conditionalFormatting xmlns:xm="http://schemas.microsoft.com/office/excel/2006/main">
          <x14:cfRule type="dataBar" id="{A5513ED1-37E9-4070-8400-37F48DB75D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AZ1545</xm:sqref>
        </x14:conditionalFormatting>
        <x14:conditionalFormatting xmlns:xm="http://schemas.microsoft.com/office/excel/2006/main">
          <x14:cfRule type="dataBar" id="{2D10CB2F-1025-4270-966E-E5D1BCCA67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AZ1569</xm:sqref>
        </x14:conditionalFormatting>
        <x14:conditionalFormatting xmlns:xm="http://schemas.microsoft.com/office/excel/2006/main">
          <x14:cfRule type="dataBar" id="{4E59AD29-F571-4836-8ADD-E827458CFF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AZ1573:AZ1575 AZ1570</xm:sqref>
        </x14:conditionalFormatting>
        <x14:conditionalFormatting xmlns:xm="http://schemas.microsoft.com/office/excel/2006/main">
          <x14:cfRule type="dataBar" id="{16E82610-226F-4C6B-A2A1-1E8E418B33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AZ1576</xm:sqref>
        </x14:conditionalFormatting>
        <x14:conditionalFormatting xmlns:xm="http://schemas.microsoft.com/office/excel/2006/main">
          <x14:cfRule type="dataBar" id="{E4D406EC-37E7-4D90-8BFE-C0A71972CF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AZ1571</xm:sqref>
        </x14:conditionalFormatting>
        <x14:conditionalFormatting xmlns:xm="http://schemas.microsoft.com/office/excel/2006/main">
          <x14:cfRule type="dataBar" id="{F66DE277-4671-4618-B72D-6F6301325B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AZ1572</xm:sqref>
        </x14:conditionalFormatting>
        <x14:conditionalFormatting xmlns:xm="http://schemas.microsoft.com/office/excel/2006/main">
          <x14:cfRule type="dataBar" id="{88C7B02C-7E4D-4D74-9DF8-9B828D5B5F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AZ1424</xm:sqref>
        </x14:conditionalFormatting>
        <x14:conditionalFormatting xmlns:xm="http://schemas.microsoft.com/office/excel/2006/main">
          <x14:cfRule type="dataBar" id="{3F8994C9-3A5D-46C5-8F37-0247A65AA4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AZ1425:AZ1428</xm:sqref>
        </x14:conditionalFormatting>
        <x14:conditionalFormatting xmlns:xm="http://schemas.microsoft.com/office/excel/2006/main">
          <x14:cfRule type="dataBar" id="{0EDE95D1-F3C8-45D2-9621-945D22503B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AZ1429</xm:sqref>
        </x14:conditionalFormatting>
        <x14:conditionalFormatting xmlns:xm="http://schemas.microsoft.com/office/excel/2006/main">
          <x14:cfRule type="dataBar" id="{66254959-A519-4161-AA69-669C5ADF20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AZ1497</xm:sqref>
        </x14:conditionalFormatting>
        <x14:conditionalFormatting xmlns:xm="http://schemas.microsoft.com/office/excel/2006/main">
          <x14:cfRule type="dataBar" id="{1E1F81B7-61EF-4115-AF64-4CA503A07D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AZ1501:AZ1503 AZ1498</xm:sqref>
        </x14:conditionalFormatting>
        <x14:conditionalFormatting xmlns:xm="http://schemas.microsoft.com/office/excel/2006/main">
          <x14:cfRule type="dataBar" id="{78C803C6-FD75-43C6-883D-8435BE8C57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AZ1504</xm:sqref>
        </x14:conditionalFormatting>
        <x14:conditionalFormatting xmlns:xm="http://schemas.microsoft.com/office/excel/2006/main">
          <x14:cfRule type="dataBar" id="{A73AE4D5-6345-41AD-88C1-0BD0684A37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AZ1499</xm:sqref>
        </x14:conditionalFormatting>
        <x14:conditionalFormatting xmlns:xm="http://schemas.microsoft.com/office/excel/2006/main">
          <x14:cfRule type="dataBar" id="{273CF2CF-14F9-42AC-8EED-CB566E9194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AZ1500</xm:sqref>
        </x14:conditionalFormatting>
        <x14:conditionalFormatting xmlns:xm="http://schemas.microsoft.com/office/excel/2006/main">
          <x14:cfRule type="dataBar" id="{E231A931-F030-4474-9ADA-F21C7FD54B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AZ1431</xm:sqref>
        </x14:conditionalFormatting>
        <x14:conditionalFormatting xmlns:xm="http://schemas.microsoft.com/office/excel/2006/main">
          <x14:cfRule type="dataBar" id="{E58EAA34-ACF8-4C2C-93FE-02C7D08C0D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AZ1432:AZ1435</xm:sqref>
        </x14:conditionalFormatting>
        <x14:conditionalFormatting xmlns:xm="http://schemas.microsoft.com/office/excel/2006/main">
          <x14:cfRule type="dataBar" id="{A9A26240-B753-4A1F-843C-A4A5C12741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AZ1436</xm:sqref>
        </x14:conditionalFormatting>
        <x14:conditionalFormatting xmlns:xm="http://schemas.microsoft.com/office/excel/2006/main">
          <x14:cfRule type="dataBar" id="{8C24B986-DFC0-4074-9C0F-D2D057A789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AZ1438</xm:sqref>
        </x14:conditionalFormatting>
        <x14:conditionalFormatting xmlns:xm="http://schemas.microsoft.com/office/excel/2006/main">
          <x14:cfRule type="dataBar" id="{8DC3E417-F4D1-4F0E-8505-0F18B481E1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AZ1439:AZ1442</xm:sqref>
        </x14:conditionalFormatting>
        <x14:conditionalFormatting xmlns:xm="http://schemas.microsoft.com/office/excel/2006/main">
          <x14:cfRule type="dataBar" id="{CCAA327B-43E2-49CA-9410-A6FC9C5940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AZ1443</xm:sqref>
        </x14:conditionalFormatting>
        <x14:conditionalFormatting xmlns:xm="http://schemas.microsoft.com/office/excel/2006/main">
          <x14:cfRule type="dataBar" id="{D8310ECF-2150-4234-BAAB-C00A99F38F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AZ1445</xm:sqref>
        </x14:conditionalFormatting>
        <x14:conditionalFormatting xmlns:xm="http://schemas.microsoft.com/office/excel/2006/main">
          <x14:cfRule type="dataBar" id="{46BEE9C0-6D88-4823-AD65-B2AE851643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AZ1446:AZ1449</xm:sqref>
        </x14:conditionalFormatting>
        <x14:conditionalFormatting xmlns:xm="http://schemas.microsoft.com/office/excel/2006/main">
          <x14:cfRule type="dataBar" id="{5F6A551E-41CD-48DC-84D9-964722800D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AZ1450</xm:sqref>
        </x14:conditionalFormatting>
        <x14:conditionalFormatting xmlns:xm="http://schemas.microsoft.com/office/excel/2006/main">
          <x14:cfRule type="dataBar" id="{974BCFA1-D5FC-4974-A8AF-F9A4BAC7F4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AZ1682 AZ1637 AZ1646 AZ1655 AZ1691</xm:sqref>
        </x14:conditionalFormatting>
        <x14:conditionalFormatting xmlns:xm="http://schemas.microsoft.com/office/excel/2006/main">
          <x14:cfRule type="dataBar" id="{E3247ED7-20DF-40FC-9473-7925F2D20E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AZ1686:AZ1688 AZ1641:AZ1643 AZ1650:AZ1652 AZ1659:AZ1661 AZ1695:AZ1697 AZ1638 AZ1647 AZ1656 AZ1683 AZ1692</xm:sqref>
        </x14:conditionalFormatting>
        <x14:conditionalFormatting xmlns:xm="http://schemas.microsoft.com/office/excel/2006/main">
          <x14:cfRule type="dataBar" id="{29E6F6D5-2830-44BF-B184-717416CBF2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AZ1689 AZ1644 AZ1653 AZ1662 AZ1698</xm:sqref>
        </x14:conditionalFormatting>
        <x14:conditionalFormatting xmlns:xm="http://schemas.microsoft.com/office/excel/2006/main">
          <x14:cfRule type="dataBar" id="{3D2B3465-F9E6-4779-A0CE-5BC7B43777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AZ1684 AZ1639 AZ1648 AZ1657 AZ1693</xm:sqref>
        </x14:conditionalFormatting>
        <x14:conditionalFormatting xmlns:xm="http://schemas.microsoft.com/office/excel/2006/main">
          <x14:cfRule type="dataBar" id="{0D053BCB-CE17-46C1-9193-37C93C0D52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AZ1685 AZ1640 AZ1649 AZ1658 AZ1694</xm:sqref>
        </x14:conditionalFormatting>
        <x14:conditionalFormatting xmlns:xm="http://schemas.microsoft.com/office/excel/2006/main">
          <x14:cfRule type="dataBar" id="{D52A1AC5-081A-4C56-9C74-DE226E76FB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AZ1664</xm:sqref>
        </x14:conditionalFormatting>
        <x14:conditionalFormatting xmlns:xm="http://schemas.microsoft.com/office/excel/2006/main">
          <x14:cfRule type="dataBar" id="{9B6931B7-CE26-42C6-BA19-90978B9B76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AZ1668:AZ1670 AZ1665</xm:sqref>
        </x14:conditionalFormatting>
        <x14:conditionalFormatting xmlns:xm="http://schemas.microsoft.com/office/excel/2006/main">
          <x14:cfRule type="dataBar" id="{D39F777D-ED83-4FB4-A3A9-7860C87595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AZ1671</xm:sqref>
        </x14:conditionalFormatting>
        <x14:conditionalFormatting xmlns:xm="http://schemas.microsoft.com/office/excel/2006/main">
          <x14:cfRule type="dataBar" id="{DE677E2A-44BE-497B-8D93-FA9785C0E4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AZ1666</xm:sqref>
        </x14:conditionalFormatting>
        <x14:conditionalFormatting xmlns:xm="http://schemas.microsoft.com/office/excel/2006/main">
          <x14:cfRule type="dataBar" id="{29619F79-9761-4C82-9E78-482D344D32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AZ1667</xm:sqref>
        </x14:conditionalFormatting>
        <x14:conditionalFormatting xmlns:xm="http://schemas.microsoft.com/office/excel/2006/main">
          <x14:cfRule type="dataBar" id="{34611B3C-617E-408B-AA9F-C8FF8E5342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AZ1593</xm:sqref>
        </x14:conditionalFormatting>
        <x14:conditionalFormatting xmlns:xm="http://schemas.microsoft.com/office/excel/2006/main">
          <x14:cfRule type="dataBar" id="{01329E7A-24FA-420B-AC20-D2309AC01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AZ1594:AZ1597</xm:sqref>
        </x14:conditionalFormatting>
        <x14:conditionalFormatting xmlns:xm="http://schemas.microsoft.com/office/excel/2006/main">
          <x14:cfRule type="dataBar" id="{BFFC5386-5D83-429D-8CD0-3B261E48DD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AZ1598</xm:sqref>
        </x14:conditionalFormatting>
        <x14:conditionalFormatting xmlns:xm="http://schemas.microsoft.com/office/excel/2006/main">
          <x14:cfRule type="dataBar" id="{F7593F70-9831-47A2-BF0D-B2A882D319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AZ1629</xm:sqref>
        </x14:conditionalFormatting>
        <x14:conditionalFormatting xmlns:xm="http://schemas.microsoft.com/office/excel/2006/main">
          <x14:cfRule type="dataBar" id="{B8A6E273-374F-4EDD-AD36-30AF8E1707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AZ1628</xm:sqref>
        </x14:conditionalFormatting>
        <x14:conditionalFormatting xmlns:xm="http://schemas.microsoft.com/office/excel/2006/main">
          <x14:cfRule type="dataBar" id="{2E9AE424-04F2-4608-B29A-9E78B0C35C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AZ1632:AZ1634</xm:sqref>
        </x14:conditionalFormatting>
        <x14:conditionalFormatting xmlns:xm="http://schemas.microsoft.com/office/excel/2006/main">
          <x14:cfRule type="dataBar" id="{55053978-561F-4EEB-B79D-900B4045A7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AZ1635</xm:sqref>
        </x14:conditionalFormatting>
        <x14:conditionalFormatting xmlns:xm="http://schemas.microsoft.com/office/excel/2006/main">
          <x14:cfRule type="dataBar" id="{4314481B-FED4-41B8-B17B-5670369B0A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AZ1630</xm:sqref>
        </x14:conditionalFormatting>
        <x14:conditionalFormatting xmlns:xm="http://schemas.microsoft.com/office/excel/2006/main">
          <x14:cfRule type="dataBar" id="{DA400956-C0FE-4196-A409-BA6DF18E09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AZ1631</xm:sqref>
        </x14:conditionalFormatting>
        <x14:conditionalFormatting xmlns:xm="http://schemas.microsoft.com/office/excel/2006/main">
          <x14:cfRule type="dataBar" id="{457895EF-0951-4FCA-9587-4A1D1646C7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AZ1736</xm:sqref>
        </x14:conditionalFormatting>
        <x14:conditionalFormatting xmlns:xm="http://schemas.microsoft.com/office/excel/2006/main">
          <x14:cfRule type="dataBar" id="{85D45782-3432-4FA5-A864-E2B6E480DF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AZ1740:AZ1742 AZ1737</xm:sqref>
        </x14:conditionalFormatting>
        <x14:conditionalFormatting xmlns:xm="http://schemas.microsoft.com/office/excel/2006/main">
          <x14:cfRule type="dataBar" id="{9D355E44-5026-495E-A0BD-1E82D8DB51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AZ1743</xm:sqref>
        </x14:conditionalFormatting>
        <x14:conditionalFormatting xmlns:xm="http://schemas.microsoft.com/office/excel/2006/main">
          <x14:cfRule type="dataBar" id="{A4F6C040-FA55-4354-8181-0F290A13F6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AZ1738</xm:sqref>
        </x14:conditionalFormatting>
        <x14:conditionalFormatting xmlns:xm="http://schemas.microsoft.com/office/excel/2006/main">
          <x14:cfRule type="dataBar" id="{6C2D0206-1F40-4625-A35D-AD2550A324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AZ1739</xm:sqref>
        </x14:conditionalFormatting>
        <x14:conditionalFormatting xmlns:xm="http://schemas.microsoft.com/office/excel/2006/main">
          <x14:cfRule type="dataBar" id="{CAD53BDE-A034-4A03-A4E0-18EC86FF7A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AZ1727</xm:sqref>
        </x14:conditionalFormatting>
        <x14:conditionalFormatting xmlns:xm="http://schemas.microsoft.com/office/excel/2006/main">
          <x14:cfRule type="dataBar" id="{1D4949C8-CCF3-482A-B058-FB5EE6CCA1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AZ1731:AZ1733 AZ1728</xm:sqref>
        </x14:conditionalFormatting>
        <x14:conditionalFormatting xmlns:xm="http://schemas.microsoft.com/office/excel/2006/main">
          <x14:cfRule type="dataBar" id="{0EF11B76-EAA2-4589-9199-B1B53D62D7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AZ1734</xm:sqref>
        </x14:conditionalFormatting>
        <x14:conditionalFormatting xmlns:xm="http://schemas.microsoft.com/office/excel/2006/main">
          <x14:cfRule type="dataBar" id="{2C4B6C54-2124-47E1-A4BC-01BC14BC31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AZ1729</xm:sqref>
        </x14:conditionalFormatting>
        <x14:conditionalFormatting xmlns:xm="http://schemas.microsoft.com/office/excel/2006/main">
          <x14:cfRule type="dataBar" id="{5A98FDC7-DBA4-48E5-A9A5-250ECBE318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AZ1730</xm:sqref>
        </x14:conditionalFormatting>
        <x14:conditionalFormatting xmlns:xm="http://schemas.microsoft.com/office/excel/2006/main">
          <x14:cfRule type="dataBar" id="{F5B32EEA-EE80-49A6-B154-EB74FFBBFB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AZ1709 AZ1700</xm:sqref>
        </x14:conditionalFormatting>
        <x14:conditionalFormatting xmlns:xm="http://schemas.microsoft.com/office/excel/2006/main">
          <x14:cfRule type="dataBar" id="{DEE4F9CE-F9D6-48A4-8585-3A12C2F7E2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AZ1704:AZ1706 AZ1713:AZ1715 AZ1701 AZ1710</xm:sqref>
        </x14:conditionalFormatting>
        <x14:conditionalFormatting xmlns:xm="http://schemas.microsoft.com/office/excel/2006/main">
          <x14:cfRule type="dataBar" id="{7F1141AC-3CE4-4A99-808C-F1664BDCDB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AZ1707 AZ1716</xm:sqref>
        </x14:conditionalFormatting>
        <x14:conditionalFormatting xmlns:xm="http://schemas.microsoft.com/office/excel/2006/main">
          <x14:cfRule type="dataBar" id="{F42A3E30-F115-4D83-A310-707A8EF20A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AZ1711 AZ1702</xm:sqref>
        </x14:conditionalFormatting>
        <x14:conditionalFormatting xmlns:xm="http://schemas.microsoft.com/office/excel/2006/main">
          <x14:cfRule type="dataBar" id="{344C8258-68B7-4DCE-AF48-907CE661CD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AZ1712 AZ1703</xm:sqref>
        </x14:conditionalFormatting>
        <x14:conditionalFormatting xmlns:xm="http://schemas.microsoft.com/office/excel/2006/main">
          <x14:cfRule type="dataBar" id="{17DF0A6D-1DE4-4D45-88D0-AF12B0309C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AZ1754</xm:sqref>
        </x14:conditionalFormatting>
        <x14:conditionalFormatting xmlns:xm="http://schemas.microsoft.com/office/excel/2006/main">
          <x14:cfRule type="dataBar" id="{E04C3454-8011-44CF-A8D9-100966501A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AZ1758:AZ1760 AZ1755</xm:sqref>
        </x14:conditionalFormatting>
        <x14:conditionalFormatting xmlns:xm="http://schemas.microsoft.com/office/excel/2006/main">
          <x14:cfRule type="dataBar" id="{4FECD70F-7C7A-4FA2-8F1A-8D9DFF0AAC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AZ1761</xm:sqref>
        </x14:conditionalFormatting>
        <x14:conditionalFormatting xmlns:xm="http://schemas.microsoft.com/office/excel/2006/main">
          <x14:cfRule type="dataBar" id="{3FE6AA21-A66B-45EB-B5F8-611428EFDC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AZ1756</xm:sqref>
        </x14:conditionalFormatting>
        <x14:conditionalFormatting xmlns:xm="http://schemas.microsoft.com/office/excel/2006/main">
          <x14:cfRule type="dataBar" id="{2DF264F3-AA9D-403F-BE84-E3C9B3892A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AZ1757</xm:sqref>
        </x14:conditionalFormatting>
        <x14:conditionalFormatting xmlns:xm="http://schemas.microsoft.com/office/excel/2006/main">
          <x14:cfRule type="dataBar" id="{0C963F36-7B3F-4493-9A34-7144F3110D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AZ1718</xm:sqref>
        </x14:conditionalFormatting>
        <x14:conditionalFormatting xmlns:xm="http://schemas.microsoft.com/office/excel/2006/main">
          <x14:cfRule type="dataBar" id="{1D82F1B0-F59A-4699-8042-F0D0788914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AZ1722:AZ1724 AZ1719</xm:sqref>
        </x14:conditionalFormatting>
        <x14:conditionalFormatting xmlns:xm="http://schemas.microsoft.com/office/excel/2006/main">
          <x14:cfRule type="dataBar" id="{546A7611-7704-4057-A548-4099128FD8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AZ1725</xm:sqref>
        </x14:conditionalFormatting>
        <x14:conditionalFormatting xmlns:xm="http://schemas.microsoft.com/office/excel/2006/main">
          <x14:cfRule type="dataBar" id="{B0AE3CE8-46D1-4206-9A37-1D7EC7F068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AZ1720</xm:sqref>
        </x14:conditionalFormatting>
        <x14:conditionalFormatting xmlns:xm="http://schemas.microsoft.com/office/excel/2006/main">
          <x14:cfRule type="dataBar" id="{6D125733-618F-4BDB-8671-3E6C1228EF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AZ1721</xm:sqref>
        </x14:conditionalFormatting>
        <x14:conditionalFormatting xmlns:xm="http://schemas.microsoft.com/office/excel/2006/main">
          <x14:cfRule type="dataBar" id="{3E9E326E-FDEF-4197-AA4F-EC3DEC8AC7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AZ1745</xm:sqref>
        </x14:conditionalFormatting>
        <x14:conditionalFormatting xmlns:xm="http://schemas.microsoft.com/office/excel/2006/main">
          <x14:cfRule type="dataBar" id="{CF26341B-1D29-45B0-A1FE-5D4D4385DF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AZ1749:AZ1751 AZ1746</xm:sqref>
        </x14:conditionalFormatting>
        <x14:conditionalFormatting xmlns:xm="http://schemas.microsoft.com/office/excel/2006/main">
          <x14:cfRule type="dataBar" id="{F4BC344E-FC4B-4EFA-9F54-1310E84A39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AZ1752</xm:sqref>
        </x14:conditionalFormatting>
        <x14:conditionalFormatting xmlns:xm="http://schemas.microsoft.com/office/excel/2006/main">
          <x14:cfRule type="dataBar" id="{26457C01-CEE6-4596-A66D-F2400DB49C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AZ1747</xm:sqref>
        </x14:conditionalFormatting>
        <x14:conditionalFormatting xmlns:xm="http://schemas.microsoft.com/office/excel/2006/main">
          <x14:cfRule type="dataBar" id="{16CD1CA7-5E92-4100-A9A7-CDAF7E495E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AZ1748</xm:sqref>
        </x14:conditionalFormatting>
        <x14:conditionalFormatting xmlns:xm="http://schemas.microsoft.com/office/excel/2006/main">
          <x14:cfRule type="dataBar" id="{D90909E7-9AE9-484C-8C2B-77CCBC77AE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AZ1600</xm:sqref>
        </x14:conditionalFormatting>
        <x14:conditionalFormatting xmlns:xm="http://schemas.microsoft.com/office/excel/2006/main">
          <x14:cfRule type="dataBar" id="{3EC1E56C-3E14-4987-80B4-70C19FFD8A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AZ1601:AZ1604</xm:sqref>
        </x14:conditionalFormatting>
        <x14:conditionalFormatting xmlns:xm="http://schemas.microsoft.com/office/excel/2006/main">
          <x14:cfRule type="dataBar" id="{8EB0D69B-A4FF-4BF3-A4E0-83A226121B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AZ1605</xm:sqref>
        </x14:conditionalFormatting>
        <x14:conditionalFormatting xmlns:xm="http://schemas.microsoft.com/office/excel/2006/main">
          <x14:cfRule type="dataBar" id="{2F4F5712-E55F-488C-970B-DEDECB4489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AZ1673</xm:sqref>
        </x14:conditionalFormatting>
        <x14:conditionalFormatting xmlns:xm="http://schemas.microsoft.com/office/excel/2006/main">
          <x14:cfRule type="dataBar" id="{81F17AA5-171B-4E0E-A1B5-B49224B51E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AZ1677:AZ1679 AZ1674</xm:sqref>
        </x14:conditionalFormatting>
        <x14:conditionalFormatting xmlns:xm="http://schemas.microsoft.com/office/excel/2006/main">
          <x14:cfRule type="dataBar" id="{69BED797-C488-416F-AEF0-06762E740E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AZ1680</xm:sqref>
        </x14:conditionalFormatting>
        <x14:conditionalFormatting xmlns:xm="http://schemas.microsoft.com/office/excel/2006/main">
          <x14:cfRule type="dataBar" id="{5B83B82E-3010-4B67-B9B8-A7B788E724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AZ1675</xm:sqref>
        </x14:conditionalFormatting>
        <x14:conditionalFormatting xmlns:xm="http://schemas.microsoft.com/office/excel/2006/main">
          <x14:cfRule type="dataBar" id="{01E11D7A-A381-4A40-A5FE-10D43E4A6E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AZ1676</xm:sqref>
        </x14:conditionalFormatting>
        <x14:conditionalFormatting xmlns:xm="http://schemas.microsoft.com/office/excel/2006/main">
          <x14:cfRule type="dataBar" id="{EC66B96A-6C7A-4184-AC5D-3D3BD00DFE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AZ1607</xm:sqref>
        </x14:conditionalFormatting>
        <x14:conditionalFormatting xmlns:xm="http://schemas.microsoft.com/office/excel/2006/main">
          <x14:cfRule type="dataBar" id="{2F32BC2E-37B2-46F1-ABF0-3E40348851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AZ1608:AZ1611</xm:sqref>
        </x14:conditionalFormatting>
        <x14:conditionalFormatting xmlns:xm="http://schemas.microsoft.com/office/excel/2006/main">
          <x14:cfRule type="dataBar" id="{EDE20AC6-F8CB-4F7C-AB4B-F8CBB0A4FA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AZ1612</xm:sqref>
        </x14:conditionalFormatting>
        <x14:conditionalFormatting xmlns:xm="http://schemas.microsoft.com/office/excel/2006/main">
          <x14:cfRule type="dataBar" id="{3C700726-9B3A-479E-BAF6-30B79C6FB7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AZ1614</xm:sqref>
        </x14:conditionalFormatting>
        <x14:conditionalFormatting xmlns:xm="http://schemas.microsoft.com/office/excel/2006/main">
          <x14:cfRule type="dataBar" id="{D60E58EA-F01C-4D1F-AAC8-F38C8D771D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AZ1615:AZ1618</xm:sqref>
        </x14:conditionalFormatting>
        <x14:conditionalFormatting xmlns:xm="http://schemas.microsoft.com/office/excel/2006/main">
          <x14:cfRule type="dataBar" id="{E66D9CEC-CB46-40E4-9897-94D6797771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AZ1619</xm:sqref>
        </x14:conditionalFormatting>
        <x14:conditionalFormatting xmlns:xm="http://schemas.microsoft.com/office/excel/2006/main">
          <x14:cfRule type="dataBar" id="{82161252-24BA-47A3-A7D8-CCDB37E2CE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AZ1621</xm:sqref>
        </x14:conditionalFormatting>
        <x14:conditionalFormatting xmlns:xm="http://schemas.microsoft.com/office/excel/2006/main">
          <x14:cfRule type="dataBar" id="{C2BEACB9-582D-4760-942A-A75627A0EC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AZ1622:AZ1625</xm:sqref>
        </x14:conditionalFormatting>
        <x14:conditionalFormatting xmlns:xm="http://schemas.microsoft.com/office/excel/2006/main">
          <x14:cfRule type="dataBar" id="{0208C6A8-9E19-4234-9A58-EFDD7C1B8C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AZ1626</xm:sqref>
        </x14:conditionalFormatting>
        <x14:conditionalFormatting xmlns:xm="http://schemas.microsoft.com/office/excel/2006/main">
          <x14:cfRule type="dataBar" id="{237ED7F4-B481-49C0-AD83-7763F70D27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AZ1813 AZ1858 AZ1822 AZ1831 AZ1867</xm:sqref>
        </x14:conditionalFormatting>
        <x14:conditionalFormatting xmlns:xm="http://schemas.microsoft.com/office/excel/2006/main">
          <x14:cfRule type="dataBar" id="{9D5035B6-CA20-4B5B-A7BB-6C33F9612B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AZ1862:AZ1864 AZ1817:AZ1819 AZ1826:AZ1828 AZ1835:AZ1837 AZ1871:AZ1873 AZ1814 AZ1823 AZ1832 AZ1859 AZ1868</xm:sqref>
        </x14:conditionalFormatting>
        <x14:conditionalFormatting xmlns:xm="http://schemas.microsoft.com/office/excel/2006/main">
          <x14:cfRule type="dataBar" id="{C968BCC7-4700-43DA-9244-9300D6D84F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AZ1820 AZ1865 AZ1829 AZ1838 AZ1874</xm:sqref>
        </x14:conditionalFormatting>
        <x14:conditionalFormatting xmlns:xm="http://schemas.microsoft.com/office/excel/2006/main">
          <x14:cfRule type="dataBar" id="{4DC1D00C-1F0B-422A-8723-B2336496AF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AZ1815 AZ1860 AZ1824 AZ1833 AZ1869</xm:sqref>
        </x14:conditionalFormatting>
        <x14:conditionalFormatting xmlns:xm="http://schemas.microsoft.com/office/excel/2006/main">
          <x14:cfRule type="dataBar" id="{B3D84A05-D23A-4514-B3E3-CC39B3C0BE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AZ1816 AZ1861 AZ1825 AZ1834 AZ1870</xm:sqref>
        </x14:conditionalFormatting>
        <x14:conditionalFormatting xmlns:xm="http://schemas.microsoft.com/office/excel/2006/main">
          <x14:cfRule type="dataBar" id="{C95AF723-4C10-425D-9A52-20A250FF2B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AZ1840</xm:sqref>
        </x14:conditionalFormatting>
        <x14:conditionalFormatting xmlns:xm="http://schemas.microsoft.com/office/excel/2006/main">
          <x14:cfRule type="dataBar" id="{34A324E7-467A-49B1-88EF-5AAAE22125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AZ1844:AZ1846 AZ1841</xm:sqref>
        </x14:conditionalFormatting>
        <x14:conditionalFormatting xmlns:xm="http://schemas.microsoft.com/office/excel/2006/main">
          <x14:cfRule type="dataBar" id="{0E0AC3D7-2115-421F-A918-45604D5C88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AZ1847</xm:sqref>
        </x14:conditionalFormatting>
        <x14:conditionalFormatting xmlns:xm="http://schemas.microsoft.com/office/excel/2006/main">
          <x14:cfRule type="dataBar" id="{A69445CB-AE93-4A81-AF9C-D8E3406D07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AZ1842</xm:sqref>
        </x14:conditionalFormatting>
        <x14:conditionalFormatting xmlns:xm="http://schemas.microsoft.com/office/excel/2006/main">
          <x14:cfRule type="dataBar" id="{762DDF18-F933-497F-9B04-C83654E69B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AZ1843</xm:sqref>
        </x14:conditionalFormatting>
        <x14:conditionalFormatting xmlns:xm="http://schemas.microsoft.com/office/excel/2006/main">
          <x14:cfRule type="dataBar" id="{F087E5B5-7EFF-4282-B0B2-656A742A0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AZ1769</xm:sqref>
        </x14:conditionalFormatting>
        <x14:conditionalFormatting xmlns:xm="http://schemas.microsoft.com/office/excel/2006/main">
          <x14:cfRule type="dataBar" id="{E880F2CC-B087-4E66-A9EA-8A80E5294D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AZ1770:AZ1773</xm:sqref>
        </x14:conditionalFormatting>
        <x14:conditionalFormatting xmlns:xm="http://schemas.microsoft.com/office/excel/2006/main">
          <x14:cfRule type="dataBar" id="{44EC01A2-D818-499C-9AB9-C39CF8DA41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AZ1774</xm:sqref>
        </x14:conditionalFormatting>
        <x14:conditionalFormatting xmlns:xm="http://schemas.microsoft.com/office/excel/2006/main">
          <x14:cfRule type="dataBar" id="{7FC05878-3A27-40F1-B86E-FA576F4F95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AZ1805</xm:sqref>
        </x14:conditionalFormatting>
        <x14:conditionalFormatting xmlns:xm="http://schemas.microsoft.com/office/excel/2006/main">
          <x14:cfRule type="dataBar" id="{38FD5555-9D99-48BF-9535-88902058D8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AZ1804</xm:sqref>
        </x14:conditionalFormatting>
        <x14:conditionalFormatting xmlns:xm="http://schemas.microsoft.com/office/excel/2006/main">
          <x14:cfRule type="dataBar" id="{4B51EEB4-FDA5-445A-A0B2-A7749C21CE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AZ1808:AZ1810</xm:sqref>
        </x14:conditionalFormatting>
        <x14:conditionalFormatting xmlns:xm="http://schemas.microsoft.com/office/excel/2006/main">
          <x14:cfRule type="dataBar" id="{95853824-8B7D-4F0E-AA6A-4C92466352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AZ1811</xm:sqref>
        </x14:conditionalFormatting>
        <x14:conditionalFormatting xmlns:xm="http://schemas.microsoft.com/office/excel/2006/main">
          <x14:cfRule type="dataBar" id="{6CCE22ED-DE58-4102-91E9-A23FC0302A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AZ1806</xm:sqref>
        </x14:conditionalFormatting>
        <x14:conditionalFormatting xmlns:xm="http://schemas.microsoft.com/office/excel/2006/main">
          <x14:cfRule type="dataBar" id="{9D3D2451-746E-4C11-A0C5-1DD37FD113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AZ1807</xm:sqref>
        </x14:conditionalFormatting>
        <x14:conditionalFormatting xmlns:xm="http://schemas.microsoft.com/office/excel/2006/main">
          <x14:cfRule type="dataBar" id="{291EA9F9-5A3E-4722-BBE7-86E5A7B1DB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AZ1912</xm:sqref>
        </x14:conditionalFormatting>
        <x14:conditionalFormatting xmlns:xm="http://schemas.microsoft.com/office/excel/2006/main">
          <x14:cfRule type="dataBar" id="{15665F77-C1C3-4B45-BD54-0F3526A5A9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AZ1916:AZ1918 AZ1913</xm:sqref>
        </x14:conditionalFormatting>
        <x14:conditionalFormatting xmlns:xm="http://schemas.microsoft.com/office/excel/2006/main">
          <x14:cfRule type="dataBar" id="{FA4C6B91-FD09-4E58-9BBA-87616C428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AZ1919</xm:sqref>
        </x14:conditionalFormatting>
        <x14:conditionalFormatting xmlns:xm="http://schemas.microsoft.com/office/excel/2006/main">
          <x14:cfRule type="dataBar" id="{6142CC9A-AA2B-4B71-8AC4-62DAE5642C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AZ1914</xm:sqref>
        </x14:conditionalFormatting>
        <x14:conditionalFormatting xmlns:xm="http://schemas.microsoft.com/office/excel/2006/main">
          <x14:cfRule type="dataBar" id="{93CC7957-AEC4-4455-8AD6-048E5CB3C6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AZ1915</xm:sqref>
        </x14:conditionalFormatting>
        <x14:conditionalFormatting xmlns:xm="http://schemas.microsoft.com/office/excel/2006/main">
          <x14:cfRule type="dataBar" id="{C102D4BA-45ED-4D6E-ADE0-47FB05DC95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AZ1903</xm:sqref>
        </x14:conditionalFormatting>
        <x14:conditionalFormatting xmlns:xm="http://schemas.microsoft.com/office/excel/2006/main">
          <x14:cfRule type="dataBar" id="{6F3AE494-1C6F-487F-A5F6-57F242F1B7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AZ1907:AZ1909 AZ1904</xm:sqref>
        </x14:conditionalFormatting>
        <x14:conditionalFormatting xmlns:xm="http://schemas.microsoft.com/office/excel/2006/main">
          <x14:cfRule type="dataBar" id="{5911C78F-6825-4EF0-AA26-2AA3D117F7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AZ1910</xm:sqref>
        </x14:conditionalFormatting>
        <x14:conditionalFormatting xmlns:xm="http://schemas.microsoft.com/office/excel/2006/main">
          <x14:cfRule type="dataBar" id="{486B5068-4915-4352-BFD5-659E73C633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AZ1905</xm:sqref>
        </x14:conditionalFormatting>
        <x14:conditionalFormatting xmlns:xm="http://schemas.microsoft.com/office/excel/2006/main">
          <x14:cfRule type="dataBar" id="{44521175-1EA0-4C17-BC9C-22AEF2C1FA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AZ1906</xm:sqref>
        </x14:conditionalFormatting>
        <x14:conditionalFormatting xmlns:xm="http://schemas.microsoft.com/office/excel/2006/main">
          <x14:cfRule type="dataBar" id="{769813FD-E4A1-4C43-86E1-36A939E926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AZ1876 AZ1885</xm:sqref>
        </x14:conditionalFormatting>
        <x14:conditionalFormatting xmlns:xm="http://schemas.microsoft.com/office/excel/2006/main">
          <x14:cfRule type="dataBar" id="{BF8ABE6C-11D9-40C2-9AFB-33FCFC7495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AZ1880:AZ1882 AZ1889:AZ1891 AZ1877 AZ1886</xm:sqref>
        </x14:conditionalFormatting>
        <x14:conditionalFormatting xmlns:xm="http://schemas.microsoft.com/office/excel/2006/main">
          <x14:cfRule type="dataBar" id="{EAB6E329-9077-46E5-A5AB-221CDD036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AZ1883 AZ1892</xm:sqref>
        </x14:conditionalFormatting>
        <x14:conditionalFormatting xmlns:xm="http://schemas.microsoft.com/office/excel/2006/main">
          <x14:cfRule type="dataBar" id="{87CF3584-9ABF-43FD-8F27-2DEC8D4D46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AZ1878 AZ1887</xm:sqref>
        </x14:conditionalFormatting>
        <x14:conditionalFormatting xmlns:xm="http://schemas.microsoft.com/office/excel/2006/main">
          <x14:cfRule type="dataBar" id="{33B6FC65-26E0-4788-9ACC-D0DA75EFEA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AZ1879 AZ1888</xm:sqref>
        </x14:conditionalFormatting>
        <x14:conditionalFormatting xmlns:xm="http://schemas.microsoft.com/office/excel/2006/main">
          <x14:cfRule type="dataBar" id="{C75A0CA5-0FB5-4F60-B7C5-2309761214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AZ1930</xm:sqref>
        </x14:conditionalFormatting>
        <x14:conditionalFormatting xmlns:xm="http://schemas.microsoft.com/office/excel/2006/main">
          <x14:cfRule type="dataBar" id="{0EBB2835-B97B-4164-9AC5-DBC681F1D9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AZ1934:AZ1936 AZ1931</xm:sqref>
        </x14:conditionalFormatting>
        <x14:conditionalFormatting xmlns:xm="http://schemas.microsoft.com/office/excel/2006/main">
          <x14:cfRule type="dataBar" id="{FCAAB53A-05F7-498C-8522-372E3224FF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AZ1937</xm:sqref>
        </x14:conditionalFormatting>
        <x14:conditionalFormatting xmlns:xm="http://schemas.microsoft.com/office/excel/2006/main">
          <x14:cfRule type="dataBar" id="{9F64E9FD-35CD-43A3-BF0C-DA4C9DD352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AZ1932</xm:sqref>
        </x14:conditionalFormatting>
        <x14:conditionalFormatting xmlns:xm="http://schemas.microsoft.com/office/excel/2006/main">
          <x14:cfRule type="dataBar" id="{30809AA9-DFE9-451D-B405-872975DDB0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AZ1933</xm:sqref>
        </x14:conditionalFormatting>
        <x14:conditionalFormatting xmlns:xm="http://schemas.microsoft.com/office/excel/2006/main">
          <x14:cfRule type="dataBar" id="{E901D2A0-AC8F-466C-B97B-47192BBFA3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AZ1894</xm:sqref>
        </x14:conditionalFormatting>
        <x14:conditionalFormatting xmlns:xm="http://schemas.microsoft.com/office/excel/2006/main">
          <x14:cfRule type="dataBar" id="{E2DC846F-7D87-4B26-89A2-E722D041B4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AZ1898:AZ1900 AZ1895</xm:sqref>
        </x14:conditionalFormatting>
        <x14:conditionalFormatting xmlns:xm="http://schemas.microsoft.com/office/excel/2006/main">
          <x14:cfRule type="dataBar" id="{2683C041-3CDF-4CC4-BE69-B52C895271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AZ1901</xm:sqref>
        </x14:conditionalFormatting>
        <x14:conditionalFormatting xmlns:xm="http://schemas.microsoft.com/office/excel/2006/main">
          <x14:cfRule type="dataBar" id="{DC1AD180-F079-438E-BCD5-4935542ADA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AZ1896</xm:sqref>
        </x14:conditionalFormatting>
        <x14:conditionalFormatting xmlns:xm="http://schemas.microsoft.com/office/excel/2006/main">
          <x14:cfRule type="dataBar" id="{0F30A525-B7CC-4B56-A603-709ECD26A7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AZ1897</xm:sqref>
        </x14:conditionalFormatting>
        <x14:conditionalFormatting xmlns:xm="http://schemas.microsoft.com/office/excel/2006/main">
          <x14:cfRule type="dataBar" id="{753D52E8-AF49-4EC7-91BA-6214E0C6A6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AZ1921</xm:sqref>
        </x14:conditionalFormatting>
        <x14:conditionalFormatting xmlns:xm="http://schemas.microsoft.com/office/excel/2006/main">
          <x14:cfRule type="dataBar" id="{B72959BB-CE42-4955-8408-F03BB32307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AZ1925:AZ1927 AZ1922</xm:sqref>
        </x14:conditionalFormatting>
        <x14:conditionalFormatting xmlns:xm="http://schemas.microsoft.com/office/excel/2006/main">
          <x14:cfRule type="dataBar" id="{56BE631A-59A3-4795-9B1E-1916F51CF3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AZ1928</xm:sqref>
        </x14:conditionalFormatting>
        <x14:conditionalFormatting xmlns:xm="http://schemas.microsoft.com/office/excel/2006/main">
          <x14:cfRule type="dataBar" id="{21F5CB32-19D3-4943-85CD-F4753D5C31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AZ1923</xm:sqref>
        </x14:conditionalFormatting>
        <x14:conditionalFormatting xmlns:xm="http://schemas.microsoft.com/office/excel/2006/main">
          <x14:cfRule type="dataBar" id="{B7B49F4E-A74E-4201-92D5-083C03070C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AZ1924</xm:sqref>
        </x14:conditionalFormatting>
        <x14:conditionalFormatting xmlns:xm="http://schemas.microsoft.com/office/excel/2006/main">
          <x14:cfRule type="dataBar" id="{0A388AD0-AC5B-4F79-A3AF-D363A20ECF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AZ1776</xm:sqref>
        </x14:conditionalFormatting>
        <x14:conditionalFormatting xmlns:xm="http://schemas.microsoft.com/office/excel/2006/main">
          <x14:cfRule type="dataBar" id="{6785A14F-7EE5-43E1-BDF9-F3D00095D1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AZ1777:AZ1780</xm:sqref>
        </x14:conditionalFormatting>
        <x14:conditionalFormatting xmlns:xm="http://schemas.microsoft.com/office/excel/2006/main">
          <x14:cfRule type="dataBar" id="{E8923B7D-B7FF-4D0B-BD64-000510D260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AZ1781</xm:sqref>
        </x14:conditionalFormatting>
        <x14:conditionalFormatting xmlns:xm="http://schemas.microsoft.com/office/excel/2006/main">
          <x14:cfRule type="dataBar" id="{1E4DEB60-6A3D-4E87-B092-3BCED077FD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AZ1849</xm:sqref>
        </x14:conditionalFormatting>
        <x14:conditionalFormatting xmlns:xm="http://schemas.microsoft.com/office/excel/2006/main">
          <x14:cfRule type="dataBar" id="{A14170BB-0DE0-4337-9F38-CFF2B4156A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AZ1853:AZ1855 AZ1850</xm:sqref>
        </x14:conditionalFormatting>
        <x14:conditionalFormatting xmlns:xm="http://schemas.microsoft.com/office/excel/2006/main">
          <x14:cfRule type="dataBar" id="{D51CF80D-FF0F-48E8-90C3-495F16A3AA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AZ1856</xm:sqref>
        </x14:conditionalFormatting>
        <x14:conditionalFormatting xmlns:xm="http://schemas.microsoft.com/office/excel/2006/main">
          <x14:cfRule type="dataBar" id="{BB0B0904-59D7-4348-B1B2-433DD407F9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AZ1851</xm:sqref>
        </x14:conditionalFormatting>
        <x14:conditionalFormatting xmlns:xm="http://schemas.microsoft.com/office/excel/2006/main">
          <x14:cfRule type="dataBar" id="{B46586BB-EF5B-4E74-9F37-51CC5A0C4F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AZ1852</xm:sqref>
        </x14:conditionalFormatting>
        <x14:conditionalFormatting xmlns:xm="http://schemas.microsoft.com/office/excel/2006/main">
          <x14:cfRule type="dataBar" id="{50E32667-6E09-4357-A9D9-5D278FFAD7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AZ1783</xm:sqref>
        </x14:conditionalFormatting>
        <x14:conditionalFormatting xmlns:xm="http://schemas.microsoft.com/office/excel/2006/main">
          <x14:cfRule type="dataBar" id="{64763785-9CA1-4BBB-9F79-7450C0AC2B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AZ1784:AZ1787</xm:sqref>
        </x14:conditionalFormatting>
        <x14:conditionalFormatting xmlns:xm="http://schemas.microsoft.com/office/excel/2006/main">
          <x14:cfRule type="dataBar" id="{7B625417-278A-43AD-B999-C07AF2DEBB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AZ1788</xm:sqref>
        </x14:conditionalFormatting>
        <x14:conditionalFormatting xmlns:xm="http://schemas.microsoft.com/office/excel/2006/main">
          <x14:cfRule type="dataBar" id="{DF40C253-7C47-40D6-8A73-78ABA517D6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AZ1790</xm:sqref>
        </x14:conditionalFormatting>
        <x14:conditionalFormatting xmlns:xm="http://schemas.microsoft.com/office/excel/2006/main">
          <x14:cfRule type="dataBar" id="{7C6D3622-44F2-45F6-8B58-AFA7264B3D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AZ1791:AZ1794</xm:sqref>
        </x14:conditionalFormatting>
        <x14:conditionalFormatting xmlns:xm="http://schemas.microsoft.com/office/excel/2006/main">
          <x14:cfRule type="dataBar" id="{9742A02A-3E75-43CC-972C-8D5D3EDA3C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AZ1795</xm:sqref>
        </x14:conditionalFormatting>
        <x14:conditionalFormatting xmlns:xm="http://schemas.microsoft.com/office/excel/2006/main">
          <x14:cfRule type="dataBar" id="{0A7C92D2-E8F3-4155-8271-5FE55B6E06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AZ1797</xm:sqref>
        </x14:conditionalFormatting>
        <x14:conditionalFormatting xmlns:xm="http://schemas.microsoft.com/office/excel/2006/main">
          <x14:cfRule type="dataBar" id="{9918C25F-E6CD-4173-8554-2E866337CC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AZ1798:AZ1801</xm:sqref>
        </x14:conditionalFormatting>
        <x14:conditionalFormatting xmlns:xm="http://schemas.microsoft.com/office/excel/2006/main">
          <x14:cfRule type="dataBar" id="{37A433BA-FAB9-4C17-BF1F-13B79358B8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AZ1802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errorTitle="Liste Dışı İsim" error="Liste dışı isim girdiniz!">
          <x14:formula1>
            <xm:f>'Personel ve Operasyon Listesi'!$B$1:$B$94</xm:f>
          </x14:formula1>
          <xm:sqref>C23:C27 C53:C59 C62:C68 C80:C86 C98:C104 C283:C289 C229:C235 C247:C253 C256:C262 C274:C280 C71:C77 C238:C244 C310:C316 C185:C189 C328:C334 C220:C226 C337:C343 C152:C158 C143:C149 C319:C325 C9:C13 C107:C113 C116:C122 C170:C176 C301:C307 C292:C298 C346:C352 C125:C131 C134:C140 C161:C167 C44:C50 C16:C20 C192:C196 C89:C95 C265:C271 C37:C41 C30:C34 C199:C203 C206:C210 C213:C217 C459:C465 C405:C411 C423:C429 C432:C438 C450:C456 C414:C420 C486:C492 C361:C365 C504:C510 C396:C402 C513:C519 C495:C501 C477:C483 C468:C474 C522:C528 C368:C372 C441:C447 C375:C379 C382:C386 C389:C393 C635:C641 C581:C587 C599:C605 C608:C614 C626:C632 C590:C596 C662:C668 C537:C541 C680:C686 C572:C578 C689:C695 C671:C677 C653:C659 C644:C650 C698:C704 C544:C548 C617:C623 C551:C555 C558:C562 C565:C569 C811:C817 C757:C763 C775:C781 C784:C790 C802:C808 C766:C772 C838:C844 C713:C717 C856:C862 C748:C754 C865:C871 C847:C853 C829:C835 C820:C826 C874:C880 C720:C724 C793:C799 C727:C731 C734:C738 C741:C745 C987:C993 C933:C939 C951:C957 C960:C966 C978:C984 C942:C948 C1014:C1020 C889:C893 C1032:C1038 C924:C930 C1041:C1047 C1023:C1029 C1005:C1011 C996:C1002 C1050:C1056 C896:C900 C969:C975 C903:C907 C910:C914 C917:C921 C1163:C1169 C1109:C1115 C1127:C1133 C1136:C1142 C1154:C1160 C1118:C1124 C1190:C1196 C1065:C1069 C1208:C1214 C1100:C1106 C1217:C1223 C1199:C1205 C1181:C1187 C1172:C1178 C1226:C1232 C1072:C1076 C1145:C1151 C1079:C1083 C1086:C1090 C1093:C1097 C1339:C1345 C1285:C1291 C1303:C1309 C1312:C1318 C1330:C1336 C1294:C1300 C1366:C1372 C1241:C1245 C1384:C1390 C1276:C1282 C1393:C1399 C1375:C1381 C1357:C1363 C1348:C1354 C1402:C1408 C1248:C1252 C1321:C1327 C1255:C1259 C1262:C1266 C1269:C1273 C1515:C1521 C1461:C1467 C1479:C1485 C1488:C1494 C1506:C1512 C1470:C1476 C1542:C1548 C1417:C1421 C1560:C1566 C1452:C1458 C1569:C1575 C1551:C1557 C1533:C1539 C1524:C1530 C1578:C1584 C1424:C1428 C1497:C1503 C1431:C1435 C1438:C1442 C1445:C1449 C1691:C1697 C1637:C1643 C1655:C1661 C1664:C1670 C1682:C1688 C1646:C1652 C1718:C1724 C1593:C1597 C1736:C1742 C1628:C1634 C1745:C1751 C1727:C1733 C1709:C1715 C1700:C1706 C1754:C1760 C1600:C1604 C1673:C1679 C1607:C1611 C1614:C1618 C1621:C1625 C1867:C1873 C1813:C1819 C1831:C1837 C1840:C1846 C1858:C1864 C1822:C1828 C1894:C1900 C1769:C1773 C1912:C1918 C1804:C1810 C1921:C1927 C1903:C1909 C1885:C1891 C1876:C1882 C1930:C1936 C1776:C1780 C1849:C1855 C1783:C1787 C1790:C1794 C1797:C1801</xm:sqref>
        </x14:dataValidation>
        <x14:dataValidation type="list" allowBlank="1" showInputMessage="1" showErrorMessage="1">
          <x14:formula1>
            <xm:f>'Personel ve Operasyon Listesi'!$A$1:$A$129</xm:f>
          </x14:formula1>
          <xm:sqref>B256:B262 B53:B59 B62:B68 B71:B77 B98:B104 B107:B113 B238:B244 B229:B235 B247:B253 B274:B280 B283:B289 B80:B86 B9:B13 B185:B189 B143:B149 B328:B334 B44:B50 B220:B226 B152:B158 B319:B325 B23:B27 B116:B122 B125:B131 B170:B176 B292:B298 B301:B307 B346:B352 B134:B140 B310:B316 B161:B167 B337:B343 B16:B20 B192:B196 B89:B95 B265:B271 B37:B41 B30:B34 B199:B203 B206:B210 B213:B217 B432:B438 B414:B420 B405:B411 B423:B429 B450:B456 B459:B465 B361:B365 B504:B510 B396:B402 B495:B501 B468:B474 B477:B483 B522:B528 B486:B492 B513:B519 B368:B372 B441:B447 B375:B379 B382:B386 B389:B393 B608:B614 B590:B596 B581:B587 B599:B605 B626:B632 B635:B641 B537:B541 B680:B686 B572:B578 B671:B677 B644:B650 B653:B659 B698:B704 B662:B668 B689:B695 B544:B548 B617:B623 B551:B555 B558:B562 B565:B569 B784:B790 B766:B772 B757:B763 B775:B781 B802:B808 B811:B817 B713:B717 B856:B862 B748:B754 B847:B853 B820:B826 B829:B835 B874:B880 B838:B844 B865:B871 B720:B724 B793:B799 B727:B731 B734:B738 B741:B745 B960:B966 B942:B948 B933:B939 B951:B957 B978:B984 B987:B993 B889:B893 B1032:B1038 B924:B930 B1023:B1029 B996:B1002 B1005:B1011 B1050:B1056 B1014:B1020 B1041:B1047 B896:B900 B969:B975 B903:B907 B910:B914 B917:B921 B1136:B1142 B1118:B1124 B1109:B1115 B1127:B1133 B1154:B1160 B1163:B1169 B1065:B1069 B1208:B1214 B1100:B1106 B1199:B1205 B1172:B1178 B1181:B1187 B1226:B1232 B1190:B1196 B1217:B1223 B1072:B1076 B1145:B1151 B1079:B1083 B1086:B1090 B1093:B1097 B1312:B1318 B1294:B1300 B1285:B1291 B1303:B1309 B1330:B1336 B1339:B1345 B1241:B1245 B1384:B1390 B1276:B1282 B1375:B1381 B1348:B1354 B1357:B1363 B1402:B1408 B1366:B1372 B1393:B1399 B1248:B1252 B1321:B1327 B1255:B1259 B1262:B1266 B1269:B1273 B1488:B1494 B1470:B1476 B1461:B1467 B1479:B1485 B1506:B1512 B1515:B1521 B1417:B1421 B1560:B1566 B1452:B1458 B1551:B1557 B1524:B1530 B1533:B1539 B1578:B1584 B1542:B1548 B1569:B1575 B1424:B1428 B1497:B1503 B1431:B1435 B1438:B1442 B1445:B1449 B1664:B1670 B1646:B1652 B1637:B1643 B1655:B1661 B1682:B1688 B1691:B1697 B1593:B1597 B1736:B1742 B1628:B1634 B1727:B1733 B1700:B1706 B1709:B1715 B1754:B1760 B1718:B1724 B1745:B1751 B1600:B1604 B1673:B1679 B1607:B1611 B1614:B1618 B1621:B1625 B1840:B1846 B1822:B1828 B1813:B1819 B1831:B1837 B1858:B1864 B1867:B1873 B1769:B1773 B1912:B1918 B1804:B1810 B1903:B1909 B1876:B1882 B1885:B1891 B1930:B1936 B1894:B1900 B1921:B1927 B1776:B1780 B1849:B1855 B1783:B1787 B1790:B1794 B1797:B1801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tabSelected="1" workbookViewId="0">
      <selection activeCell="E18" sqref="E18"/>
    </sheetView>
  </sheetViews>
  <sheetFormatPr defaultRowHeight="14.4" x14ac:dyDescent="0.3"/>
  <cols>
    <col min="1" max="1" width="16.77734375" customWidth="1"/>
    <col min="2" max="2" width="20.21875" customWidth="1"/>
    <col min="3" max="3" width="27" bestFit="1" customWidth="1"/>
    <col min="4" max="4" width="15.21875" bestFit="1" customWidth="1"/>
    <col min="5" max="5" width="31.109375" bestFit="1" customWidth="1"/>
    <col min="6" max="6" width="35.6640625" bestFit="1" customWidth="1"/>
    <col min="7" max="9" width="14.6640625" customWidth="1"/>
    <col min="10" max="10" width="32.109375" bestFit="1" customWidth="1"/>
    <col min="11" max="11" width="14.6640625" customWidth="1"/>
    <col min="12" max="12" width="28.77734375" bestFit="1" customWidth="1"/>
  </cols>
  <sheetData>
    <row r="1" spans="1:12" x14ac:dyDescent="0.3">
      <c r="A1" s="124" t="s">
        <v>341</v>
      </c>
      <c r="B1" s="124" t="s">
        <v>342</v>
      </c>
      <c r="C1" s="124" t="s">
        <v>343</v>
      </c>
      <c r="D1" s="125"/>
      <c r="E1" s="126" t="s">
        <v>294</v>
      </c>
      <c r="F1" s="126" t="s">
        <v>340</v>
      </c>
      <c r="G1" s="126" t="s">
        <v>296</v>
      </c>
      <c r="H1" s="126" t="s">
        <v>349</v>
      </c>
      <c r="I1" s="126" t="s">
        <v>180</v>
      </c>
      <c r="J1" s="126" t="s">
        <v>352</v>
      </c>
      <c r="K1" s="126" t="s">
        <v>169</v>
      </c>
      <c r="L1" s="126" t="s">
        <v>359</v>
      </c>
    </row>
    <row r="2" spans="1:12" x14ac:dyDescent="0.3">
      <c r="A2" t="s">
        <v>346</v>
      </c>
      <c r="B2" s="160" t="s">
        <v>294</v>
      </c>
      <c r="C2" s="120" t="s">
        <v>344</v>
      </c>
      <c r="D2" s="125" t="s">
        <v>368</v>
      </c>
      <c r="E2" s="125" t="s">
        <v>366</v>
      </c>
      <c r="F2" s="125" t="s">
        <v>373</v>
      </c>
      <c r="G2" s="125"/>
      <c r="H2" s="125"/>
      <c r="I2" s="125"/>
      <c r="J2" s="125"/>
      <c r="K2" s="125"/>
      <c r="L2" s="125" t="s">
        <v>386</v>
      </c>
    </row>
    <row r="3" spans="1:12" x14ac:dyDescent="0.3">
      <c r="A3" t="s">
        <v>345</v>
      </c>
      <c r="B3" s="160" t="s">
        <v>340</v>
      </c>
      <c r="C3" t="s">
        <v>344</v>
      </c>
      <c r="D3" s="125" t="s">
        <v>369</v>
      </c>
      <c r="E3" s="125" t="s">
        <v>367</v>
      </c>
      <c r="F3" s="125" t="s">
        <v>374</v>
      </c>
      <c r="G3" s="125" t="s">
        <v>376</v>
      </c>
      <c r="H3" s="125" t="s">
        <v>377</v>
      </c>
      <c r="I3" s="125" t="s">
        <v>383</v>
      </c>
      <c r="J3" s="125" t="s">
        <v>384</v>
      </c>
      <c r="K3" s="125" t="s">
        <v>385</v>
      </c>
      <c r="L3" s="125"/>
    </row>
    <row r="4" spans="1:12" x14ac:dyDescent="0.3">
      <c r="A4" t="s">
        <v>347</v>
      </c>
      <c r="B4" s="160" t="s">
        <v>296</v>
      </c>
      <c r="C4" t="s">
        <v>344</v>
      </c>
      <c r="D4" s="125" t="s">
        <v>369</v>
      </c>
      <c r="E4" s="125" t="s">
        <v>354</v>
      </c>
      <c r="F4" s="125" t="s">
        <v>354</v>
      </c>
      <c r="G4" s="125" t="s">
        <v>354</v>
      </c>
      <c r="H4" s="125" t="s">
        <v>354</v>
      </c>
      <c r="I4" s="125" t="s">
        <v>354</v>
      </c>
      <c r="J4" s="125" t="s">
        <v>354</v>
      </c>
      <c r="K4" s="125" t="s">
        <v>354</v>
      </c>
      <c r="L4" s="125"/>
    </row>
    <row r="5" spans="1:12" x14ac:dyDescent="0.3">
      <c r="A5" t="s">
        <v>348</v>
      </c>
      <c r="B5" s="160" t="s">
        <v>349</v>
      </c>
      <c r="C5" t="s">
        <v>344</v>
      </c>
      <c r="D5" s="125" t="s">
        <v>369</v>
      </c>
      <c r="E5" s="125" t="s">
        <v>370</v>
      </c>
      <c r="F5" s="125" t="s">
        <v>370</v>
      </c>
      <c r="G5" s="125" t="s">
        <v>370</v>
      </c>
      <c r="H5" s="125" t="s">
        <v>370</v>
      </c>
      <c r="I5" s="125" t="s">
        <v>370</v>
      </c>
      <c r="J5" s="125" t="s">
        <v>370</v>
      </c>
      <c r="K5" s="125" t="s">
        <v>370</v>
      </c>
      <c r="L5" s="125"/>
    </row>
    <row r="6" spans="1:12" x14ac:dyDescent="0.3">
      <c r="A6" t="s">
        <v>350</v>
      </c>
      <c r="B6" s="160" t="s">
        <v>180</v>
      </c>
      <c r="C6" t="s">
        <v>344</v>
      </c>
      <c r="D6" s="125" t="s">
        <v>369</v>
      </c>
      <c r="E6" s="125" t="s">
        <v>371</v>
      </c>
      <c r="F6" s="125" t="s">
        <v>371</v>
      </c>
      <c r="G6" s="125" t="s">
        <v>371</v>
      </c>
      <c r="H6" s="125" t="s">
        <v>371</v>
      </c>
      <c r="I6" s="125" t="s">
        <v>371</v>
      </c>
      <c r="J6" s="125" t="s">
        <v>371</v>
      </c>
      <c r="K6" s="125" t="s">
        <v>371</v>
      </c>
      <c r="L6" s="125"/>
    </row>
    <row r="7" spans="1:12" x14ac:dyDescent="0.3">
      <c r="A7" t="s">
        <v>351</v>
      </c>
      <c r="B7" s="160" t="s">
        <v>352</v>
      </c>
      <c r="C7" t="s">
        <v>344</v>
      </c>
      <c r="D7" s="125" t="s">
        <v>369</v>
      </c>
      <c r="E7" s="125" t="s">
        <v>372</v>
      </c>
      <c r="F7" s="125" t="s">
        <v>375</v>
      </c>
      <c r="G7" s="125" t="s">
        <v>378</v>
      </c>
      <c r="H7" s="125" t="s">
        <v>379</v>
      </c>
      <c r="I7" s="125" t="s">
        <v>380</v>
      </c>
      <c r="J7" s="125" t="s">
        <v>381</v>
      </c>
      <c r="K7" s="125" t="s">
        <v>382</v>
      </c>
      <c r="L7" s="125"/>
    </row>
    <row r="8" spans="1:12" x14ac:dyDescent="0.3">
      <c r="A8" t="s">
        <v>353</v>
      </c>
      <c r="B8" t="s">
        <v>169</v>
      </c>
      <c r="C8" t="s">
        <v>354</v>
      </c>
      <c r="D8" s="125"/>
      <c r="E8" s="125" t="s">
        <v>344</v>
      </c>
      <c r="F8" s="125" t="s">
        <v>344</v>
      </c>
      <c r="G8" s="125" t="s">
        <v>344</v>
      </c>
      <c r="H8" s="125" t="s">
        <v>344</v>
      </c>
      <c r="I8" s="125" t="s">
        <v>344</v>
      </c>
      <c r="J8" s="125" t="s">
        <v>344</v>
      </c>
      <c r="K8" s="125" t="s">
        <v>344</v>
      </c>
      <c r="L8" s="125"/>
    </row>
    <row r="9" spans="1:12" x14ac:dyDescent="0.3">
      <c r="A9" t="s">
        <v>355</v>
      </c>
      <c r="B9" s="160" t="s">
        <v>296</v>
      </c>
      <c r="C9" t="s">
        <v>344</v>
      </c>
      <c r="D9" s="125"/>
      <c r="E9" s="125"/>
      <c r="F9" s="125" t="s">
        <v>395</v>
      </c>
      <c r="G9" s="125"/>
      <c r="H9" s="125"/>
      <c r="I9" s="125"/>
      <c r="J9" s="125"/>
      <c r="K9" s="125"/>
      <c r="L9" s="125"/>
    </row>
    <row r="10" spans="1:12" x14ac:dyDescent="0.3">
      <c r="A10" t="s">
        <v>356</v>
      </c>
      <c r="B10" t="s">
        <v>169</v>
      </c>
      <c r="C10" t="s">
        <v>344</v>
      </c>
      <c r="D10" s="125"/>
      <c r="E10" s="125"/>
      <c r="F10" s="125"/>
      <c r="G10" s="125"/>
      <c r="H10" s="125"/>
      <c r="I10" s="125"/>
      <c r="J10" s="125"/>
      <c r="K10" s="125"/>
      <c r="L10" s="125"/>
    </row>
    <row r="11" spans="1:12" x14ac:dyDescent="0.3">
      <c r="A11" t="s">
        <v>357</v>
      </c>
      <c r="D11" s="125"/>
      <c r="E11" s="125"/>
      <c r="F11" s="125"/>
      <c r="G11" s="125"/>
      <c r="H11" s="125"/>
      <c r="I11" s="125"/>
      <c r="J11" s="125"/>
      <c r="K11" s="125"/>
      <c r="L11" s="125"/>
    </row>
    <row r="12" spans="1:12" ht="15" thickBot="1" x14ac:dyDescent="0.35">
      <c r="A12" t="s">
        <v>358</v>
      </c>
      <c r="B12" t="s">
        <v>359</v>
      </c>
      <c r="C12" t="s">
        <v>344</v>
      </c>
      <c r="D12" s="125"/>
      <c r="E12" s="159" t="s">
        <v>390</v>
      </c>
      <c r="F12" s="159"/>
      <c r="G12" s="159"/>
      <c r="H12" s="159"/>
      <c r="I12" s="159"/>
      <c r="J12" s="159"/>
      <c r="K12" s="159"/>
      <c r="L12" s="159"/>
    </row>
    <row r="13" spans="1:12" x14ac:dyDescent="0.3">
      <c r="A13" t="s">
        <v>360</v>
      </c>
      <c r="B13" t="s">
        <v>359</v>
      </c>
      <c r="C13" t="s">
        <v>363</v>
      </c>
      <c r="D13" s="127"/>
      <c r="E13" s="128" t="s">
        <v>396</v>
      </c>
      <c r="F13" s="129" t="s">
        <v>389</v>
      </c>
      <c r="G13" s="129"/>
      <c r="H13" s="129"/>
      <c r="I13" s="129"/>
      <c r="J13" s="129" t="s">
        <v>401</v>
      </c>
      <c r="K13" s="129"/>
      <c r="L13" s="130"/>
    </row>
    <row r="14" spans="1:12" x14ac:dyDescent="0.3">
      <c r="A14" t="s">
        <v>361</v>
      </c>
      <c r="B14" t="s">
        <v>359</v>
      </c>
      <c r="C14" t="s">
        <v>364</v>
      </c>
      <c r="D14" s="127"/>
      <c r="E14" s="131" t="s">
        <v>399</v>
      </c>
      <c r="F14" s="125" t="s">
        <v>392</v>
      </c>
      <c r="G14" s="125"/>
      <c r="H14" s="125"/>
      <c r="I14" s="125"/>
      <c r="J14" s="125" t="s">
        <v>402</v>
      </c>
      <c r="K14" s="125"/>
      <c r="L14" s="132"/>
    </row>
    <row r="15" spans="1:12" x14ac:dyDescent="0.3">
      <c r="A15" t="s">
        <v>362</v>
      </c>
      <c r="B15" t="s">
        <v>359</v>
      </c>
      <c r="C15" t="s">
        <v>365</v>
      </c>
      <c r="D15" s="127"/>
      <c r="E15" s="131"/>
      <c r="F15" s="125"/>
      <c r="G15" s="125"/>
      <c r="H15" s="125"/>
      <c r="I15" s="125"/>
      <c r="J15" s="125"/>
      <c r="K15" s="125"/>
      <c r="L15" s="132"/>
    </row>
    <row r="16" spans="1:12" x14ac:dyDescent="0.3">
      <c r="D16" s="127"/>
      <c r="E16" s="131"/>
      <c r="F16" s="125"/>
      <c r="G16" s="125"/>
      <c r="H16" s="125"/>
      <c r="I16" s="125"/>
      <c r="J16" s="125"/>
      <c r="K16" s="125"/>
      <c r="L16" s="132"/>
    </row>
    <row r="17" spans="4:12" x14ac:dyDescent="0.3">
      <c r="D17" s="127"/>
      <c r="E17" s="131"/>
      <c r="F17" s="125"/>
      <c r="G17" s="125"/>
      <c r="H17" s="125"/>
      <c r="I17" s="125"/>
      <c r="J17" s="125"/>
      <c r="K17" s="125"/>
      <c r="L17" s="132"/>
    </row>
    <row r="18" spans="4:12" ht="15" thickBot="1" x14ac:dyDescent="0.35">
      <c r="D18" s="127"/>
      <c r="E18" s="133"/>
      <c r="F18" s="134"/>
      <c r="G18" s="134"/>
      <c r="H18" s="134"/>
      <c r="I18" s="134"/>
      <c r="J18" s="134"/>
      <c r="K18" s="134"/>
      <c r="L18" s="135"/>
    </row>
    <row r="19" spans="4:12" ht="15" thickBot="1" x14ac:dyDescent="0.35">
      <c r="D19" s="125"/>
      <c r="E19" s="158" t="s">
        <v>388</v>
      </c>
      <c r="F19" s="158"/>
      <c r="G19" s="158"/>
      <c r="H19" s="158"/>
      <c r="I19" s="158"/>
      <c r="J19" s="158"/>
      <c r="K19" s="158"/>
      <c r="L19" s="158"/>
    </row>
    <row r="20" spans="4:12" x14ac:dyDescent="0.3">
      <c r="D20" s="127"/>
      <c r="E20" s="129" t="s">
        <v>387</v>
      </c>
      <c r="F20" s="129" t="s">
        <v>387</v>
      </c>
      <c r="G20" s="129"/>
      <c r="H20" s="129"/>
      <c r="I20" s="129"/>
      <c r="J20" s="129" t="s">
        <v>387</v>
      </c>
      <c r="K20" s="129"/>
      <c r="L20" s="130"/>
    </row>
    <row r="21" spans="4:12" x14ac:dyDescent="0.3">
      <c r="D21" s="127"/>
      <c r="E21" s="131" t="s">
        <v>398</v>
      </c>
      <c r="F21" s="125" t="s">
        <v>391</v>
      </c>
      <c r="G21" s="125"/>
      <c r="H21" s="125"/>
      <c r="I21" s="125"/>
      <c r="J21" s="125" t="s">
        <v>403</v>
      </c>
      <c r="K21" s="125"/>
      <c r="L21" s="132"/>
    </row>
    <row r="22" spans="4:12" x14ac:dyDescent="0.3">
      <c r="D22" s="127"/>
      <c r="E22" s="131" t="s">
        <v>393</v>
      </c>
      <c r="F22" s="125" t="s">
        <v>393</v>
      </c>
      <c r="G22" s="125"/>
      <c r="H22" s="125"/>
      <c r="I22" s="125"/>
      <c r="J22" s="125" t="s">
        <v>393</v>
      </c>
      <c r="K22" s="125"/>
      <c r="L22" s="132"/>
    </row>
    <row r="23" spans="4:12" x14ac:dyDescent="0.3">
      <c r="D23" s="127"/>
      <c r="E23" s="125" t="s">
        <v>394</v>
      </c>
      <c r="F23" s="125" t="s">
        <v>394</v>
      </c>
      <c r="G23" s="125"/>
      <c r="H23" s="125"/>
      <c r="I23" s="125"/>
      <c r="J23" s="125" t="s">
        <v>394</v>
      </c>
      <c r="K23" s="125"/>
      <c r="L23" s="132"/>
    </row>
    <row r="24" spans="4:12" x14ac:dyDescent="0.3">
      <c r="D24" s="127"/>
      <c r="E24" s="125" t="s">
        <v>397</v>
      </c>
      <c r="F24" s="125" t="s">
        <v>397</v>
      </c>
      <c r="G24" s="125"/>
      <c r="H24" s="125"/>
      <c r="I24" s="125"/>
      <c r="J24" s="125" t="s">
        <v>397</v>
      </c>
      <c r="K24" s="125"/>
      <c r="L24" s="132"/>
    </row>
    <row r="25" spans="4:12" ht="15" thickBot="1" x14ac:dyDescent="0.35">
      <c r="D25" s="127"/>
      <c r="E25" s="133" t="s">
        <v>400</v>
      </c>
      <c r="F25" s="133" t="s">
        <v>400</v>
      </c>
      <c r="G25" s="125"/>
      <c r="H25" s="125"/>
      <c r="I25" s="125"/>
      <c r="J25" s="133" t="s">
        <v>400</v>
      </c>
      <c r="K25" s="125"/>
      <c r="L25" s="132"/>
    </row>
    <row r="26" spans="4:12" ht="15" thickBot="1" x14ac:dyDescent="0.35">
      <c r="D26" s="127"/>
      <c r="E26" s="133"/>
      <c r="F26" s="133"/>
      <c r="G26" s="134"/>
      <c r="H26" s="134"/>
      <c r="I26" s="134"/>
      <c r="J26" s="133"/>
      <c r="K26" s="134"/>
      <c r="L26" s="135"/>
    </row>
  </sheetData>
  <mergeCells count="2">
    <mergeCell ref="E19:L19"/>
    <mergeCell ref="E12:L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workbookViewId="0">
      <selection activeCell="D27" sqref="D27"/>
    </sheetView>
  </sheetViews>
  <sheetFormatPr defaultRowHeight="14.4" x14ac:dyDescent="0.3"/>
  <cols>
    <col min="2" max="2" width="14.33203125" bestFit="1" customWidth="1"/>
    <col min="3" max="3" width="22.88671875" bestFit="1" customWidth="1"/>
    <col min="4" max="4" width="21.77734375" bestFit="1" customWidth="1"/>
    <col min="5" max="5" width="15.33203125" bestFit="1" customWidth="1"/>
    <col min="6" max="6" width="17.77734375" bestFit="1" customWidth="1"/>
    <col min="7" max="7" width="17" customWidth="1"/>
    <col min="8" max="8" width="15.33203125" bestFit="1" customWidth="1"/>
    <col min="9" max="9" width="14.21875" customWidth="1"/>
    <col min="10" max="10" width="11.88671875" customWidth="1"/>
    <col min="11" max="11" width="15.33203125" bestFit="1" customWidth="1"/>
    <col min="12" max="12" width="9.33203125" customWidth="1"/>
  </cols>
  <sheetData>
    <row r="1" spans="2:15" x14ac:dyDescent="0.3">
      <c r="J1" s="119"/>
      <c r="O1" s="17"/>
    </row>
    <row r="5" spans="2:15" x14ac:dyDescent="0.3">
      <c r="J5" s="119"/>
    </row>
    <row r="7" spans="2:15" x14ac:dyDescent="0.3">
      <c r="B7" s="119" t="s">
        <v>300</v>
      </c>
      <c r="C7" s="122" t="s">
        <v>298</v>
      </c>
      <c r="D7" s="122" t="s">
        <v>299</v>
      </c>
      <c r="E7" s="121" t="s">
        <v>296</v>
      </c>
      <c r="F7" s="121" t="s">
        <v>297</v>
      </c>
      <c r="G7" s="121" t="s">
        <v>180</v>
      </c>
      <c r="H7" s="121" t="s">
        <v>294</v>
      </c>
      <c r="I7" s="121" t="s">
        <v>293</v>
      </c>
      <c r="J7" s="121" t="s">
        <v>295</v>
      </c>
      <c r="K7" s="121" t="s">
        <v>301</v>
      </c>
    </row>
    <row r="8" spans="2:15" x14ac:dyDescent="0.3">
      <c r="B8" t="s">
        <v>304</v>
      </c>
      <c r="C8" t="s">
        <v>322</v>
      </c>
      <c r="D8" t="s">
        <v>304</v>
      </c>
      <c r="E8" t="s">
        <v>304</v>
      </c>
      <c r="F8" t="s">
        <v>304</v>
      </c>
      <c r="G8" t="s">
        <v>304</v>
      </c>
      <c r="H8" t="s">
        <v>304</v>
      </c>
      <c r="I8" t="s">
        <v>304</v>
      </c>
      <c r="J8" t="s">
        <v>304</v>
      </c>
      <c r="K8" t="s">
        <v>304</v>
      </c>
    </row>
    <row r="9" spans="2:15" x14ac:dyDescent="0.3">
      <c r="B9" t="s">
        <v>322</v>
      </c>
      <c r="C9" t="s">
        <v>323</v>
      </c>
      <c r="D9" t="s">
        <v>308</v>
      </c>
      <c r="E9" s="17" t="s">
        <v>331</v>
      </c>
      <c r="F9" t="s">
        <v>333</v>
      </c>
      <c r="G9" t="s">
        <v>335</v>
      </c>
      <c r="H9" t="s">
        <v>327</v>
      </c>
      <c r="I9" t="s">
        <v>327</v>
      </c>
      <c r="J9" t="s">
        <v>327</v>
      </c>
      <c r="K9" t="s">
        <v>339</v>
      </c>
    </row>
    <row r="10" spans="2:15" x14ac:dyDescent="0.3">
      <c r="B10" t="s">
        <v>326</v>
      </c>
      <c r="C10" t="s">
        <v>324</v>
      </c>
      <c r="D10" s="123" t="s">
        <v>305</v>
      </c>
      <c r="E10" s="119" t="s">
        <v>328</v>
      </c>
      <c r="F10" s="119" t="s">
        <v>328</v>
      </c>
      <c r="G10" s="119" t="s">
        <v>328</v>
      </c>
      <c r="H10" s="119" t="s">
        <v>328</v>
      </c>
      <c r="I10" t="s">
        <v>328</v>
      </c>
      <c r="J10" t="s">
        <v>328</v>
      </c>
      <c r="K10" s="119" t="s">
        <v>328</v>
      </c>
    </row>
    <row r="11" spans="2:15" x14ac:dyDescent="0.3">
      <c r="B11" t="s">
        <v>303</v>
      </c>
      <c r="C11" t="s">
        <v>325</v>
      </c>
      <c r="D11" s="123" t="s">
        <v>306</v>
      </c>
      <c r="E11" s="120" t="s">
        <v>314</v>
      </c>
      <c r="F11" s="120" t="s">
        <v>314</v>
      </c>
      <c r="G11" s="120" t="s">
        <v>314</v>
      </c>
      <c r="H11" s="120" t="s">
        <v>314</v>
      </c>
      <c r="I11" s="120" t="s">
        <v>314</v>
      </c>
      <c r="J11" s="120" t="s">
        <v>314</v>
      </c>
      <c r="K11" s="120" t="s">
        <v>314</v>
      </c>
    </row>
    <row r="12" spans="2:15" x14ac:dyDescent="0.3">
      <c r="C12" t="s">
        <v>302</v>
      </c>
      <c r="D12" s="123" t="s">
        <v>307</v>
      </c>
      <c r="E12" s="120" t="s">
        <v>315</v>
      </c>
      <c r="F12" s="120" t="s">
        <v>315</v>
      </c>
      <c r="G12" s="120" t="s">
        <v>315</v>
      </c>
      <c r="H12" s="120" t="s">
        <v>315</v>
      </c>
      <c r="I12" s="120" t="s">
        <v>315</v>
      </c>
      <c r="J12" s="120" t="s">
        <v>315</v>
      </c>
      <c r="K12" s="120" t="s">
        <v>315</v>
      </c>
    </row>
    <row r="13" spans="2:15" x14ac:dyDescent="0.3">
      <c r="C13" t="s">
        <v>303</v>
      </c>
      <c r="D13" s="123" t="s">
        <v>309</v>
      </c>
      <c r="E13" s="17" t="s">
        <v>316</v>
      </c>
      <c r="F13" t="s">
        <v>316</v>
      </c>
      <c r="G13" t="s">
        <v>316</v>
      </c>
      <c r="H13" t="s">
        <v>316</v>
      </c>
      <c r="I13" t="s">
        <v>316</v>
      </c>
      <c r="J13" s="17" t="s">
        <v>316</v>
      </c>
      <c r="K13" s="17" t="s">
        <v>316</v>
      </c>
    </row>
    <row r="14" spans="2:15" x14ac:dyDescent="0.3">
      <c r="D14" s="123" t="s">
        <v>310</v>
      </c>
      <c r="E14" s="17" t="s">
        <v>317</v>
      </c>
      <c r="F14" t="s">
        <v>317</v>
      </c>
      <c r="G14" t="s">
        <v>317</v>
      </c>
      <c r="H14" t="s">
        <v>317</v>
      </c>
      <c r="I14" t="s">
        <v>317</v>
      </c>
      <c r="J14" s="17" t="s">
        <v>317</v>
      </c>
      <c r="K14" s="17" t="s">
        <v>317</v>
      </c>
    </row>
    <row r="15" spans="2:15" x14ac:dyDescent="0.3">
      <c r="D15" s="123" t="s">
        <v>311</v>
      </c>
      <c r="E15" s="120" t="s">
        <v>318</v>
      </c>
      <c r="F15" s="120" t="s">
        <v>318</v>
      </c>
      <c r="G15" s="120" t="s">
        <v>318</v>
      </c>
      <c r="H15" s="120" t="s">
        <v>318</v>
      </c>
      <c r="I15" s="120" t="s">
        <v>318</v>
      </c>
      <c r="J15" s="120" t="s">
        <v>318</v>
      </c>
      <c r="K15" s="120" t="s">
        <v>318</v>
      </c>
    </row>
    <row r="16" spans="2:15" x14ac:dyDescent="0.3">
      <c r="D16" s="123" t="s">
        <v>312</v>
      </c>
      <c r="E16" s="120" t="s">
        <v>319</v>
      </c>
      <c r="F16" s="120" t="s">
        <v>319</v>
      </c>
      <c r="G16" s="120" t="s">
        <v>319</v>
      </c>
      <c r="H16" s="120" t="s">
        <v>319</v>
      </c>
      <c r="I16" s="120" t="s">
        <v>319</v>
      </c>
      <c r="J16" s="120" t="s">
        <v>319</v>
      </c>
      <c r="K16" s="120" t="s">
        <v>319</v>
      </c>
    </row>
    <row r="17" spans="4:11" x14ac:dyDescent="0.3">
      <c r="D17" s="123" t="s">
        <v>313</v>
      </c>
      <c r="E17" s="120" t="s">
        <v>320</v>
      </c>
      <c r="F17" s="120" t="s">
        <v>320</v>
      </c>
      <c r="G17" s="120" t="s">
        <v>320</v>
      </c>
      <c r="H17" s="120" t="s">
        <v>320</v>
      </c>
      <c r="I17" s="120" t="s">
        <v>320</v>
      </c>
      <c r="J17" s="120" t="s">
        <v>320</v>
      </c>
      <c r="K17" s="120" t="s">
        <v>320</v>
      </c>
    </row>
    <row r="18" spans="4:11" x14ac:dyDescent="0.3">
      <c r="D18" t="s">
        <v>314</v>
      </c>
      <c r="E18" t="s">
        <v>332</v>
      </c>
      <c r="F18" t="s">
        <v>334</v>
      </c>
      <c r="G18" t="s">
        <v>337</v>
      </c>
      <c r="H18" t="s">
        <v>329</v>
      </c>
    </row>
    <row r="19" spans="4:11" x14ac:dyDescent="0.3">
      <c r="D19" s="120" t="s">
        <v>315</v>
      </c>
      <c r="F19" t="s">
        <v>322</v>
      </c>
      <c r="G19" t="s">
        <v>338</v>
      </c>
      <c r="H19" t="s">
        <v>330</v>
      </c>
    </row>
    <row r="20" spans="4:11" x14ac:dyDescent="0.3">
      <c r="D20" t="s">
        <v>316</v>
      </c>
      <c r="G20" s="120" t="s">
        <v>336</v>
      </c>
    </row>
    <row r="21" spans="4:11" x14ac:dyDescent="0.3">
      <c r="D21" t="s">
        <v>317</v>
      </c>
    </row>
    <row r="22" spans="4:11" x14ac:dyDescent="0.3">
      <c r="D22" t="s">
        <v>318</v>
      </c>
    </row>
    <row r="23" spans="4:11" x14ac:dyDescent="0.3">
      <c r="D23" s="120" t="s">
        <v>319</v>
      </c>
    </row>
    <row r="24" spans="4:11" x14ac:dyDescent="0.3">
      <c r="D24" s="120" t="s">
        <v>320</v>
      </c>
    </row>
    <row r="25" spans="4:11" x14ac:dyDescent="0.3">
      <c r="D25" s="119" t="s">
        <v>328</v>
      </c>
    </row>
    <row r="26" spans="4:11" x14ac:dyDescent="0.3">
      <c r="D26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Personel ve Operasyon Listesi</vt:lpstr>
      <vt:lpstr>GÜNLÜK SAYI FORMU</vt:lpstr>
      <vt:lpstr>950473 H&amp;M MAN</vt:lpstr>
      <vt:lpstr>Sayfa2</vt:lpstr>
      <vt:lpstr>Sayfa1</vt:lpstr>
    </vt:vector>
  </TitlesOfParts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/>
  <dcterms:created xsi:type="dcterms:W3CDTF">2022-07-27T12:20:31Z</dcterms:created>
  <dcterms:modified xsi:type="dcterms:W3CDTF">2024-06-24T11:24:47Z</dcterms:modified>
</cp:coreProperties>
</file>